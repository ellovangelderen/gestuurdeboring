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7kiq5-CYXSBwDjwDPbu4d9l8GNgi6HrR\GBT\1.VERGUNNING\ARCHIEF 03 3DD\"/>
    </mc:Choice>
  </mc:AlternateContent>
  <xr:revisionPtr revIDLastSave="0" documentId="13_ncr:1_{1DE3BF72-9B84-46EE-A183-FAA99FB12C11}" xr6:coauthVersionLast="47" xr6:coauthVersionMax="47" xr10:uidLastSave="{00000000-0000-0000-0000-000000000000}"/>
  <bookViews>
    <workbookView xWindow="30" yWindow="75" windowWidth="16260" windowHeight="15255" tabRatio="585" activeTab="1" xr2:uid="{00000000-000D-0000-FFFF-FFFF00000000}"/>
  </bookViews>
  <sheets>
    <sheet name="INPUT" sheetId="1" r:id="rId1"/>
    <sheet name="Ontwerp" sheetId="2" r:id="rId2"/>
    <sheet name="CSV" sheetId="3" r:id="rId3"/>
    <sheet name="Script" sheetId="4" r:id="rId4"/>
    <sheet name="XYdata" sheetId="5" r:id="rId5"/>
    <sheet name="K&amp;L" sheetId="6" r:id="rId6"/>
    <sheet name="TOOLS" sheetId="7" r:id="rId7"/>
    <sheet name="Script_BGT_All" sheetId="8" r:id="rId8"/>
    <sheet name="Script_BGT" sheetId="9" r:id="rId9"/>
    <sheet name="Scpt_KLICtrial" sheetId="10" r:id="rId10"/>
    <sheet name="Scpt_DKKtrial" sheetId="11" r:id="rId11"/>
    <sheet name="Script_BGTold" sheetId="12" r:id="rId12"/>
    <sheet name="Variabelen" sheetId="13" r:id="rId13"/>
    <sheet name="tbvPQ" sheetId="14" r:id="rId14"/>
    <sheet name="Ron" sheetId="15" r:id="rId15"/>
    <sheet name="Parameters" sheetId="16" r:id="rId16"/>
    <sheet name="AutoCad" sheetId="20" r:id="rId17"/>
    <sheet name="Notes" sheetId="19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_MailAutoSig" localSheetId="6">TOOLS!$K$22</definedName>
    <definedName name="_xlnm.Print_Area" localSheetId="14">Ron!$A$1:$G$23</definedName>
    <definedName name="Boordata">#REF!</definedName>
    <definedName name="Box_width">#REF!</definedName>
    <definedName name="Hoek">Ontwerp!$C$7</definedName>
    <definedName name="HoekIn">Ontwerp!$C$7</definedName>
    <definedName name="HoekUit">Ontwerp!$D$13</definedName>
    <definedName name="Luijben_EP">#REF!</definedName>
    <definedName name="M">#REF!</definedName>
    <definedName name="My">#REF!</definedName>
    <definedName name="N">#REF!</definedName>
    <definedName name="Rin">Ontwerp!$D$8</definedName>
    <definedName name="Ruit">Ontwerp!$D$12</definedName>
    <definedName name="Text_string">Parameters!#REF!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7" i="2" l="1"/>
  <c r="M197" i="2"/>
  <c r="L197" i="2"/>
  <c r="K197" i="2"/>
  <c r="J197" i="2"/>
  <c r="H197" i="2"/>
  <c r="G197" i="2"/>
  <c r="D197" i="2"/>
  <c r="I197" i="2" s="1"/>
  <c r="N196" i="2"/>
  <c r="M196" i="2"/>
  <c r="L196" i="2"/>
  <c r="K196" i="2"/>
  <c r="J196" i="2"/>
  <c r="H196" i="2"/>
  <c r="G196" i="2"/>
  <c r="D196" i="2"/>
  <c r="I196" i="2" s="1"/>
  <c r="N195" i="2"/>
  <c r="M195" i="2"/>
  <c r="L195" i="2"/>
  <c r="K195" i="2"/>
  <c r="J195" i="2"/>
  <c r="H195" i="2"/>
  <c r="G195" i="2"/>
  <c r="D195" i="2"/>
  <c r="I195" i="2" s="1"/>
  <c r="N194" i="2"/>
  <c r="M194" i="2"/>
  <c r="L194" i="2"/>
  <c r="K194" i="2"/>
  <c r="J194" i="2"/>
  <c r="I194" i="2"/>
  <c r="H194" i="2"/>
  <c r="G194" i="2"/>
  <c r="D194" i="2"/>
  <c r="N193" i="2"/>
  <c r="M193" i="2"/>
  <c r="L193" i="2"/>
  <c r="K193" i="2"/>
  <c r="J193" i="2"/>
  <c r="I193" i="2"/>
  <c r="H193" i="2"/>
  <c r="G193" i="2"/>
  <c r="D193" i="2"/>
  <c r="N192" i="2"/>
  <c r="M192" i="2"/>
  <c r="L192" i="2"/>
  <c r="K192" i="2"/>
  <c r="J192" i="2"/>
  <c r="I192" i="2"/>
  <c r="H192" i="2"/>
  <c r="G192" i="2"/>
  <c r="D192" i="2"/>
  <c r="N191" i="2"/>
  <c r="M191" i="2"/>
  <c r="L191" i="2"/>
  <c r="K191" i="2"/>
  <c r="J191" i="2"/>
  <c r="I191" i="2"/>
  <c r="H191" i="2"/>
  <c r="G191" i="2"/>
  <c r="D191" i="2"/>
  <c r="N190" i="2"/>
  <c r="M190" i="2"/>
  <c r="L190" i="2"/>
  <c r="K190" i="2"/>
  <c r="J190" i="2"/>
  <c r="H190" i="2"/>
  <c r="G190" i="2"/>
  <c r="D190" i="2"/>
  <c r="I190" i="2" s="1"/>
  <c r="N189" i="2"/>
  <c r="M189" i="2"/>
  <c r="L189" i="2"/>
  <c r="K189" i="2"/>
  <c r="J189" i="2"/>
  <c r="H189" i="2"/>
  <c r="G189" i="2"/>
  <c r="D189" i="2"/>
  <c r="I189" i="2" s="1"/>
  <c r="N188" i="2"/>
  <c r="M188" i="2"/>
  <c r="L188" i="2"/>
  <c r="K188" i="2"/>
  <c r="J188" i="2"/>
  <c r="H188" i="2"/>
  <c r="G188" i="2"/>
  <c r="D188" i="2"/>
  <c r="I188" i="2" s="1"/>
  <c r="N187" i="2"/>
  <c r="M187" i="2"/>
  <c r="L187" i="2"/>
  <c r="K187" i="2"/>
  <c r="J187" i="2"/>
  <c r="H187" i="2"/>
  <c r="G187" i="2"/>
  <c r="D187" i="2"/>
  <c r="I187" i="2" s="1"/>
  <c r="N186" i="2"/>
  <c r="M186" i="2"/>
  <c r="L186" i="2"/>
  <c r="K186" i="2"/>
  <c r="J186" i="2"/>
  <c r="H186" i="2"/>
  <c r="G186" i="2"/>
  <c r="D186" i="2"/>
  <c r="I186" i="2" s="1"/>
  <c r="N185" i="2"/>
  <c r="M185" i="2"/>
  <c r="L185" i="2"/>
  <c r="K185" i="2"/>
  <c r="J185" i="2"/>
  <c r="I185" i="2"/>
  <c r="H185" i="2"/>
  <c r="G185" i="2"/>
  <c r="D185" i="2"/>
  <c r="N184" i="2"/>
  <c r="M184" i="2"/>
  <c r="L184" i="2"/>
  <c r="K184" i="2"/>
  <c r="J184" i="2"/>
  <c r="I184" i="2"/>
  <c r="H184" i="2"/>
  <c r="G184" i="2"/>
  <c r="D184" i="2"/>
  <c r="N183" i="2"/>
  <c r="M183" i="2"/>
  <c r="L183" i="2"/>
  <c r="K183" i="2"/>
  <c r="J183" i="2"/>
  <c r="I183" i="2"/>
  <c r="H183" i="2"/>
  <c r="G183" i="2"/>
  <c r="D183" i="2"/>
  <c r="N182" i="2"/>
  <c r="M182" i="2"/>
  <c r="L182" i="2"/>
  <c r="K182" i="2"/>
  <c r="J182" i="2"/>
  <c r="H182" i="2"/>
  <c r="G182" i="2"/>
  <c r="D182" i="2"/>
  <c r="I182" i="2" s="1"/>
  <c r="N181" i="2"/>
  <c r="M181" i="2"/>
  <c r="L181" i="2"/>
  <c r="K181" i="2"/>
  <c r="J181" i="2"/>
  <c r="H181" i="2"/>
  <c r="G181" i="2"/>
  <c r="D181" i="2"/>
  <c r="I181" i="2" s="1"/>
  <c r="N180" i="2"/>
  <c r="M180" i="2"/>
  <c r="L180" i="2"/>
  <c r="K180" i="2"/>
  <c r="J180" i="2"/>
  <c r="H180" i="2"/>
  <c r="G180" i="2"/>
  <c r="D180" i="2"/>
  <c r="I180" i="2" s="1"/>
  <c r="N179" i="2"/>
  <c r="M179" i="2"/>
  <c r="L179" i="2"/>
  <c r="K179" i="2"/>
  <c r="J179" i="2"/>
  <c r="H179" i="2"/>
  <c r="G179" i="2"/>
  <c r="D179" i="2"/>
  <c r="I179" i="2" s="1"/>
  <c r="N178" i="2"/>
  <c r="M178" i="2"/>
  <c r="L178" i="2"/>
  <c r="K178" i="2"/>
  <c r="J178" i="2"/>
  <c r="I178" i="2"/>
  <c r="H178" i="2"/>
  <c r="G178" i="2"/>
  <c r="D178" i="2"/>
  <c r="N177" i="2"/>
  <c r="M177" i="2"/>
  <c r="L177" i="2"/>
  <c r="K177" i="2"/>
  <c r="J177" i="2"/>
  <c r="I177" i="2"/>
  <c r="H177" i="2"/>
  <c r="G177" i="2"/>
  <c r="D177" i="2"/>
  <c r="N176" i="2"/>
  <c r="M176" i="2"/>
  <c r="L176" i="2"/>
  <c r="K176" i="2"/>
  <c r="J176" i="2"/>
  <c r="I176" i="2"/>
  <c r="H176" i="2"/>
  <c r="G176" i="2"/>
  <c r="D176" i="2"/>
  <c r="N175" i="2"/>
  <c r="M175" i="2"/>
  <c r="L175" i="2"/>
  <c r="K175" i="2"/>
  <c r="J175" i="2"/>
  <c r="I175" i="2"/>
  <c r="H175" i="2"/>
  <c r="G175" i="2"/>
  <c r="D175" i="2"/>
  <c r="N174" i="2"/>
  <c r="M174" i="2"/>
  <c r="L174" i="2"/>
  <c r="K174" i="2"/>
  <c r="J174" i="2"/>
  <c r="H174" i="2"/>
  <c r="G174" i="2"/>
  <c r="D174" i="2"/>
  <c r="I174" i="2" s="1"/>
  <c r="N173" i="2"/>
  <c r="M173" i="2"/>
  <c r="L173" i="2"/>
  <c r="K173" i="2"/>
  <c r="J173" i="2"/>
  <c r="H173" i="2"/>
  <c r="G173" i="2"/>
  <c r="D173" i="2"/>
  <c r="I173" i="2" s="1"/>
  <c r="N172" i="2"/>
  <c r="M172" i="2"/>
  <c r="L172" i="2"/>
  <c r="K172" i="2"/>
  <c r="J172" i="2"/>
  <c r="H172" i="2"/>
  <c r="G172" i="2"/>
  <c r="D172" i="2"/>
  <c r="I172" i="2" s="1"/>
  <c r="N171" i="2"/>
  <c r="M171" i="2"/>
  <c r="L171" i="2"/>
  <c r="K171" i="2"/>
  <c r="J171" i="2"/>
  <c r="H171" i="2"/>
  <c r="G171" i="2"/>
  <c r="D171" i="2"/>
  <c r="I171" i="2" s="1"/>
  <c r="N170" i="2"/>
  <c r="M170" i="2"/>
  <c r="L170" i="2"/>
  <c r="K170" i="2"/>
  <c r="J170" i="2"/>
  <c r="H170" i="2"/>
  <c r="G170" i="2"/>
  <c r="D170" i="2"/>
  <c r="I170" i="2" s="1"/>
  <c r="N169" i="2"/>
  <c r="M169" i="2"/>
  <c r="L169" i="2"/>
  <c r="K169" i="2"/>
  <c r="J169" i="2"/>
  <c r="I169" i="2"/>
  <c r="H169" i="2"/>
  <c r="G169" i="2"/>
  <c r="D169" i="2"/>
  <c r="N168" i="2"/>
  <c r="M168" i="2"/>
  <c r="L168" i="2"/>
  <c r="K168" i="2"/>
  <c r="J168" i="2"/>
  <c r="I168" i="2"/>
  <c r="H168" i="2"/>
  <c r="G168" i="2"/>
  <c r="D168" i="2"/>
  <c r="N167" i="2"/>
  <c r="M167" i="2"/>
  <c r="L167" i="2"/>
  <c r="K167" i="2"/>
  <c r="J167" i="2"/>
  <c r="I167" i="2"/>
  <c r="H167" i="2"/>
  <c r="G167" i="2"/>
  <c r="D167" i="2"/>
  <c r="N166" i="2"/>
  <c r="M166" i="2"/>
  <c r="L166" i="2"/>
  <c r="K166" i="2"/>
  <c r="J166" i="2"/>
  <c r="H166" i="2"/>
  <c r="G166" i="2"/>
  <c r="D166" i="2"/>
  <c r="I166" i="2" s="1"/>
  <c r="N165" i="2"/>
  <c r="M165" i="2"/>
  <c r="L165" i="2"/>
  <c r="K165" i="2"/>
  <c r="J165" i="2"/>
  <c r="H165" i="2"/>
  <c r="G165" i="2"/>
  <c r="D165" i="2"/>
  <c r="I165" i="2" s="1"/>
  <c r="N164" i="2"/>
  <c r="M164" i="2"/>
  <c r="L164" i="2"/>
  <c r="K164" i="2"/>
  <c r="J164" i="2"/>
  <c r="H164" i="2"/>
  <c r="G164" i="2"/>
  <c r="D164" i="2"/>
  <c r="I164" i="2" s="1"/>
  <c r="N163" i="2"/>
  <c r="M163" i="2"/>
  <c r="L163" i="2"/>
  <c r="K163" i="2"/>
  <c r="J163" i="2"/>
  <c r="H163" i="2"/>
  <c r="G163" i="2"/>
  <c r="D163" i="2"/>
  <c r="I163" i="2" s="1"/>
  <c r="N162" i="2"/>
  <c r="M162" i="2"/>
  <c r="L162" i="2"/>
  <c r="K162" i="2"/>
  <c r="J162" i="2"/>
  <c r="H162" i="2"/>
  <c r="G162" i="2"/>
  <c r="D162" i="2"/>
  <c r="I162" i="2" s="1"/>
  <c r="N161" i="2"/>
  <c r="M161" i="2"/>
  <c r="L161" i="2"/>
  <c r="K161" i="2"/>
  <c r="J161" i="2"/>
  <c r="I161" i="2"/>
  <c r="H161" i="2"/>
  <c r="G161" i="2"/>
  <c r="D161" i="2"/>
  <c r="N160" i="2"/>
  <c r="M160" i="2"/>
  <c r="L160" i="2"/>
  <c r="K160" i="2"/>
  <c r="J160" i="2"/>
  <c r="I160" i="2"/>
  <c r="H160" i="2"/>
  <c r="G160" i="2"/>
  <c r="D160" i="2"/>
  <c r="N159" i="2"/>
  <c r="M159" i="2"/>
  <c r="L159" i="2"/>
  <c r="K159" i="2"/>
  <c r="J159" i="2"/>
  <c r="I159" i="2"/>
  <c r="H159" i="2"/>
  <c r="G159" i="2"/>
  <c r="D159" i="2"/>
  <c r="N158" i="2"/>
  <c r="M158" i="2"/>
  <c r="L158" i="2"/>
  <c r="K158" i="2"/>
  <c r="J158" i="2"/>
  <c r="H158" i="2"/>
  <c r="G158" i="2"/>
  <c r="D158" i="2"/>
  <c r="I158" i="2" s="1"/>
  <c r="D144" i="2" l="1"/>
  <c r="I144" i="2" s="1"/>
  <c r="M144" i="2"/>
  <c r="N144" i="2"/>
  <c r="D145" i="2"/>
  <c r="G145" i="2"/>
  <c r="H145" i="2"/>
  <c r="I145" i="2"/>
  <c r="M145" i="2"/>
  <c r="N145" i="2"/>
  <c r="D146" i="2"/>
  <c r="I146" i="2" s="1"/>
  <c r="G146" i="2"/>
  <c r="H146" i="2"/>
  <c r="M146" i="2"/>
  <c r="N146" i="2"/>
  <c r="D147" i="2"/>
  <c r="I147" i="2" s="1"/>
  <c r="M147" i="2"/>
  <c r="N147" i="2"/>
  <c r="D148" i="2"/>
  <c r="I148" i="2" s="1"/>
  <c r="G148" i="2"/>
  <c r="H148" i="2"/>
  <c r="M148" i="2"/>
  <c r="N148" i="2"/>
  <c r="D149" i="2"/>
  <c r="G149" i="2"/>
  <c r="H149" i="2"/>
  <c r="M149" i="2"/>
  <c r="N149" i="2"/>
  <c r="D150" i="2"/>
  <c r="J150" i="2" s="1"/>
  <c r="G150" i="2"/>
  <c r="H150" i="2"/>
  <c r="I150" i="2"/>
  <c r="M150" i="2"/>
  <c r="N150" i="2"/>
  <c r="D151" i="2"/>
  <c r="I151" i="2" s="1"/>
  <c r="G151" i="2"/>
  <c r="H151" i="2"/>
  <c r="M151" i="2"/>
  <c r="N151" i="2"/>
  <c r="D152" i="2"/>
  <c r="G152" i="2"/>
  <c r="J152" i="2" s="1"/>
  <c r="H152" i="2"/>
  <c r="I152" i="2"/>
  <c r="M152" i="2"/>
  <c r="N152" i="2"/>
  <c r="D153" i="2"/>
  <c r="G153" i="2"/>
  <c r="J153" i="2" s="1"/>
  <c r="H153" i="2"/>
  <c r="I153" i="2"/>
  <c r="M153" i="2"/>
  <c r="N153" i="2"/>
  <c r="D154" i="2"/>
  <c r="G154" i="2"/>
  <c r="H154" i="2"/>
  <c r="I154" i="2"/>
  <c r="M154" i="2"/>
  <c r="N154" i="2"/>
  <c r="D155" i="2"/>
  <c r="I155" i="2" s="1"/>
  <c r="G155" i="2"/>
  <c r="H155" i="2"/>
  <c r="M155" i="2"/>
  <c r="N155" i="2"/>
  <c r="D156" i="2"/>
  <c r="G156" i="2"/>
  <c r="J156" i="2" s="1"/>
  <c r="H156" i="2"/>
  <c r="M156" i="2"/>
  <c r="N156" i="2"/>
  <c r="D157" i="2"/>
  <c r="I157" i="2" s="1"/>
  <c r="G157" i="2"/>
  <c r="J157" i="2" s="1"/>
  <c r="H157" i="2"/>
  <c r="M157" i="2"/>
  <c r="N157" i="2"/>
  <c r="Y6" i="13"/>
  <c r="X6" i="13"/>
  <c r="X93" i="2"/>
  <c r="X94" i="2"/>
  <c r="X95" i="2"/>
  <c r="X96" i="2"/>
  <c r="X97" i="2"/>
  <c r="X98" i="2"/>
  <c r="R98" i="2"/>
  <c r="AD89" i="2"/>
  <c r="AE89" i="2"/>
  <c r="AD90" i="2"/>
  <c r="AE90" i="2"/>
  <c r="AD91" i="2"/>
  <c r="AE91" i="2"/>
  <c r="AD92" i="2"/>
  <c r="AE92" i="2"/>
  <c r="AD93" i="2"/>
  <c r="AE93" i="2"/>
  <c r="AD94" i="2"/>
  <c r="AE94" i="2"/>
  <c r="AD95" i="2"/>
  <c r="AE95" i="2"/>
  <c r="AD96" i="2"/>
  <c r="AE96" i="2"/>
  <c r="AD88" i="2"/>
  <c r="AE88" i="2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U42" i="1"/>
  <c r="T42" i="1"/>
  <c r="D63" i="2"/>
  <c r="I63" i="2" s="1"/>
  <c r="G63" i="2"/>
  <c r="H63" i="2"/>
  <c r="M63" i="2"/>
  <c r="N63" i="2"/>
  <c r="D64" i="2"/>
  <c r="I64" i="2" s="1"/>
  <c r="G64" i="2"/>
  <c r="H64" i="2"/>
  <c r="M64" i="2"/>
  <c r="N64" i="2"/>
  <c r="D65" i="2"/>
  <c r="I65" i="2" s="1"/>
  <c r="G65" i="2"/>
  <c r="H65" i="2"/>
  <c r="M65" i="2"/>
  <c r="N65" i="2"/>
  <c r="D66" i="2"/>
  <c r="I66" i="2" s="1"/>
  <c r="G66" i="2"/>
  <c r="J66" i="2" s="1"/>
  <c r="H66" i="2"/>
  <c r="M66" i="2"/>
  <c r="N66" i="2"/>
  <c r="D67" i="2"/>
  <c r="I67" i="2" s="1"/>
  <c r="G67" i="2"/>
  <c r="H67" i="2"/>
  <c r="M67" i="2"/>
  <c r="N67" i="2"/>
  <c r="D68" i="2"/>
  <c r="I68" i="2" s="1"/>
  <c r="G68" i="2"/>
  <c r="H68" i="2"/>
  <c r="M68" i="2"/>
  <c r="N68" i="2"/>
  <c r="D69" i="2"/>
  <c r="I69" i="2" s="1"/>
  <c r="G69" i="2"/>
  <c r="H69" i="2"/>
  <c r="M69" i="2"/>
  <c r="N69" i="2"/>
  <c r="D70" i="2"/>
  <c r="I70" i="2" s="1"/>
  <c r="G70" i="2"/>
  <c r="H70" i="2"/>
  <c r="M70" i="2"/>
  <c r="N70" i="2"/>
  <c r="D71" i="2"/>
  <c r="I71" i="2" s="1"/>
  <c r="G71" i="2"/>
  <c r="H71" i="2"/>
  <c r="M71" i="2"/>
  <c r="N71" i="2"/>
  <c r="D72" i="2"/>
  <c r="I72" i="2" s="1"/>
  <c r="G72" i="2"/>
  <c r="H72" i="2"/>
  <c r="M72" i="2"/>
  <c r="N72" i="2"/>
  <c r="D73" i="2"/>
  <c r="I73" i="2" s="1"/>
  <c r="G73" i="2"/>
  <c r="H73" i="2"/>
  <c r="M73" i="2"/>
  <c r="N73" i="2"/>
  <c r="D74" i="2"/>
  <c r="I74" i="2" s="1"/>
  <c r="G74" i="2"/>
  <c r="J74" i="2" s="1"/>
  <c r="H74" i="2"/>
  <c r="M74" i="2"/>
  <c r="N74" i="2"/>
  <c r="D75" i="2"/>
  <c r="I75" i="2" s="1"/>
  <c r="G75" i="2"/>
  <c r="H75" i="2"/>
  <c r="M75" i="2"/>
  <c r="N75" i="2"/>
  <c r="D76" i="2"/>
  <c r="I76" i="2" s="1"/>
  <c r="G76" i="2"/>
  <c r="H76" i="2"/>
  <c r="M76" i="2"/>
  <c r="N76" i="2"/>
  <c r="D77" i="2"/>
  <c r="I77" i="2" s="1"/>
  <c r="G77" i="2"/>
  <c r="H77" i="2"/>
  <c r="M77" i="2"/>
  <c r="N77" i="2"/>
  <c r="D78" i="2"/>
  <c r="G78" i="2"/>
  <c r="H78" i="2"/>
  <c r="I78" i="2"/>
  <c r="M78" i="2"/>
  <c r="N78" i="2"/>
  <c r="D79" i="2"/>
  <c r="I79" i="2" s="1"/>
  <c r="G79" i="2"/>
  <c r="J79" i="2" s="1"/>
  <c r="H79" i="2"/>
  <c r="M79" i="2"/>
  <c r="N79" i="2"/>
  <c r="D80" i="2"/>
  <c r="G80" i="2"/>
  <c r="H80" i="2"/>
  <c r="I80" i="2"/>
  <c r="M80" i="2"/>
  <c r="N80" i="2"/>
  <c r="D81" i="2"/>
  <c r="G81" i="2"/>
  <c r="H81" i="2"/>
  <c r="I81" i="2"/>
  <c r="M81" i="2"/>
  <c r="N81" i="2"/>
  <c r="D82" i="2"/>
  <c r="I82" i="2" s="1"/>
  <c r="G82" i="2"/>
  <c r="H82" i="2"/>
  <c r="M82" i="2"/>
  <c r="N82" i="2"/>
  <c r="D83" i="2"/>
  <c r="I83" i="2" s="1"/>
  <c r="G83" i="2"/>
  <c r="J83" i="2" s="1"/>
  <c r="H83" i="2"/>
  <c r="M83" i="2"/>
  <c r="N83" i="2"/>
  <c r="D84" i="2"/>
  <c r="I84" i="2" s="1"/>
  <c r="G84" i="2"/>
  <c r="H84" i="2"/>
  <c r="M84" i="2"/>
  <c r="N84" i="2"/>
  <c r="D85" i="2"/>
  <c r="I85" i="2" s="1"/>
  <c r="G85" i="2"/>
  <c r="J85" i="2" s="1"/>
  <c r="H85" i="2"/>
  <c r="M85" i="2"/>
  <c r="N85" i="2"/>
  <c r="D86" i="2"/>
  <c r="I86" i="2" s="1"/>
  <c r="G86" i="2"/>
  <c r="H86" i="2"/>
  <c r="M86" i="2"/>
  <c r="N86" i="2"/>
  <c r="D87" i="2"/>
  <c r="G87" i="2"/>
  <c r="H87" i="2"/>
  <c r="I87" i="2"/>
  <c r="M87" i="2"/>
  <c r="N87" i="2"/>
  <c r="D88" i="2"/>
  <c r="I88" i="2" s="1"/>
  <c r="G88" i="2"/>
  <c r="H88" i="2"/>
  <c r="M88" i="2"/>
  <c r="N88" i="2"/>
  <c r="D89" i="2"/>
  <c r="I89" i="2" s="1"/>
  <c r="G89" i="2"/>
  <c r="J89" i="2" s="1"/>
  <c r="H89" i="2"/>
  <c r="M89" i="2"/>
  <c r="N89" i="2"/>
  <c r="D90" i="2"/>
  <c r="I90" i="2" s="1"/>
  <c r="G90" i="2"/>
  <c r="H90" i="2"/>
  <c r="M90" i="2"/>
  <c r="N90" i="2"/>
  <c r="D91" i="2"/>
  <c r="G91" i="2"/>
  <c r="H91" i="2"/>
  <c r="I91" i="2"/>
  <c r="M91" i="2"/>
  <c r="N91" i="2"/>
  <c r="D92" i="2"/>
  <c r="I92" i="2" s="1"/>
  <c r="M92" i="2"/>
  <c r="N92" i="2"/>
  <c r="D93" i="2"/>
  <c r="I93" i="2" s="1"/>
  <c r="G93" i="2"/>
  <c r="H93" i="2"/>
  <c r="M93" i="2"/>
  <c r="N93" i="2"/>
  <c r="D94" i="2"/>
  <c r="I94" i="2" s="1"/>
  <c r="G94" i="2"/>
  <c r="H94" i="2"/>
  <c r="J94" i="2"/>
  <c r="M94" i="2"/>
  <c r="N94" i="2"/>
  <c r="D95" i="2"/>
  <c r="I95" i="2" s="1"/>
  <c r="G95" i="2"/>
  <c r="J95" i="2" s="1"/>
  <c r="H95" i="2"/>
  <c r="M95" i="2"/>
  <c r="N95" i="2"/>
  <c r="D96" i="2"/>
  <c r="G96" i="2"/>
  <c r="J96" i="2" s="1"/>
  <c r="H96" i="2"/>
  <c r="I96" i="2"/>
  <c r="M96" i="2"/>
  <c r="N96" i="2"/>
  <c r="D97" i="2"/>
  <c r="I97" i="2" s="1"/>
  <c r="G97" i="2"/>
  <c r="H97" i="2"/>
  <c r="M97" i="2"/>
  <c r="N97" i="2"/>
  <c r="D98" i="2"/>
  <c r="I98" i="2" s="1"/>
  <c r="G98" i="2"/>
  <c r="J98" i="2" s="1"/>
  <c r="H98" i="2"/>
  <c r="M98" i="2"/>
  <c r="N98" i="2"/>
  <c r="D99" i="2"/>
  <c r="I99" i="2" s="1"/>
  <c r="G99" i="2"/>
  <c r="H99" i="2"/>
  <c r="M99" i="2"/>
  <c r="N99" i="2"/>
  <c r="D100" i="2"/>
  <c r="I100" i="2" s="1"/>
  <c r="G100" i="2"/>
  <c r="H100" i="2"/>
  <c r="M100" i="2"/>
  <c r="N100" i="2"/>
  <c r="D101" i="2"/>
  <c r="I101" i="2" s="1"/>
  <c r="G101" i="2"/>
  <c r="H101" i="2"/>
  <c r="M101" i="2"/>
  <c r="N101" i="2"/>
  <c r="D102" i="2"/>
  <c r="I102" i="2" s="1"/>
  <c r="G102" i="2"/>
  <c r="H102" i="2"/>
  <c r="M102" i="2"/>
  <c r="N102" i="2"/>
  <c r="D103" i="2"/>
  <c r="I103" i="2" s="1"/>
  <c r="G103" i="2"/>
  <c r="H103" i="2"/>
  <c r="M103" i="2"/>
  <c r="N103" i="2"/>
  <c r="D104" i="2"/>
  <c r="I104" i="2" s="1"/>
  <c r="G104" i="2"/>
  <c r="H104" i="2"/>
  <c r="M104" i="2"/>
  <c r="N104" i="2"/>
  <c r="D105" i="2"/>
  <c r="I105" i="2" s="1"/>
  <c r="G105" i="2"/>
  <c r="H105" i="2"/>
  <c r="M105" i="2"/>
  <c r="N105" i="2"/>
  <c r="D106" i="2"/>
  <c r="I106" i="2" s="1"/>
  <c r="G106" i="2"/>
  <c r="H106" i="2"/>
  <c r="M106" i="2"/>
  <c r="N106" i="2"/>
  <c r="D107" i="2"/>
  <c r="I107" i="2" s="1"/>
  <c r="G107" i="2"/>
  <c r="H107" i="2"/>
  <c r="M107" i="2"/>
  <c r="N107" i="2"/>
  <c r="D108" i="2"/>
  <c r="I108" i="2" s="1"/>
  <c r="G108" i="2"/>
  <c r="J108" i="2" s="1"/>
  <c r="H108" i="2"/>
  <c r="M108" i="2"/>
  <c r="N108" i="2"/>
  <c r="D109" i="2"/>
  <c r="I109" i="2" s="1"/>
  <c r="G109" i="2"/>
  <c r="H109" i="2"/>
  <c r="M109" i="2"/>
  <c r="N109" i="2"/>
  <c r="D110" i="2"/>
  <c r="I110" i="2" s="1"/>
  <c r="H110" i="2"/>
  <c r="J110" i="2"/>
  <c r="M110" i="2"/>
  <c r="N110" i="2"/>
  <c r="D111" i="2"/>
  <c r="I111" i="2" s="1"/>
  <c r="G111" i="2"/>
  <c r="H111" i="2"/>
  <c r="M111" i="2"/>
  <c r="N111" i="2"/>
  <c r="D112" i="2"/>
  <c r="I112" i="2" s="1"/>
  <c r="G112" i="2"/>
  <c r="H112" i="2"/>
  <c r="M112" i="2"/>
  <c r="N112" i="2"/>
  <c r="D113" i="2"/>
  <c r="I113" i="2" s="1"/>
  <c r="G113" i="2"/>
  <c r="H113" i="2"/>
  <c r="M113" i="2"/>
  <c r="N113" i="2"/>
  <c r="D114" i="2"/>
  <c r="I114" i="2" s="1"/>
  <c r="G114" i="2"/>
  <c r="H114" i="2"/>
  <c r="M114" i="2"/>
  <c r="N114" i="2"/>
  <c r="D115" i="2"/>
  <c r="I115" i="2" s="1"/>
  <c r="G115" i="2"/>
  <c r="H115" i="2"/>
  <c r="M115" i="2"/>
  <c r="N115" i="2"/>
  <c r="D116" i="2"/>
  <c r="I116" i="2" s="1"/>
  <c r="G116" i="2"/>
  <c r="J116" i="2" s="1"/>
  <c r="H116" i="2"/>
  <c r="M116" i="2"/>
  <c r="N116" i="2"/>
  <c r="D117" i="2"/>
  <c r="I117" i="2" s="1"/>
  <c r="G117" i="2"/>
  <c r="H117" i="2"/>
  <c r="M117" i="2"/>
  <c r="N117" i="2"/>
  <c r="D118" i="2"/>
  <c r="I118" i="2" s="1"/>
  <c r="G118" i="2"/>
  <c r="J118" i="2" s="1"/>
  <c r="H118" i="2"/>
  <c r="M118" i="2"/>
  <c r="N118" i="2"/>
  <c r="D119" i="2"/>
  <c r="I119" i="2" s="1"/>
  <c r="G119" i="2"/>
  <c r="H119" i="2"/>
  <c r="M119" i="2"/>
  <c r="N119" i="2"/>
  <c r="D120" i="2"/>
  <c r="I120" i="2" s="1"/>
  <c r="G120" i="2"/>
  <c r="H120" i="2"/>
  <c r="M120" i="2"/>
  <c r="N120" i="2"/>
  <c r="D121" i="2"/>
  <c r="I121" i="2" s="1"/>
  <c r="G121" i="2"/>
  <c r="H121" i="2"/>
  <c r="M121" i="2"/>
  <c r="N121" i="2"/>
  <c r="D122" i="2"/>
  <c r="I122" i="2" s="1"/>
  <c r="G122" i="2"/>
  <c r="H122" i="2"/>
  <c r="M122" i="2"/>
  <c r="N122" i="2"/>
  <c r="D123" i="2"/>
  <c r="I123" i="2" s="1"/>
  <c r="G123" i="2"/>
  <c r="H123" i="2"/>
  <c r="M123" i="2"/>
  <c r="N123" i="2"/>
  <c r="D124" i="2"/>
  <c r="I124" i="2" s="1"/>
  <c r="G124" i="2"/>
  <c r="J124" i="2" s="1"/>
  <c r="H124" i="2"/>
  <c r="M124" i="2"/>
  <c r="N124" i="2"/>
  <c r="D125" i="2"/>
  <c r="I125" i="2" s="1"/>
  <c r="G125" i="2"/>
  <c r="H125" i="2"/>
  <c r="M125" i="2"/>
  <c r="N125" i="2"/>
  <c r="D126" i="2"/>
  <c r="I126" i="2" s="1"/>
  <c r="G126" i="2"/>
  <c r="J126" i="2" s="1"/>
  <c r="H126" i="2"/>
  <c r="M126" i="2"/>
  <c r="N126" i="2"/>
  <c r="D127" i="2"/>
  <c r="I127" i="2" s="1"/>
  <c r="G127" i="2"/>
  <c r="H127" i="2"/>
  <c r="M127" i="2"/>
  <c r="N127" i="2"/>
  <c r="D128" i="2"/>
  <c r="I128" i="2" s="1"/>
  <c r="G128" i="2"/>
  <c r="H128" i="2"/>
  <c r="M128" i="2"/>
  <c r="N128" i="2"/>
  <c r="D129" i="2"/>
  <c r="I129" i="2" s="1"/>
  <c r="G129" i="2"/>
  <c r="H129" i="2"/>
  <c r="M129" i="2"/>
  <c r="N129" i="2"/>
  <c r="D130" i="2"/>
  <c r="I130" i="2" s="1"/>
  <c r="H130" i="2"/>
  <c r="J130" i="2"/>
  <c r="M130" i="2"/>
  <c r="N130" i="2"/>
  <c r="D131" i="2"/>
  <c r="I131" i="2" s="1"/>
  <c r="M131" i="2"/>
  <c r="N131" i="2"/>
  <c r="D132" i="2"/>
  <c r="I132" i="2" s="1"/>
  <c r="G132" i="2"/>
  <c r="J132" i="2" s="1"/>
  <c r="H132" i="2"/>
  <c r="M132" i="2"/>
  <c r="N132" i="2"/>
  <c r="D133" i="2"/>
  <c r="I133" i="2" s="1"/>
  <c r="G133" i="2"/>
  <c r="H133" i="2"/>
  <c r="M133" i="2"/>
  <c r="N133" i="2"/>
  <c r="D134" i="2"/>
  <c r="I134" i="2" s="1"/>
  <c r="G134" i="2"/>
  <c r="J134" i="2" s="1"/>
  <c r="H134" i="2"/>
  <c r="M134" i="2"/>
  <c r="N134" i="2"/>
  <c r="D135" i="2"/>
  <c r="I135" i="2" s="1"/>
  <c r="G135" i="2"/>
  <c r="H135" i="2"/>
  <c r="M135" i="2"/>
  <c r="N135" i="2"/>
  <c r="D136" i="2"/>
  <c r="I136" i="2" s="1"/>
  <c r="G136" i="2"/>
  <c r="H136" i="2"/>
  <c r="M136" i="2"/>
  <c r="N136" i="2"/>
  <c r="D137" i="2"/>
  <c r="I137" i="2" s="1"/>
  <c r="G137" i="2"/>
  <c r="H137" i="2"/>
  <c r="M137" i="2"/>
  <c r="N137" i="2"/>
  <c r="D138" i="2"/>
  <c r="I138" i="2" s="1"/>
  <c r="G138" i="2"/>
  <c r="J138" i="2" s="1"/>
  <c r="H138" i="2"/>
  <c r="M138" i="2"/>
  <c r="N138" i="2"/>
  <c r="D139" i="2"/>
  <c r="I139" i="2" s="1"/>
  <c r="G139" i="2"/>
  <c r="H139" i="2"/>
  <c r="M139" i="2"/>
  <c r="N139" i="2"/>
  <c r="D140" i="2"/>
  <c r="I140" i="2" s="1"/>
  <c r="G140" i="2"/>
  <c r="H140" i="2"/>
  <c r="M140" i="2"/>
  <c r="N140" i="2"/>
  <c r="D141" i="2"/>
  <c r="H141" i="2"/>
  <c r="M141" i="2"/>
  <c r="N141" i="2"/>
  <c r="D142" i="2"/>
  <c r="I142" i="2" s="1"/>
  <c r="G142" i="2"/>
  <c r="H142" i="2"/>
  <c r="J142" i="2"/>
  <c r="M142" i="2"/>
  <c r="N142" i="2"/>
  <c r="D143" i="2"/>
  <c r="I143" i="2" s="1"/>
  <c r="G143" i="2"/>
  <c r="H143" i="2"/>
  <c r="M143" i="2"/>
  <c r="N143" i="2"/>
  <c r="D198" i="2"/>
  <c r="I198" i="2" s="1"/>
  <c r="G198" i="2"/>
  <c r="H198" i="2"/>
  <c r="J198" i="2"/>
  <c r="K198" i="2"/>
  <c r="L198" i="2"/>
  <c r="M198" i="2"/>
  <c r="N198" i="2"/>
  <c r="D199" i="2"/>
  <c r="I199" i="2" s="1"/>
  <c r="G199" i="2"/>
  <c r="H199" i="2"/>
  <c r="J199" i="2"/>
  <c r="K199" i="2"/>
  <c r="L199" i="2"/>
  <c r="M199" i="2"/>
  <c r="N199" i="2"/>
  <c r="D200" i="2"/>
  <c r="I200" i="2" s="1"/>
  <c r="G200" i="2"/>
  <c r="H200" i="2"/>
  <c r="J200" i="2"/>
  <c r="K200" i="2"/>
  <c r="L200" i="2"/>
  <c r="M200" i="2"/>
  <c r="N200" i="2"/>
  <c r="D201" i="2"/>
  <c r="I201" i="2" s="1"/>
  <c r="G201" i="2"/>
  <c r="H201" i="2"/>
  <c r="J201" i="2"/>
  <c r="K201" i="2"/>
  <c r="L201" i="2"/>
  <c r="M201" i="2"/>
  <c r="N201" i="2"/>
  <c r="D202" i="2"/>
  <c r="I202" i="2" s="1"/>
  <c r="G202" i="2"/>
  <c r="H202" i="2"/>
  <c r="J202" i="2"/>
  <c r="K202" i="2"/>
  <c r="L202" i="2"/>
  <c r="M202" i="2"/>
  <c r="N202" i="2"/>
  <c r="D203" i="2"/>
  <c r="I203" i="2" s="1"/>
  <c r="G203" i="2"/>
  <c r="H203" i="2"/>
  <c r="J203" i="2"/>
  <c r="K203" i="2"/>
  <c r="L203" i="2"/>
  <c r="M203" i="2"/>
  <c r="N203" i="2"/>
  <c r="D204" i="2"/>
  <c r="I204" i="2" s="1"/>
  <c r="G204" i="2"/>
  <c r="H204" i="2"/>
  <c r="J204" i="2"/>
  <c r="K204" i="2"/>
  <c r="L204" i="2"/>
  <c r="M204" i="2"/>
  <c r="N204" i="2"/>
  <c r="D205" i="2"/>
  <c r="I205" i="2" s="1"/>
  <c r="G205" i="2"/>
  <c r="H205" i="2"/>
  <c r="J205" i="2"/>
  <c r="K205" i="2"/>
  <c r="L205" i="2"/>
  <c r="M205" i="2"/>
  <c r="N205" i="2"/>
  <c r="D206" i="2"/>
  <c r="I206" i="2" s="1"/>
  <c r="G206" i="2"/>
  <c r="H206" i="2"/>
  <c r="J206" i="2"/>
  <c r="K206" i="2"/>
  <c r="L206" i="2"/>
  <c r="M206" i="2"/>
  <c r="N206" i="2"/>
  <c r="D207" i="2"/>
  <c r="I207" i="2" s="1"/>
  <c r="G207" i="2"/>
  <c r="H207" i="2"/>
  <c r="J207" i="2"/>
  <c r="K207" i="2"/>
  <c r="L207" i="2"/>
  <c r="M207" i="2"/>
  <c r="N207" i="2"/>
  <c r="D208" i="2"/>
  <c r="I208" i="2" s="1"/>
  <c r="G208" i="2"/>
  <c r="H208" i="2"/>
  <c r="J208" i="2"/>
  <c r="K208" i="2"/>
  <c r="L208" i="2"/>
  <c r="M208" i="2"/>
  <c r="N208" i="2"/>
  <c r="D209" i="2"/>
  <c r="I209" i="2" s="1"/>
  <c r="G209" i="2"/>
  <c r="H209" i="2"/>
  <c r="J209" i="2"/>
  <c r="K209" i="2"/>
  <c r="L209" i="2"/>
  <c r="M209" i="2"/>
  <c r="N209" i="2"/>
  <c r="D210" i="2"/>
  <c r="I210" i="2" s="1"/>
  <c r="G210" i="2"/>
  <c r="H210" i="2"/>
  <c r="J210" i="2"/>
  <c r="K210" i="2"/>
  <c r="L210" i="2"/>
  <c r="M210" i="2"/>
  <c r="N210" i="2"/>
  <c r="D211" i="2"/>
  <c r="I211" i="2" s="1"/>
  <c r="G211" i="2"/>
  <c r="H211" i="2"/>
  <c r="J211" i="2"/>
  <c r="K211" i="2"/>
  <c r="L211" i="2"/>
  <c r="M211" i="2"/>
  <c r="N211" i="2"/>
  <c r="D212" i="2"/>
  <c r="I212" i="2" s="1"/>
  <c r="G212" i="2"/>
  <c r="H212" i="2"/>
  <c r="J212" i="2"/>
  <c r="K212" i="2"/>
  <c r="L212" i="2"/>
  <c r="M212" i="2"/>
  <c r="N212" i="2"/>
  <c r="D213" i="2"/>
  <c r="I213" i="2" s="1"/>
  <c r="G213" i="2"/>
  <c r="H213" i="2"/>
  <c r="J213" i="2"/>
  <c r="K213" i="2"/>
  <c r="L213" i="2"/>
  <c r="M213" i="2"/>
  <c r="N213" i="2"/>
  <c r="D214" i="2"/>
  <c r="I214" i="2" s="1"/>
  <c r="G214" i="2"/>
  <c r="H214" i="2"/>
  <c r="J214" i="2"/>
  <c r="K214" i="2"/>
  <c r="L214" i="2"/>
  <c r="M214" i="2"/>
  <c r="N214" i="2"/>
  <c r="D215" i="2"/>
  <c r="I215" i="2" s="1"/>
  <c r="G215" i="2"/>
  <c r="H215" i="2"/>
  <c r="J215" i="2"/>
  <c r="K215" i="2"/>
  <c r="L215" i="2"/>
  <c r="M215" i="2"/>
  <c r="N215" i="2"/>
  <c r="D216" i="2"/>
  <c r="I216" i="2" s="1"/>
  <c r="G216" i="2"/>
  <c r="H216" i="2"/>
  <c r="J216" i="2"/>
  <c r="K216" i="2"/>
  <c r="L216" i="2"/>
  <c r="M216" i="2"/>
  <c r="N216" i="2"/>
  <c r="D217" i="2"/>
  <c r="I217" i="2" s="1"/>
  <c r="G217" i="2"/>
  <c r="H217" i="2"/>
  <c r="J217" i="2"/>
  <c r="K217" i="2"/>
  <c r="L217" i="2"/>
  <c r="M217" i="2"/>
  <c r="N217" i="2"/>
  <c r="D218" i="2"/>
  <c r="I218" i="2" s="1"/>
  <c r="G218" i="2"/>
  <c r="H218" i="2"/>
  <c r="J218" i="2"/>
  <c r="K218" i="2"/>
  <c r="L218" i="2"/>
  <c r="M218" i="2"/>
  <c r="N218" i="2"/>
  <c r="D219" i="2"/>
  <c r="I219" i="2" s="1"/>
  <c r="G219" i="2"/>
  <c r="H219" i="2"/>
  <c r="J219" i="2"/>
  <c r="K219" i="2"/>
  <c r="L219" i="2"/>
  <c r="M219" i="2"/>
  <c r="N219" i="2"/>
  <c r="D220" i="2"/>
  <c r="I220" i="2" s="1"/>
  <c r="G220" i="2"/>
  <c r="H220" i="2"/>
  <c r="J220" i="2"/>
  <c r="K220" i="2"/>
  <c r="L220" i="2"/>
  <c r="M220" i="2"/>
  <c r="N220" i="2"/>
  <c r="D221" i="2"/>
  <c r="I221" i="2" s="1"/>
  <c r="G221" i="2"/>
  <c r="H221" i="2"/>
  <c r="J221" i="2"/>
  <c r="K221" i="2"/>
  <c r="L221" i="2"/>
  <c r="M221" i="2"/>
  <c r="N221" i="2"/>
  <c r="D222" i="2"/>
  <c r="I222" i="2" s="1"/>
  <c r="G222" i="2"/>
  <c r="H222" i="2"/>
  <c r="J222" i="2"/>
  <c r="K222" i="2"/>
  <c r="L222" i="2"/>
  <c r="M222" i="2"/>
  <c r="N222" i="2"/>
  <c r="D223" i="2"/>
  <c r="I223" i="2" s="1"/>
  <c r="G223" i="2"/>
  <c r="H223" i="2"/>
  <c r="J223" i="2"/>
  <c r="K223" i="2"/>
  <c r="L223" i="2"/>
  <c r="M223" i="2"/>
  <c r="N223" i="2"/>
  <c r="D224" i="2"/>
  <c r="I224" i="2" s="1"/>
  <c r="G224" i="2"/>
  <c r="H224" i="2"/>
  <c r="J224" i="2"/>
  <c r="K224" i="2"/>
  <c r="L224" i="2"/>
  <c r="M224" i="2"/>
  <c r="N224" i="2"/>
  <c r="D225" i="2"/>
  <c r="I225" i="2" s="1"/>
  <c r="G225" i="2"/>
  <c r="H225" i="2"/>
  <c r="J225" i="2"/>
  <c r="K225" i="2"/>
  <c r="L225" i="2"/>
  <c r="M225" i="2"/>
  <c r="N225" i="2"/>
  <c r="D226" i="2"/>
  <c r="I226" i="2" s="1"/>
  <c r="G226" i="2"/>
  <c r="H226" i="2"/>
  <c r="J226" i="2"/>
  <c r="K226" i="2"/>
  <c r="L226" i="2"/>
  <c r="M226" i="2"/>
  <c r="N226" i="2"/>
  <c r="D227" i="2"/>
  <c r="I227" i="2" s="1"/>
  <c r="G227" i="2"/>
  <c r="H227" i="2"/>
  <c r="J227" i="2"/>
  <c r="K227" i="2"/>
  <c r="L227" i="2"/>
  <c r="M227" i="2"/>
  <c r="N227" i="2"/>
  <c r="D228" i="2"/>
  <c r="I228" i="2" s="1"/>
  <c r="G228" i="2"/>
  <c r="H228" i="2"/>
  <c r="J228" i="2"/>
  <c r="K228" i="2"/>
  <c r="L228" i="2"/>
  <c r="M228" i="2"/>
  <c r="N228" i="2"/>
  <c r="D229" i="2"/>
  <c r="I229" i="2" s="1"/>
  <c r="G229" i="2"/>
  <c r="H229" i="2"/>
  <c r="J229" i="2"/>
  <c r="K229" i="2"/>
  <c r="L229" i="2"/>
  <c r="M229" i="2"/>
  <c r="N229" i="2"/>
  <c r="D230" i="2"/>
  <c r="I230" i="2" s="1"/>
  <c r="G230" i="2"/>
  <c r="H230" i="2"/>
  <c r="J230" i="2"/>
  <c r="K230" i="2"/>
  <c r="L230" i="2"/>
  <c r="M230" i="2"/>
  <c r="N230" i="2"/>
  <c r="D231" i="2"/>
  <c r="I231" i="2" s="1"/>
  <c r="G231" i="2"/>
  <c r="H231" i="2"/>
  <c r="J231" i="2"/>
  <c r="K231" i="2"/>
  <c r="L231" i="2"/>
  <c r="M231" i="2"/>
  <c r="N231" i="2"/>
  <c r="D232" i="2"/>
  <c r="I232" i="2" s="1"/>
  <c r="G232" i="2"/>
  <c r="H232" i="2"/>
  <c r="J232" i="2"/>
  <c r="K232" i="2"/>
  <c r="L232" i="2"/>
  <c r="M232" i="2"/>
  <c r="N232" i="2"/>
  <c r="D233" i="2"/>
  <c r="I233" i="2" s="1"/>
  <c r="G233" i="2"/>
  <c r="H233" i="2"/>
  <c r="J233" i="2"/>
  <c r="K233" i="2"/>
  <c r="L233" i="2"/>
  <c r="M233" i="2"/>
  <c r="N233" i="2"/>
  <c r="D234" i="2"/>
  <c r="I234" i="2" s="1"/>
  <c r="G234" i="2"/>
  <c r="H234" i="2"/>
  <c r="J234" i="2"/>
  <c r="K234" i="2"/>
  <c r="L234" i="2"/>
  <c r="M234" i="2"/>
  <c r="N234" i="2"/>
  <c r="D235" i="2"/>
  <c r="I235" i="2" s="1"/>
  <c r="G235" i="2"/>
  <c r="H235" i="2"/>
  <c r="J235" i="2"/>
  <c r="K235" i="2"/>
  <c r="L235" i="2"/>
  <c r="M235" i="2"/>
  <c r="N235" i="2"/>
  <c r="D236" i="2"/>
  <c r="I236" i="2" s="1"/>
  <c r="G236" i="2"/>
  <c r="H236" i="2"/>
  <c r="J236" i="2"/>
  <c r="K236" i="2"/>
  <c r="L236" i="2"/>
  <c r="M236" i="2"/>
  <c r="N236" i="2"/>
  <c r="D237" i="2"/>
  <c r="I237" i="2" s="1"/>
  <c r="G237" i="2"/>
  <c r="H237" i="2"/>
  <c r="J237" i="2"/>
  <c r="K237" i="2"/>
  <c r="L237" i="2"/>
  <c r="M237" i="2"/>
  <c r="N237" i="2"/>
  <c r="D238" i="2"/>
  <c r="I238" i="2" s="1"/>
  <c r="G238" i="2"/>
  <c r="H238" i="2"/>
  <c r="J238" i="2"/>
  <c r="K238" i="2"/>
  <c r="L238" i="2"/>
  <c r="M238" i="2"/>
  <c r="N238" i="2"/>
  <c r="D239" i="2"/>
  <c r="I239" i="2" s="1"/>
  <c r="G239" i="2"/>
  <c r="H239" i="2"/>
  <c r="J239" i="2"/>
  <c r="K239" i="2"/>
  <c r="L239" i="2"/>
  <c r="M239" i="2"/>
  <c r="N239" i="2"/>
  <c r="D240" i="2"/>
  <c r="I240" i="2" s="1"/>
  <c r="G240" i="2"/>
  <c r="H240" i="2"/>
  <c r="J240" i="2"/>
  <c r="K240" i="2"/>
  <c r="L240" i="2"/>
  <c r="M240" i="2"/>
  <c r="N240" i="2"/>
  <c r="D241" i="2"/>
  <c r="I241" i="2" s="1"/>
  <c r="G241" i="2"/>
  <c r="H241" i="2"/>
  <c r="J241" i="2"/>
  <c r="K241" i="2"/>
  <c r="L241" i="2"/>
  <c r="M241" i="2"/>
  <c r="N241" i="2"/>
  <c r="D242" i="2"/>
  <c r="G242" i="2"/>
  <c r="H242" i="2"/>
  <c r="I242" i="2"/>
  <c r="J242" i="2"/>
  <c r="K242" i="2"/>
  <c r="L242" i="2"/>
  <c r="M242" i="2"/>
  <c r="N242" i="2"/>
  <c r="D243" i="2"/>
  <c r="I243" i="2" s="1"/>
  <c r="G243" i="2"/>
  <c r="H243" i="2"/>
  <c r="J243" i="2"/>
  <c r="K243" i="2"/>
  <c r="L243" i="2"/>
  <c r="M243" i="2"/>
  <c r="N243" i="2"/>
  <c r="D244" i="2"/>
  <c r="I244" i="2" s="1"/>
  <c r="G244" i="2"/>
  <c r="H244" i="2"/>
  <c r="J244" i="2"/>
  <c r="K244" i="2"/>
  <c r="L244" i="2"/>
  <c r="M244" i="2"/>
  <c r="N244" i="2"/>
  <c r="D245" i="2"/>
  <c r="I245" i="2" s="1"/>
  <c r="G245" i="2"/>
  <c r="H245" i="2"/>
  <c r="J245" i="2"/>
  <c r="K245" i="2"/>
  <c r="L245" i="2"/>
  <c r="M245" i="2"/>
  <c r="N245" i="2"/>
  <c r="D246" i="2"/>
  <c r="I246" i="2" s="1"/>
  <c r="G246" i="2"/>
  <c r="H246" i="2"/>
  <c r="J246" i="2"/>
  <c r="K246" i="2"/>
  <c r="L246" i="2"/>
  <c r="M246" i="2"/>
  <c r="N246" i="2"/>
  <c r="D247" i="2"/>
  <c r="I247" i="2" s="1"/>
  <c r="G247" i="2"/>
  <c r="H247" i="2"/>
  <c r="J247" i="2"/>
  <c r="K247" i="2"/>
  <c r="L247" i="2"/>
  <c r="M247" i="2"/>
  <c r="N247" i="2"/>
  <c r="D248" i="2"/>
  <c r="I248" i="2" s="1"/>
  <c r="G248" i="2"/>
  <c r="H248" i="2"/>
  <c r="J248" i="2"/>
  <c r="K248" i="2"/>
  <c r="L248" i="2"/>
  <c r="M248" i="2"/>
  <c r="N248" i="2"/>
  <c r="D249" i="2"/>
  <c r="I249" i="2" s="1"/>
  <c r="G249" i="2"/>
  <c r="H249" i="2"/>
  <c r="J249" i="2"/>
  <c r="K249" i="2"/>
  <c r="L249" i="2"/>
  <c r="M249" i="2"/>
  <c r="N249" i="2"/>
  <c r="D250" i="2"/>
  <c r="G250" i="2"/>
  <c r="H250" i="2"/>
  <c r="I250" i="2"/>
  <c r="J250" i="2"/>
  <c r="K250" i="2"/>
  <c r="L250" i="2"/>
  <c r="M250" i="2"/>
  <c r="N250" i="2"/>
  <c r="D251" i="2"/>
  <c r="I251" i="2" s="1"/>
  <c r="G251" i="2"/>
  <c r="H251" i="2"/>
  <c r="J251" i="2"/>
  <c r="K251" i="2"/>
  <c r="L251" i="2"/>
  <c r="M251" i="2"/>
  <c r="N251" i="2"/>
  <c r="D252" i="2"/>
  <c r="I252" i="2" s="1"/>
  <c r="G252" i="2"/>
  <c r="H252" i="2"/>
  <c r="J252" i="2"/>
  <c r="K252" i="2"/>
  <c r="L252" i="2"/>
  <c r="M252" i="2"/>
  <c r="N252" i="2"/>
  <c r="D253" i="2"/>
  <c r="I253" i="2" s="1"/>
  <c r="G253" i="2"/>
  <c r="H253" i="2"/>
  <c r="J253" i="2"/>
  <c r="K253" i="2"/>
  <c r="L253" i="2"/>
  <c r="M253" i="2"/>
  <c r="N253" i="2"/>
  <c r="D254" i="2"/>
  <c r="I254" i="2" s="1"/>
  <c r="G254" i="2"/>
  <c r="H254" i="2"/>
  <c r="J254" i="2"/>
  <c r="K254" i="2"/>
  <c r="L254" i="2"/>
  <c r="M254" i="2"/>
  <c r="N254" i="2"/>
  <c r="D255" i="2"/>
  <c r="I255" i="2" s="1"/>
  <c r="G255" i="2"/>
  <c r="H255" i="2"/>
  <c r="J255" i="2"/>
  <c r="K255" i="2"/>
  <c r="L255" i="2"/>
  <c r="M255" i="2"/>
  <c r="N255" i="2"/>
  <c r="D256" i="2"/>
  <c r="I256" i="2" s="1"/>
  <c r="G256" i="2"/>
  <c r="H256" i="2"/>
  <c r="J256" i="2"/>
  <c r="K256" i="2"/>
  <c r="L256" i="2"/>
  <c r="M256" i="2"/>
  <c r="N256" i="2"/>
  <c r="D257" i="2"/>
  <c r="I257" i="2" s="1"/>
  <c r="G257" i="2"/>
  <c r="H257" i="2"/>
  <c r="J257" i="2"/>
  <c r="K257" i="2"/>
  <c r="L257" i="2"/>
  <c r="M257" i="2"/>
  <c r="N257" i="2"/>
  <c r="D258" i="2"/>
  <c r="I258" i="2" s="1"/>
  <c r="G258" i="2"/>
  <c r="H258" i="2"/>
  <c r="J258" i="2"/>
  <c r="K258" i="2"/>
  <c r="L258" i="2"/>
  <c r="M258" i="2"/>
  <c r="N258" i="2"/>
  <c r="D259" i="2"/>
  <c r="I259" i="2" s="1"/>
  <c r="G259" i="2"/>
  <c r="H259" i="2"/>
  <c r="J259" i="2"/>
  <c r="K259" i="2"/>
  <c r="L259" i="2"/>
  <c r="M259" i="2"/>
  <c r="N259" i="2"/>
  <c r="D260" i="2"/>
  <c r="I260" i="2" s="1"/>
  <c r="G260" i="2"/>
  <c r="H260" i="2"/>
  <c r="J260" i="2"/>
  <c r="K260" i="2"/>
  <c r="L260" i="2"/>
  <c r="M260" i="2"/>
  <c r="N260" i="2"/>
  <c r="N62" i="2"/>
  <c r="M62" i="2"/>
  <c r="H62" i="2"/>
  <c r="G62" i="2"/>
  <c r="D62" i="2"/>
  <c r="I62" i="2" s="1"/>
  <c r="P269" i="2"/>
  <c r="J80" i="2" l="1"/>
  <c r="J149" i="2"/>
  <c r="J154" i="2"/>
  <c r="J145" i="2"/>
  <c r="J87" i="2"/>
  <c r="I156" i="2"/>
  <c r="I149" i="2"/>
  <c r="J148" i="2"/>
  <c r="J155" i="2"/>
  <c r="J146" i="2"/>
  <c r="J151" i="2"/>
  <c r="J81" i="2"/>
  <c r="J78" i="2"/>
  <c r="J91" i="2"/>
  <c r="J76" i="2"/>
  <c r="J136" i="2"/>
  <c r="J128" i="2"/>
  <c r="J120" i="2"/>
  <c r="J112" i="2"/>
  <c r="J122" i="2"/>
  <c r="J114" i="2"/>
  <c r="I141" i="2"/>
  <c r="J140" i="2"/>
  <c r="J72" i="2"/>
  <c r="J70" i="2"/>
  <c r="J68" i="2"/>
  <c r="J106" i="2"/>
  <c r="J104" i="2"/>
  <c r="J102" i="2"/>
  <c r="J100" i="2"/>
  <c r="J64" i="2"/>
  <c r="J77" i="2"/>
  <c r="J75" i="2"/>
  <c r="J90" i="2"/>
  <c r="J88" i="2"/>
  <c r="J73" i="2"/>
  <c r="J71" i="2"/>
  <c r="J143" i="2"/>
  <c r="J139" i="2"/>
  <c r="J137" i="2"/>
  <c r="J69" i="2"/>
  <c r="J67" i="2"/>
  <c r="J135" i="2"/>
  <c r="J133" i="2"/>
  <c r="J131" i="2"/>
  <c r="J129" i="2"/>
  <c r="J127" i="2"/>
  <c r="J125" i="2"/>
  <c r="J123" i="2"/>
  <c r="J121" i="2"/>
  <c r="J119" i="2"/>
  <c r="J117" i="2"/>
  <c r="J115" i="2"/>
  <c r="J113" i="2"/>
  <c r="J111" i="2"/>
  <c r="J109" i="2"/>
  <c r="J107" i="2"/>
  <c r="J86" i="2"/>
  <c r="J84" i="2"/>
  <c r="J105" i="2"/>
  <c r="J103" i="2"/>
  <c r="J101" i="2"/>
  <c r="J99" i="2"/>
  <c r="J97" i="2"/>
  <c r="J82" i="2"/>
  <c r="J65" i="2"/>
  <c r="J63" i="2"/>
  <c r="J93" i="2"/>
  <c r="J62" i="2"/>
  <c r="D1" i="1"/>
  <c r="J139" i="13" l="1"/>
  <c r="J138" i="13"/>
  <c r="J142" i="13" s="1"/>
  <c r="J135" i="13"/>
  <c r="J137" i="13" s="1"/>
  <c r="J134" i="13"/>
  <c r="J132" i="13"/>
  <c r="J136" i="13" s="1"/>
  <c r="J125" i="13"/>
  <c r="J123" i="13"/>
  <c r="J140" i="13" s="1"/>
  <c r="J121" i="13"/>
  <c r="J104" i="13"/>
  <c r="J102" i="13"/>
  <c r="J106" i="13" s="1"/>
  <c r="J108" i="13" s="1"/>
  <c r="J100" i="13"/>
  <c r="J98" i="13"/>
  <c r="J93" i="13"/>
  <c r="J95" i="13" s="1"/>
  <c r="J92" i="13"/>
  <c r="J90" i="13"/>
  <c r="J94" i="13" s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N2" i="5" l="1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G223" i="4" l="1"/>
  <c r="AB273" i="2" l="1"/>
  <c r="T13" i="4" l="1"/>
  <c r="O6" i="13" l="1"/>
  <c r="P6" i="13"/>
  <c r="Q6" i="13"/>
  <c r="R6" i="13"/>
  <c r="S6" i="13"/>
  <c r="T6" i="13"/>
  <c r="U6" i="13"/>
  <c r="V6" i="13"/>
  <c r="W6" i="13"/>
  <c r="Q25" i="1"/>
  <c r="D28" i="1"/>
  <c r="D29" i="1" s="1"/>
  <c r="N6" i="13"/>
  <c r="F28" i="1" l="1"/>
  <c r="G261" i="2"/>
  <c r="G262" i="2"/>
  <c r="G263" i="2"/>
  <c r="G264" i="2"/>
  <c r="K1" i="1"/>
  <c r="T43" i="2" l="1"/>
  <c r="S43" i="2"/>
  <c r="S19" i="6" l="1"/>
  <c r="B269" i="2" l="1"/>
  <c r="L261" i="2" l="1"/>
  <c r="L273" i="2" l="1"/>
  <c r="L290" i="2"/>
  <c r="E22" i="1" l="1"/>
  <c r="C262" i="2" l="1"/>
  <c r="S72" i="1" l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F19" i="6" l="1" a="1"/>
  <c r="F19" i="6" s="1"/>
  <c r="S52" i="2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02" i="1"/>
  <c r="D303" i="1"/>
  <c r="D304" i="1"/>
  <c r="D305" i="1"/>
  <c r="D306" i="1"/>
  <c r="D307" i="1"/>
  <c r="D308" i="1"/>
  <c r="D309" i="1"/>
  <c r="D310" i="1"/>
  <c r="D311" i="1"/>
  <c r="D312" i="1"/>
  <c r="U81" i="2" l="1"/>
  <c r="B291" i="2" l="1"/>
  <c r="S27" i="6" l="1"/>
  <c r="T27" i="6"/>
  <c r="S26" i="6"/>
  <c r="T26" i="6"/>
  <c r="S25" i="6"/>
  <c r="T25" i="6"/>
  <c r="S22" i="6"/>
  <c r="T22" i="6"/>
  <c r="S23" i="6"/>
  <c r="T23" i="6"/>
  <c r="S24" i="6"/>
  <c r="T24" i="6"/>
  <c r="T20" i="6"/>
  <c r="T21" i="6"/>
  <c r="T19" i="6"/>
  <c r="S21" i="6"/>
  <c r="S20" i="6"/>
  <c r="T81" i="2" l="1"/>
  <c r="U79" i="2" l="1"/>
  <c r="S53" i="2" l="1"/>
  <c r="T306" i="4" l="1"/>
  <c r="S306" i="4"/>
  <c r="L1435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1300" i="2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P20" i="6" l="1"/>
  <c r="P21" i="6" s="1"/>
  <c r="P22" i="6" s="1"/>
  <c r="F5" i="6"/>
  <c r="F8" i="6"/>
  <c r="F11" i="6"/>
  <c r="F14" i="6" l="1"/>
  <c r="N29" i="6" l="1"/>
  <c r="N30" i="6"/>
  <c r="N31" i="6"/>
  <c r="N32" i="6"/>
  <c r="N24" i="6"/>
  <c r="N25" i="6"/>
  <c r="N26" i="6"/>
  <c r="N27" i="6"/>
  <c r="N28" i="6"/>
  <c r="N19" i="6"/>
  <c r="N20" i="6"/>
  <c r="N21" i="6"/>
  <c r="N22" i="6"/>
  <c r="N23" i="6"/>
  <c r="D301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184" i="1"/>
  <c r="O1" i="5"/>
  <c r="N1" i="5"/>
  <c r="M1" i="5"/>
  <c r="R2" i="5" a="1"/>
  <c r="R2" i="5" s="1"/>
  <c r="U2" i="5" l="1" a="1"/>
  <c r="U2" i="5" s="1"/>
  <c r="A261" i="2"/>
  <c r="D261" i="2"/>
  <c r="I261" i="2" s="1"/>
  <c r="H261" i="2"/>
  <c r="J261" i="2"/>
  <c r="K261" i="2"/>
  <c r="M261" i="2"/>
  <c r="N261" i="2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X18" i="6" l="1" a="1"/>
  <c r="X18" i="6" s="1"/>
  <c r="B2" i="15"/>
  <c r="I142" i="13"/>
  <c r="E142" i="13"/>
  <c r="G140" i="13"/>
  <c r="E140" i="13"/>
  <c r="I139" i="13"/>
  <c r="H139" i="13"/>
  <c r="G139" i="13"/>
  <c r="F139" i="13"/>
  <c r="I138" i="13"/>
  <c r="H138" i="13"/>
  <c r="H142" i="13" s="1"/>
  <c r="G138" i="13"/>
  <c r="G142" i="13" s="1"/>
  <c r="F138" i="13"/>
  <c r="F142" i="13" s="1"/>
  <c r="I135" i="13"/>
  <c r="I137" i="13" s="1"/>
  <c r="I134" i="13"/>
  <c r="H134" i="13"/>
  <c r="G134" i="13"/>
  <c r="F134" i="13"/>
  <c r="F90" i="13" s="1"/>
  <c r="F94" i="13" s="1"/>
  <c r="E134" i="13"/>
  <c r="E90" i="13" s="1"/>
  <c r="E94" i="13" s="1"/>
  <c r="I132" i="13"/>
  <c r="I136" i="13" s="1"/>
  <c r="H132" i="13"/>
  <c r="H136" i="13" s="1"/>
  <c r="G132" i="13"/>
  <c r="G136" i="13" s="1"/>
  <c r="F132" i="13"/>
  <c r="F136" i="13" s="1"/>
  <c r="E132" i="13"/>
  <c r="E136" i="13" s="1"/>
  <c r="I125" i="13"/>
  <c r="H125" i="13"/>
  <c r="G125" i="13"/>
  <c r="F125" i="13"/>
  <c r="E125" i="13"/>
  <c r="Q124" i="13"/>
  <c r="R124" i="13" s="1"/>
  <c r="P124" i="13"/>
  <c r="I123" i="13"/>
  <c r="I140" i="13" s="1"/>
  <c r="H123" i="13"/>
  <c r="H140" i="13" s="1"/>
  <c r="G123" i="13"/>
  <c r="F123" i="13"/>
  <c r="F140" i="13" s="1"/>
  <c r="E123" i="13"/>
  <c r="I121" i="13"/>
  <c r="H121" i="13"/>
  <c r="G121" i="13"/>
  <c r="F121" i="13"/>
  <c r="E121" i="13"/>
  <c r="L106" i="13"/>
  <c r="I104" i="13"/>
  <c r="H104" i="13"/>
  <c r="G104" i="13"/>
  <c r="F104" i="13"/>
  <c r="E104" i="13"/>
  <c r="A267" i="4" s="1"/>
  <c r="I102" i="13"/>
  <c r="I106" i="13" s="1"/>
  <c r="I108" i="13" s="1"/>
  <c r="H102" i="13"/>
  <c r="H106" i="13" s="1"/>
  <c r="H108" i="13" s="1"/>
  <c r="G102" i="13"/>
  <c r="G106" i="13" s="1"/>
  <c r="G108" i="13" s="1"/>
  <c r="F102" i="13"/>
  <c r="F106" i="13" s="1"/>
  <c r="F108" i="13" s="1"/>
  <c r="E102" i="13"/>
  <c r="E106" i="13" s="1"/>
  <c r="E108" i="13" s="1"/>
  <c r="I100" i="13"/>
  <c r="H100" i="13"/>
  <c r="G100" i="13"/>
  <c r="F100" i="13"/>
  <c r="E100" i="13"/>
  <c r="F98" i="13"/>
  <c r="E98" i="13"/>
  <c r="I93" i="13"/>
  <c r="I95" i="13" s="1"/>
  <c r="H93" i="13"/>
  <c r="H135" i="13" s="1"/>
  <c r="H137" i="13" s="1"/>
  <c r="G93" i="13"/>
  <c r="G135" i="13" s="1"/>
  <c r="F93" i="13"/>
  <c r="F135" i="13" s="1"/>
  <c r="F137" i="13" s="1"/>
  <c r="E93" i="13"/>
  <c r="E135" i="13" s="1"/>
  <c r="E137" i="13" s="1"/>
  <c r="F92" i="13"/>
  <c r="E92" i="13"/>
  <c r="I90" i="13"/>
  <c r="I94" i="13" s="1"/>
  <c r="H90" i="13"/>
  <c r="H94" i="13" s="1"/>
  <c r="G90" i="13"/>
  <c r="G94" i="13" s="1"/>
  <c r="F87" i="13"/>
  <c r="G87" i="13" s="1"/>
  <c r="H87" i="13" s="1"/>
  <c r="I87" i="13" s="1"/>
  <c r="J87" i="13" s="1"/>
  <c r="B86" i="13"/>
  <c r="L84" i="13"/>
  <c r="M84" i="13" s="1"/>
  <c r="N84" i="13" s="1"/>
  <c r="O84" i="13" s="1"/>
  <c r="P84" i="13" s="1"/>
  <c r="L83" i="13"/>
  <c r="M83" i="13" s="1"/>
  <c r="N83" i="13" s="1"/>
  <c r="O83" i="13" s="1"/>
  <c r="P83" i="13" s="1"/>
  <c r="K83" i="13"/>
  <c r="M80" i="13"/>
  <c r="G98" i="13" s="1"/>
  <c r="B79" i="13"/>
  <c r="L75" i="13"/>
  <c r="M75" i="13" s="1"/>
  <c r="N75" i="13" s="1"/>
  <c r="L74" i="13"/>
  <c r="K74" i="13"/>
  <c r="C43" i="13"/>
  <c r="C42" i="13"/>
  <c r="C41" i="13"/>
  <c r="B33" i="13"/>
  <c r="B9" i="13"/>
  <c r="B9" i="12"/>
  <c r="A9" i="12"/>
  <c r="B9" i="11"/>
  <c r="A9" i="11"/>
  <c r="B9" i="10"/>
  <c r="A9" i="10"/>
  <c r="B9" i="9"/>
  <c r="A9" i="9"/>
  <c r="P13" i="8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39" i="7"/>
  <c r="A40" i="7" s="1"/>
  <c r="A38" i="7"/>
  <c r="H23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B12" i="7"/>
  <c r="C11" i="7"/>
  <c r="B11" i="7"/>
  <c r="A11" i="7"/>
  <c r="N199" i="6"/>
  <c r="M199" i="6"/>
  <c r="I199" i="6"/>
  <c r="J199" i="6" s="1"/>
  <c r="N198" i="6"/>
  <c r="M198" i="6"/>
  <c r="I198" i="6"/>
  <c r="J198" i="6" s="1"/>
  <c r="N197" i="6"/>
  <c r="M197" i="6"/>
  <c r="I197" i="6"/>
  <c r="J197" i="6" s="1"/>
  <c r="N196" i="6"/>
  <c r="M196" i="6"/>
  <c r="I196" i="6"/>
  <c r="J196" i="6" s="1"/>
  <c r="N195" i="6"/>
  <c r="M195" i="6"/>
  <c r="I195" i="6"/>
  <c r="J195" i="6" s="1"/>
  <c r="N194" i="6"/>
  <c r="M194" i="6"/>
  <c r="I194" i="6"/>
  <c r="J194" i="6" s="1"/>
  <c r="N193" i="6"/>
  <c r="M193" i="6"/>
  <c r="I193" i="6"/>
  <c r="J193" i="6" s="1"/>
  <c r="N192" i="6"/>
  <c r="M192" i="6"/>
  <c r="I192" i="6"/>
  <c r="J192" i="6" s="1"/>
  <c r="N191" i="6"/>
  <c r="M191" i="6"/>
  <c r="I191" i="6"/>
  <c r="J191" i="6" s="1"/>
  <c r="N190" i="6"/>
  <c r="M190" i="6"/>
  <c r="I190" i="6"/>
  <c r="J190" i="6" s="1"/>
  <c r="N189" i="6"/>
  <c r="M189" i="6"/>
  <c r="I189" i="6"/>
  <c r="J189" i="6" s="1"/>
  <c r="N188" i="6"/>
  <c r="M188" i="6"/>
  <c r="I188" i="6"/>
  <c r="J188" i="6" s="1"/>
  <c r="N187" i="6"/>
  <c r="M187" i="6"/>
  <c r="I187" i="6"/>
  <c r="J187" i="6" s="1"/>
  <c r="N186" i="6"/>
  <c r="M186" i="6"/>
  <c r="I186" i="6"/>
  <c r="J186" i="6" s="1"/>
  <c r="N185" i="6"/>
  <c r="M185" i="6"/>
  <c r="I185" i="6"/>
  <c r="J185" i="6" s="1"/>
  <c r="N184" i="6"/>
  <c r="M184" i="6"/>
  <c r="I184" i="6"/>
  <c r="J184" i="6" s="1"/>
  <c r="N183" i="6"/>
  <c r="M183" i="6"/>
  <c r="I183" i="6"/>
  <c r="J183" i="6" s="1"/>
  <c r="N182" i="6"/>
  <c r="M182" i="6"/>
  <c r="I182" i="6"/>
  <c r="J182" i="6" s="1"/>
  <c r="N181" i="6"/>
  <c r="M181" i="6"/>
  <c r="I181" i="6"/>
  <c r="J181" i="6" s="1"/>
  <c r="N180" i="6"/>
  <c r="M180" i="6"/>
  <c r="I180" i="6"/>
  <c r="J180" i="6" s="1"/>
  <c r="N179" i="6"/>
  <c r="M179" i="6"/>
  <c r="I179" i="6"/>
  <c r="J179" i="6" s="1"/>
  <c r="N178" i="6"/>
  <c r="M178" i="6"/>
  <c r="I178" i="6"/>
  <c r="J178" i="6" s="1"/>
  <c r="N177" i="6"/>
  <c r="M177" i="6"/>
  <c r="I177" i="6"/>
  <c r="J177" i="6" s="1"/>
  <c r="N176" i="6"/>
  <c r="M176" i="6"/>
  <c r="I176" i="6"/>
  <c r="J176" i="6" s="1"/>
  <c r="N175" i="6"/>
  <c r="M175" i="6"/>
  <c r="I175" i="6"/>
  <c r="J175" i="6" s="1"/>
  <c r="N174" i="6"/>
  <c r="M174" i="6"/>
  <c r="I174" i="6"/>
  <c r="J174" i="6" s="1"/>
  <c r="N173" i="6"/>
  <c r="M173" i="6"/>
  <c r="I173" i="6"/>
  <c r="J173" i="6" s="1"/>
  <c r="N172" i="6"/>
  <c r="M172" i="6"/>
  <c r="I172" i="6"/>
  <c r="J172" i="6" s="1"/>
  <c r="N171" i="6"/>
  <c r="M171" i="6"/>
  <c r="I171" i="6"/>
  <c r="J171" i="6" s="1"/>
  <c r="N170" i="6"/>
  <c r="M170" i="6"/>
  <c r="I170" i="6"/>
  <c r="J170" i="6" s="1"/>
  <c r="N169" i="6"/>
  <c r="M169" i="6"/>
  <c r="I169" i="6"/>
  <c r="J169" i="6" s="1"/>
  <c r="N168" i="6"/>
  <c r="M168" i="6"/>
  <c r="I168" i="6"/>
  <c r="J168" i="6" s="1"/>
  <c r="N167" i="6"/>
  <c r="M167" i="6"/>
  <c r="I167" i="6"/>
  <c r="J167" i="6" s="1"/>
  <c r="N166" i="6"/>
  <c r="M166" i="6"/>
  <c r="I166" i="6"/>
  <c r="J166" i="6" s="1"/>
  <c r="N165" i="6"/>
  <c r="M165" i="6"/>
  <c r="I165" i="6"/>
  <c r="J165" i="6" s="1"/>
  <c r="N164" i="6"/>
  <c r="M164" i="6"/>
  <c r="I164" i="6"/>
  <c r="J164" i="6" s="1"/>
  <c r="N163" i="6"/>
  <c r="M163" i="6"/>
  <c r="I163" i="6"/>
  <c r="J163" i="6" s="1"/>
  <c r="N162" i="6"/>
  <c r="M162" i="6"/>
  <c r="J162" i="6"/>
  <c r="I162" i="6"/>
  <c r="N161" i="6"/>
  <c r="M161" i="6"/>
  <c r="I161" i="6"/>
  <c r="J161" i="6" s="1"/>
  <c r="N160" i="6"/>
  <c r="M160" i="6"/>
  <c r="I160" i="6"/>
  <c r="J160" i="6" s="1"/>
  <c r="N159" i="6"/>
  <c r="M159" i="6"/>
  <c r="I159" i="6"/>
  <c r="J159" i="6" s="1"/>
  <c r="N158" i="6"/>
  <c r="M158" i="6"/>
  <c r="I158" i="6"/>
  <c r="J158" i="6" s="1"/>
  <c r="N157" i="6"/>
  <c r="M157" i="6"/>
  <c r="I157" i="6"/>
  <c r="J157" i="6" s="1"/>
  <c r="N156" i="6"/>
  <c r="M156" i="6"/>
  <c r="I156" i="6"/>
  <c r="J156" i="6" s="1"/>
  <c r="N155" i="6"/>
  <c r="M155" i="6"/>
  <c r="I155" i="6"/>
  <c r="J155" i="6" s="1"/>
  <c r="N154" i="6"/>
  <c r="M154" i="6"/>
  <c r="I154" i="6"/>
  <c r="J154" i="6" s="1"/>
  <c r="N153" i="6"/>
  <c r="M153" i="6"/>
  <c r="I153" i="6"/>
  <c r="J153" i="6" s="1"/>
  <c r="N152" i="6"/>
  <c r="M152" i="6"/>
  <c r="I152" i="6"/>
  <c r="J152" i="6" s="1"/>
  <c r="N151" i="6"/>
  <c r="M151" i="6"/>
  <c r="I151" i="6"/>
  <c r="J151" i="6" s="1"/>
  <c r="N150" i="6"/>
  <c r="M150" i="6"/>
  <c r="I150" i="6"/>
  <c r="J150" i="6" s="1"/>
  <c r="N149" i="6"/>
  <c r="M149" i="6"/>
  <c r="I149" i="6"/>
  <c r="J149" i="6" s="1"/>
  <c r="N148" i="6"/>
  <c r="M148" i="6"/>
  <c r="I148" i="6"/>
  <c r="J148" i="6" s="1"/>
  <c r="N147" i="6"/>
  <c r="M147" i="6"/>
  <c r="I147" i="6"/>
  <c r="J147" i="6" s="1"/>
  <c r="N146" i="6"/>
  <c r="M146" i="6"/>
  <c r="I146" i="6"/>
  <c r="J146" i="6" s="1"/>
  <c r="N145" i="6"/>
  <c r="M145" i="6"/>
  <c r="I145" i="6"/>
  <c r="J145" i="6" s="1"/>
  <c r="N144" i="6"/>
  <c r="M144" i="6"/>
  <c r="I144" i="6"/>
  <c r="J144" i="6" s="1"/>
  <c r="K144" i="6" s="1"/>
  <c r="N143" i="6"/>
  <c r="M143" i="6"/>
  <c r="I143" i="6"/>
  <c r="J143" i="6" s="1"/>
  <c r="K143" i="6" s="1"/>
  <c r="N142" i="6"/>
  <c r="M142" i="6"/>
  <c r="I142" i="6"/>
  <c r="J142" i="6" s="1"/>
  <c r="K142" i="6" s="1"/>
  <c r="N141" i="6"/>
  <c r="M141" i="6"/>
  <c r="I141" i="6"/>
  <c r="J141" i="6" s="1"/>
  <c r="K141" i="6" s="1"/>
  <c r="N140" i="6"/>
  <c r="M140" i="6"/>
  <c r="I140" i="6"/>
  <c r="J140" i="6" s="1"/>
  <c r="K140" i="6" s="1"/>
  <c r="N139" i="6"/>
  <c r="M139" i="6"/>
  <c r="I139" i="6"/>
  <c r="J139" i="6" s="1"/>
  <c r="K139" i="6" s="1"/>
  <c r="N138" i="6"/>
  <c r="M138" i="6"/>
  <c r="I138" i="6"/>
  <c r="J138" i="6" s="1"/>
  <c r="K138" i="6" s="1"/>
  <c r="N137" i="6"/>
  <c r="M137" i="6"/>
  <c r="I137" i="6"/>
  <c r="J137" i="6" s="1"/>
  <c r="K137" i="6" s="1"/>
  <c r="N136" i="6"/>
  <c r="M136" i="6"/>
  <c r="I136" i="6"/>
  <c r="J136" i="6" s="1"/>
  <c r="K136" i="6" s="1"/>
  <c r="N135" i="6"/>
  <c r="M135" i="6"/>
  <c r="I135" i="6"/>
  <c r="J135" i="6" s="1"/>
  <c r="K135" i="6" s="1"/>
  <c r="N134" i="6"/>
  <c r="M134" i="6"/>
  <c r="I134" i="6"/>
  <c r="J134" i="6" s="1"/>
  <c r="K134" i="6" s="1"/>
  <c r="N133" i="6"/>
  <c r="M133" i="6"/>
  <c r="I133" i="6"/>
  <c r="J133" i="6" s="1"/>
  <c r="K133" i="6" s="1"/>
  <c r="N132" i="6"/>
  <c r="M132" i="6"/>
  <c r="I132" i="6"/>
  <c r="J132" i="6" s="1"/>
  <c r="K132" i="6" s="1"/>
  <c r="N131" i="6"/>
  <c r="M131" i="6"/>
  <c r="I131" i="6"/>
  <c r="J131" i="6" s="1"/>
  <c r="K131" i="6" s="1"/>
  <c r="N130" i="6"/>
  <c r="M130" i="6"/>
  <c r="I130" i="6"/>
  <c r="J130" i="6" s="1"/>
  <c r="K130" i="6" s="1"/>
  <c r="N129" i="6"/>
  <c r="M129" i="6"/>
  <c r="I129" i="6"/>
  <c r="J129" i="6" s="1"/>
  <c r="K129" i="6" s="1"/>
  <c r="N128" i="6"/>
  <c r="M128" i="6"/>
  <c r="I128" i="6"/>
  <c r="J128" i="6" s="1"/>
  <c r="K128" i="6" s="1"/>
  <c r="N127" i="6"/>
  <c r="M127" i="6"/>
  <c r="I127" i="6"/>
  <c r="J127" i="6" s="1"/>
  <c r="K127" i="6" s="1"/>
  <c r="N126" i="6"/>
  <c r="M126" i="6"/>
  <c r="I126" i="6"/>
  <c r="J126" i="6" s="1"/>
  <c r="K126" i="6" s="1"/>
  <c r="N125" i="6"/>
  <c r="M125" i="6"/>
  <c r="I125" i="6"/>
  <c r="J125" i="6" s="1"/>
  <c r="K125" i="6" s="1"/>
  <c r="N124" i="6"/>
  <c r="M124" i="6"/>
  <c r="I124" i="6"/>
  <c r="J124" i="6" s="1"/>
  <c r="K124" i="6" s="1"/>
  <c r="N123" i="6"/>
  <c r="M123" i="6"/>
  <c r="I123" i="6"/>
  <c r="J123" i="6" s="1"/>
  <c r="K123" i="6" s="1"/>
  <c r="N122" i="6"/>
  <c r="M122" i="6"/>
  <c r="I122" i="6"/>
  <c r="J122" i="6" s="1"/>
  <c r="K122" i="6" s="1"/>
  <c r="N121" i="6"/>
  <c r="M121" i="6"/>
  <c r="I121" i="6"/>
  <c r="J121" i="6" s="1"/>
  <c r="K121" i="6" s="1"/>
  <c r="N120" i="6"/>
  <c r="M120" i="6"/>
  <c r="I120" i="6"/>
  <c r="J120" i="6" s="1"/>
  <c r="K120" i="6" s="1"/>
  <c r="N119" i="6"/>
  <c r="M119" i="6"/>
  <c r="I119" i="6"/>
  <c r="J119" i="6" s="1"/>
  <c r="K119" i="6" s="1"/>
  <c r="N118" i="6"/>
  <c r="M118" i="6"/>
  <c r="I118" i="6"/>
  <c r="J118" i="6" s="1"/>
  <c r="K118" i="6" s="1"/>
  <c r="N117" i="6"/>
  <c r="M117" i="6"/>
  <c r="I117" i="6"/>
  <c r="J117" i="6" s="1"/>
  <c r="K117" i="6" s="1"/>
  <c r="N116" i="6"/>
  <c r="M116" i="6"/>
  <c r="I116" i="6"/>
  <c r="J116" i="6" s="1"/>
  <c r="K116" i="6" s="1"/>
  <c r="N115" i="6"/>
  <c r="M115" i="6"/>
  <c r="I115" i="6"/>
  <c r="J115" i="6" s="1"/>
  <c r="K115" i="6" s="1"/>
  <c r="N114" i="6"/>
  <c r="M114" i="6"/>
  <c r="I114" i="6"/>
  <c r="J114" i="6" s="1"/>
  <c r="K114" i="6" s="1"/>
  <c r="N113" i="6"/>
  <c r="M113" i="6"/>
  <c r="I113" i="6"/>
  <c r="J113" i="6" s="1"/>
  <c r="K113" i="6" s="1"/>
  <c r="N112" i="6"/>
  <c r="M112" i="6"/>
  <c r="I112" i="6"/>
  <c r="J112" i="6" s="1"/>
  <c r="K112" i="6" s="1"/>
  <c r="N111" i="6"/>
  <c r="M111" i="6"/>
  <c r="I111" i="6"/>
  <c r="J111" i="6" s="1"/>
  <c r="K111" i="6" s="1"/>
  <c r="N110" i="6"/>
  <c r="M110" i="6"/>
  <c r="I110" i="6"/>
  <c r="J110" i="6" s="1"/>
  <c r="K110" i="6" s="1"/>
  <c r="N109" i="6"/>
  <c r="M109" i="6"/>
  <c r="I109" i="6"/>
  <c r="J109" i="6" s="1"/>
  <c r="K109" i="6" s="1"/>
  <c r="N108" i="6"/>
  <c r="M108" i="6"/>
  <c r="I108" i="6"/>
  <c r="J108" i="6" s="1"/>
  <c r="K108" i="6" s="1"/>
  <c r="N107" i="6"/>
  <c r="M107" i="6"/>
  <c r="I107" i="6"/>
  <c r="J107" i="6" s="1"/>
  <c r="K107" i="6" s="1"/>
  <c r="N106" i="6"/>
  <c r="M106" i="6"/>
  <c r="I106" i="6"/>
  <c r="J106" i="6" s="1"/>
  <c r="K106" i="6" s="1"/>
  <c r="N105" i="6"/>
  <c r="M105" i="6"/>
  <c r="I105" i="6"/>
  <c r="J105" i="6" s="1"/>
  <c r="K105" i="6" s="1"/>
  <c r="N104" i="6"/>
  <c r="M104" i="6"/>
  <c r="I104" i="6"/>
  <c r="J104" i="6" s="1"/>
  <c r="K104" i="6" s="1"/>
  <c r="N103" i="6"/>
  <c r="M103" i="6"/>
  <c r="I103" i="6"/>
  <c r="J103" i="6" s="1"/>
  <c r="K103" i="6" s="1"/>
  <c r="N102" i="6"/>
  <c r="M102" i="6"/>
  <c r="I102" i="6"/>
  <c r="J102" i="6" s="1"/>
  <c r="K102" i="6" s="1"/>
  <c r="N101" i="6"/>
  <c r="M101" i="6"/>
  <c r="I101" i="6"/>
  <c r="J101" i="6" s="1"/>
  <c r="K101" i="6" s="1"/>
  <c r="N100" i="6"/>
  <c r="M100" i="6"/>
  <c r="I100" i="6"/>
  <c r="J100" i="6" s="1"/>
  <c r="K100" i="6" s="1"/>
  <c r="N99" i="6"/>
  <c r="M99" i="6"/>
  <c r="I99" i="6"/>
  <c r="J99" i="6" s="1"/>
  <c r="K99" i="6" s="1"/>
  <c r="N98" i="6"/>
  <c r="M98" i="6"/>
  <c r="I98" i="6"/>
  <c r="J98" i="6" s="1"/>
  <c r="K98" i="6" s="1"/>
  <c r="N97" i="6"/>
  <c r="M97" i="6"/>
  <c r="I97" i="6"/>
  <c r="J97" i="6" s="1"/>
  <c r="K97" i="6" s="1"/>
  <c r="N96" i="6"/>
  <c r="M96" i="6"/>
  <c r="I96" i="6"/>
  <c r="J96" i="6" s="1"/>
  <c r="K96" i="6" s="1"/>
  <c r="N95" i="6"/>
  <c r="M95" i="6"/>
  <c r="I95" i="6"/>
  <c r="J95" i="6" s="1"/>
  <c r="K95" i="6" s="1"/>
  <c r="N94" i="6"/>
  <c r="M94" i="6"/>
  <c r="I94" i="6"/>
  <c r="J94" i="6" s="1"/>
  <c r="K94" i="6" s="1"/>
  <c r="N93" i="6"/>
  <c r="M93" i="6"/>
  <c r="I93" i="6"/>
  <c r="J93" i="6" s="1"/>
  <c r="K93" i="6" s="1"/>
  <c r="N92" i="6"/>
  <c r="M92" i="6"/>
  <c r="I92" i="6"/>
  <c r="J92" i="6" s="1"/>
  <c r="K92" i="6" s="1"/>
  <c r="N91" i="6"/>
  <c r="M91" i="6"/>
  <c r="I91" i="6"/>
  <c r="J91" i="6" s="1"/>
  <c r="K91" i="6" s="1"/>
  <c r="N90" i="6"/>
  <c r="M90" i="6"/>
  <c r="I90" i="6"/>
  <c r="J90" i="6" s="1"/>
  <c r="K90" i="6" s="1"/>
  <c r="N89" i="6"/>
  <c r="M89" i="6"/>
  <c r="I89" i="6"/>
  <c r="J89" i="6" s="1"/>
  <c r="K89" i="6" s="1"/>
  <c r="N88" i="6"/>
  <c r="M88" i="6"/>
  <c r="I88" i="6"/>
  <c r="J88" i="6" s="1"/>
  <c r="K88" i="6" s="1"/>
  <c r="N87" i="6"/>
  <c r="M87" i="6"/>
  <c r="I87" i="6"/>
  <c r="J87" i="6" s="1"/>
  <c r="K87" i="6" s="1"/>
  <c r="N86" i="6"/>
  <c r="M86" i="6"/>
  <c r="I86" i="6"/>
  <c r="J86" i="6" s="1"/>
  <c r="K86" i="6" s="1"/>
  <c r="N85" i="6"/>
  <c r="M85" i="6"/>
  <c r="I85" i="6"/>
  <c r="J85" i="6" s="1"/>
  <c r="K85" i="6" s="1"/>
  <c r="N84" i="6"/>
  <c r="M84" i="6"/>
  <c r="I84" i="6"/>
  <c r="J84" i="6" s="1"/>
  <c r="K84" i="6" s="1"/>
  <c r="N83" i="6"/>
  <c r="M83" i="6"/>
  <c r="I83" i="6"/>
  <c r="J83" i="6" s="1"/>
  <c r="K83" i="6" s="1"/>
  <c r="N82" i="6"/>
  <c r="M82" i="6"/>
  <c r="I82" i="6"/>
  <c r="J82" i="6" s="1"/>
  <c r="K82" i="6" s="1"/>
  <c r="N81" i="6"/>
  <c r="M81" i="6"/>
  <c r="I81" i="6"/>
  <c r="J81" i="6" s="1"/>
  <c r="K81" i="6" s="1"/>
  <c r="N80" i="6"/>
  <c r="M80" i="6"/>
  <c r="I80" i="6"/>
  <c r="J80" i="6" s="1"/>
  <c r="K80" i="6" s="1"/>
  <c r="N79" i="6"/>
  <c r="M79" i="6"/>
  <c r="I79" i="6"/>
  <c r="J79" i="6" s="1"/>
  <c r="K79" i="6" s="1"/>
  <c r="N78" i="6"/>
  <c r="M78" i="6"/>
  <c r="I78" i="6"/>
  <c r="J78" i="6" s="1"/>
  <c r="K78" i="6" s="1"/>
  <c r="N77" i="6"/>
  <c r="M77" i="6"/>
  <c r="I77" i="6"/>
  <c r="J77" i="6" s="1"/>
  <c r="K77" i="6" s="1"/>
  <c r="N76" i="6"/>
  <c r="M76" i="6"/>
  <c r="I76" i="6"/>
  <c r="J76" i="6" s="1"/>
  <c r="K76" i="6" s="1"/>
  <c r="N75" i="6"/>
  <c r="M75" i="6"/>
  <c r="I75" i="6"/>
  <c r="J75" i="6" s="1"/>
  <c r="K75" i="6" s="1"/>
  <c r="N74" i="6"/>
  <c r="M74" i="6"/>
  <c r="I74" i="6"/>
  <c r="J74" i="6" s="1"/>
  <c r="K74" i="6" s="1"/>
  <c r="N73" i="6"/>
  <c r="M73" i="6"/>
  <c r="I73" i="6"/>
  <c r="J73" i="6" s="1"/>
  <c r="K73" i="6" s="1"/>
  <c r="N72" i="6"/>
  <c r="M72" i="6"/>
  <c r="I72" i="6"/>
  <c r="J72" i="6" s="1"/>
  <c r="K72" i="6" s="1"/>
  <c r="N71" i="6"/>
  <c r="M71" i="6"/>
  <c r="I71" i="6"/>
  <c r="J71" i="6" s="1"/>
  <c r="K71" i="6" s="1"/>
  <c r="N70" i="6"/>
  <c r="M70" i="6"/>
  <c r="I70" i="6"/>
  <c r="J70" i="6" s="1"/>
  <c r="K70" i="6" s="1"/>
  <c r="N69" i="6"/>
  <c r="M69" i="6"/>
  <c r="I69" i="6"/>
  <c r="J69" i="6" s="1"/>
  <c r="K69" i="6" s="1"/>
  <c r="N68" i="6"/>
  <c r="M68" i="6"/>
  <c r="I68" i="6"/>
  <c r="J68" i="6" s="1"/>
  <c r="K68" i="6" s="1"/>
  <c r="N67" i="6"/>
  <c r="M67" i="6"/>
  <c r="I67" i="6"/>
  <c r="J67" i="6" s="1"/>
  <c r="K67" i="6" s="1"/>
  <c r="N66" i="6"/>
  <c r="M66" i="6"/>
  <c r="I66" i="6"/>
  <c r="J66" i="6" s="1"/>
  <c r="K66" i="6" s="1"/>
  <c r="N65" i="6"/>
  <c r="M65" i="6"/>
  <c r="I65" i="6"/>
  <c r="J65" i="6" s="1"/>
  <c r="K65" i="6" s="1"/>
  <c r="P23" i="6"/>
  <c r="P24" i="6" s="1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P35" i="6" s="1"/>
  <c r="P36" i="6" s="1"/>
  <c r="P37" i="6" s="1"/>
  <c r="P38" i="6" s="1"/>
  <c r="Y60" i="5"/>
  <c r="O60" i="5"/>
  <c r="M60" i="5"/>
  <c r="Y59" i="5"/>
  <c r="O59" i="5"/>
  <c r="M59" i="5"/>
  <c r="Y58" i="5"/>
  <c r="O58" i="5"/>
  <c r="M58" i="5"/>
  <c r="Y57" i="5"/>
  <c r="O57" i="5"/>
  <c r="M57" i="5"/>
  <c r="Y56" i="5"/>
  <c r="O56" i="5"/>
  <c r="M56" i="5"/>
  <c r="Y55" i="5"/>
  <c r="O55" i="5"/>
  <c r="M55" i="5"/>
  <c r="Y54" i="5"/>
  <c r="O54" i="5"/>
  <c r="M54" i="5"/>
  <c r="Y53" i="5"/>
  <c r="O53" i="5"/>
  <c r="M53" i="5"/>
  <c r="Y52" i="5"/>
  <c r="O52" i="5"/>
  <c r="M52" i="5"/>
  <c r="Y51" i="5"/>
  <c r="O51" i="5"/>
  <c r="M51" i="5"/>
  <c r="Y50" i="5"/>
  <c r="O50" i="5"/>
  <c r="M50" i="5"/>
  <c r="Y49" i="5"/>
  <c r="O49" i="5"/>
  <c r="M49" i="5"/>
  <c r="Y48" i="5"/>
  <c r="O48" i="5"/>
  <c r="M48" i="5"/>
  <c r="Y47" i="5"/>
  <c r="O47" i="5"/>
  <c r="M47" i="5"/>
  <c r="Y46" i="5"/>
  <c r="O46" i="5"/>
  <c r="M46" i="5"/>
  <c r="Y45" i="5"/>
  <c r="O45" i="5"/>
  <c r="M45" i="5"/>
  <c r="Y44" i="5"/>
  <c r="O44" i="5"/>
  <c r="M44" i="5"/>
  <c r="Y43" i="5"/>
  <c r="O43" i="5"/>
  <c r="M43" i="5"/>
  <c r="Y42" i="5"/>
  <c r="O42" i="5"/>
  <c r="M42" i="5"/>
  <c r="Y41" i="5"/>
  <c r="X41" i="5"/>
  <c r="O41" i="5"/>
  <c r="M41" i="5"/>
  <c r="Y40" i="5"/>
  <c r="O40" i="5"/>
  <c r="M40" i="5"/>
  <c r="Y39" i="5"/>
  <c r="O39" i="5"/>
  <c r="M39" i="5"/>
  <c r="Y38" i="5"/>
  <c r="O38" i="5"/>
  <c r="M38" i="5"/>
  <c r="Y37" i="5"/>
  <c r="O37" i="5"/>
  <c r="Y36" i="5"/>
  <c r="O36" i="5"/>
  <c r="Y35" i="5"/>
  <c r="O35" i="5"/>
  <c r="Y34" i="5"/>
  <c r="O34" i="5"/>
  <c r="Y33" i="5"/>
  <c r="O33" i="5"/>
  <c r="Y32" i="5"/>
  <c r="O32" i="5"/>
  <c r="Y31" i="5"/>
  <c r="O31" i="5"/>
  <c r="Y30" i="5"/>
  <c r="O30" i="5"/>
  <c r="Y29" i="5"/>
  <c r="O29" i="5"/>
  <c r="Y28" i="5"/>
  <c r="O28" i="5"/>
  <c r="Y27" i="5"/>
  <c r="O27" i="5"/>
  <c r="Y26" i="5"/>
  <c r="O26" i="5"/>
  <c r="Y25" i="5"/>
  <c r="X25" i="5"/>
  <c r="O25" i="5"/>
  <c r="Y24" i="5"/>
  <c r="O24" i="5"/>
  <c r="Y23" i="5"/>
  <c r="O23" i="5"/>
  <c r="Y22" i="5"/>
  <c r="O22" i="5"/>
  <c r="Y21" i="5"/>
  <c r="O21" i="5"/>
  <c r="Y20" i="5"/>
  <c r="O20" i="5"/>
  <c r="Y19" i="5"/>
  <c r="O19" i="5"/>
  <c r="M19" i="5"/>
  <c r="Y18" i="5"/>
  <c r="O18" i="5"/>
  <c r="M18" i="5"/>
  <c r="Y17" i="5"/>
  <c r="O17" i="5"/>
  <c r="M17" i="5"/>
  <c r="Y16" i="5"/>
  <c r="O16" i="5"/>
  <c r="M16" i="5"/>
  <c r="Y15" i="5"/>
  <c r="O15" i="5"/>
  <c r="M15" i="5"/>
  <c r="Y14" i="5"/>
  <c r="O14" i="5"/>
  <c r="M14" i="5"/>
  <c r="Y13" i="5"/>
  <c r="O13" i="5"/>
  <c r="M13" i="5"/>
  <c r="Y12" i="5"/>
  <c r="O12" i="5"/>
  <c r="M12" i="5"/>
  <c r="Y11" i="5"/>
  <c r="O11" i="5"/>
  <c r="M11" i="5"/>
  <c r="Y10" i="5"/>
  <c r="X10" i="5"/>
  <c r="O10" i="5"/>
  <c r="M10" i="5"/>
  <c r="Y9" i="5"/>
  <c r="O9" i="5"/>
  <c r="M9" i="5"/>
  <c r="Y8" i="5"/>
  <c r="O8" i="5"/>
  <c r="M8" i="5"/>
  <c r="Y7" i="5"/>
  <c r="O7" i="5"/>
  <c r="M7" i="5"/>
  <c r="Y6" i="5"/>
  <c r="O6" i="5"/>
  <c r="M6" i="5"/>
  <c r="Y5" i="5"/>
  <c r="O5" i="5"/>
  <c r="M5" i="5"/>
  <c r="Y4" i="5"/>
  <c r="O4" i="5"/>
  <c r="M4" i="5"/>
  <c r="Y3" i="5"/>
  <c r="O3" i="5"/>
  <c r="M3" i="5"/>
  <c r="Y2" i="5"/>
  <c r="O2" i="5"/>
  <c r="M2" i="5"/>
  <c r="G309" i="4"/>
  <c r="T305" i="4"/>
  <c r="S305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G292" i="4"/>
  <c r="U292" i="4" s="1"/>
  <c r="T291" i="4"/>
  <c r="S291" i="4"/>
  <c r="T290" i="4"/>
  <c r="S290" i="4"/>
  <c r="T289" i="4"/>
  <c r="S289" i="4"/>
  <c r="T283" i="4"/>
  <c r="G281" i="4"/>
  <c r="B281" i="4"/>
  <c r="A281" i="4"/>
  <c r="I280" i="4"/>
  <c r="I281" i="4" s="1"/>
  <c r="R276" i="4"/>
  <c r="Q276" i="4"/>
  <c r="G276" i="4"/>
  <c r="S276" i="4" s="1"/>
  <c r="R273" i="4"/>
  <c r="I273" i="4"/>
  <c r="Q273" i="4" s="1"/>
  <c r="I272" i="4"/>
  <c r="R271" i="4"/>
  <c r="D271" i="4"/>
  <c r="S262" i="4"/>
  <c r="R262" i="4"/>
  <c r="Q262" i="4"/>
  <c r="Q248" i="4"/>
  <c r="S244" i="4"/>
  <c r="R244" i="4"/>
  <c r="Q244" i="4"/>
  <c r="S243" i="4"/>
  <c r="R243" i="4"/>
  <c r="Q243" i="4"/>
  <c r="S242" i="4"/>
  <c r="R242" i="4"/>
  <c r="I242" i="4"/>
  <c r="Q242" i="4" s="1"/>
  <c r="S231" i="4"/>
  <c r="R231" i="4"/>
  <c r="N231" i="4"/>
  <c r="O230" i="4"/>
  <c r="M230" i="4"/>
  <c r="R228" i="4"/>
  <c r="C223" i="4"/>
  <c r="C220" i="4"/>
  <c r="A220" i="4"/>
  <c r="S216" i="4"/>
  <c r="R216" i="4"/>
  <c r="Q216" i="4"/>
  <c r="D203" i="4"/>
  <c r="D204" i="4" s="1"/>
  <c r="D205" i="4" s="1"/>
  <c r="D206" i="4" s="1"/>
  <c r="I202" i="4"/>
  <c r="I203" i="4" s="1"/>
  <c r="I204" i="4" s="1"/>
  <c r="I205" i="4" s="1"/>
  <c r="I206" i="4" s="1"/>
  <c r="A201" i="4"/>
  <c r="R200" i="4"/>
  <c r="R189" i="4"/>
  <c r="N189" i="4"/>
  <c r="O188" i="4"/>
  <c r="M188" i="4"/>
  <c r="R186" i="4"/>
  <c r="Q169" i="4"/>
  <c r="E167" i="4"/>
  <c r="D167" i="4"/>
  <c r="R161" i="4"/>
  <c r="Q161" i="4"/>
  <c r="O161" i="4"/>
  <c r="N161" i="4"/>
  <c r="M161" i="4"/>
  <c r="S160" i="4"/>
  <c r="P160" i="4"/>
  <c r="M160" i="4"/>
  <c r="E160" i="4"/>
  <c r="C160" i="4"/>
  <c r="A160" i="4"/>
  <c r="S159" i="4"/>
  <c r="P159" i="4"/>
  <c r="M159" i="4"/>
  <c r="P156" i="4"/>
  <c r="M156" i="4"/>
  <c r="G154" i="4"/>
  <c r="I125" i="4"/>
  <c r="Q125" i="4" s="1"/>
  <c r="G122" i="4"/>
  <c r="S122" i="4" s="1"/>
  <c r="G121" i="4"/>
  <c r="S121" i="4" s="1"/>
  <c r="S120" i="4"/>
  <c r="I120" i="4"/>
  <c r="I122" i="4" s="1"/>
  <c r="Q122" i="4" s="1"/>
  <c r="R110" i="4"/>
  <c r="Q110" i="4"/>
  <c r="O110" i="4"/>
  <c r="N110" i="4"/>
  <c r="M110" i="4"/>
  <c r="P109" i="4"/>
  <c r="M109" i="4"/>
  <c r="R108" i="4"/>
  <c r="Q108" i="4"/>
  <c r="O108" i="4"/>
  <c r="N108" i="4"/>
  <c r="M108" i="4"/>
  <c r="P107" i="4"/>
  <c r="M107" i="4"/>
  <c r="R106" i="4"/>
  <c r="Q106" i="4"/>
  <c r="O106" i="4"/>
  <c r="N106" i="4"/>
  <c r="M106" i="4"/>
  <c r="P105" i="4"/>
  <c r="M105" i="4"/>
  <c r="R104" i="4"/>
  <c r="Q104" i="4"/>
  <c r="O104" i="4"/>
  <c r="N104" i="4"/>
  <c r="M104" i="4"/>
  <c r="P103" i="4"/>
  <c r="M103" i="4"/>
  <c r="R102" i="4"/>
  <c r="Q102" i="4"/>
  <c r="O102" i="4"/>
  <c r="N102" i="4"/>
  <c r="M102" i="4"/>
  <c r="P101" i="4"/>
  <c r="M101" i="4"/>
  <c r="P100" i="4"/>
  <c r="O100" i="4"/>
  <c r="N100" i="4"/>
  <c r="M100" i="4"/>
  <c r="P99" i="4"/>
  <c r="M99" i="4"/>
  <c r="P98" i="4"/>
  <c r="M98" i="4"/>
  <c r="P97" i="4"/>
  <c r="M97" i="4"/>
  <c r="P96" i="4"/>
  <c r="O96" i="4"/>
  <c r="N96" i="4"/>
  <c r="M96" i="4"/>
  <c r="R95" i="4"/>
  <c r="M95" i="4"/>
  <c r="R94" i="4"/>
  <c r="M94" i="4"/>
  <c r="R93" i="4"/>
  <c r="M93" i="4"/>
  <c r="R84" i="4"/>
  <c r="I84" i="4"/>
  <c r="Q84" i="4" s="1"/>
  <c r="T79" i="4" a="1"/>
  <c r="T79" i="4" s="1"/>
  <c r="S79" i="4"/>
  <c r="Q79" i="4"/>
  <c r="P79" i="4"/>
  <c r="O79" i="4" a="1"/>
  <c r="O79" i="4" s="1"/>
  <c r="N79" i="4" a="1"/>
  <c r="N79" i="4" s="1"/>
  <c r="M79" i="4"/>
  <c r="T78" i="4" a="1"/>
  <c r="T78" i="4" s="1"/>
  <c r="S78" i="4"/>
  <c r="Q78" i="4"/>
  <c r="P78" i="4"/>
  <c r="O78" i="4" a="1"/>
  <c r="O78" i="4" s="1"/>
  <c r="N78" i="4" a="1"/>
  <c r="N78" i="4" s="1"/>
  <c r="M78" i="4"/>
  <c r="R70" i="4"/>
  <c r="Q70" i="4"/>
  <c r="R69" i="4"/>
  <c r="Q69" i="4"/>
  <c r="R62" i="4"/>
  <c r="Q62" i="4"/>
  <c r="R61" i="4"/>
  <c r="Q61" i="4"/>
  <c r="A61" i="4"/>
  <c r="A60" i="4"/>
  <c r="Q37" i="4"/>
  <c r="O37" i="4"/>
  <c r="N37" i="4"/>
  <c r="M37" i="4"/>
  <c r="B27" i="4"/>
  <c r="A27" i="4"/>
  <c r="N23" i="4"/>
  <c r="N22" i="4"/>
  <c r="N21" i="4"/>
  <c r="N20" i="4"/>
  <c r="N19" i="4"/>
  <c r="N18" i="4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K2" i="3"/>
  <c r="M1" i="3"/>
  <c r="L1" i="3"/>
  <c r="K1" i="3"/>
  <c r="A1" i="3"/>
  <c r="X434" i="2"/>
  <c r="BN333" i="2"/>
  <c r="CA332" i="2"/>
  <c r="BZ332" i="2"/>
  <c r="BY332" i="2"/>
  <c r="CA331" i="2"/>
  <c r="BZ331" i="2"/>
  <c r="BY331" i="2"/>
  <c r="CA330" i="2"/>
  <c r="BZ330" i="2"/>
  <c r="BY330" i="2"/>
  <c r="BN330" i="2"/>
  <c r="CA329" i="2"/>
  <c r="BZ329" i="2"/>
  <c r="BY329" i="2"/>
  <c r="BO327" i="2"/>
  <c r="CA326" i="2"/>
  <c r="BY326" i="2"/>
  <c r="CA325" i="2"/>
  <c r="BY325" i="2"/>
  <c r="BY322" i="2"/>
  <c r="BY321" i="2"/>
  <c r="BY320" i="2"/>
  <c r="BY319" i="2"/>
  <c r="BY318" i="2"/>
  <c r="BY317" i="2"/>
  <c r="BY316" i="2"/>
  <c r="BY315" i="2"/>
  <c r="BY314" i="2"/>
  <c r="BY313" i="2"/>
  <c r="BY312" i="2"/>
  <c r="BY311" i="2"/>
  <c r="BY310" i="2"/>
  <c r="AY310" i="2"/>
  <c r="AT310" i="2"/>
  <c r="AU310" i="2" s="1"/>
  <c r="BY308" i="2"/>
  <c r="AY308" i="2"/>
  <c r="AT308" i="2"/>
  <c r="AU308" i="2" s="1"/>
  <c r="BY307" i="2"/>
  <c r="AY307" i="2"/>
  <c r="AX307" i="2"/>
  <c r="AT307" i="2"/>
  <c r="AU307" i="2" s="1"/>
  <c r="AF307" i="2"/>
  <c r="AM307" i="2" s="1"/>
  <c r="AN307" i="2" s="1"/>
  <c r="AO307" i="2" s="1"/>
  <c r="BY303" i="2"/>
  <c r="AY303" i="2"/>
  <c r="AX303" i="2"/>
  <c r="AT303" i="2"/>
  <c r="AU303" i="2" s="1"/>
  <c r="AF303" i="2"/>
  <c r="AM303" i="2" s="1"/>
  <c r="AN303" i="2" s="1"/>
  <c r="AO303" i="2" s="1"/>
  <c r="BY299" i="2"/>
  <c r="AF299" i="2"/>
  <c r="BY295" i="2"/>
  <c r="AF295" i="2"/>
  <c r="AG295" i="2" s="1"/>
  <c r="BY291" i="2"/>
  <c r="BE291" i="2"/>
  <c r="AX291" i="2"/>
  <c r="AV291" i="2"/>
  <c r="AU291" i="2"/>
  <c r="AF291" i="2"/>
  <c r="AG291" i="2" s="1"/>
  <c r="AA291" i="2"/>
  <c r="Z291" i="2"/>
  <c r="BC291" i="2" s="1"/>
  <c r="BD291" i="2" s="1"/>
  <c r="U291" i="2"/>
  <c r="S291" i="2"/>
  <c r="AQ291" i="2" s="1"/>
  <c r="P291" i="2"/>
  <c r="M291" i="2"/>
  <c r="C291" i="2"/>
  <c r="D291" i="2"/>
  <c r="V284" i="2"/>
  <c r="T284" i="2"/>
  <c r="R284" i="2"/>
  <c r="V283" i="2"/>
  <c r="T283" i="2"/>
  <c r="R283" i="2"/>
  <c r="V282" i="2"/>
  <c r="T282" i="2"/>
  <c r="R282" i="2"/>
  <c r="O281" i="2"/>
  <c r="V281" i="2" s="1"/>
  <c r="O280" i="2"/>
  <c r="T280" i="2" s="1"/>
  <c r="AJ279" i="2"/>
  <c r="AI279" i="2"/>
  <c r="AF279" i="2"/>
  <c r="O279" i="2"/>
  <c r="AJ278" i="2"/>
  <c r="AI278" i="2"/>
  <c r="AF278" i="2"/>
  <c r="AJ277" i="2"/>
  <c r="AI277" i="2"/>
  <c r="AF277" i="2"/>
  <c r="AJ276" i="2"/>
  <c r="AI276" i="2"/>
  <c r="AF276" i="2"/>
  <c r="AJ275" i="2"/>
  <c r="AI275" i="2"/>
  <c r="AF275" i="2"/>
  <c r="AJ274" i="2"/>
  <c r="AI274" i="2"/>
  <c r="AF274" i="2"/>
  <c r="A274" i="2"/>
  <c r="AF273" i="2"/>
  <c r="AJ268" i="2"/>
  <c r="AI268" i="2"/>
  <c r="BF267" i="2"/>
  <c r="AY267" i="2"/>
  <c r="F1" i="3" s="1"/>
  <c r="K266" i="2"/>
  <c r="L266" i="2" s="1"/>
  <c r="E263" i="2"/>
  <c r="N262" i="2"/>
  <c r="M262" i="2"/>
  <c r="K262" i="2"/>
  <c r="J262" i="2"/>
  <c r="H262" i="2"/>
  <c r="D262" i="2"/>
  <c r="I262" i="2" s="1"/>
  <c r="AA261" i="2"/>
  <c r="R93" i="2"/>
  <c r="AA260" i="2"/>
  <c r="AA91" i="2"/>
  <c r="AA90" i="2"/>
  <c r="AA89" i="2"/>
  <c r="U89" i="2"/>
  <c r="AA88" i="2"/>
  <c r="AA87" i="2"/>
  <c r="AA86" i="2"/>
  <c r="AA85" i="2"/>
  <c r="U85" i="2"/>
  <c r="AA84" i="2"/>
  <c r="U84" i="2"/>
  <c r="AA83" i="2"/>
  <c r="AA82" i="2"/>
  <c r="AA81" i="2"/>
  <c r="V81" i="2"/>
  <c r="AK80" i="2"/>
  <c r="AJ70" i="2" s="1"/>
  <c r="AJ71" i="2" s="1"/>
  <c r="AJ72" i="2" s="1"/>
  <c r="AJ73" i="2" s="1"/>
  <c r="AJ74" i="2" s="1"/>
  <c r="AJ75" i="2" s="1"/>
  <c r="AJ76" i="2" s="1"/>
  <c r="AJ77" i="2" s="1"/>
  <c r="AJ78" i="2" s="1"/>
  <c r="AK78" i="2" s="1"/>
  <c r="AA80" i="2"/>
  <c r="AK79" i="2"/>
  <c r="AA79" i="2"/>
  <c r="T79" i="2"/>
  <c r="AA78" i="2"/>
  <c r="AA77" i="2"/>
  <c r="V77" i="2"/>
  <c r="U77" i="2"/>
  <c r="T77" i="2"/>
  <c r="AA76" i="2"/>
  <c r="AA75" i="2"/>
  <c r="AA74" i="2"/>
  <c r="AA73" i="2"/>
  <c r="AA72" i="2"/>
  <c r="R63" i="2"/>
  <c r="R64" i="2" s="1"/>
  <c r="R65" i="2" s="1"/>
  <c r="R66" i="2" s="1"/>
  <c r="R67" i="2" s="1"/>
  <c r="A62" i="2"/>
  <c r="AB62" i="2" s="1" a="1"/>
  <c r="AA61" i="2"/>
  <c r="T60" i="2"/>
  <c r="S60" i="2"/>
  <c r="T59" i="2"/>
  <c r="S59" i="2"/>
  <c r="AA58" i="2"/>
  <c r="AA59" i="2" s="1"/>
  <c r="T58" i="2"/>
  <c r="S58" i="2"/>
  <c r="X53" i="2"/>
  <c r="W53" i="2"/>
  <c r="V53" i="2"/>
  <c r="U53" i="2"/>
  <c r="T53" i="2"/>
  <c r="X52" i="2"/>
  <c r="W52" i="2"/>
  <c r="V52" i="2"/>
  <c r="U52" i="2"/>
  <c r="T52" i="2"/>
  <c r="AB50" i="2"/>
  <c r="AO49" i="2"/>
  <c r="AN49" i="2"/>
  <c r="AM49" i="2"/>
  <c r="AL49" i="2"/>
  <c r="AK49" i="2"/>
  <c r="AJ49" i="2"/>
  <c r="G49" i="2"/>
  <c r="AO48" i="2"/>
  <c r="AN48" i="2"/>
  <c r="AM48" i="2"/>
  <c r="AL48" i="2"/>
  <c r="AK48" i="2"/>
  <c r="AJ48" i="2"/>
  <c r="AO47" i="2"/>
  <c r="AN47" i="2"/>
  <c r="AM47" i="2"/>
  <c r="AL47" i="2"/>
  <c r="AK47" i="2"/>
  <c r="AJ47" i="2"/>
  <c r="AH43" i="2"/>
  <c r="AG43" i="2"/>
  <c r="AF43" i="2"/>
  <c r="AE43" i="2"/>
  <c r="AD43" i="2"/>
  <c r="AC43" i="2"/>
  <c r="AB43" i="2"/>
  <c r="X43" i="2"/>
  <c r="W43" i="2"/>
  <c r="V43" i="2"/>
  <c r="U43" i="2"/>
  <c r="AO42" i="2"/>
  <c r="AN42" i="2"/>
  <c r="AM42" i="2"/>
  <c r="AL42" i="2"/>
  <c r="AK42" i="2"/>
  <c r="AJ42" i="2"/>
  <c r="V37" i="2"/>
  <c r="J26" i="2"/>
  <c r="J27" i="2" s="1"/>
  <c r="K23" i="2"/>
  <c r="AA22" i="2"/>
  <c r="AB22" i="2" s="1"/>
  <c r="K22" i="2"/>
  <c r="K21" i="2"/>
  <c r="AB20" i="2"/>
  <c r="K20" i="2"/>
  <c r="K19" i="2"/>
  <c r="G19" i="2"/>
  <c r="G20" i="2" s="1"/>
  <c r="AA18" i="2"/>
  <c r="AB18" i="2" s="1"/>
  <c r="K18" i="2"/>
  <c r="K17" i="2"/>
  <c r="K16" i="2"/>
  <c r="K15" i="2"/>
  <c r="AA14" i="2"/>
  <c r="K14" i="2"/>
  <c r="M6" i="2"/>
  <c r="Q5" i="2"/>
  <c r="M4" i="2"/>
  <c r="AD2" i="2"/>
  <c r="AC3" i="2" s="1"/>
  <c r="A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S71" i="1"/>
  <c r="E71" i="1"/>
  <c r="S70" i="1"/>
  <c r="E70" i="1"/>
  <c r="S69" i="1"/>
  <c r="E69" i="1"/>
  <c r="S68" i="1"/>
  <c r="E68" i="1"/>
  <c r="S67" i="1"/>
  <c r="E67" i="1"/>
  <c r="S66" i="1"/>
  <c r="E66" i="1"/>
  <c r="S65" i="1"/>
  <c r="E65" i="1"/>
  <c r="S64" i="1"/>
  <c r="E64" i="1"/>
  <c r="S63" i="1"/>
  <c r="E63" i="1"/>
  <c r="S62" i="1"/>
  <c r="E62" i="1"/>
  <c r="S61" i="1"/>
  <c r="E61" i="1"/>
  <c r="S60" i="1"/>
  <c r="E60" i="1"/>
  <c r="S59" i="1"/>
  <c r="E59" i="1"/>
  <c r="S58" i="1"/>
  <c r="E58" i="1"/>
  <c r="S57" i="1"/>
  <c r="E57" i="1"/>
  <c r="S56" i="1"/>
  <c r="E56" i="1"/>
  <c r="S55" i="1"/>
  <c r="E55" i="1"/>
  <c r="S54" i="1"/>
  <c r="E54" i="1"/>
  <c r="S53" i="1"/>
  <c r="E53" i="1"/>
  <c r="S52" i="1"/>
  <c r="E52" i="1"/>
  <c r="S51" i="1"/>
  <c r="E51" i="1"/>
  <c r="E50" i="1"/>
  <c r="E49" i="1"/>
  <c r="E48" i="1"/>
  <c r="E47" i="1"/>
  <c r="E46" i="1"/>
  <c r="E45" i="1"/>
  <c r="E44" i="1"/>
  <c r="E43" i="1"/>
  <c r="E42" i="1"/>
  <c r="A40" i="1"/>
  <c r="P39" i="1"/>
  <c r="P38" i="1"/>
  <c r="F17" i="1"/>
  <c r="I6" i="1"/>
  <c r="J6" i="1" s="1"/>
  <c r="J5" i="1" s="1"/>
  <c r="A3" i="1"/>
  <c r="D7" i="1"/>
  <c r="Q95" i="4" a="1"/>
  <c r="O95" i="4" a="1"/>
  <c r="N95" i="4" a="1"/>
  <c r="O99" i="4" a="1"/>
  <c r="N99" i="4" a="1"/>
  <c r="P42" i="4" a="1"/>
  <c r="P191" i="4" a="1"/>
  <c r="P31" i="4" a="1"/>
  <c r="P161" i="4"/>
  <c r="N159" i="4"/>
  <c r="O94" i="4" a="1"/>
  <c r="O98" i="4" a="1"/>
  <c r="N94" i="4" a="1"/>
  <c r="Q94" i="4" a="1"/>
  <c r="N98" i="4" a="1"/>
  <c r="O97" i="4" a="1"/>
  <c r="N93" i="4" a="1"/>
  <c r="N97" i="4" a="1"/>
  <c r="Q93" i="4" a="1"/>
  <c r="O93" i="4" a="1"/>
  <c r="O266" i="4"/>
  <c r="P29" i="8" a="1"/>
  <c r="P317" i="4"/>
  <c r="D51" i="7" a="1"/>
  <c r="N176" i="4" a="1"/>
  <c r="N178" i="4" a="1"/>
  <c r="O317" i="4"/>
  <c r="P16" i="8" a="1"/>
  <c r="O176" i="4" a="1"/>
  <c r="D53" i="7" a="1"/>
  <c r="O185" i="4"/>
  <c r="D37" i="7" a="1"/>
  <c r="O167" i="4"/>
  <c r="D39" i="7" a="1"/>
  <c r="D43" i="7" a="1"/>
  <c r="O256" i="4"/>
  <c r="D47" i="7" a="1"/>
  <c r="O286" i="4"/>
  <c r="D45" i="7" a="1"/>
  <c r="D52" i="7" a="1"/>
  <c r="D44" i="7" a="1"/>
  <c r="O29" i="8" a="1"/>
  <c r="D46" i="7" a="1"/>
  <c r="D48" i="7" a="1"/>
  <c r="D54" i="7" a="1"/>
  <c r="P21" i="8" a="1"/>
  <c r="O21" i="8" a="1"/>
  <c r="O16" i="8" a="1"/>
  <c r="D40" i="7" a="1"/>
  <c r="D41" i="7" a="1"/>
  <c r="D49" i="7" a="1"/>
  <c r="D50" i="7" a="1"/>
  <c r="D38" i="7" a="1"/>
  <c r="D42" i="7" a="1"/>
  <c r="M53" i="1"/>
  <c r="M156" i="1"/>
  <c r="M61" i="1"/>
  <c r="M151" i="1"/>
  <c r="M65" i="1"/>
  <c r="M48" i="1"/>
  <c r="M107" i="1"/>
  <c r="M86" i="1"/>
  <c r="M134" i="1"/>
  <c r="M85" i="1"/>
  <c r="M131" i="1"/>
  <c r="M132" i="1"/>
  <c r="M46" i="1"/>
  <c r="M152" i="1"/>
  <c r="M130" i="1"/>
  <c r="M74" i="1"/>
  <c r="M114" i="1"/>
  <c r="M83" i="1"/>
  <c r="M80" i="1"/>
  <c r="M158" i="1"/>
  <c r="M126" i="1"/>
  <c r="M138" i="1"/>
  <c r="M162" i="1"/>
  <c r="M44" i="1"/>
  <c r="M136" i="1"/>
  <c r="M55" i="1"/>
  <c r="M115" i="1"/>
  <c r="M56" i="1"/>
  <c r="M144" i="1"/>
  <c r="M129" i="1"/>
  <c r="M164" i="1"/>
  <c r="M50" i="1"/>
  <c r="M105" i="1"/>
  <c r="M172" i="1"/>
  <c r="M110" i="1"/>
  <c r="M67" i="1"/>
  <c r="M157" i="1"/>
  <c r="M100" i="1"/>
  <c r="M79" i="1"/>
  <c r="M84" i="1"/>
  <c r="M143" i="1"/>
  <c r="M175" i="1"/>
  <c r="M97" i="1"/>
  <c r="M54" i="1"/>
  <c r="M72" i="1"/>
  <c r="M141" i="1"/>
  <c r="M121" i="1"/>
  <c r="M45" i="1"/>
  <c r="M82" i="1"/>
  <c r="M64" i="1"/>
  <c r="M177" i="1"/>
  <c r="M159" i="1"/>
  <c r="M69" i="1"/>
  <c r="M96" i="1"/>
  <c r="M167" i="1"/>
  <c r="M58" i="1"/>
  <c r="M176" i="1"/>
  <c r="M154" i="1"/>
  <c r="M147" i="1"/>
  <c r="M119" i="1"/>
  <c r="M150" i="1"/>
  <c r="M140" i="1"/>
  <c r="M90" i="1"/>
  <c r="M127" i="1"/>
  <c r="M88" i="1"/>
  <c r="M52" i="1"/>
  <c r="M104" i="1"/>
  <c r="M108" i="1"/>
  <c r="M94" i="1"/>
  <c r="M63" i="1"/>
  <c r="M73" i="1"/>
  <c r="M120" i="1"/>
  <c r="M91" i="1"/>
  <c r="M169" i="1"/>
  <c r="M78" i="1"/>
  <c r="M139" i="1"/>
  <c r="M47" i="1"/>
  <c r="M174" i="1"/>
  <c r="M95" i="1"/>
  <c r="M60" i="1"/>
  <c r="M102" i="1"/>
  <c r="M124" i="1"/>
  <c r="M75" i="1"/>
  <c r="M168" i="1"/>
  <c r="M109" i="1"/>
  <c r="M87" i="1"/>
  <c r="M92" i="1"/>
  <c r="M161" i="1"/>
  <c r="M118" i="1"/>
  <c r="M62" i="1"/>
  <c r="M148" i="1"/>
  <c r="M160" i="1"/>
  <c r="M116" i="1"/>
  <c r="M165" i="1"/>
  <c r="M71" i="1"/>
  <c r="M68" i="1"/>
  <c r="M170" i="1"/>
  <c r="M93" i="1"/>
  <c r="M122" i="1"/>
  <c r="M117" i="1"/>
  <c r="M57" i="1"/>
  <c r="M103" i="1"/>
  <c r="M123" i="1"/>
  <c r="M163" i="1"/>
  <c r="M145" i="1"/>
  <c r="M133" i="1"/>
  <c r="M51" i="1"/>
  <c r="M81" i="1"/>
  <c r="M166" i="1"/>
  <c r="M89" i="1"/>
  <c r="M113" i="1"/>
  <c r="M155" i="1"/>
  <c r="M111" i="1"/>
  <c r="M112" i="1"/>
  <c r="M49" i="1"/>
  <c r="M70" i="1"/>
  <c r="M125" i="1"/>
  <c r="M76" i="1"/>
  <c r="M171" i="1"/>
  <c r="M128" i="1"/>
  <c r="M149" i="1"/>
  <c r="M153" i="1"/>
  <c r="M99" i="1"/>
  <c r="M98" i="1"/>
  <c r="M142" i="1"/>
  <c r="M101" i="1"/>
  <c r="M146" i="1"/>
  <c r="M106" i="1"/>
  <c r="M135" i="1"/>
  <c r="M66" i="1"/>
  <c r="M173" i="1"/>
  <c r="M77" i="1"/>
  <c r="M59" i="1"/>
  <c r="M137" i="1"/>
  <c r="O22" i="4" a="1"/>
  <c r="O20" i="4" a="1"/>
  <c r="O18" i="4" a="1"/>
  <c r="O23" i="4" a="1"/>
  <c r="O21" i="4" a="1"/>
  <c r="O17" i="4" a="1"/>
  <c r="M273" i="2" a="1"/>
  <c r="N273" i="2" a="1"/>
  <c r="N17" i="4" a="1"/>
  <c r="N31" i="4"/>
  <c r="N191" i="4"/>
  <c r="O19" i="4" a="1"/>
  <c r="G147" i="2" l="1"/>
  <c r="J147" i="2" s="1"/>
  <c r="K147" i="2" s="1"/>
  <c r="L147" i="2" s="1"/>
  <c r="G144" i="2"/>
  <c r="J144" i="2" s="1"/>
  <c r="K144" i="2" s="1"/>
  <c r="L144" i="2" s="1"/>
  <c r="G92" i="2"/>
  <c r="J92" i="2" s="1"/>
  <c r="K92" i="2" s="1"/>
  <c r="L92" i="2" s="1"/>
  <c r="G141" i="2"/>
  <c r="J141" i="2" s="1"/>
  <c r="K141" i="2" s="1"/>
  <c r="L141" i="2" s="1"/>
  <c r="K16" i="1"/>
  <c r="K17" i="1"/>
  <c r="K20" i="1"/>
  <c r="K23" i="1"/>
  <c r="G306" i="4" s="1"/>
  <c r="K18" i="1"/>
  <c r="K19" i="1"/>
  <c r="K21" i="1"/>
  <c r="K22" i="1"/>
  <c r="K24" i="1"/>
  <c r="K25" i="1"/>
  <c r="K26" i="1"/>
  <c r="K27" i="1"/>
  <c r="K28" i="1"/>
  <c r="K29" i="1"/>
  <c r="K30" i="1"/>
  <c r="K31" i="1"/>
  <c r="K32" i="1"/>
  <c r="K33" i="1"/>
  <c r="AB62" i="2"/>
  <c r="AA71" i="2"/>
  <c r="M266" i="2"/>
  <c r="E201" i="4"/>
  <c r="F204" i="4" s="1"/>
  <c r="Q280" i="4"/>
  <c r="A12" i="7"/>
  <c r="C12" i="7"/>
  <c r="N80" i="13"/>
  <c r="G92" i="13"/>
  <c r="E95" i="13"/>
  <c r="F95" i="13"/>
  <c r="G95" i="13"/>
  <c r="H95" i="13"/>
  <c r="F210" i="4"/>
  <c r="P120" i="4"/>
  <c r="Q120" i="4"/>
  <c r="I121" i="4"/>
  <c r="Q121" i="4" s="1"/>
  <c r="P31" i="4"/>
  <c r="P191" i="4"/>
  <c r="P42" i="4"/>
  <c r="D210" i="4"/>
  <c r="H42" i="6"/>
  <c r="I42" i="6" s="1"/>
  <c r="J42" i="6" s="1"/>
  <c r="K42" i="6" s="1"/>
  <c r="H58" i="6"/>
  <c r="I58" i="6" s="1"/>
  <c r="J58" i="6" s="1"/>
  <c r="K58" i="6" s="1"/>
  <c r="H43" i="6"/>
  <c r="I43" i="6" s="1"/>
  <c r="J43" i="6" s="1"/>
  <c r="K43" i="6" s="1"/>
  <c r="H59" i="6"/>
  <c r="I59" i="6" s="1"/>
  <c r="J59" i="6" s="1"/>
  <c r="K59" i="6" s="1"/>
  <c r="H44" i="6"/>
  <c r="H60" i="6"/>
  <c r="I60" i="6" s="1"/>
  <c r="J60" i="6" s="1"/>
  <c r="K60" i="6" s="1"/>
  <c r="H45" i="6"/>
  <c r="H61" i="6"/>
  <c r="I61" i="6" s="1"/>
  <c r="J61" i="6" s="1"/>
  <c r="K61" i="6" s="1"/>
  <c r="H46" i="6"/>
  <c r="H62" i="6"/>
  <c r="I62" i="6" s="1"/>
  <c r="J62" i="6" s="1"/>
  <c r="K62" i="6" s="1"/>
  <c r="H47" i="6"/>
  <c r="H63" i="6"/>
  <c r="I63" i="6" s="1"/>
  <c r="J63" i="6" s="1"/>
  <c r="K63" i="6" s="1"/>
  <c r="H57" i="6"/>
  <c r="I57" i="6" s="1"/>
  <c r="J57" i="6" s="1"/>
  <c r="K57" i="6" s="1"/>
  <c r="H48" i="6"/>
  <c r="I48" i="6" s="1"/>
  <c r="J48" i="6" s="1"/>
  <c r="K48" i="6" s="1"/>
  <c r="H64" i="6"/>
  <c r="I64" i="6" s="1"/>
  <c r="J64" i="6" s="1"/>
  <c r="K64" i="6" s="1"/>
  <c r="H50" i="6"/>
  <c r="I50" i="6" s="1"/>
  <c r="J50" i="6" s="1"/>
  <c r="K50" i="6" s="1"/>
  <c r="H49" i="6"/>
  <c r="I49" i="6" s="1"/>
  <c r="J49" i="6" s="1"/>
  <c r="K49" i="6" s="1"/>
  <c r="H35" i="6"/>
  <c r="H51" i="6"/>
  <c r="I51" i="6" s="1"/>
  <c r="J51" i="6" s="1"/>
  <c r="K51" i="6" s="1"/>
  <c r="H36" i="6"/>
  <c r="H52" i="6"/>
  <c r="I52" i="6" s="1"/>
  <c r="J52" i="6" s="1"/>
  <c r="K52" i="6" s="1"/>
  <c r="H37" i="6"/>
  <c r="H53" i="6"/>
  <c r="I53" i="6" s="1"/>
  <c r="J53" i="6" s="1"/>
  <c r="K53" i="6" s="1"/>
  <c r="H38" i="6"/>
  <c r="H54" i="6"/>
  <c r="I54" i="6" s="1"/>
  <c r="J54" i="6" s="1"/>
  <c r="K54" i="6" s="1"/>
  <c r="H41" i="6"/>
  <c r="H39" i="6"/>
  <c r="H55" i="6"/>
  <c r="I55" i="6" s="1"/>
  <c r="J55" i="6" s="1"/>
  <c r="K55" i="6" s="1"/>
  <c r="H40" i="6"/>
  <c r="H56" i="6"/>
  <c r="I56" i="6" s="1"/>
  <c r="J56" i="6" s="1"/>
  <c r="K56" i="6" s="1"/>
  <c r="M64" i="6"/>
  <c r="N53" i="6"/>
  <c r="N58" i="6"/>
  <c r="M53" i="6"/>
  <c r="M59" i="6"/>
  <c r="N64" i="6"/>
  <c r="N54" i="6"/>
  <c r="M60" i="6"/>
  <c r="M55" i="6"/>
  <c r="N60" i="6"/>
  <c r="M54" i="6"/>
  <c r="M50" i="6"/>
  <c r="N55" i="6"/>
  <c r="N50" i="6"/>
  <c r="M61" i="6"/>
  <c r="M56" i="6"/>
  <c r="N61" i="6"/>
  <c r="M51" i="6"/>
  <c r="N56" i="6"/>
  <c r="N59" i="6"/>
  <c r="N51" i="6"/>
  <c r="M62" i="6"/>
  <c r="M57" i="6"/>
  <c r="N62" i="6"/>
  <c r="M52" i="6"/>
  <c r="N57" i="6"/>
  <c r="N52" i="6"/>
  <c r="M63" i="6"/>
  <c r="M58" i="6"/>
  <c r="N63" i="6"/>
  <c r="Q2" i="5" a="1"/>
  <c r="Q2" i="5" s="1"/>
  <c r="T2" i="5" s="1" a="1"/>
  <c r="T2" i="5" s="1"/>
  <c r="N99" i="4"/>
  <c r="O99" i="4"/>
  <c r="N95" i="4"/>
  <c r="O95" i="4"/>
  <c r="Q95" i="4"/>
  <c r="N94" i="4"/>
  <c r="O94" i="4"/>
  <c r="N98" i="4"/>
  <c r="Q94" i="4"/>
  <c r="O98" i="4"/>
  <c r="AL54" i="2"/>
  <c r="AJ54" i="2"/>
  <c r="U78" i="2"/>
  <c r="AM54" i="2"/>
  <c r="AO53" i="2"/>
  <c r="AM55" i="2"/>
  <c r="AK54" i="2"/>
  <c r="AO55" i="2"/>
  <c r="AM291" i="2"/>
  <c r="AN291" i="2" s="1"/>
  <c r="AO291" i="2" s="1"/>
  <c r="AL55" i="2"/>
  <c r="AJ53" i="2"/>
  <c r="AM53" i="2"/>
  <c r="AE2" i="2"/>
  <c r="V78" i="2"/>
  <c r="AO54" i="2"/>
  <c r="Z18" i="2"/>
  <c r="H31" i="6"/>
  <c r="H32" i="6"/>
  <c r="H33" i="6"/>
  <c r="H34" i="6"/>
  <c r="H30" i="6"/>
  <c r="BF268" i="2"/>
  <c r="G310" i="4"/>
  <c r="H27" i="6"/>
  <c r="H28" i="6"/>
  <c r="H29" i="6"/>
  <c r="H19" i="6"/>
  <c r="H20" i="6"/>
  <c r="H21" i="6"/>
  <c r="H22" i="6"/>
  <c r="H23" i="6"/>
  <c r="H24" i="6"/>
  <c r="H25" i="6"/>
  <c r="H26" i="6"/>
  <c r="T78" i="2"/>
  <c r="M48" i="6"/>
  <c r="M49" i="6"/>
  <c r="N49" i="6"/>
  <c r="N43" i="6"/>
  <c r="N48" i="6"/>
  <c r="R62" i="2"/>
  <c r="Q4" i="2" s="1"/>
  <c r="E274" i="2"/>
  <c r="C29" i="4" s="1"/>
  <c r="N35" i="6"/>
  <c r="V280" i="2"/>
  <c r="R281" i="2"/>
  <c r="T281" i="2"/>
  <c r="R280" i="2"/>
  <c r="N17" i="4"/>
  <c r="N93" i="4"/>
  <c r="D54" i="7"/>
  <c r="Q93" i="4"/>
  <c r="O16" i="8"/>
  <c r="O18" i="8" s="1"/>
  <c r="O316" i="4"/>
  <c r="D41" i="7"/>
  <c r="D48" i="7"/>
  <c r="P16" i="8"/>
  <c r="P18" i="8" s="1"/>
  <c r="O18" i="4"/>
  <c r="P316" i="4"/>
  <c r="O21" i="8"/>
  <c r="D42" i="7"/>
  <c r="P21" i="8"/>
  <c r="O19" i="4"/>
  <c r="D49" i="7"/>
  <c r="O29" i="8"/>
  <c r="D43" i="7"/>
  <c r="P29" i="8"/>
  <c r="O17" i="4"/>
  <c r="D40" i="7"/>
  <c r="O20" i="4"/>
  <c r="N176" i="4"/>
  <c r="D50" i="7"/>
  <c r="O176" i="4"/>
  <c r="D44" i="7"/>
  <c r="O21" i="4"/>
  <c r="N178" i="4"/>
  <c r="D37" i="7"/>
  <c r="D51" i="7"/>
  <c r="N97" i="4"/>
  <c r="M273" i="2"/>
  <c r="O22" i="4"/>
  <c r="O97" i="4"/>
  <c r="D38" i="7"/>
  <c r="D45" i="7"/>
  <c r="D52" i="7"/>
  <c r="N273" i="2"/>
  <c r="A1" i="14" s="1"/>
  <c r="D47" i="7"/>
  <c r="O23" i="4"/>
  <c r="D39" i="7"/>
  <c r="D46" i="7"/>
  <c r="D53" i="7"/>
  <c r="O93" i="4"/>
  <c r="I5" i="1"/>
  <c r="Q1" i="1"/>
  <c r="D4" i="1" s="1"/>
  <c r="O1" i="1"/>
  <c r="D16" i="1" s="1"/>
  <c r="I1" i="1"/>
  <c r="D8" i="1"/>
  <c r="G291" i="4" s="1"/>
  <c r="U291" i="4" s="1"/>
  <c r="AN55" i="2"/>
  <c r="AN53" i="2"/>
  <c r="AN54" i="2"/>
  <c r="I2" i="1"/>
  <c r="M2" i="3"/>
  <c r="G291" i="2"/>
  <c r="K6" i="1"/>
  <c r="T279" i="2"/>
  <c r="V279" i="2"/>
  <c r="R279" i="2"/>
  <c r="D1" i="15"/>
  <c r="G290" i="4"/>
  <c r="U290" i="4" s="1"/>
  <c r="J15" i="1"/>
  <c r="Z19" i="2"/>
  <c r="S73" i="4"/>
  <c r="S74" i="4"/>
  <c r="P73" i="4"/>
  <c r="P74" i="4"/>
  <c r="M73" i="4"/>
  <c r="M74" i="4"/>
  <c r="Q7" i="2"/>
  <c r="AB60" i="2"/>
  <c r="AA60" i="2" s="1"/>
  <c r="AA55" i="2" s="1"/>
  <c r="Z21" i="2"/>
  <c r="Z20" i="2"/>
  <c r="J28" i="2"/>
  <c r="C3" i="2" s="1"/>
  <c r="G137" i="13"/>
  <c r="AD3" i="2"/>
  <c r="AE3" i="2" s="1"/>
  <c r="R94" i="2"/>
  <c r="Y291" i="2"/>
  <c r="A63" i="2"/>
  <c r="W291" i="2"/>
  <c r="AK53" i="2"/>
  <c r="AM299" i="2"/>
  <c r="AN299" i="2" s="1"/>
  <c r="AO299" i="2" s="1"/>
  <c r="AH299" i="2"/>
  <c r="AG299" i="2"/>
  <c r="B116" i="4"/>
  <c r="F116" i="4" s="1"/>
  <c r="F117" i="4" s="1"/>
  <c r="B141" i="4"/>
  <c r="F141" i="4" s="1"/>
  <c r="F142" i="4" s="1"/>
  <c r="B53" i="4"/>
  <c r="AB52" i="2"/>
  <c r="AL53" i="2"/>
  <c r="A275" i="2"/>
  <c r="L274" i="2" s="1"/>
  <c r="AJ55" i="2"/>
  <c r="AK55" i="2"/>
  <c r="AH291" i="2"/>
  <c r="AH295" i="2"/>
  <c r="F274" i="2"/>
  <c r="AJ291" i="2"/>
  <c r="AM295" i="2"/>
  <c r="AN295" i="2" s="1"/>
  <c r="AO295" i="2" s="1"/>
  <c r="AH303" i="2"/>
  <c r="AG303" i="2"/>
  <c r="L2" i="3"/>
  <c r="A2" i="3"/>
  <c r="CA327" i="2"/>
  <c r="BZ327" i="2"/>
  <c r="BY327" i="2"/>
  <c r="BU327" i="2"/>
  <c r="AG307" i="2"/>
  <c r="AH307" i="2"/>
  <c r="BN331" i="2"/>
  <c r="BN332" i="2" s="1"/>
  <c r="M43" i="6"/>
  <c r="M42" i="6"/>
  <c r="N40" i="6"/>
  <c r="N47" i="6"/>
  <c r="N39" i="6"/>
  <c r="N46" i="6"/>
  <c r="N38" i="6"/>
  <c r="N45" i="6"/>
  <c r="N37" i="6"/>
  <c r="N44" i="6"/>
  <c r="N36" i="6"/>
  <c r="N42" i="6"/>
  <c r="N34" i="6"/>
  <c r="N41" i="6"/>
  <c r="N33" i="6"/>
  <c r="K82" i="13"/>
  <c r="L82" i="13"/>
  <c r="M82" i="13" s="1"/>
  <c r="N82" i="13" s="1"/>
  <c r="O82" i="13" s="1"/>
  <c r="P82" i="13" s="1"/>
  <c r="A86" i="13"/>
  <c r="H92" i="13"/>
  <c r="M74" i="13"/>
  <c r="N74" i="13"/>
  <c r="P93" i="4" a="1"/>
  <c r="N53" i="4"/>
  <c r="E4" i="1" l="1"/>
  <c r="G280" i="4" s="1"/>
  <c r="K10" i="1"/>
  <c r="D10" i="1" s="1"/>
  <c r="E12" i="7"/>
  <c r="D12" i="7"/>
  <c r="D3" i="1"/>
  <c r="H98" i="13"/>
  <c r="O80" i="13"/>
  <c r="R95" i="2"/>
  <c r="R96" i="2" s="1"/>
  <c r="R97" i="2" s="1"/>
  <c r="R92" i="2" s="1"/>
  <c r="N116" i="4" s="1"/>
  <c r="V79" i="2"/>
  <c r="BN336" i="2"/>
  <c r="R123" i="4" s="1"/>
  <c r="S125" i="4"/>
  <c r="P93" i="4"/>
  <c r="J1" i="1"/>
  <c r="I27" i="6"/>
  <c r="J27" i="6" s="1"/>
  <c r="K27" i="6" s="1"/>
  <c r="M27" i="6"/>
  <c r="M31" i="6"/>
  <c r="I31" i="6"/>
  <c r="J31" i="6" s="1"/>
  <c r="K31" i="6" s="1"/>
  <c r="AZ291" i="2"/>
  <c r="M34" i="6"/>
  <c r="I34" i="6"/>
  <c r="J34" i="6" s="1"/>
  <c r="K34" i="6" s="1"/>
  <c r="I36" i="6"/>
  <c r="J36" i="6" s="1"/>
  <c r="K36" i="6" s="1"/>
  <c r="M36" i="6"/>
  <c r="M38" i="6"/>
  <c r="I38" i="6"/>
  <c r="J38" i="6" s="1"/>
  <c r="K38" i="6" s="1"/>
  <c r="M40" i="6"/>
  <c r="I40" i="6"/>
  <c r="J40" i="6" s="1"/>
  <c r="K40" i="6" s="1"/>
  <c r="I22" i="6"/>
  <c r="J22" i="6" s="1"/>
  <c r="K22" i="6" s="1"/>
  <c r="M22" i="6"/>
  <c r="I30" i="6"/>
  <c r="J30" i="6" s="1"/>
  <c r="K30" i="6" s="1"/>
  <c r="M30" i="6"/>
  <c r="M44" i="6"/>
  <c r="I44" i="6"/>
  <c r="J44" i="6" s="1"/>
  <c r="K44" i="6" s="1"/>
  <c r="I46" i="6"/>
  <c r="J46" i="6" s="1"/>
  <c r="K46" i="6" s="1"/>
  <c r="M46" i="6"/>
  <c r="D29" i="4"/>
  <c r="I274" i="2"/>
  <c r="C269" i="2" s="1"/>
  <c r="C270" i="2" s="1"/>
  <c r="AC4" i="2"/>
  <c r="M19" i="6"/>
  <c r="I19" i="6"/>
  <c r="J19" i="6" s="1"/>
  <c r="K19" i="6" s="1"/>
  <c r="A13" i="7"/>
  <c r="S75" i="4"/>
  <c r="P75" i="4"/>
  <c r="M75" i="4"/>
  <c r="F275" i="2"/>
  <c r="E275" i="2"/>
  <c r="A276" i="2"/>
  <c r="L276" i="2" s="1"/>
  <c r="K274" i="2"/>
  <c r="M35" i="6"/>
  <c r="I35" i="6"/>
  <c r="J35" i="6" s="1"/>
  <c r="K35" i="6" s="1"/>
  <c r="I20" i="6"/>
  <c r="J20" i="6" s="1"/>
  <c r="K20" i="6" s="1"/>
  <c r="M20" i="6"/>
  <c r="M26" i="6"/>
  <c r="I26" i="6"/>
  <c r="J26" i="6" s="1"/>
  <c r="K26" i="6" s="1"/>
  <c r="M28" i="6"/>
  <c r="I28" i="6"/>
  <c r="J28" i="6" s="1"/>
  <c r="K28" i="6" s="1"/>
  <c r="M32" i="6"/>
  <c r="I32" i="6"/>
  <c r="J32" i="6" s="1"/>
  <c r="K32" i="6" s="1"/>
  <c r="A64" i="2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A62" i="2"/>
  <c r="M25" i="6"/>
  <c r="I25" i="6"/>
  <c r="J25" i="6" s="1"/>
  <c r="K25" i="6" s="1"/>
  <c r="M33" i="6"/>
  <c r="I33" i="6"/>
  <c r="J33" i="6" s="1"/>
  <c r="K33" i="6" s="1"/>
  <c r="M21" i="6"/>
  <c r="I21" i="6"/>
  <c r="J21" i="6" s="1"/>
  <c r="K21" i="6" s="1"/>
  <c r="M41" i="6"/>
  <c r="I41" i="6"/>
  <c r="J41" i="6" s="1"/>
  <c r="K41" i="6" s="1"/>
  <c r="F205" i="4"/>
  <c r="G205" i="4" s="1"/>
  <c r="C205" i="4"/>
  <c r="F202" i="4"/>
  <c r="G202" i="4" s="1"/>
  <c r="C202" i="4"/>
  <c r="G204" i="4"/>
  <c r="F201" i="4"/>
  <c r="G201" i="4" s="1"/>
  <c r="C204" i="4"/>
  <c r="C201" i="4"/>
  <c r="B202" i="4" s="1"/>
  <c r="C206" i="4"/>
  <c r="F203" i="4"/>
  <c r="G203" i="4" s="1"/>
  <c r="C203" i="4"/>
  <c r="F206" i="4"/>
  <c r="G206" i="4" s="1"/>
  <c r="M24" i="6"/>
  <c r="I24" i="6"/>
  <c r="J24" i="6" s="1"/>
  <c r="K24" i="6" s="1"/>
  <c r="M23" i="6"/>
  <c r="I23" i="6"/>
  <c r="J23" i="6" s="1"/>
  <c r="K23" i="6" s="1"/>
  <c r="M37" i="6"/>
  <c r="I37" i="6"/>
  <c r="J37" i="6" s="1"/>
  <c r="K37" i="6" s="1"/>
  <c r="I39" i="6"/>
  <c r="J39" i="6" s="1"/>
  <c r="K39" i="6" s="1"/>
  <c r="M39" i="6"/>
  <c r="L6" i="1"/>
  <c r="K5" i="1"/>
  <c r="I29" i="6"/>
  <c r="J29" i="6" s="1"/>
  <c r="K29" i="6" s="1"/>
  <c r="M29" i="6"/>
  <c r="I45" i="6"/>
  <c r="J45" i="6" s="1"/>
  <c r="K45" i="6" s="1"/>
  <c r="M45" i="6"/>
  <c r="M47" i="6"/>
  <c r="I47" i="6"/>
  <c r="J47" i="6" s="1"/>
  <c r="K47" i="6" s="1"/>
  <c r="P95" i="4" a="1"/>
  <c r="P94" i="4" a="1"/>
  <c r="O31" i="4" a="1"/>
  <c r="Q33" i="4" l="1"/>
  <c r="S33" i="4"/>
  <c r="P33" i="4"/>
  <c r="C6" i="2"/>
  <c r="G34" i="4" s="1"/>
  <c r="M33" i="4"/>
  <c r="G104" i="4"/>
  <c r="S104" i="4" s="1"/>
  <c r="G102" i="4"/>
  <c r="S102" i="4" s="1"/>
  <c r="F12" i="7"/>
  <c r="H27" i="7" s="1"/>
  <c r="J27" i="7" s="1"/>
  <c r="G108" i="4"/>
  <c r="S108" i="4" s="1"/>
  <c r="G106" i="4"/>
  <c r="S106" i="4" s="1"/>
  <c r="F3" i="6"/>
  <c r="C268" i="2"/>
  <c r="E3" i="1"/>
  <c r="D36" i="1" s="1"/>
  <c r="I98" i="13"/>
  <c r="I92" i="13"/>
  <c r="P80" i="13"/>
  <c r="G110" i="4"/>
  <c r="S110" i="4" s="1"/>
  <c r="S303" i="4"/>
  <c r="T303" i="4"/>
  <c r="O303" i="4"/>
  <c r="M303" i="4"/>
  <c r="N303" i="4"/>
  <c r="R117" i="4"/>
  <c r="Q117" i="4"/>
  <c r="P117" i="4"/>
  <c r="O117" i="4"/>
  <c r="N117" i="4"/>
  <c r="M117" i="4"/>
  <c r="P116" i="4"/>
  <c r="M116" i="4"/>
  <c r="R114" i="4"/>
  <c r="N114" i="4"/>
  <c r="C116" i="4"/>
  <c r="C117" i="4" s="1"/>
  <c r="G117" i="4"/>
  <c r="S117" i="4" s="1"/>
  <c r="Q114" i="4"/>
  <c r="R113" i="4"/>
  <c r="M114" i="4"/>
  <c r="S114" i="4"/>
  <c r="G293" i="4"/>
  <c r="U293" i="4" s="1"/>
  <c r="P95" i="4"/>
  <c r="P94" i="4"/>
  <c r="O304" i="4"/>
  <c r="S304" i="4"/>
  <c r="N281" i="4"/>
  <c r="N302" i="4"/>
  <c r="M301" i="4"/>
  <c r="M302" i="4"/>
  <c r="O302" i="4"/>
  <c r="M304" i="4"/>
  <c r="T304" i="4"/>
  <c r="Q281" i="4"/>
  <c r="T302" i="4"/>
  <c r="S281" i="4"/>
  <c r="S302" i="4"/>
  <c r="N304" i="4"/>
  <c r="S301" i="4"/>
  <c r="T301" i="4"/>
  <c r="O301" i="4"/>
  <c r="K3" i="1"/>
  <c r="K4" i="1" s="1"/>
  <c r="G180" i="4" s="1"/>
  <c r="N180" i="4" s="1"/>
  <c r="M281" i="4"/>
  <c r="N301" i="4"/>
  <c r="AA63" i="2"/>
  <c r="AA64" i="2" s="1"/>
  <c r="O31" i="4"/>
  <c r="G275" i="2"/>
  <c r="U68" i="2"/>
  <c r="K16" i="6"/>
  <c r="K15" i="6"/>
  <c r="K36" i="2"/>
  <c r="J274" i="2"/>
  <c r="M6" i="1"/>
  <c r="M5" i="1" s="1"/>
  <c r="L5" i="1"/>
  <c r="AD4" i="2"/>
  <c r="AE4" i="2" s="1"/>
  <c r="A14" i="7"/>
  <c r="F276" i="2"/>
  <c r="E276" i="2"/>
  <c r="A277" i="2"/>
  <c r="K275" i="2"/>
  <c r="B203" i="4"/>
  <c r="B204" i="4" s="1"/>
  <c r="B205" i="4" s="1"/>
  <c r="B206" i="4" s="1"/>
  <c r="Q116" i="4"/>
  <c r="N274" i="2" a="1"/>
  <c r="M274" i="2" a="1"/>
  <c r="G33" i="4" l="1"/>
  <c r="N33" i="4" s="1"/>
  <c r="T33" i="2"/>
  <c r="T32" i="2"/>
  <c r="C27" i="2"/>
  <c r="G273" i="4" s="1"/>
  <c r="S273" i="4" s="1"/>
  <c r="C167" i="4"/>
  <c r="A167" i="4"/>
  <c r="G43" i="4"/>
  <c r="N43" i="4" s="1"/>
  <c r="D8" i="2"/>
  <c r="L20" i="2" s="1"/>
  <c r="M20" i="2" s="1"/>
  <c r="D7" i="2"/>
  <c r="I27" i="7"/>
  <c r="L26" i="7" s="1"/>
  <c r="H11" i="7"/>
  <c r="J11" i="7" s="1"/>
  <c r="L11" i="7" s="1"/>
  <c r="H12" i="7"/>
  <c r="J12" i="7" s="1"/>
  <c r="L12" i="7" s="1"/>
  <c r="G284" i="4"/>
  <c r="T284" i="4" s="1"/>
  <c r="N34" i="4"/>
  <c r="G305" i="4"/>
  <c r="U305" i="4" s="1"/>
  <c r="N280" i="4"/>
  <c r="AA65" i="2"/>
  <c r="AA66" i="2" s="1"/>
  <c r="AA67" i="2" s="1"/>
  <c r="AA68" i="2" s="1"/>
  <c r="AA69" i="2" s="1"/>
  <c r="AA70" i="2" s="1"/>
  <c r="AC5" i="2"/>
  <c r="AD5" i="2" s="1"/>
  <c r="AE5" i="2" s="1"/>
  <c r="G276" i="2"/>
  <c r="H276" i="2" s="1"/>
  <c r="G311" i="4"/>
  <c r="K276" i="2"/>
  <c r="D6" i="1"/>
  <c r="R308" i="4" s="1"/>
  <c r="M274" i="2"/>
  <c r="N274" i="2"/>
  <c r="A15" i="7"/>
  <c r="A278" i="2"/>
  <c r="L277" i="2" s="1"/>
  <c r="F277" i="2"/>
  <c r="E277" i="2"/>
  <c r="K26" i="7"/>
  <c r="K27" i="7"/>
  <c r="N275" i="2" a="1"/>
  <c r="N275" i="2" s="1"/>
  <c r="M275" i="2" a="1"/>
  <c r="M275" i="2" s="1"/>
  <c r="A75" i="4"/>
  <c r="AG274" i="2"/>
  <c r="M36" i="2"/>
  <c r="L36" i="2"/>
  <c r="J36" i="2"/>
  <c r="Z22" i="2" s="1"/>
  <c r="A76" i="2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2" i="2" s="1"/>
  <c r="N276" i="2" a="1"/>
  <c r="O169" i="4"/>
  <c r="N169" i="4"/>
  <c r="I167" i="4" l="1"/>
  <c r="P167" i="4" s="1"/>
  <c r="B7" i="15"/>
  <c r="L15" i="2"/>
  <c r="M15" i="2" s="1"/>
  <c r="O15" i="2" s="1"/>
  <c r="L16" i="2"/>
  <c r="M16" i="2" s="1"/>
  <c r="O16" i="2" s="1"/>
  <c r="AI13" i="2"/>
  <c r="AI14" i="2" s="1"/>
  <c r="AI15" i="2" s="1"/>
  <c r="L23" i="2"/>
  <c r="M23" i="2" s="1"/>
  <c r="AT299" i="2" s="1"/>
  <c r="AU299" i="2" s="1"/>
  <c r="AI24" i="2"/>
  <c r="L14" i="2"/>
  <c r="M14" i="2" s="1"/>
  <c r="O14" i="2" s="1"/>
  <c r="H223" i="4"/>
  <c r="D12" i="2"/>
  <c r="H56" i="4" s="1"/>
  <c r="R56" i="4" s="1"/>
  <c r="L18" i="2"/>
  <c r="M18" i="2" s="1"/>
  <c r="O18" i="2" s="1"/>
  <c r="L17" i="2"/>
  <c r="M17" i="2" s="1"/>
  <c r="O17" i="2" s="1"/>
  <c r="Z266" i="2"/>
  <c r="H54" i="4"/>
  <c r="R54" i="4" s="1"/>
  <c r="L22" i="2"/>
  <c r="M22" i="2" s="1"/>
  <c r="O22" i="2" s="1"/>
  <c r="L21" i="2"/>
  <c r="M21" i="2" s="1"/>
  <c r="O21" i="2" s="1"/>
  <c r="C38" i="2"/>
  <c r="L19" i="2"/>
  <c r="M19" i="2" s="1"/>
  <c r="AT295" i="2" s="1"/>
  <c r="AU295" i="2" s="1"/>
  <c r="O20" i="2"/>
  <c r="N20" i="2"/>
  <c r="I12" i="7"/>
  <c r="K12" i="7" s="1"/>
  <c r="R12" i="7"/>
  <c r="L27" i="7"/>
  <c r="N27" i="7" s="1"/>
  <c r="I11" i="7"/>
  <c r="K11" i="7" s="1"/>
  <c r="O246" i="4"/>
  <c r="AA262" i="2"/>
  <c r="R245" i="4" s="1"/>
  <c r="S248" i="4"/>
  <c r="I277" i="2"/>
  <c r="F6" i="6" s="1"/>
  <c r="S310" i="4"/>
  <c r="G312" i="4"/>
  <c r="U312" i="4" s="1"/>
  <c r="M309" i="4"/>
  <c r="T310" i="4"/>
  <c r="N312" i="4"/>
  <c r="O312" i="4"/>
  <c r="M312" i="4"/>
  <c r="D11" i="1"/>
  <c r="G294" i="4" s="1"/>
  <c r="U294" i="4" s="1"/>
  <c r="M2" i="2"/>
  <c r="S309" i="4"/>
  <c r="M311" i="4"/>
  <c r="N311" i="4"/>
  <c r="T312" i="4"/>
  <c r="O309" i="4"/>
  <c r="N309" i="4"/>
  <c r="U310" i="4"/>
  <c r="G289" i="4"/>
  <c r="U289" i="4" s="1"/>
  <c r="S312" i="4"/>
  <c r="T309" i="4"/>
  <c r="O311" i="4"/>
  <c r="U309" i="4"/>
  <c r="S311" i="4"/>
  <c r="M310" i="4"/>
  <c r="T311" i="4"/>
  <c r="N310" i="4"/>
  <c r="O310" i="4"/>
  <c r="U311" i="4"/>
  <c r="N276" i="2"/>
  <c r="AC6" i="2"/>
  <c r="D139" i="4"/>
  <c r="F139" i="4" s="1"/>
  <c r="A16" i="7"/>
  <c r="S76" i="4"/>
  <c r="P76" i="4"/>
  <c r="M76" i="4"/>
  <c r="E278" i="2"/>
  <c r="K277" i="2"/>
  <c r="A279" i="2"/>
  <c r="L279" i="2" s="1"/>
  <c r="F278" i="2"/>
  <c r="E139" i="4"/>
  <c r="E15" i="7"/>
  <c r="D15" i="7"/>
  <c r="N26" i="7"/>
  <c r="C141" i="4"/>
  <c r="C142" i="4" s="1"/>
  <c r="M276" i="2" a="1"/>
  <c r="N16" i="2" l="1"/>
  <c r="AY299" i="2"/>
  <c r="N21" i="2"/>
  <c r="N15" i="2"/>
  <c r="N23" i="2"/>
  <c r="O23" i="2"/>
  <c r="Z269" i="2"/>
  <c r="AY295" i="2"/>
  <c r="N14" i="2"/>
  <c r="N19" i="2"/>
  <c r="N17" i="2"/>
  <c r="O19" i="2"/>
  <c r="N18" i="2"/>
  <c r="N22" i="2"/>
  <c r="Q12" i="7"/>
  <c r="S12" i="7" s="1"/>
  <c r="K38" i="2"/>
  <c r="M38" i="2" s="1"/>
  <c r="E269" i="2"/>
  <c r="E268" i="2" s="1"/>
  <c r="M276" i="2"/>
  <c r="F15" i="7"/>
  <c r="H15" i="7" s="1"/>
  <c r="J15" i="7" s="1"/>
  <c r="L15" i="7" s="1"/>
  <c r="G278" i="2"/>
  <c r="AD6" i="2"/>
  <c r="AE6" i="2" s="1"/>
  <c r="B132" i="4"/>
  <c r="R131" i="4"/>
  <c r="A17" i="7"/>
  <c r="S77" i="4"/>
  <c r="P77" i="4"/>
  <c r="M77" i="4"/>
  <c r="A280" i="2"/>
  <c r="F279" i="2"/>
  <c r="E279" i="2"/>
  <c r="K278" i="2"/>
  <c r="M277" i="2" a="1"/>
  <c r="N277" i="2" a="1"/>
  <c r="I15" i="7" l="1"/>
  <c r="K15" i="7" s="1"/>
  <c r="G279" i="2"/>
  <c r="H279" i="2" s="1"/>
  <c r="N277" i="2"/>
  <c r="M277" i="2"/>
  <c r="AC7" i="2"/>
  <c r="O142" i="4"/>
  <c r="M133" i="4"/>
  <c r="N142" i="4"/>
  <c r="P139" i="4"/>
  <c r="N137" i="4"/>
  <c r="Q132" i="4"/>
  <c r="M142" i="4"/>
  <c r="M137" i="4"/>
  <c r="P132" i="4"/>
  <c r="Q136" i="4"/>
  <c r="N132" i="4"/>
  <c r="P136" i="4"/>
  <c r="M132" i="4"/>
  <c r="N136" i="4"/>
  <c r="M139" i="4"/>
  <c r="M136" i="4"/>
  <c r="P141" i="4"/>
  <c r="P134" i="4"/>
  <c r="O134" i="4"/>
  <c r="O133" i="4" s="1"/>
  <c r="M141" i="4"/>
  <c r="Q142" i="4"/>
  <c r="P133" i="4"/>
  <c r="Q137" i="4"/>
  <c r="G138" i="4"/>
  <c r="M134" i="4"/>
  <c r="R142" i="4"/>
  <c r="M278" i="2" a="1"/>
  <c r="M278" i="2" s="1"/>
  <c r="K279" i="2"/>
  <c r="N278" i="2" a="1"/>
  <c r="N278" i="2" s="1"/>
  <c r="A18" i="7"/>
  <c r="F280" i="2"/>
  <c r="E280" i="2"/>
  <c r="A281" i="2"/>
  <c r="L280" i="2" s="1"/>
  <c r="N141" i="4"/>
  <c r="P142" i="4" a="1"/>
  <c r="Q141" i="4"/>
  <c r="N139" i="4" a="1"/>
  <c r="O139" i="4" a="1"/>
  <c r="Q139" i="4" a="1"/>
  <c r="P142" i="4" l="1"/>
  <c r="N139" i="4"/>
  <c r="O139" i="4"/>
  <c r="Q139" i="4"/>
  <c r="E18" i="7"/>
  <c r="D18" i="7"/>
  <c r="A19" i="7"/>
  <c r="F281" i="2"/>
  <c r="A282" i="2"/>
  <c r="E281" i="2"/>
  <c r="K280" i="2"/>
  <c r="I280" i="2"/>
  <c r="F9" i="6" s="1"/>
  <c r="Q138" i="4"/>
  <c r="M138" i="4"/>
  <c r="P138" i="4"/>
  <c r="N138" i="4"/>
  <c r="AD7" i="2"/>
  <c r="AE7" i="2" s="1"/>
  <c r="N279" i="2" a="1"/>
  <c r="M279" i="2" a="1"/>
  <c r="AC8" i="2" l="1"/>
  <c r="AD8" i="2" s="1"/>
  <c r="AE8" i="2" s="1"/>
  <c r="F18" i="7"/>
  <c r="H18" i="7" s="1"/>
  <c r="J18" i="7" s="1"/>
  <c r="L18" i="7" s="1"/>
  <c r="M279" i="2"/>
  <c r="N279" i="2"/>
  <c r="A20" i="7"/>
  <c r="F282" i="2"/>
  <c r="E282" i="2"/>
  <c r="A283" i="2"/>
  <c r="K40" i="2"/>
  <c r="G269" i="2"/>
  <c r="K281" i="2"/>
  <c r="G281" i="2"/>
  <c r="M280" i="2" a="1"/>
  <c r="N280" i="2" a="1"/>
  <c r="L283" i="2" l="1"/>
  <c r="L282" i="2"/>
  <c r="K282" i="2" s="1"/>
  <c r="G282" i="2"/>
  <c r="H282" i="2" s="1"/>
  <c r="I18" i="7"/>
  <c r="K18" i="7" s="1"/>
  <c r="M280" i="2"/>
  <c r="N280" i="2"/>
  <c r="N281" i="2" a="1"/>
  <c r="N281" i="2" s="1"/>
  <c r="M281" i="2" a="1"/>
  <c r="M281" i="2" s="1"/>
  <c r="A21" i="7"/>
  <c r="F283" i="2"/>
  <c r="E283" i="2"/>
  <c r="A272" i="2"/>
  <c r="C124" i="13" s="1"/>
  <c r="G268" i="2"/>
  <c r="AC9" i="2"/>
  <c r="I283" i="2" l="1"/>
  <c r="F12" i="6" s="1"/>
  <c r="E21" i="7"/>
  <c r="D21" i="7"/>
  <c r="K283" i="2"/>
  <c r="AD9" i="2"/>
  <c r="AE9" i="2" s="1"/>
  <c r="D31" i="4"/>
  <c r="P17" i="4"/>
  <c r="C31" i="4"/>
  <c r="P21" i="4"/>
  <c r="B29" i="4"/>
  <c r="A29" i="4"/>
  <c r="P23" i="4"/>
  <c r="P19" i="4"/>
  <c r="AJ280" i="2"/>
  <c r="AI280" i="2"/>
  <c r="E264" i="2"/>
  <c r="F287" i="2"/>
  <c r="D27" i="4" s="1"/>
  <c r="E287" i="2"/>
  <c r="Q1" i="2"/>
  <c r="M282" i="2" a="1"/>
  <c r="N282" i="2" a="1"/>
  <c r="O42" i="4" a="1"/>
  <c r="N42" i="4"/>
  <c r="D11" i="2" l="1"/>
  <c r="D281" i="2" s="1"/>
  <c r="D10" i="2"/>
  <c r="D278" i="2" s="1"/>
  <c r="D9" i="2"/>
  <c r="D275" i="2" s="1"/>
  <c r="I269" i="2"/>
  <c r="I268" i="2" s="1"/>
  <c r="F21" i="7"/>
  <c r="H21" i="7" s="1"/>
  <c r="J21" i="7" s="1"/>
  <c r="L21" i="7" s="1"/>
  <c r="K42" i="2"/>
  <c r="O42" i="4"/>
  <c r="M282" i="2"/>
  <c r="N282" i="2"/>
  <c r="A47" i="4"/>
  <c r="A325" i="4" s="1"/>
  <c r="B51" i="4"/>
  <c r="B320" i="4" s="1"/>
  <c r="B47" i="4"/>
  <c r="B325" i="4" s="1"/>
  <c r="K285" i="2"/>
  <c r="C27" i="4"/>
  <c r="E288" i="2"/>
  <c r="D13" i="1"/>
  <c r="A11" i="11"/>
  <c r="A13" i="11" s="1"/>
  <c r="A11" i="9"/>
  <c r="A13" i="9" s="1"/>
  <c r="A11" i="10"/>
  <c r="A13" i="10" s="1"/>
  <c r="A11" i="12"/>
  <c r="A13" i="12" s="1"/>
  <c r="AS281" i="2"/>
  <c r="AC10" i="2"/>
  <c r="B11" i="11"/>
  <c r="B13" i="11" s="1"/>
  <c r="B11" i="9"/>
  <c r="B13" i="9" s="1"/>
  <c r="B11" i="12"/>
  <c r="B13" i="12" s="1"/>
  <c r="B11" i="10"/>
  <c r="B13" i="10" s="1"/>
  <c r="AT281" i="2"/>
  <c r="M283" i="2" a="1"/>
  <c r="N283" i="2" a="1"/>
  <c r="O325" i="4"/>
  <c r="O235" i="4" a="1"/>
  <c r="I21" i="7" l="1"/>
  <c r="K21" i="7" s="1"/>
  <c r="M283" i="2"/>
  <c r="N283" i="2"/>
  <c r="A2" i="14" s="1"/>
  <c r="O235" i="4"/>
  <c r="Z268" i="2"/>
  <c r="F11" i="2"/>
  <c r="B25" i="7"/>
  <c r="F9" i="2"/>
  <c r="Z267" i="2"/>
  <c r="K33" i="4"/>
  <c r="K189" i="4"/>
  <c r="S189" i="4" s="1"/>
  <c r="R37" i="4"/>
  <c r="K13" i="1"/>
  <c r="J13" i="1"/>
  <c r="F10" i="2"/>
  <c r="E27" i="4"/>
  <c r="A193" i="4" s="1"/>
  <c r="M8" i="2"/>
  <c r="AD10" i="2"/>
  <c r="AE10" i="2" s="1"/>
  <c r="P11" i="9" a="1"/>
  <c r="O191" i="4" a="1"/>
  <c r="O11" i="9" a="1"/>
  <c r="O193" i="4"/>
  <c r="P11" i="9" l="1"/>
  <c r="O11" i="9"/>
  <c r="O191" i="4"/>
  <c r="I278" i="2"/>
  <c r="F7" i="6" s="1"/>
  <c r="AC11" i="2"/>
  <c r="D271" i="2"/>
  <c r="I275" i="2"/>
  <c r="F4" i="6" s="1"/>
  <c r="I281" i="2"/>
  <c r="F10" i="6" s="1"/>
  <c r="J31" i="2"/>
  <c r="R9" i="2"/>
  <c r="J30" i="2"/>
  <c r="G77" i="4" l="1"/>
  <c r="Q77" i="4" s="1"/>
  <c r="G76" i="4"/>
  <c r="Q76" i="4" s="1"/>
  <c r="K37" i="2"/>
  <c r="M37" i="2" s="1"/>
  <c r="D269" i="2"/>
  <c r="D268" i="2" s="1"/>
  <c r="J275" i="2"/>
  <c r="I285" i="2"/>
  <c r="B80" i="13" s="1"/>
  <c r="C75" i="4"/>
  <c r="G229" i="4"/>
  <c r="P229" i="4" s="1"/>
  <c r="G236" i="4"/>
  <c r="N236" i="4" s="1"/>
  <c r="G75" i="4"/>
  <c r="Q75" i="4" s="1"/>
  <c r="AD11" i="2"/>
  <c r="AE11" i="2" s="1"/>
  <c r="K41" i="2"/>
  <c r="H269" i="2"/>
  <c r="H268" i="2" s="1"/>
  <c r="K39" i="2"/>
  <c r="F269" i="2"/>
  <c r="F268" i="2" s="1"/>
  <c r="AF308" i="2"/>
  <c r="J32" i="2"/>
  <c r="AF310" i="2" s="1"/>
  <c r="A187" i="4" l="1"/>
  <c r="C276" i="4"/>
  <c r="B187" i="4"/>
  <c r="D184" i="4"/>
  <c r="C184" i="4"/>
  <c r="A184" i="4"/>
  <c r="C141" i="13"/>
  <c r="F141" i="13" s="1"/>
  <c r="A271" i="4"/>
  <c r="A262" i="4"/>
  <c r="A200" i="4"/>
  <c r="A199" i="4"/>
  <c r="C239" i="4"/>
  <c r="A216" i="4"/>
  <c r="C261" i="4"/>
  <c r="A261" i="4"/>
  <c r="C199" i="4"/>
  <c r="A240" i="4"/>
  <c r="B199" i="4"/>
  <c r="A242" i="4"/>
  <c r="C215" i="4"/>
  <c r="B239" i="4"/>
  <c r="D226" i="4"/>
  <c r="C226" i="4"/>
  <c r="A239" i="4"/>
  <c r="B229" i="4"/>
  <c r="A229" i="4"/>
  <c r="A215" i="4"/>
  <c r="B266" i="2"/>
  <c r="F13" i="6"/>
  <c r="D270" i="2"/>
  <c r="E270" i="2" s="1"/>
  <c r="F270" i="2" s="1"/>
  <c r="G270" i="2" s="1"/>
  <c r="H270" i="2" s="1"/>
  <c r="I270" i="2" s="1"/>
  <c r="J269" i="2"/>
  <c r="L37" i="2"/>
  <c r="L38" i="2" s="1"/>
  <c r="L39" i="2" s="1"/>
  <c r="L40" i="2" s="1"/>
  <c r="L41" i="2" s="1"/>
  <c r="L42" i="2" s="1"/>
  <c r="J37" i="2"/>
  <c r="J38" i="2" s="1"/>
  <c r="J39" i="2" s="1"/>
  <c r="J40" i="2" s="1"/>
  <c r="J41" i="2" s="1"/>
  <c r="K43" i="2"/>
  <c r="AC12" i="2"/>
  <c r="AM310" i="2"/>
  <c r="AN310" i="2" s="1"/>
  <c r="AO310" i="2" s="1"/>
  <c r="AH310" i="2"/>
  <c r="AG310" i="2"/>
  <c r="E75" i="4"/>
  <c r="AM308" i="2"/>
  <c r="AN308" i="2" s="1"/>
  <c r="AO308" i="2" s="1"/>
  <c r="AH308" i="2"/>
  <c r="AG308" i="2"/>
  <c r="E320" i="4"/>
  <c r="A210" i="4"/>
  <c r="C130" i="4"/>
  <c r="AG280" i="2"/>
  <c r="M10" i="2"/>
  <c r="A51" i="4"/>
  <c r="AG275" i="2"/>
  <c r="J277" i="2"/>
  <c r="N51" i="4"/>
  <c r="G141" i="13" l="1"/>
  <c r="G103" i="13" s="1"/>
  <c r="G109" i="13" s="1"/>
  <c r="I141" i="13"/>
  <c r="I143" i="13" s="1"/>
  <c r="H141" i="13"/>
  <c r="H103" i="13" s="1"/>
  <c r="H109" i="13" s="1"/>
  <c r="E141" i="13"/>
  <c r="E103" i="13" s="1"/>
  <c r="E109" i="13" s="1"/>
  <c r="J141" i="13"/>
  <c r="F103" i="13"/>
  <c r="F109" i="13" s="1"/>
  <c r="F143" i="13"/>
  <c r="C13" i="9"/>
  <c r="U30" i="1"/>
  <c r="U29" i="1"/>
  <c r="U27" i="1"/>
  <c r="U28" i="1"/>
  <c r="G83" i="13"/>
  <c r="A226" i="4"/>
  <c r="A227" i="4" s="1"/>
  <c r="C185" i="4"/>
  <c r="C6" i="4"/>
  <c r="I84" i="13"/>
  <c r="C278" i="4"/>
  <c r="D15" i="1"/>
  <c r="E83" i="13"/>
  <c r="T3" i="2"/>
  <c r="E229" i="4"/>
  <c r="A231" i="4"/>
  <c r="D185" i="4"/>
  <c r="C105" i="13"/>
  <c r="C238" i="4"/>
  <c r="A247" i="4"/>
  <c r="F83" i="13"/>
  <c r="C13" i="12"/>
  <c r="I83" i="13"/>
  <c r="H83" i="13"/>
  <c r="G84" i="13"/>
  <c r="H84" i="13"/>
  <c r="C13" i="10"/>
  <c r="E187" i="4"/>
  <c r="A238" i="4"/>
  <c r="C13" i="11"/>
  <c r="D83" i="13"/>
  <c r="AD12" i="2"/>
  <c r="AE12" i="2" s="1"/>
  <c r="A76" i="4"/>
  <c r="AG276" i="2"/>
  <c r="J278" i="2"/>
  <c r="M43" i="2"/>
  <c r="C16" i="2"/>
  <c r="H25" i="2"/>
  <c r="AQ281" i="2"/>
  <c r="A320" i="4"/>
  <c r="A292" i="2"/>
  <c r="B292" i="2" s="1"/>
  <c r="O281" i="4"/>
  <c r="O240" i="4"/>
  <c r="P185" i="4"/>
  <c r="N264" i="4"/>
  <c r="P276" i="4"/>
  <c r="N229" i="4"/>
  <c r="P226" i="4"/>
  <c r="N230" i="4"/>
  <c r="P184" i="4"/>
  <c r="N187" i="4"/>
  <c r="N188" i="4"/>
  <c r="O199" i="4"/>
  <c r="D239" i="4" l="1"/>
  <c r="D238" i="4" s="1"/>
  <c r="G143" i="13"/>
  <c r="I103" i="13"/>
  <c r="I109" i="13" s="1"/>
  <c r="E143" i="13"/>
  <c r="H143" i="13"/>
  <c r="J143" i="13"/>
  <c r="J103" i="13"/>
  <c r="F229" i="4"/>
  <c r="B267" i="4"/>
  <c r="E105" i="13"/>
  <c r="H105" i="13"/>
  <c r="F105" i="13"/>
  <c r="G105" i="13"/>
  <c r="D227" i="4"/>
  <c r="F187" i="4"/>
  <c r="C304" i="4"/>
  <c r="C294" i="4"/>
  <c r="C293" i="4"/>
  <c r="C311" i="4"/>
  <c r="E284" i="4"/>
  <c r="C301" i="4"/>
  <c r="C295" i="4"/>
  <c r="C306" i="4"/>
  <c r="C290" i="4"/>
  <c r="C284" i="4"/>
  <c r="C312" i="4"/>
  <c r="C298" i="4"/>
  <c r="C296" i="4"/>
  <c r="C302" i="4"/>
  <c r="C309" i="4"/>
  <c r="C299" i="4"/>
  <c r="C289" i="4"/>
  <c r="C303" i="4"/>
  <c r="C291" i="4"/>
  <c r="C305" i="4"/>
  <c r="C297" i="4"/>
  <c r="C292" i="4"/>
  <c r="C310" i="4"/>
  <c r="C300" i="4"/>
  <c r="B189" i="4"/>
  <c r="D256" i="4"/>
  <c r="O174" i="4"/>
  <c r="I220" i="4"/>
  <c r="C180" i="4"/>
  <c r="P180" i="4" s="1"/>
  <c r="E178" i="4"/>
  <c r="O173" i="4"/>
  <c r="P322" i="4"/>
  <c r="G157" i="4"/>
  <c r="O157" i="4" s="1"/>
  <c r="Q10" i="2"/>
  <c r="F178" i="4"/>
  <c r="O322" i="4"/>
  <c r="G72" i="4"/>
  <c r="O72" i="4" s="1"/>
  <c r="G111" i="4"/>
  <c r="O111" i="4" s="1"/>
  <c r="I200" i="4"/>
  <c r="Q200" i="4" s="1"/>
  <c r="G296" i="4"/>
  <c r="U296" i="4" s="1"/>
  <c r="A189" i="4"/>
  <c r="C256" i="4"/>
  <c r="B231" i="4"/>
  <c r="S57" i="2"/>
  <c r="T57" i="2"/>
  <c r="K3" i="3"/>
  <c r="C292" i="2"/>
  <c r="M3" i="3" s="1"/>
  <c r="E292" i="2"/>
  <c r="A293" i="2"/>
  <c r="AG277" i="2"/>
  <c r="J280" i="2"/>
  <c r="C81" i="4"/>
  <c r="A57" i="4"/>
  <c r="C76" i="4"/>
  <c r="AC13" i="2"/>
  <c r="P294" i="4"/>
  <c r="N284" i="4"/>
  <c r="P293" i="4"/>
  <c r="P298" i="4"/>
  <c r="P289" i="4"/>
  <c r="P296" i="4"/>
  <c r="P300" i="4"/>
  <c r="O229" i="4"/>
  <c r="P299" i="4"/>
  <c r="P231" i="4"/>
  <c r="P306" i="4"/>
  <c r="P305" i="4"/>
  <c r="P297" i="4"/>
  <c r="O178" i="4" a="1"/>
  <c r="O284" i="4"/>
  <c r="P290" i="4"/>
  <c r="P291" i="4"/>
  <c r="P292" i="4"/>
  <c r="O280" i="4"/>
  <c r="P295" i="4"/>
  <c r="P189" i="4"/>
  <c r="O187" i="4"/>
  <c r="P256" i="4"/>
  <c r="P309" i="4" a="1"/>
  <c r="P304" i="4" a="1"/>
  <c r="P311" i="4" a="1"/>
  <c r="P303" i="4" a="1"/>
  <c r="P301" i="4" a="1"/>
  <c r="P302" i="4" a="1"/>
  <c r="P240" i="4"/>
  <c r="P310" i="4" a="1"/>
  <c r="P312" i="4" a="1"/>
  <c r="B242" i="4" l="1"/>
  <c r="J109" i="13"/>
  <c r="B261" i="4"/>
  <c r="I105" i="13"/>
  <c r="I107" i="13" s="1"/>
  <c r="J105" i="13"/>
  <c r="P309" i="4"/>
  <c r="P312" i="4"/>
  <c r="P311" i="4"/>
  <c r="P310" i="4"/>
  <c r="O178" i="4"/>
  <c r="P301" i="4"/>
  <c r="P304" i="4"/>
  <c r="P302" i="4"/>
  <c r="P303" i="4"/>
  <c r="F122" i="13"/>
  <c r="F124" i="13" s="1"/>
  <c r="F107" i="13"/>
  <c r="Q223" i="4"/>
  <c r="Q222" i="4"/>
  <c r="Q220" i="4"/>
  <c r="E122" i="13"/>
  <c r="E107" i="13"/>
  <c r="G107" i="13"/>
  <c r="G122" i="13"/>
  <c r="G124" i="13" s="1"/>
  <c r="H107" i="13"/>
  <c r="H122" i="13"/>
  <c r="H124" i="13" s="1"/>
  <c r="E76" i="4"/>
  <c r="G292" i="2"/>
  <c r="F292" i="2"/>
  <c r="J292" i="2" s="1"/>
  <c r="K4" i="3"/>
  <c r="A294" i="2"/>
  <c r="C293" i="2"/>
  <c r="M4" i="3" s="1"/>
  <c r="B293" i="2"/>
  <c r="L3" i="3"/>
  <c r="D292" i="2"/>
  <c r="A77" i="4"/>
  <c r="AG278" i="2"/>
  <c r="J281" i="2"/>
  <c r="A3" i="3"/>
  <c r="AD13" i="2"/>
  <c r="AE13" i="2" s="1"/>
  <c r="O261" i="4"/>
  <c r="P242" i="4" a="1"/>
  <c r="N247" i="4" a="1"/>
  <c r="N247" i="4" l="1"/>
  <c r="P242" i="4"/>
  <c r="B271" i="4"/>
  <c r="J107" i="13"/>
  <c r="B262" i="4" s="1"/>
  <c r="I122" i="13"/>
  <c r="I124" i="13" s="1"/>
  <c r="I126" i="13" s="1"/>
  <c r="J122" i="13"/>
  <c r="D261" i="4"/>
  <c r="G126" i="13"/>
  <c r="G133" i="13"/>
  <c r="H126" i="13"/>
  <c r="H133" i="13"/>
  <c r="F126" i="13"/>
  <c r="F133" i="13"/>
  <c r="I292" i="2"/>
  <c r="K292" i="2"/>
  <c r="L4" i="3"/>
  <c r="D293" i="2"/>
  <c r="C77" i="4"/>
  <c r="E293" i="2"/>
  <c r="F293" i="2"/>
  <c r="AC14" i="2"/>
  <c r="K5" i="3"/>
  <c r="C294" i="2"/>
  <c r="M5" i="3" s="1"/>
  <c r="A295" i="2"/>
  <c r="B294" i="2"/>
  <c r="A4" i="3"/>
  <c r="AG279" i="2"/>
  <c r="J283" i="2"/>
  <c r="O247" i="4" a="1"/>
  <c r="P244" i="4" a="1"/>
  <c r="P243" i="4" a="1"/>
  <c r="P248" i="4" a="1"/>
  <c r="P261" i="4"/>
  <c r="P262" i="4"/>
  <c r="P271" i="4"/>
  <c r="P243" i="4" l="1"/>
  <c r="P244" i="4"/>
  <c r="P248" i="4"/>
  <c r="O247" i="4"/>
  <c r="J124" i="13"/>
  <c r="D215" i="4" s="1"/>
  <c r="B272" i="4"/>
  <c r="I133" i="13"/>
  <c r="B215" i="4"/>
  <c r="A5" i="3"/>
  <c r="F294" i="2"/>
  <c r="E77" i="4"/>
  <c r="G293" i="2"/>
  <c r="J293" i="2"/>
  <c r="I293" i="2" s="1"/>
  <c r="AD14" i="2"/>
  <c r="AE14" i="2" s="1"/>
  <c r="L5" i="3"/>
  <c r="D294" i="2"/>
  <c r="K6" i="3"/>
  <c r="A296" i="2"/>
  <c r="B295" i="2"/>
  <c r="C295" i="2"/>
  <c r="M6" i="3" s="1"/>
  <c r="E294" i="2"/>
  <c r="O215" i="4"/>
  <c r="J133" i="13" l="1"/>
  <c r="J126" i="13"/>
  <c r="A6" i="3"/>
  <c r="E295" i="2"/>
  <c r="F295" i="2"/>
  <c r="J294" i="2"/>
  <c r="I294" i="2" s="1"/>
  <c r="G294" i="2"/>
  <c r="AC15" i="2"/>
  <c r="K293" i="2"/>
  <c r="K7" i="3"/>
  <c r="C296" i="2"/>
  <c r="M7" i="3" s="1"/>
  <c r="B296" i="2"/>
  <c r="E296" i="2" s="1"/>
  <c r="A297" i="2"/>
  <c r="L6" i="3"/>
  <c r="D295" i="2"/>
  <c r="B216" i="4" l="1"/>
  <c r="B220" i="4"/>
  <c r="J295" i="2"/>
  <c r="I295" i="2" s="1"/>
  <c r="G295" i="2"/>
  <c r="A7" i="3"/>
  <c r="G296" i="2"/>
  <c r="AD15" i="2"/>
  <c r="AE15" i="2" s="1"/>
  <c r="F296" i="2"/>
  <c r="J296" i="2" s="1"/>
  <c r="K8" i="3"/>
  <c r="A298" i="2"/>
  <c r="C297" i="2"/>
  <c r="M8" i="3" s="1"/>
  <c r="B297" i="2"/>
  <c r="L7" i="3"/>
  <c r="D296" i="2"/>
  <c r="K294" i="2"/>
  <c r="P17" i="9" l="1"/>
  <c r="O17" i="9"/>
  <c r="I296" i="2"/>
  <c r="A8" i="3"/>
  <c r="F297" i="2"/>
  <c r="K9" i="3"/>
  <c r="C298" i="2"/>
  <c r="M9" i="3" s="1"/>
  <c r="B298" i="2"/>
  <c r="A299" i="2"/>
  <c r="AC16" i="2"/>
  <c r="K295" i="2"/>
  <c r="L8" i="3"/>
  <c r="D297" i="2"/>
  <c r="E297" i="2"/>
  <c r="K10" i="3" l="1"/>
  <c r="A300" i="2"/>
  <c r="C299" i="2"/>
  <c r="M10" i="3" s="1"/>
  <c r="B299" i="2"/>
  <c r="L9" i="3"/>
  <c r="D298" i="2"/>
  <c r="E298" i="2"/>
  <c r="AD16" i="2"/>
  <c r="AE16" i="2" s="1"/>
  <c r="A9" i="3"/>
  <c r="F298" i="2"/>
  <c r="K296" i="2"/>
  <c r="G297" i="2"/>
  <c r="J297" i="2"/>
  <c r="I297" i="2" s="1"/>
  <c r="L10" i="3" l="1"/>
  <c r="D299" i="2"/>
  <c r="E299" i="2"/>
  <c r="F299" i="2"/>
  <c r="K11" i="3"/>
  <c r="C300" i="2"/>
  <c r="M11" i="3" s="1"/>
  <c r="B300" i="2"/>
  <c r="E300" i="2" s="1"/>
  <c r="A301" i="2"/>
  <c r="AC17" i="2"/>
  <c r="A10" i="3"/>
  <c r="J298" i="2"/>
  <c r="I298" i="2" s="1"/>
  <c r="G298" i="2"/>
  <c r="K297" i="2"/>
  <c r="G300" i="2" l="1"/>
  <c r="L11" i="3"/>
  <c r="D300" i="2"/>
  <c r="AI17" i="2"/>
  <c r="AJ17" i="2" s="1"/>
  <c r="AD17" i="2"/>
  <c r="AE17" i="2" s="1"/>
  <c r="A11" i="3"/>
  <c r="F300" i="2"/>
  <c r="J300" i="2" s="1"/>
  <c r="K298" i="2"/>
  <c r="G299" i="2"/>
  <c r="J299" i="2"/>
  <c r="I299" i="2" s="1"/>
  <c r="K12" i="3"/>
  <c r="A302" i="2"/>
  <c r="C301" i="2"/>
  <c r="M12" i="3" s="1"/>
  <c r="B301" i="2"/>
  <c r="A12" i="3" l="1"/>
  <c r="I300" i="2"/>
  <c r="K299" i="2"/>
  <c r="AC18" i="2"/>
  <c r="L12" i="3"/>
  <c r="D301" i="2"/>
  <c r="E301" i="2"/>
  <c r="K13" i="3"/>
  <c r="C302" i="2"/>
  <c r="M13" i="3" s="1"/>
  <c r="B302" i="2"/>
  <c r="A303" i="2"/>
  <c r="F301" i="2"/>
  <c r="A13" i="3" l="1"/>
  <c r="L13" i="3"/>
  <c r="D302" i="2"/>
  <c r="E302" i="2"/>
  <c r="G301" i="2"/>
  <c r="J301" i="2"/>
  <c r="I301" i="2" s="1"/>
  <c r="AI18" i="2"/>
  <c r="AJ18" i="2" s="1"/>
  <c r="AD18" i="2"/>
  <c r="AE18" i="2" s="1"/>
  <c r="K300" i="2"/>
  <c r="F302" i="2"/>
  <c r="K14" i="3"/>
  <c r="A304" i="2"/>
  <c r="C303" i="2"/>
  <c r="M14" i="3" s="1"/>
  <c r="B303" i="2"/>
  <c r="A14" i="3" l="1"/>
  <c r="E303" i="2"/>
  <c r="F303" i="2"/>
  <c r="AC19" i="2"/>
  <c r="K301" i="2"/>
  <c r="L14" i="3"/>
  <c r="D303" i="2"/>
  <c r="J302" i="2"/>
  <c r="I302" i="2" s="1"/>
  <c r="G302" i="2"/>
  <c r="K15" i="3"/>
  <c r="C304" i="2"/>
  <c r="M15" i="3" s="1"/>
  <c r="B304" i="2"/>
  <c r="A305" i="2"/>
  <c r="A15" i="3" l="1"/>
  <c r="J303" i="2"/>
  <c r="I303" i="2" s="1"/>
  <c r="G303" i="2"/>
  <c r="L15" i="3"/>
  <c r="D304" i="2"/>
  <c r="F304" i="2"/>
  <c r="K302" i="2"/>
  <c r="K16" i="3"/>
  <c r="A306" i="2"/>
  <c r="C305" i="2"/>
  <c r="M16" i="3" s="1"/>
  <c r="B305" i="2"/>
  <c r="E304" i="2"/>
  <c r="AD19" i="2"/>
  <c r="AE19" i="2" s="1"/>
  <c r="L16" i="3" l="1"/>
  <c r="D305" i="2"/>
  <c r="J304" i="2"/>
  <c r="I304" i="2" s="1"/>
  <c r="G304" i="2"/>
  <c r="F305" i="2"/>
  <c r="K17" i="3"/>
  <c r="C306" i="2"/>
  <c r="M17" i="3" s="1"/>
  <c r="B306" i="2"/>
  <c r="E306" i="2" s="1"/>
  <c r="A307" i="2"/>
  <c r="AC20" i="2"/>
  <c r="A16" i="3"/>
  <c r="E305" i="2"/>
  <c r="K303" i="2"/>
  <c r="K18" i="3" l="1"/>
  <c r="A308" i="2"/>
  <c r="C307" i="2"/>
  <c r="M18" i="3" s="1"/>
  <c r="B307" i="2"/>
  <c r="G306" i="2"/>
  <c r="F306" i="2"/>
  <c r="J306" i="2" s="1"/>
  <c r="L17" i="3"/>
  <c r="D306" i="2"/>
  <c r="AD20" i="2"/>
  <c r="AE20" i="2" s="1"/>
  <c r="K304" i="2"/>
  <c r="A17" i="3"/>
  <c r="G305" i="2"/>
  <c r="J305" i="2"/>
  <c r="I305" i="2" s="1"/>
  <c r="I306" i="2" l="1"/>
  <c r="L18" i="3"/>
  <c r="D307" i="2"/>
  <c r="E307" i="2"/>
  <c r="AC21" i="2"/>
  <c r="F307" i="2"/>
  <c r="K305" i="2"/>
  <c r="K19" i="3"/>
  <c r="C308" i="2"/>
  <c r="M19" i="3" s="1"/>
  <c r="B308" i="2"/>
  <c r="A309" i="2"/>
  <c r="A18" i="3"/>
  <c r="A19" i="3" l="1"/>
  <c r="F308" i="2"/>
  <c r="L19" i="3"/>
  <c r="D308" i="2"/>
  <c r="K306" i="2"/>
  <c r="G307" i="2"/>
  <c r="J307" i="2"/>
  <c r="I307" i="2" s="1"/>
  <c r="E308" i="2"/>
  <c r="K20" i="3"/>
  <c r="A310" i="2"/>
  <c r="C309" i="2"/>
  <c r="M20" i="3" s="1"/>
  <c r="B309" i="2"/>
  <c r="AD21" i="2"/>
  <c r="AE21" i="2" s="1"/>
  <c r="L20" i="3" l="1"/>
  <c r="D309" i="2"/>
  <c r="E309" i="2"/>
  <c r="J308" i="2"/>
  <c r="I308" i="2" s="1"/>
  <c r="G308" i="2"/>
  <c r="A20" i="3"/>
  <c r="K307" i="2"/>
  <c r="M307" i="2" s="1"/>
  <c r="K21" i="3"/>
  <c r="C310" i="2"/>
  <c r="M21" i="3" s="1"/>
  <c r="B310" i="2"/>
  <c r="E310" i="2" s="1"/>
  <c r="A311" i="2"/>
  <c r="F309" i="2"/>
  <c r="AC22" i="2"/>
  <c r="G310" i="2" l="1"/>
  <c r="L21" i="3"/>
  <c r="D310" i="2"/>
  <c r="A21" i="3"/>
  <c r="K308" i="2"/>
  <c r="M308" i="2" s="1"/>
  <c r="F310" i="2"/>
  <c r="J310" i="2" s="1"/>
  <c r="G309" i="2"/>
  <c r="J309" i="2"/>
  <c r="I309" i="2" s="1"/>
  <c r="K22" i="3"/>
  <c r="C311" i="2"/>
  <c r="M22" i="3" s="1"/>
  <c r="B311" i="2"/>
  <c r="E311" i="2" s="1"/>
  <c r="A312" i="2"/>
  <c r="AD22" i="2"/>
  <c r="AE22" i="2" s="1"/>
  <c r="K309" i="2" l="1"/>
  <c r="M309" i="2" s="1"/>
  <c r="I310" i="2"/>
  <c r="A22" i="3"/>
  <c r="F311" i="2"/>
  <c r="J311" i="2" s="1"/>
  <c r="G311" i="2"/>
  <c r="AC23" i="2"/>
  <c r="K23" i="3"/>
  <c r="C312" i="2"/>
  <c r="M23" i="3" s="1"/>
  <c r="B312" i="2"/>
  <c r="A313" i="2"/>
  <c r="L22" i="3"/>
  <c r="D311" i="2"/>
  <c r="A23" i="3" l="1"/>
  <c r="I311" i="2"/>
  <c r="K310" i="2"/>
  <c r="M310" i="2" s="1"/>
  <c r="AD23" i="2"/>
  <c r="AE23" i="2" s="1"/>
  <c r="K24" i="3"/>
  <c r="C313" i="2"/>
  <c r="M24" i="3" s="1"/>
  <c r="B313" i="2"/>
  <c r="A314" i="2"/>
  <c r="L23" i="3"/>
  <c r="D312" i="2"/>
  <c r="E312" i="2"/>
  <c r="F312" i="2"/>
  <c r="K311" i="2" l="1"/>
  <c r="M311" i="2" s="1"/>
  <c r="G312" i="2"/>
  <c r="J312" i="2"/>
  <c r="I312" i="2" s="1"/>
  <c r="K25" i="3"/>
  <c r="C314" i="2"/>
  <c r="M25" i="3" s="1"/>
  <c r="B314" i="2"/>
  <c r="A315" i="2"/>
  <c r="L24" i="3"/>
  <c r="D313" i="2"/>
  <c r="F313" i="2"/>
  <c r="A24" i="3"/>
  <c r="E313" i="2"/>
  <c r="AC24" i="2"/>
  <c r="A25" i="3" l="1"/>
  <c r="L25" i="3"/>
  <c r="D314" i="2"/>
  <c r="K26" i="3"/>
  <c r="C315" i="2"/>
  <c r="M26" i="3" s="1"/>
  <c r="B315" i="2"/>
  <c r="A316" i="2"/>
  <c r="E314" i="2"/>
  <c r="F314" i="2"/>
  <c r="K312" i="2"/>
  <c r="M312" i="2" s="1"/>
  <c r="G313" i="2"/>
  <c r="J313" i="2"/>
  <c r="I313" i="2" s="1"/>
  <c r="AD24" i="2"/>
  <c r="AE24" i="2" s="1"/>
  <c r="A26" i="3" l="1"/>
  <c r="K313" i="2"/>
  <c r="M313" i="2" s="1"/>
  <c r="G314" i="2"/>
  <c r="J314" i="2"/>
  <c r="I314" i="2" s="1"/>
  <c r="K27" i="3"/>
  <c r="A317" i="2"/>
  <c r="C316" i="2"/>
  <c r="M27" i="3" s="1"/>
  <c r="B316" i="2"/>
  <c r="E316" i="2" s="1"/>
  <c r="F315" i="2"/>
  <c r="L26" i="3"/>
  <c r="D315" i="2"/>
  <c r="E315" i="2"/>
  <c r="AC25" i="2"/>
  <c r="G316" i="2" l="1"/>
  <c r="A27" i="3"/>
  <c r="AD25" i="2"/>
  <c r="AE25" i="2" s="1"/>
  <c r="G315" i="2"/>
  <c r="J315" i="2"/>
  <c r="I315" i="2" s="1"/>
  <c r="K28" i="3"/>
  <c r="A318" i="2"/>
  <c r="C317" i="2"/>
  <c r="M28" i="3" s="1"/>
  <c r="B317" i="2"/>
  <c r="K314" i="2"/>
  <c r="M314" i="2" s="1"/>
  <c r="L27" i="3"/>
  <c r="D316" i="2"/>
  <c r="F316" i="2"/>
  <c r="J316" i="2" s="1"/>
  <c r="I316" i="2" l="1"/>
  <c r="A28" i="3"/>
  <c r="E317" i="2"/>
  <c r="K29" i="3"/>
  <c r="A319" i="2"/>
  <c r="C318" i="2"/>
  <c r="M29" i="3" s="1"/>
  <c r="B318" i="2"/>
  <c r="K315" i="2"/>
  <c r="AC26" i="2"/>
  <c r="L28" i="3"/>
  <c r="D317" i="2"/>
  <c r="F317" i="2"/>
  <c r="A29" i="3" l="1"/>
  <c r="AD26" i="2"/>
  <c r="AE26" i="2" s="1"/>
  <c r="M315" i="2"/>
  <c r="K316" i="2"/>
  <c r="M316" i="2" s="1"/>
  <c r="F318" i="2"/>
  <c r="L29" i="3"/>
  <c r="D318" i="2"/>
  <c r="E318" i="2"/>
  <c r="K30" i="3"/>
  <c r="A320" i="2"/>
  <c r="C319" i="2"/>
  <c r="M30" i="3" s="1"/>
  <c r="B319" i="2"/>
  <c r="J317" i="2"/>
  <c r="I317" i="2" s="1"/>
  <c r="G317" i="2"/>
  <c r="K317" i="2" l="1"/>
  <c r="M317" i="2" s="1"/>
  <c r="F319" i="2"/>
  <c r="J318" i="2"/>
  <c r="I318" i="2" s="1"/>
  <c r="G318" i="2"/>
  <c r="K31" i="3"/>
  <c r="C320" i="2"/>
  <c r="M31" i="3" s="1"/>
  <c r="B320" i="2"/>
  <c r="A321" i="2"/>
  <c r="L30" i="3"/>
  <c r="D319" i="2"/>
  <c r="E319" i="2"/>
  <c r="A30" i="3"/>
  <c r="AC27" i="2"/>
  <c r="K32" i="3" l="1"/>
  <c r="C321" i="2"/>
  <c r="M32" i="3" s="1"/>
  <c r="B321" i="2"/>
  <c r="E321" i="2" s="1"/>
  <c r="A322" i="2"/>
  <c r="J319" i="2"/>
  <c r="I319" i="2" s="1"/>
  <c r="G319" i="2"/>
  <c r="L31" i="3"/>
  <c r="D320" i="2"/>
  <c r="AD27" i="2"/>
  <c r="AE27" i="2" s="1"/>
  <c r="F320" i="2"/>
  <c r="A31" i="3"/>
  <c r="K318" i="2"/>
  <c r="M318" i="2" s="1"/>
  <c r="E320" i="2"/>
  <c r="F321" i="2" l="1"/>
  <c r="J321" i="2" s="1"/>
  <c r="K319" i="2"/>
  <c r="M319" i="2" s="1"/>
  <c r="G321" i="2"/>
  <c r="AC28" i="2"/>
  <c r="K33" i="3"/>
  <c r="C322" i="2"/>
  <c r="M33" i="3" s="1"/>
  <c r="B322" i="2"/>
  <c r="A323" i="2"/>
  <c r="L32" i="3"/>
  <c r="D321" i="2"/>
  <c r="J320" i="2"/>
  <c r="I320" i="2" s="1"/>
  <c r="G320" i="2"/>
  <c r="A32" i="3"/>
  <c r="K320" i="2" l="1"/>
  <c r="M320" i="2" s="1"/>
  <c r="K34" i="3"/>
  <c r="C323" i="2"/>
  <c r="M34" i="3" s="1"/>
  <c r="B323" i="2"/>
  <c r="A324" i="2"/>
  <c r="L33" i="3"/>
  <c r="D322" i="2"/>
  <c r="AD28" i="2"/>
  <c r="AE28" i="2" s="1"/>
  <c r="F322" i="2"/>
  <c r="A33" i="3"/>
  <c r="I321" i="2"/>
  <c r="E322" i="2"/>
  <c r="A34" i="3" l="1"/>
  <c r="K321" i="2"/>
  <c r="M321" i="2" s="1"/>
  <c r="E323" i="2"/>
  <c r="G323" i="2" s="1"/>
  <c r="AC29" i="2"/>
  <c r="K35" i="3"/>
  <c r="C324" i="2"/>
  <c r="M35" i="3" s="1"/>
  <c r="B324" i="2"/>
  <c r="A325" i="2"/>
  <c r="J322" i="2"/>
  <c r="I322" i="2" s="1"/>
  <c r="G322" i="2"/>
  <c r="F323" i="2"/>
  <c r="L34" i="3"/>
  <c r="D323" i="2"/>
  <c r="J323" i="2" l="1"/>
  <c r="I323" i="2" s="1"/>
  <c r="F324" i="2"/>
  <c r="K322" i="2"/>
  <c r="L35" i="3"/>
  <c r="D324" i="2"/>
  <c r="K36" i="3"/>
  <c r="A326" i="2"/>
  <c r="C325" i="2"/>
  <c r="M36" i="3" s="1"/>
  <c r="B325" i="2"/>
  <c r="E324" i="2"/>
  <c r="A35" i="3"/>
  <c r="AD29" i="2"/>
  <c r="AE29" i="2" s="1"/>
  <c r="L36" i="3" l="1"/>
  <c r="D325" i="2"/>
  <c r="E325" i="2"/>
  <c r="F325" i="2"/>
  <c r="A36" i="3"/>
  <c r="J324" i="2"/>
  <c r="I324" i="2" s="1"/>
  <c r="G324" i="2"/>
  <c r="K37" i="3"/>
  <c r="A327" i="2"/>
  <c r="C326" i="2"/>
  <c r="M37" i="3" s="1"/>
  <c r="B326" i="2"/>
  <c r="AC30" i="2"/>
  <c r="M322" i="2"/>
  <c r="K323" i="2"/>
  <c r="M323" i="2" s="1"/>
  <c r="A37" i="3" l="1"/>
  <c r="F326" i="2"/>
  <c r="L37" i="3"/>
  <c r="D326" i="2"/>
  <c r="K324" i="2"/>
  <c r="M324" i="2" s="1"/>
  <c r="E326" i="2"/>
  <c r="G325" i="2"/>
  <c r="J325" i="2"/>
  <c r="I325" i="2" s="1"/>
  <c r="K38" i="3"/>
  <c r="B327" i="2"/>
  <c r="A328" i="2"/>
  <c r="C327" i="2"/>
  <c r="M38" i="3" s="1"/>
  <c r="AD30" i="2"/>
  <c r="AE30" i="2" s="1"/>
  <c r="AC31" i="2" l="1"/>
  <c r="AD31" i="2" s="1"/>
  <c r="AE31" i="2" s="1"/>
  <c r="F327" i="2"/>
  <c r="L38" i="3"/>
  <c r="D327" i="2"/>
  <c r="A38" i="3"/>
  <c r="K325" i="2"/>
  <c r="M325" i="2" s="1"/>
  <c r="K39" i="3"/>
  <c r="A329" i="2"/>
  <c r="C328" i="2"/>
  <c r="M39" i="3" s="1"/>
  <c r="B328" i="2"/>
  <c r="J326" i="2"/>
  <c r="I326" i="2" s="1"/>
  <c r="G326" i="2"/>
  <c r="E327" i="2"/>
  <c r="A39" i="3" l="1"/>
  <c r="AC32" i="2"/>
  <c r="AD32" i="2" s="1"/>
  <c r="AE32" i="2" s="1"/>
  <c r="K40" i="3"/>
  <c r="C329" i="2"/>
  <c r="M40" i="3" s="1"/>
  <c r="B329" i="2"/>
  <c r="A330" i="2"/>
  <c r="F328" i="2"/>
  <c r="L39" i="3"/>
  <c r="D328" i="2"/>
  <c r="K326" i="2"/>
  <c r="M326" i="2" s="1"/>
  <c r="J327" i="2"/>
  <c r="I327" i="2" s="1"/>
  <c r="G327" i="2"/>
  <c r="E328" i="2"/>
  <c r="J328" i="2" l="1"/>
  <c r="F329" i="2"/>
  <c r="L40" i="3"/>
  <c r="D329" i="2"/>
  <c r="E329" i="2"/>
  <c r="K327" i="2"/>
  <c r="M327" i="2" s="1"/>
  <c r="AC33" i="2"/>
  <c r="A40" i="3"/>
  <c r="K41" i="3"/>
  <c r="C330" i="2"/>
  <c r="M41" i="3" s="1"/>
  <c r="B330" i="2"/>
  <c r="E330" i="2" s="1"/>
  <c r="A331" i="2"/>
  <c r="I328" i="2"/>
  <c r="G328" i="2"/>
  <c r="J329" i="2" l="1"/>
  <c r="I329" i="2" s="1"/>
  <c r="G330" i="2"/>
  <c r="K42" i="3"/>
  <c r="A332" i="2"/>
  <c r="C331" i="2"/>
  <c r="M42" i="3" s="1"/>
  <c r="B331" i="2"/>
  <c r="A41" i="3"/>
  <c r="F330" i="2"/>
  <c r="J330" i="2" s="1"/>
  <c r="G329" i="2"/>
  <c r="L41" i="3"/>
  <c r="D330" i="2"/>
  <c r="AD33" i="2"/>
  <c r="AE33" i="2" s="1"/>
  <c r="K328" i="2"/>
  <c r="M328" i="2" s="1"/>
  <c r="A42" i="3" l="1"/>
  <c r="I330" i="2"/>
  <c r="K329" i="2"/>
  <c r="E331" i="2"/>
  <c r="F331" i="2"/>
  <c r="K43" i="3"/>
  <c r="C332" i="2"/>
  <c r="M43" i="3" s="1"/>
  <c r="B332" i="2"/>
  <c r="A333" i="2"/>
  <c r="L42" i="3"/>
  <c r="D331" i="2"/>
  <c r="AC34" i="2"/>
  <c r="AD34" i="2" s="1"/>
  <c r="AE34" i="2" s="1"/>
  <c r="J331" i="2" l="1"/>
  <c r="I331" i="2" s="1"/>
  <c r="L43" i="3"/>
  <c r="D332" i="2"/>
  <c r="F332" i="2"/>
  <c r="A43" i="3"/>
  <c r="G331" i="2"/>
  <c r="K44" i="3"/>
  <c r="A334" i="2"/>
  <c r="C333" i="2"/>
  <c r="M44" i="3" s="1"/>
  <c r="B333" i="2"/>
  <c r="E332" i="2"/>
  <c r="M329" i="2"/>
  <c r="K330" i="2"/>
  <c r="M330" i="2" s="1"/>
  <c r="J332" i="2" l="1"/>
  <c r="I332" i="2" s="1"/>
  <c r="A44" i="3"/>
  <c r="G332" i="2"/>
  <c r="K45" i="3"/>
  <c r="A335" i="2"/>
  <c r="C334" i="2"/>
  <c r="M45" i="3" s="1"/>
  <c r="B334" i="2"/>
  <c r="K331" i="2"/>
  <c r="M331" i="2" s="1"/>
  <c r="L44" i="3"/>
  <c r="D333" i="2"/>
  <c r="E333" i="2"/>
  <c r="F333" i="2"/>
  <c r="J333" i="2" l="1"/>
  <c r="I333" i="2" s="1"/>
  <c r="G333" i="2"/>
  <c r="L45" i="3"/>
  <c r="D334" i="2"/>
  <c r="F334" i="2"/>
  <c r="A45" i="3"/>
  <c r="E334" i="2"/>
  <c r="K46" i="3"/>
  <c r="A336" i="2"/>
  <c r="B335" i="2"/>
  <c r="C335" i="2"/>
  <c r="M46" i="3" s="1"/>
  <c r="K332" i="2"/>
  <c r="M332" i="2" s="1"/>
  <c r="L46" i="3" l="1"/>
  <c r="D335" i="2"/>
  <c r="F335" i="2"/>
  <c r="A46" i="3"/>
  <c r="E335" i="2"/>
  <c r="K47" i="3"/>
  <c r="A337" i="2"/>
  <c r="C336" i="2"/>
  <c r="M47" i="3" s="1"/>
  <c r="B336" i="2"/>
  <c r="E336" i="2" s="1"/>
  <c r="J334" i="2"/>
  <c r="I334" i="2" s="1"/>
  <c r="G334" i="2"/>
  <c r="K333" i="2"/>
  <c r="M333" i="2" s="1"/>
  <c r="G336" i="2" l="1"/>
  <c r="K48" i="3"/>
  <c r="C337" i="2"/>
  <c r="M48" i="3" s="1"/>
  <c r="B337" i="2"/>
  <c r="A338" i="2"/>
  <c r="L47" i="3"/>
  <c r="D336" i="2"/>
  <c r="K334" i="2"/>
  <c r="M334" i="2" s="1"/>
  <c r="F336" i="2"/>
  <c r="J336" i="2" s="1"/>
  <c r="A47" i="3"/>
  <c r="J335" i="2"/>
  <c r="I335" i="2" s="1"/>
  <c r="G335" i="2"/>
  <c r="I336" i="2" l="1"/>
  <c r="K49" i="3"/>
  <c r="C338" i="2"/>
  <c r="M49" i="3" s="1"/>
  <c r="B338" i="2"/>
  <c r="A339" i="2"/>
  <c r="F337" i="2"/>
  <c r="L48" i="3"/>
  <c r="D337" i="2"/>
  <c r="A48" i="3"/>
  <c r="E337" i="2"/>
  <c r="K335" i="2"/>
  <c r="A49" i="3" l="1"/>
  <c r="M335" i="2"/>
  <c r="K336" i="2"/>
  <c r="M336" i="2" s="1"/>
  <c r="K50" i="3"/>
  <c r="C339" i="2"/>
  <c r="M50" i="3" s="1"/>
  <c r="B339" i="2"/>
  <c r="A340" i="2"/>
  <c r="F338" i="2"/>
  <c r="G337" i="2"/>
  <c r="J337" i="2"/>
  <c r="I337" i="2" s="1"/>
  <c r="L49" i="3"/>
  <c r="D338" i="2"/>
  <c r="E338" i="2"/>
  <c r="L50" i="3" l="1"/>
  <c r="D339" i="2"/>
  <c r="E339" i="2"/>
  <c r="A50" i="3"/>
  <c r="F339" i="2"/>
  <c r="G338" i="2"/>
  <c r="J338" i="2"/>
  <c r="I338" i="2" s="1"/>
  <c r="K337" i="2"/>
  <c r="M337" i="2" s="1"/>
  <c r="K51" i="3"/>
  <c r="A341" i="2"/>
  <c r="C340" i="2"/>
  <c r="M51" i="3" s="1"/>
  <c r="B340" i="2"/>
  <c r="A51" i="3" l="1"/>
  <c r="F340" i="2"/>
  <c r="E340" i="2"/>
  <c r="K338" i="2"/>
  <c r="M338" i="2" s="1"/>
  <c r="J339" i="2"/>
  <c r="I339" i="2" s="1"/>
  <c r="G339" i="2"/>
  <c r="L51" i="3"/>
  <c r="D340" i="2"/>
  <c r="K52" i="3"/>
  <c r="C341" i="2"/>
  <c r="M52" i="3" s="1"/>
  <c r="B341" i="2"/>
  <c r="E341" i="2" s="1"/>
  <c r="A342" i="2"/>
  <c r="G341" i="2" l="1"/>
  <c r="K53" i="3"/>
  <c r="C342" i="2"/>
  <c r="M53" i="3" s="1"/>
  <c r="B342" i="2"/>
  <c r="A343" i="2"/>
  <c r="A52" i="3"/>
  <c r="F341" i="2"/>
  <c r="J341" i="2" s="1"/>
  <c r="L52" i="3"/>
  <c r="D341" i="2"/>
  <c r="J340" i="2"/>
  <c r="I340" i="2" s="1"/>
  <c r="G340" i="2"/>
  <c r="K339" i="2"/>
  <c r="M339" i="2" s="1"/>
  <c r="A53" i="3" l="1"/>
  <c r="I341" i="2"/>
  <c r="K54" i="3"/>
  <c r="C343" i="2"/>
  <c r="M54" i="3" s="1"/>
  <c r="B343" i="2"/>
  <c r="E343" i="2" s="1"/>
  <c r="A344" i="2"/>
  <c r="E342" i="2"/>
  <c r="F342" i="2"/>
  <c r="K340" i="2"/>
  <c r="L53" i="3"/>
  <c r="D342" i="2"/>
  <c r="G343" i="2" l="1"/>
  <c r="M340" i="2"/>
  <c r="K341" i="2"/>
  <c r="M341" i="2" s="1"/>
  <c r="K55" i="3"/>
  <c r="A345" i="2"/>
  <c r="C344" i="2"/>
  <c r="M55" i="3" s="1"/>
  <c r="B344" i="2"/>
  <c r="E344" i="2" s="1"/>
  <c r="L54" i="3"/>
  <c r="D343" i="2"/>
  <c r="A54" i="3"/>
  <c r="G342" i="2"/>
  <c r="J342" i="2"/>
  <c r="I342" i="2" s="1"/>
  <c r="F343" i="2"/>
  <c r="J343" i="2" s="1"/>
  <c r="I343" i="2" l="1"/>
  <c r="G344" i="2"/>
  <c r="K56" i="3"/>
  <c r="A346" i="2"/>
  <c r="C345" i="2"/>
  <c r="M56" i="3" s="1"/>
  <c r="B345" i="2"/>
  <c r="L55" i="3"/>
  <c r="D344" i="2"/>
  <c r="F344" i="2"/>
  <c r="J344" i="2" s="1"/>
  <c r="A55" i="3"/>
  <c r="K342" i="2"/>
  <c r="A56" i="3" l="1"/>
  <c r="I344" i="2"/>
  <c r="E345" i="2"/>
  <c r="F345" i="2"/>
  <c r="M342" i="2"/>
  <c r="K343" i="2"/>
  <c r="L56" i="3"/>
  <c r="D345" i="2"/>
  <c r="K57" i="3"/>
  <c r="A347" i="2"/>
  <c r="C346" i="2"/>
  <c r="M57" i="3" s="1"/>
  <c r="B346" i="2"/>
  <c r="E346" i="2" s="1"/>
  <c r="G346" i="2" l="1"/>
  <c r="F346" i="2"/>
  <c r="J346" i="2" s="1"/>
  <c r="L57" i="3"/>
  <c r="D346" i="2"/>
  <c r="A57" i="3"/>
  <c r="K58" i="3"/>
  <c r="A348" i="2"/>
  <c r="C347" i="2"/>
  <c r="M58" i="3" s="1"/>
  <c r="B347" i="2"/>
  <c r="E347" i="2" s="1"/>
  <c r="M343" i="2"/>
  <c r="K344" i="2"/>
  <c r="M344" i="2" s="1"/>
  <c r="J345" i="2"/>
  <c r="I345" i="2" s="1"/>
  <c r="G345" i="2"/>
  <c r="I346" i="2" l="1"/>
  <c r="G347" i="2"/>
  <c r="F347" i="2"/>
  <c r="J347" i="2" s="1"/>
  <c r="K59" i="3"/>
  <c r="A349" i="2"/>
  <c r="C348" i="2"/>
  <c r="M59" i="3" s="1"/>
  <c r="B348" i="2"/>
  <c r="E348" i="2" s="1"/>
  <c r="L58" i="3"/>
  <c r="D347" i="2"/>
  <c r="A58" i="3"/>
  <c r="K345" i="2"/>
  <c r="I347" i="2" l="1"/>
  <c r="G348" i="2"/>
  <c r="F348" i="2"/>
  <c r="J348" i="2" s="1"/>
  <c r="A59" i="3"/>
  <c r="M345" i="2"/>
  <c r="K346" i="2"/>
  <c r="K60" i="3"/>
  <c r="A350" i="2"/>
  <c r="C349" i="2"/>
  <c r="M60" i="3" s="1"/>
  <c r="B349" i="2"/>
  <c r="L59" i="3"/>
  <c r="D348" i="2"/>
  <c r="I348" i="2" l="1"/>
  <c r="K61" i="3"/>
  <c r="A351" i="2"/>
  <c r="B350" i="2"/>
  <c r="C350" i="2"/>
  <c r="M61" i="3" s="1"/>
  <c r="F349" i="2"/>
  <c r="L60" i="3"/>
  <c r="D349" i="2"/>
  <c r="E349" i="2"/>
  <c r="A60" i="3"/>
  <c r="M346" i="2"/>
  <c r="K347" i="2"/>
  <c r="A61" i="3" l="1"/>
  <c r="M347" i="2"/>
  <c r="K348" i="2"/>
  <c r="M348" i="2" s="1"/>
  <c r="J349" i="2"/>
  <c r="I349" i="2" s="1"/>
  <c r="G349" i="2"/>
  <c r="E350" i="2"/>
  <c r="F350" i="2"/>
  <c r="L61" i="3"/>
  <c r="D350" i="2"/>
  <c r="K62" i="3"/>
  <c r="A352" i="2"/>
  <c r="C351" i="2"/>
  <c r="M62" i="3" s="1"/>
  <c r="B351" i="2"/>
  <c r="E351" i="2" s="1"/>
  <c r="G351" i="2" l="1"/>
  <c r="L62" i="3"/>
  <c r="D351" i="2"/>
  <c r="J350" i="2"/>
  <c r="I350" i="2" s="1"/>
  <c r="G350" i="2"/>
  <c r="A62" i="3"/>
  <c r="K63" i="3"/>
  <c r="C352" i="2"/>
  <c r="M63" i="3" s="1"/>
  <c r="B352" i="2"/>
  <c r="A353" i="2"/>
  <c r="K349" i="2"/>
  <c r="M349" i="2" s="1"/>
  <c r="F351" i="2"/>
  <c r="J351" i="2" s="1"/>
  <c r="I351" i="2" l="1"/>
  <c r="L63" i="3"/>
  <c r="D352" i="2"/>
  <c r="F352" i="2"/>
  <c r="K350" i="2"/>
  <c r="E352" i="2"/>
  <c r="K64" i="3"/>
  <c r="A354" i="2"/>
  <c r="C353" i="2"/>
  <c r="M64" i="3" s="1"/>
  <c r="B353" i="2"/>
  <c r="A63" i="3"/>
  <c r="A64" i="3" l="1"/>
  <c r="E353" i="2"/>
  <c r="F353" i="2"/>
  <c r="J352" i="2"/>
  <c r="I352" i="2" s="1"/>
  <c r="G352" i="2"/>
  <c r="L64" i="3"/>
  <c r="D353" i="2"/>
  <c r="K65" i="3"/>
  <c r="A355" i="2"/>
  <c r="B354" i="2"/>
  <c r="C354" i="2"/>
  <c r="M65" i="3" s="1"/>
  <c r="M350" i="2"/>
  <c r="K351" i="2"/>
  <c r="M351" i="2" s="1"/>
  <c r="F354" i="2" l="1"/>
  <c r="K66" i="3"/>
  <c r="A356" i="2"/>
  <c r="C355" i="2"/>
  <c r="M66" i="3" s="1"/>
  <c r="B355" i="2"/>
  <c r="L65" i="3"/>
  <c r="D354" i="2"/>
  <c r="K352" i="2"/>
  <c r="M352" i="2" s="1"/>
  <c r="E354" i="2"/>
  <c r="A65" i="3"/>
  <c r="J353" i="2"/>
  <c r="I353" i="2" s="1"/>
  <c r="G353" i="2"/>
  <c r="A66" i="3" l="1"/>
  <c r="K353" i="2"/>
  <c r="M353" i="2" s="1"/>
  <c r="J354" i="2"/>
  <c r="I354" i="2" s="1"/>
  <c r="G354" i="2"/>
  <c r="F355" i="2"/>
  <c r="K67" i="3"/>
  <c r="A357" i="2"/>
  <c r="C356" i="2"/>
  <c r="M67" i="3" s="1"/>
  <c r="B356" i="2"/>
  <c r="E356" i="2" s="1"/>
  <c r="L66" i="3"/>
  <c r="D355" i="2"/>
  <c r="E355" i="2"/>
  <c r="G356" i="2" l="1"/>
  <c r="A67" i="3"/>
  <c r="F356" i="2"/>
  <c r="J356" i="2" s="1"/>
  <c r="K354" i="2"/>
  <c r="M354" i="2" s="1"/>
  <c r="J355" i="2"/>
  <c r="I355" i="2" s="1"/>
  <c r="G355" i="2"/>
  <c r="K68" i="3"/>
  <c r="A358" i="2"/>
  <c r="C357" i="2"/>
  <c r="M68" i="3" s="1"/>
  <c r="B357" i="2"/>
  <c r="E357" i="2" s="1"/>
  <c r="L67" i="3"/>
  <c r="D356" i="2"/>
  <c r="I356" i="2" l="1"/>
  <c r="G357" i="2"/>
  <c r="K69" i="3"/>
  <c r="A359" i="2"/>
  <c r="B358" i="2"/>
  <c r="C358" i="2"/>
  <c r="M69" i="3" s="1"/>
  <c r="F357" i="2"/>
  <c r="J357" i="2" s="1"/>
  <c r="L68" i="3"/>
  <c r="D357" i="2"/>
  <c r="A68" i="3"/>
  <c r="K355" i="2"/>
  <c r="I357" i="2" l="1"/>
  <c r="A69" i="3"/>
  <c r="K70" i="3"/>
  <c r="A360" i="2"/>
  <c r="C359" i="2"/>
  <c r="M70" i="3" s="1"/>
  <c r="B359" i="2"/>
  <c r="E359" i="2" s="1"/>
  <c r="M355" i="2"/>
  <c r="K356" i="2"/>
  <c r="L69" i="3"/>
  <c r="D358" i="2"/>
  <c r="F358" i="2"/>
  <c r="E358" i="2"/>
  <c r="G359" i="2" l="1"/>
  <c r="J358" i="2"/>
  <c r="I358" i="2" s="1"/>
  <c r="G358" i="2"/>
  <c r="M356" i="2"/>
  <c r="K357" i="2"/>
  <c r="M357" i="2" s="1"/>
  <c r="F359" i="2"/>
  <c r="J359" i="2" s="1"/>
  <c r="K71" i="3"/>
  <c r="C360" i="2"/>
  <c r="M71" i="3" s="1"/>
  <c r="B360" i="2"/>
  <c r="A361" i="2"/>
  <c r="L70" i="3"/>
  <c r="D359" i="2"/>
  <c r="A70" i="3"/>
  <c r="I359" i="2" l="1"/>
  <c r="L71" i="3"/>
  <c r="D360" i="2"/>
  <c r="F360" i="2"/>
  <c r="K358" i="2"/>
  <c r="E360" i="2"/>
  <c r="A71" i="3"/>
  <c r="K72" i="3"/>
  <c r="A362" i="2"/>
  <c r="C361" i="2"/>
  <c r="M72" i="3" s="1"/>
  <c r="B361" i="2"/>
  <c r="E361" i="2" s="1"/>
  <c r="G361" i="2" l="1"/>
  <c r="K73" i="3"/>
  <c r="A363" i="2"/>
  <c r="B362" i="2"/>
  <c r="C362" i="2"/>
  <c r="M73" i="3" s="1"/>
  <c r="L72" i="3"/>
  <c r="D361" i="2"/>
  <c r="F361" i="2"/>
  <c r="J361" i="2" s="1"/>
  <c r="J360" i="2"/>
  <c r="I360" i="2" s="1"/>
  <c r="G360" i="2"/>
  <c r="A72" i="3"/>
  <c r="M358" i="2"/>
  <c r="K359" i="2"/>
  <c r="M359" i="2" s="1"/>
  <c r="I361" i="2" l="1"/>
  <c r="K360" i="2"/>
  <c r="L73" i="3"/>
  <c r="D362" i="2"/>
  <c r="K74" i="3"/>
  <c r="A364" i="2"/>
  <c r="C363" i="2"/>
  <c r="M74" i="3" s="1"/>
  <c r="B363" i="2"/>
  <c r="F362" i="2"/>
  <c r="A73" i="3"/>
  <c r="E362" i="2"/>
  <c r="A74" i="3" l="1"/>
  <c r="F363" i="2"/>
  <c r="J362" i="2"/>
  <c r="I362" i="2" s="1"/>
  <c r="G362" i="2"/>
  <c r="E363" i="2"/>
  <c r="K75" i="3"/>
  <c r="B364" i="2"/>
  <c r="C364" i="2"/>
  <c r="M75" i="3" s="1"/>
  <c r="A365" i="2"/>
  <c r="L74" i="3"/>
  <c r="D363" i="2"/>
  <c r="M360" i="2"/>
  <c r="K361" i="2"/>
  <c r="M361" i="2" s="1"/>
  <c r="F364" i="2" l="1"/>
  <c r="L75" i="3"/>
  <c r="D364" i="2"/>
  <c r="K362" i="2"/>
  <c r="M362" i="2" s="1"/>
  <c r="E364" i="2"/>
  <c r="K76" i="3"/>
  <c r="A366" i="2"/>
  <c r="C365" i="2"/>
  <c r="M76" i="3" s="1"/>
  <c r="B365" i="2"/>
  <c r="A75" i="3"/>
  <c r="G363" i="2"/>
  <c r="J363" i="2"/>
  <c r="I363" i="2" s="1"/>
  <c r="A76" i="3" l="1"/>
  <c r="K77" i="3"/>
  <c r="A367" i="2"/>
  <c r="C366" i="2"/>
  <c r="M77" i="3" s="1"/>
  <c r="B366" i="2"/>
  <c r="F365" i="2"/>
  <c r="L76" i="3"/>
  <c r="D365" i="2"/>
  <c r="J364" i="2"/>
  <c r="I364" i="2" s="1"/>
  <c r="G364" i="2"/>
  <c r="K363" i="2"/>
  <c r="M363" i="2" s="1"/>
  <c r="E365" i="2"/>
  <c r="F366" i="2" l="1"/>
  <c r="K364" i="2"/>
  <c r="M364" i="2" s="1"/>
  <c r="J365" i="2"/>
  <c r="I365" i="2" s="1"/>
  <c r="G365" i="2"/>
  <c r="L77" i="3"/>
  <c r="D366" i="2"/>
  <c r="K78" i="3"/>
  <c r="A368" i="2"/>
  <c r="C367" i="2"/>
  <c r="M78" i="3" s="1"/>
  <c r="B367" i="2"/>
  <c r="E367" i="2" s="1"/>
  <c r="A77" i="3"/>
  <c r="E366" i="2"/>
  <c r="G367" i="2" l="1"/>
  <c r="F367" i="2"/>
  <c r="J367" i="2" s="1"/>
  <c r="J366" i="2"/>
  <c r="I366" i="2" s="1"/>
  <c r="G366" i="2"/>
  <c r="K79" i="3"/>
  <c r="B368" i="2"/>
  <c r="C368" i="2"/>
  <c r="M79" i="3" s="1"/>
  <c r="A369" i="2"/>
  <c r="L78" i="3"/>
  <c r="D367" i="2"/>
  <c r="K365" i="2"/>
  <c r="M365" i="2" s="1"/>
  <c r="A78" i="3"/>
  <c r="A79" i="3" l="1"/>
  <c r="I367" i="2"/>
  <c r="E368" i="2"/>
  <c r="G368" i="2" s="1"/>
  <c r="K366" i="2"/>
  <c r="L79" i="3"/>
  <c r="D368" i="2"/>
  <c r="F368" i="2"/>
  <c r="K80" i="3"/>
  <c r="A370" i="2"/>
  <c r="C369" i="2"/>
  <c r="M80" i="3" s="1"/>
  <c r="B369" i="2"/>
  <c r="J368" i="2" l="1"/>
  <c r="I368" i="2" s="1"/>
  <c r="A80" i="3"/>
  <c r="E369" i="2"/>
  <c r="K81" i="3"/>
  <c r="A371" i="2"/>
  <c r="B370" i="2"/>
  <c r="C370" i="2"/>
  <c r="M81" i="3" s="1"/>
  <c r="F369" i="2"/>
  <c r="L80" i="3"/>
  <c r="D369" i="2"/>
  <c r="M366" i="2"/>
  <c r="K367" i="2"/>
  <c r="L81" i="3" l="1"/>
  <c r="D370" i="2"/>
  <c r="F370" i="2"/>
  <c r="M367" i="2"/>
  <c r="K368" i="2"/>
  <c r="M368" i="2" s="1"/>
  <c r="K82" i="3"/>
  <c r="A372" i="2"/>
  <c r="C371" i="2"/>
  <c r="M82" i="3" s="1"/>
  <c r="B371" i="2"/>
  <c r="E370" i="2"/>
  <c r="A81" i="3"/>
  <c r="J369" i="2"/>
  <c r="I369" i="2" s="1"/>
  <c r="G369" i="2"/>
  <c r="L82" i="3" l="1"/>
  <c r="D371" i="2"/>
  <c r="K83" i="3"/>
  <c r="C372" i="2"/>
  <c r="M83" i="3" s="1"/>
  <c r="B372" i="2"/>
  <c r="E372" i="2" s="1"/>
  <c r="A373" i="2"/>
  <c r="A82" i="3"/>
  <c r="J370" i="2"/>
  <c r="I370" i="2" s="1"/>
  <c r="G370" i="2"/>
  <c r="F371" i="2"/>
  <c r="E371" i="2"/>
  <c r="K369" i="2"/>
  <c r="M369" i="2" s="1"/>
  <c r="G372" i="2" l="1"/>
  <c r="G371" i="2"/>
  <c r="J371" i="2"/>
  <c r="I371" i="2" s="1"/>
  <c r="K84" i="3"/>
  <c r="A374" i="2"/>
  <c r="C373" i="2"/>
  <c r="M84" i="3" s="1"/>
  <c r="B373" i="2"/>
  <c r="E373" i="2" s="1"/>
  <c r="K370" i="2"/>
  <c r="M370" i="2" s="1"/>
  <c r="F372" i="2"/>
  <c r="J372" i="2" s="1"/>
  <c r="L83" i="3"/>
  <c r="D372" i="2"/>
  <c r="A83" i="3"/>
  <c r="I372" i="2" l="1"/>
  <c r="G373" i="2"/>
  <c r="K85" i="3"/>
  <c r="A375" i="2"/>
  <c r="C374" i="2"/>
  <c r="M85" i="3" s="1"/>
  <c r="B374" i="2"/>
  <c r="K371" i="2"/>
  <c r="F373" i="2"/>
  <c r="J373" i="2" s="1"/>
  <c r="L84" i="3"/>
  <c r="D373" i="2"/>
  <c r="A84" i="3"/>
  <c r="I373" i="2" l="1"/>
  <c r="M371" i="2"/>
  <c r="K372" i="2"/>
  <c r="L85" i="3"/>
  <c r="D374" i="2"/>
  <c r="F374" i="2"/>
  <c r="E374" i="2"/>
  <c r="K86" i="3"/>
  <c r="A376" i="2"/>
  <c r="C375" i="2"/>
  <c r="M86" i="3" s="1"/>
  <c r="B375" i="2"/>
  <c r="A85" i="3"/>
  <c r="A86" i="3" l="1"/>
  <c r="F375" i="2"/>
  <c r="K87" i="3"/>
  <c r="C376" i="2"/>
  <c r="M87" i="3" s="1"/>
  <c r="B376" i="2"/>
  <c r="E376" i="2" s="1"/>
  <c r="A377" i="2"/>
  <c r="J374" i="2"/>
  <c r="I374" i="2" s="1"/>
  <c r="G374" i="2"/>
  <c r="M372" i="2"/>
  <c r="K373" i="2"/>
  <c r="M373" i="2" s="1"/>
  <c r="L86" i="3"/>
  <c r="D375" i="2"/>
  <c r="E375" i="2"/>
  <c r="G376" i="2" l="1"/>
  <c r="G375" i="2"/>
  <c r="J375" i="2"/>
  <c r="I375" i="2" s="1"/>
  <c r="K88" i="3"/>
  <c r="A378" i="2"/>
  <c r="B377" i="2"/>
  <c r="E377" i="2" s="1"/>
  <c r="C377" i="2"/>
  <c r="M88" i="3" s="1"/>
  <c r="K374" i="2"/>
  <c r="M374" i="2" s="1"/>
  <c r="F376" i="2"/>
  <c r="J376" i="2" s="1"/>
  <c r="L87" i="3"/>
  <c r="D376" i="2"/>
  <c r="A87" i="3"/>
  <c r="I376" i="2" l="1"/>
  <c r="G377" i="2"/>
  <c r="F377" i="2"/>
  <c r="J377" i="2" s="1"/>
  <c r="K89" i="3"/>
  <c r="C378" i="2"/>
  <c r="M89" i="3" s="1"/>
  <c r="B378" i="2"/>
  <c r="A379" i="2"/>
  <c r="K375" i="2"/>
  <c r="L88" i="3"/>
  <c r="D377" i="2"/>
  <c r="A88" i="3"/>
  <c r="A89" i="3" l="1"/>
  <c r="I377" i="2"/>
  <c r="E378" i="2"/>
  <c r="M375" i="2"/>
  <c r="K376" i="2"/>
  <c r="K90" i="3"/>
  <c r="A380" i="2"/>
  <c r="B379" i="2"/>
  <c r="C379" i="2"/>
  <c r="M90" i="3" s="1"/>
  <c r="L89" i="3"/>
  <c r="D378" i="2"/>
  <c r="F378" i="2"/>
  <c r="K91" i="3" l="1"/>
  <c r="C380" i="2"/>
  <c r="M91" i="3" s="1"/>
  <c r="B380" i="2"/>
  <c r="A381" i="2"/>
  <c r="L90" i="3"/>
  <c r="D379" i="2"/>
  <c r="E379" i="2"/>
  <c r="F379" i="2"/>
  <c r="M376" i="2"/>
  <c r="K377" i="2"/>
  <c r="M377" i="2" s="1"/>
  <c r="A90" i="3"/>
  <c r="J378" i="2"/>
  <c r="I378" i="2" s="1"/>
  <c r="G378" i="2"/>
  <c r="K378" i="2" l="1"/>
  <c r="M378" i="2" s="1"/>
  <c r="K92" i="3"/>
  <c r="A382" i="2"/>
  <c r="C381" i="2"/>
  <c r="M92" i="3" s="1"/>
  <c r="B381" i="2"/>
  <c r="F380" i="2"/>
  <c r="L91" i="3"/>
  <c r="D380" i="2"/>
  <c r="E380" i="2"/>
  <c r="A91" i="3"/>
  <c r="G379" i="2"/>
  <c r="J379" i="2"/>
  <c r="I379" i="2" s="1"/>
  <c r="A92" i="3" l="1"/>
  <c r="K379" i="2"/>
  <c r="M379" i="2" s="1"/>
  <c r="J380" i="2"/>
  <c r="I380" i="2" s="1"/>
  <c r="G380" i="2"/>
  <c r="F381" i="2"/>
  <c r="L92" i="3"/>
  <c r="D381" i="2"/>
  <c r="K93" i="3"/>
  <c r="C382" i="2"/>
  <c r="M93" i="3" s="1"/>
  <c r="B382" i="2"/>
  <c r="A383" i="2"/>
  <c r="E381" i="2"/>
  <c r="A93" i="3" l="1"/>
  <c r="E382" i="2"/>
  <c r="G381" i="2"/>
  <c r="J381" i="2"/>
  <c r="I381" i="2" s="1"/>
  <c r="K94" i="3"/>
  <c r="A384" i="2"/>
  <c r="C383" i="2"/>
  <c r="M94" i="3" s="1"/>
  <c r="B383" i="2"/>
  <c r="E383" i="2" s="1"/>
  <c r="L93" i="3"/>
  <c r="D382" i="2"/>
  <c r="F382" i="2"/>
  <c r="K380" i="2"/>
  <c r="M380" i="2" s="1"/>
  <c r="G383" i="2" l="1"/>
  <c r="K95" i="3"/>
  <c r="C384" i="2"/>
  <c r="M95" i="3" s="1"/>
  <c r="B384" i="2"/>
  <c r="A385" i="2"/>
  <c r="F383" i="2"/>
  <c r="J383" i="2" s="1"/>
  <c r="L94" i="3"/>
  <c r="D383" i="2"/>
  <c r="K381" i="2"/>
  <c r="M381" i="2" s="1"/>
  <c r="A94" i="3"/>
  <c r="J382" i="2"/>
  <c r="I382" i="2" s="1"/>
  <c r="G382" i="2"/>
  <c r="A95" i="3" l="1"/>
  <c r="I383" i="2"/>
  <c r="K382" i="2"/>
  <c r="M382" i="2" s="1"/>
  <c r="K96" i="3"/>
  <c r="A386" i="2"/>
  <c r="C385" i="2"/>
  <c r="M96" i="3" s="1"/>
  <c r="B385" i="2"/>
  <c r="F384" i="2"/>
  <c r="L95" i="3"/>
  <c r="D384" i="2"/>
  <c r="E384" i="2"/>
  <c r="K383" i="2" l="1"/>
  <c r="M383" i="2" s="1"/>
  <c r="J384" i="2"/>
  <c r="I384" i="2" s="1"/>
  <c r="G384" i="2"/>
  <c r="L96" i="3"/>
  <c r="D385" i="2"/>
  <c r="K97" i="3"/>
  <c r="C386" i="2"/>
  <c r="M97" i="3" s="1"/>
  <c r="B386" i="2"/>
  <c r="E386" i="2" s="1"/>
  <c r="A387" i="2"/>
  <c r="A96" i="3"/>
  <c r="E385" i="2"/>
  <c r="F385" i="2"/>
  <c r="G386" i="2" l="1"/>
  <c r="K98" i="3"/>
  <c r="A388" i="2"/>
  <c r="C387" i="2"/>
  <c r="M98" i="3" s="1"/>
  <c r="B387" i="2"/>
  <c r="G385" i="2"/>
  <c r="J385" i="2"/>
  <c r="I385" i="2" s="1"/>
  <c r="A97" i="3"/>
  <c r="L97" i="3"/>
  <c r="D386" i="2"/>
  <c r="F386" i="2"/>
  <c r="J386" i="2" s="1"/>
  <c r="K384" i="2"/>
  <c r="M384" i="2" s="1"/>
  <c r="A98" i="3" l="1"/>
  <c r="I386" i="2"/>
  <c r="E387" i="2"/>
  <c r="K385" i="2"/>
  <c r="L98" i="3"/>
  <c r="D387" i="2"/>
  <c r="K99" i="3"/>
  <c r="C388" i="2"/>
  <c r="M99" i="3" s="1"/>
  <c r="B388" i="2"/>
  <c r="E388" i="2" s="1"/>
  <c r="A389" i="2"/>
  <c r="F387" i="2"/>
  <c r="G388" i="2" l="1"/>
  <c r="F388" i="2"/>
  <c r="J388" i="2" s="1"/>
  <c r="K100" i="3"/>
  <c r="A390" i="2"/>
  <c r="C389" i="2"/>
  <c r="M100" i="3" s="1"/>
  <c r="B389" i="2"/>
  <c r="L99" i="3"/>
  <c r="D388" i="2"/>
  <c r="A99" i="3"/>
  <c r="M385" i="2"/>
  <c r="K386" i="2"/>
  <c r="M386" i="2" s="1"/>
  <c r="G387" i="2"/>
  <c r="J387" i="2"/>
  <c r="I387" i="2" s="1"/>
  <c r="I388" i="2" l="1"/>
  <c r="L100" i="3"/>
  <c r="D389" i="2"/>
  <c r="E389" i="2"/>
  <c r="A100" i="3"/>
  <c r="F389" i="2"/>
  <c r="K387" i="2"/>
  <c r="K101" i="3"/>
  <c r="C390" i="2"/>
  <c r="M101" i="3" s="1"/>
  <c r="B390" i="2"/>
  <c r="E390" i="2" s="1"/>
  <c r="A391" i="2"/>
  <c r="G390" i="2" l="1"/>
  <c r="L101" i="3"/>
  <c r="D390" i="2"/>
  <c r="P146" i="4"/>
  <c r="K102" i="3"/>
  <c r="A392" i="2"/>
  <c r="C391" i="2"/>
  <c r="M102" i="3" s="1"/>
  <c r="B391" i="2"/>
  <c r="M387" i="2"/>
  <c r="K388" i="2"/>
  <c r="M388" i="2" s="1"/>
  <c r="F390" i="2"/>
  <c r="J390" i="2" s="1"/>
  <c r="G389" i="2"/>
  <c r="J389" i="2"/>
  <c r="I389" i="2" s="1"/>
  <c r="A101" i="3"/>
  <c r="I390" i="2" l="1"/>
  <c r="A102" i="3"/>
  <c r="K103" i="3"/>
  <c r="C392" i="2"/>
  <c r="M103" i="3" s="1"/>
  <c r="B392" i="2"/>
  <c r="E392" i="2" s="1"/>
  <c r="A393" i="2"/>
  <c r="L102" i="3"/>
  <c r="D391" i="2"/>
  <c r="E391" i="2"/>
  <c r="F391" i="2"/>
  <c r="K389" i="2"/>
  <c r="G392" i="2" l="1"/>
  <c r="F392" i="2"/>
  <c r="J392" i="2" s="1"/>
  <c r="M389" i="2"/>
  <c r="K390" i="2"/>
  <c r="M390" i="2" s="1"/>
  <c r="L103" i="3"/>
  <c r="D392" i="2"/>
  <c r="G391" i="2"/>
  <c r="J391" i="2"/>
  <c r="I391" i="2" s="1"/>
  <c r="A103" i="3"/>
  <c r="K104" i="3"/>
  <c r="B393" i="2"/>
  <c r="A394" i="2"/>
  <c r="C393" i="2"/>
  <c r="M104" i="3" s="1"/>
  <c r="F393" i="2" l="1"/>
  <c r="I392" i="2"/>
  <c r="L104" i="3"/>
  <c r="D393" i="2"/>
  <c r="A104" i="3"/>
  <c r="K391" i="2"/>
  <c r="E393" i="2"/>
  <c r="K105" i="3"/>
  <c r="A395" i="2"/>
  <c r="C394" i="2"/>
  <c r="M105" i="3" s="1"/>
  <c r="B394" i="2"/>
  <c r="A105" i="3" l="1"/>
  <c r="F394" i="2"/>
  <c r="L105" i="3"/>
  <c r="D394" i="2"/>
  <c r="J393" i="2"/>
  <c r="I393" i="2" s="1"/>
  <c r="G393" i="2"/>
  <c r="K106" i="3"/>
  <c r="B395" i="2"/>
  <c r="A396" i="2"/>
  <c r="C395" i="2"/>
  <c r="M106" i="3" s="1"/>
  <c r="M391" i="2"/>
  <c r="K392" i="2"/>
  <c r="M392" i="2" s="1"/>
  <c r="E394" i="2"/>
  <c r="A106" i="3" l="1"/>
  <c r="E395" i="2"/>
  <c r="F395" i="2"/>
  <c r="K107" i="3"/>
  <c r="C396" i="2"/>
  <c r="M107" i="3" s="1"/>
  <c r="B396" i="2"/>
  <c r="A397" i="2"/>
  <c r="J394" i="2"/>
  <c r="I394" i="2" s="1"/>
  <c r="G394" i="2"/>
  <c r="L106" i="3"/>
  <c r="D395" i="2"/>
  <c r="K393" i="2"/>
  <c r="M393" i="2" s="1"/>
  <c r="J395" i="2" l="1"/>
  <c r="I395" i="2" s="1"/>
  <c r="G395" i="2"/>
  <c r="K394" i="2"/>
  <c r="K108" i="3"/>
  <c r="C397" i="2"/>
  <c r="M108" i="3" s="1"/>
  <c r="B397" i="2"/>
  <c r="A398" i="2"/>
  <c r="L107" i="3"/>
  <c r="D396" i="2"/>
  <c r="E396" i="2"/>
  <c r="F396" i="2"/>
  <c r="A107" i="3"/>
  <c r="A108" i="3" l="1"/>
  <c r="G396" i="2"/>
  <c r="J396" i="2"/>
  <c r="I396" i="2" s="1"/>
  <c r="E397" i="2"/>
  <c r="F397" i="2"/>
  <c r="K109" i="3"/>
  <c r="A399" i="2"/>
  <c r="C398" i="2"/>
  <c r="M109" i="3" s="1"/>
  <c r="B398" i="2"/>
  <c r="L108" i="3"/>
  <c r="D397" i="2"/>
  <c r="M394" i="2"/>
  <c r="K395" i="2"/>
  <c r="M395" i="2" s="1"/>
  <c r="A109" i="3" l="1"/>
  <c r="K110" i="3"/>
  <c r="B399" i="2"/>
  <c r="C399" i="2"/>
  <c r="M110" i="3" s="1"/>
  <c r="A400" i="2"/>
  <c r="J397" i="2"/>
  <c r="I397" i="2" s="1"/>
  <c r="G397" i="2"/>
  <c r="L109" i="3"/>
  <c r="D398" i="2"/>
  <c r="K396" i="2"/>
  <c r="M396" i="2" s="1"/>
  <c r="E398" i="2"/>
  <c r="F398" i="2"/>
  <c r="J398" i="2" l="1"/>
  <c r="I398" i="2" s="1"/>
  <c r="G398" i="2"/>
  <c r="K397" i="2"/>
  <c r="M397" i="2" s="1"/>
  <c r="K111" i="3"/>
  <c r="A401" i="2"/>
  <c r="C400" i="2"/>
  <c r="M111" i="3" s="1"/>
  <c r="B400" i="2"/>
  <c r="L110" i="3"/>
  <c r="D399" i="2"/>
  <c r="A110" i="3"/>
  <c r="F399" i="2"/>
  <c r="E399" i="2"/>
  <c r="A111" i="3" l="1"/>
  <c r="J399" i="2"/>
  <c r="I399" i="2" s="1"/>
  <c r="G399" i="2"/>
  <c r="K112" i="3"/>
  <c r="C401" i="2"/>
  <c r="M112" i="3" s="1"/>
  <c r="B401" i="2"/>
  <c r="A402" i="2"/>
  <c r="L111" i="3"/>
  <c r="D400" i="2"/>
  <c r="E400" i="2"/>
  <c r="F400" i="2"/>
  <c r="K398" i="2"/>
  <c r="M398" i="2" s="1"/>
  <c r="A112" i="3" l="1"/>
  <c r="F401" i="2"/>
  <c r="E401" i="2"/>
  <c r="L112" i="3"/>
  <c r="D401" i="2"/>
  <c r="G400" i="2"/>
  <c r="J400" i="2"/>
  <c r="I400" i="2" s="1"/>
  <c r="K113" i="3"/>
  <c r="A403" i="2"/>
  <c r="C402" i="2"/>
  <c r="M113" i="3" s="1"/>
  <c r="B402" i="2"/>
  <c r="E402" i="2" s="1"/>
  <c r="K399" i="2"/>
  <c r="M399" i="2" s="1"/>
  <c r="G402" i="2" l="1"/>
  <c r="L113" i="3"/>
  <c r="D402" i="2"/>
  <c r="A113" i="3"/>
  <c r="K400" i="2"/>
  <c r="M400" i="2" s="1"/>
  <c r="J401" i="2"/>
  <c r="I401" i="2" s="1"/>
  <c r="G401" i="2"/>
  <c r="K114" i="3"/>
  <c r="B403" i="2"/>
  <c r="C403" i="2"/>
  <c r="M114" i="3" s="1"/>
  <c r="A404" i="2"/>
  <c r="F402" i="2"/>
  <c r="J402" i="2" s="1"/>
  <c r="I402" i="2" l="1"/>
  <c r="A114" i="3"/>
  <c r="E403" i="2"/>
  <c r="F403" i="2"/>
  <c r="L114" i="3"/>
  <c r="D403" i="2"/>
  <c r="K401" i="2"/>
  <c r="K115" i="3"/>
  <c r="A405" i="2"/>
  <c r="C404" i="2"/>
  <c r="M115" i="3" s="1"/>
  <c r="B404" i="2"/>
  <c r="E404" i="2" s="1"/>
  <c r="G404" i="2" l="1"/>
  <c r="K116" i="3"/>
  <c r="A406" i="2"/>
  <c r="C405" i="2"/>
  <c r="M116" i="3" s="1"/>
  <c r="B405" i="2"/>
  <c r="F404" i="2"/>
  <c r="J404" i="2" s="1"/>
  <c r="L115" i="3"/>
  <c r="D404" i="2"/>
  <c r="M401" i="2"/>
  <c r="K402" i="2"/>
  <c r="M402" i="2" s="1"/>
  <c r="A115" i="3"/>
  <c r="J403" i="2"/>
  <c r="I403" i="2" s="1"/>
  <c r="G403" i="2"/>
  <c r="A116" i="3" l="1"/>
  <c r="I404" i="2"/>
  <c r="F405" i="2"/>
  <c r="E405" i="2"/>
  <c r="K117" i="3"/>
  <c r="A407" i="2"/>
  <c r="C406" i="2"/>
  <c r="M117" i="3" s="1"/>
  <c r="B406" i="2"/>
  <c r="L116" i="3"/>
  <c r="D405" i="2"/>
  <c r="K403" i="2"/>
  <c r="M403" i="2" l="1"/>
  <c r="K404" i="2"/>
  <c r="M404" i="2" s="1"/>
  <c r="L117" i="3"/>
  <c r="D406" i="2"/>
  <c r="F406" i="2"/>
  <c r="E406" i="2"/>
  <c r="K118" i="3"/>
  <c r="B407" i="2"/>
  <c r="C407" i="2"/>
  <c r="M118" i="3" s="1"/>
  <c r="A408" i="2"/>
  <c r="J405" i="2"/>
  <c r="I405" i="2" s="1"/>
  <c r="G405" i="2"/>
  <c r="A117" i="3"/>
  <c r="A118" i="3" l="1"/>
  <c r="K119" i="3"/>
  <c r="A409" i="2"/>
  <c r="C408" i="2"/>
  <c r="M119" i="3" s="1"/>
  <c r="B408" i="2"/>
  <c r="G406" i="2"/>
  <c r="J406" i="2"/>
  <c r="I406" i="2" s="1"/>
  <c r="K405" i="2"/>
  <c r="M405" i="2" s="1"/>
  <c r="F407" i="2"/>
  <c r="L118" i="3"/>
  <c r="D407" i="2"/>
  <c r="E407" i="2"/>
  <c r="K120" i="3" l="1"/>
  <c r="A410" i="2"/>
  <c r="C409" i="2"/>
  <c r="M120" i="3" s="1"/>
  <c r="B409" i="2"/>
  <c r="E409" i="2" s="1"/>
  <c r="F408" i="2"/>
  <c r="J407" i="2"/>
  <c r="I407" i="2" s="1"/>
  <c r="G407" i="2"/>
  <c r="K406" i="2"/>
  <c r="M406" i="2" s="1"/>
  <c r="L119" i="3"/>
  <c r="D408" i="2"/>
  <c r="E408" i="2"/>
  <c r="A119" i="3"/>
  <c r="G409" i="2" l="1"/>
  <c r="J408" i="2"/>
  <c r="I408" i="2" s="1"/>
  <c r="G408" i="2"/>
  <c r="K407" i="2"/>
  <c r="M407" i="2" s="1"/>
  <c r="F409" i="2"/>
  <c r="J409" i="2" s="1"/>
  <c r="K121" i="3"/>
  <c r="A411" i="2"/>
  <c r="C410" i="2"/>
  <c r="M121" i="3" s="1"/>
  <c r="B410" i="2"/>
  <c r="L120" i="3"/>
  <c r="D409" i="2"/>
  <c r="A120" i="3"/>
  <c r="I409" i="2" l="1"/>
  <c r="K122" i="3"/>
  <c r="A412" i="2"/>
  <c r="B411" i="2"/>
  <c r="E411" i="2" s="1"/>
  <c r="C411" i="2"/>
  <c r="M122" i="3" s="1"/>
  <c r="L121" i="3"/>
  <c r="D410" i="2"/>
  <c r="K408" i="2"/>
  <c r="A121" i="3"/>
  <c r="E410" i="2"/>
  <c r="F410" i="2"/>
  <c r="G411" i="2" l="1"/>
  <c r="G410" i="2"/>
  <c r="J410" i="2"/>
  <c r="I410" i="2" s="1"/>
  <c r="L122" i="3"/>
  <c r="D411" i="2"/>
  <c r="K123" i="3"/>
  <c r="C412" i="2"/>
  <c r="M123" i="3" s="1"/>
  <c r="B412" i="2"/>
  <c r="A413" i="2"/>
  <c r="M408" i="2"/>
  <c r="K409" i="2"/>
  <c r="M409" i="2" s="1"/>
  <c r="F411" i="2"/>
  <c r="J411" i="2" s="1"/>
  <c r="A122" i="3"/>
  <c r="I411" i="2" l="1"/>
  <c r="K124" i="3"/>
  <c r="A414" i="2"/>
  <c r="C413" i="2"/>
  <c r="M124" i="3" s="1"/>
  <c r="B413" i="2"/>
  <c r="F412" i="2"/>
  <c r="L123" i="3"/>
  <c r="D412" i="2"/>
  <c r="A123" i="3"/>
  <c r="K410" i="2"/>
  <c r="E412" i="2"/>
  <c r="J412" i="2" l="1"/>
  <c r="I412" i="2" s="1"/>
  <c r="G412" i="2"/>
  <c r="M410" i="2"/>
  <c r="K411" i="2"/>
  <c r="M411" i="2" s="1"/>
  <c r="K125" i="3"/>
  <c r="B414" i="2"/>
  <c r="A415" i="2"/>
  <c r="C414" i="2"/>
  <c r="M125" i="3" s="1"/>
  <c r="L124" i="3"/>
  <c r="D413" i="2"/>
  <c r="F413" i="2"/>
  <c r="A124" i="3"/>
  <c r="E413" i="2"/>
  <c r="L125" i="3" l="1"/>
  <c r="D414" i="2"/>
  <c r="F414" i="2"/>
  <c r="K126" i="3"/>
  <c r="A416" i="2"/>
  <c r="C415" i="2"/>
  <c r="M126" i="3" s="1"/>
  <c r="B415" i="2"/>
  <c r="E414" i="2"/>
  <c r="A125" i="3"/>
  <c r="J413" i="2"/>
  <c r="I413" i="2" s="1"/>
  <c r="G413" i="2"/>
  <c r="K412" i="2"/>
  <c r="M412" i="2" s="1"/>
  <c r="A126" i="3" l="1"/>
  <c r="F415" i="2"/>
  <c r="K127" i="3"/>
  <c r="C416" i="2"/>
  <c r="M127" i="3" s="1"/>
  <c r="B416" i="2"/>
  <c r="A417" i="2"/>
  <c r="K413" i="2"/>
  <c r="M413" i="2" s="1"/>
  <c r="E415" i="2"/>
  <c r="J414" i="2"/>
  <c r="I414" i="2" s="1"/>
  <c r="G414" i="2"/>
  <c r="L126" i="3"/>
  <c r="D415" i="2"/>
  <c r="K414" i="2" l="1"/>
  <c r="M414" i="2" s="1"/>
  <c r="L127" i="3"/>
  <c r="D416" i="2"/>
  <c r="K128" i="3"/>
  <c r="C417" i="2"/>
  <c r="M128" i="3" s="1"/>
  <c r="B417" i="2"/>
  <c r="E417" i="2" s="1"/>
  <c r="A418" i="2"/>
  <c r="G415" i="2"/>
  <c r="J415" i="2"/>
  <c r="I415" i="2" s="1"/>
  <c r="A127" i="3"/>
  <c r="E416" i="2"/>
  <c r="F416" i="2"/>
  <c r="G417" i="2" l="1"/>
  <c r="G416" i="2"/>
  <c r="J416" i="2"/>
  <c r="I416" i="2" s="1"/>
  <c r="K415" i="2"/>
  <c r="M415" i="2" s="1"/>
  <c r="F417" i="2"/>
  <c r="J417" i="2" s="1"/>
  <c r="K129" i="3"/>
  <c r="B418" i="2"/>
  <c r="A419" i="2"/>
  <c r="C418" i="2"/>
  <c r="M129" i="3" s="1"/>
  <c r="L128" i="3"/>
  <c r="D417" i="2"/>
  <c r="A128" i="3"/>
  <c r="I417" i="2" l="1"/>
  <c r="A129" i="3"/>
  <c r="F418" i="2"/>
  <c r="K416" i="2"/>
  <c r="L129" i="3"/>
  <c r="D418" i="2"/>
  <c r="E418" i="2"/>
  <c r="K130" i="3"/>
  <c r="A420" i="2"/>
  <c r="B419" i="2"/>
  <c r="C419" i="2"/>
  <c r="M130" i="3" s="1"/>
  <c r="A130" i="3" l="1"/>
  <c r="E419" i="2"/>
  <c r="F419" i="2"/>
  <c r="K131" i="3"/>
  <c r="A421" i="2"/>
  <c r="C420" i="2"/>
  <c r="M131" i="3" s="1"/>
  <c r="B420" i="2"/>
  <c r="E420" i="2" s="1"/>
  <c r="M416" i="2"/>
  <c r="K417" i="2"/>
  <c r="M417" i="2" s="1"/>
  <c r="L130" i="3"/>
  <c r="D419" i="2"/>
  <c r="J418" i="2"/>
  <c r="I418" i="2" s="1"/>
  <c r="G418" i="2"/>
  <c r="G420" i="2" l="1"/>
  <c r="K418" i="2"/>
  <c r="M418" i="2" s="1"/>
  <c r="L131" i="3"/>
  <c r="D420" i="2"/>
  <c r="A131" i="3"/>
  <c r="F420" i="2"/>
  <c r="J420" i="2" s="1"/>
  <c r="K132" i="3"/>
  <c r="A422" i="2"/>
  <c r="C421" i="2"/>
  <c r="M132" i="3" s="1"/>
  <c r="B421" i="2"/>
  <c r="G419" i="2"/>
  <c r="J419" i="2"/>
  <c r="I419" i="2" s="1"/>
  <c r="A132" i="3" l="1"/>
  <c r="I420" i="2"/>
  <c r="L132" i="3"/>
  <c r="D421" i="2"/>
  <c r="K133" i="3"/>
  <c r="A423" i="2"/>
  <c r="C422" i="2"/>
  <c r="M133" i="3" s="1"/>
  <c r="B422" i="2"/>
  <c r="E421" i="2"/>
  <c r="F421" i="2"/>
  <c r="K419" i="2"/>
  <c r="M419" i="2" l="1"/>
  <c r="K420" i="2"/>
  <c r="M420" i="2" s="1"/>
  <c r="K134" i="3"/>
  <c r="A424" i="2"/>
  <c r="C423" i="2"/>
  <c r="M134" i="3" s="1"/>
  <c r="B423" i="2"/>
  <c r="L133" i="3"/>
  <c r="D422" i="2"/>
  <c r="F422" i="2"/>
  <c r="J421" i="2"/>
  <c r="I421" i="2" s="1"/>
  <c r="G421" i="2"/>
  <c r="E422" i="2"/>
  <c r="A133" i="3"/>
  <c r="J422" i="2" l="1"/>
  <c r="I422" i="2" s="1"/>
  <c r="G422" i="2"/>
  <c r="K421" i="2"/>
  <c r="M421" i="2" s="1"/>
  <c r="L134" i="3"/>
  <c r="D423" i="2"/>
  <c r="K135" i="3"/>
  <c r="B424" i="2"/>
  <c r="E424" i="2" s="1"/>
  <c r="C424" i="2"/>
  <c r="M135" i="3" s="1"/>
  <c r="A425" i="2"/>
  <c r="F423" i="2"/>
  <c r="A134" i="3"/>
  <c r="E423" i="2"/>
  <c r="G424" i="2" l="1"/>
  <c r="L135" i="3"/>
  <c r="D424" i="2"/>
  <c r="G423" i="2"/>
  <c r="J423" i="2"/>
  <c r="I423" i="2" s="1"/>
  <c r="F424" i="2"/>
  <c r="J424" i="2" s="1"/>
  <c r="A135" i="3"/>
  <c r="K136" i="3"/>
  <c r="A426" i="2"/>
  <c r="B425" i="2"/>
  <c r="C425" i="2"/>
  <c r="M136" i="3" s="1"/>
  <c r="K422" i="2"/>
  <c r="M422" i="2" s="1"/>
  <c r="A136" i="3" l="1"/>
  <c r="I424" i="2"/>
  <c r="K137" i="3"/>
  <c r="A427" i="2"/>
  <c r="C426" i="2"/>
  <c r="M137" i="3" s="1"/>
  <c r="B426" i="2"/>
  <c r="K423" i="2"/>
  <c r="L136" i="3"/>
  <c r="D425" i="2"/>
  <c r="E425" i="2"/>
  <c r="F425" i="2"/>
  <c r="J425" i="2" l="1"/>
  <c r="I425" i="2" s="1"/>
  <c r="G425" i="2"/>
  <c r="M423" i="2"/>
  <c r="K424" i="2"/>
  <c r="M424" i="2" s="1"/>
  <c r="K138" i="3"/>
  <c r="A428" i="2"/>
  <c r="C427" i="2"/>
  <c r="M138" i="3" s="1"/>
  <c r="B427" i="2"/>
  <c r="L137" i="3"/>
  <c r="D426" i="2"/>
  <c r="F426" i="2"/>
  <c r="E426" i="2"/>
  <c r="A137" i="3"/>
  <c r="A138" i="3" l="1"/>
  <c r="J426" i="2"/>
  <c r="I426" i="2" s="1"/>
  <c r="G426" i="2"/>
  <c r="K139" i="3"/>
  <c r="A429" i="2"/>
  <c r="C428" i="2"/>
  <c r="M139" i="3" s="1"/>
  <c r="B428" i="2"/>
  <c r="L138" i="3"/>
  <c r="D427" i="2"/>
  <c r="E427" i="2"/>
  <c r="F427" i="2"/>
  <c r="K425" i="2"/>
  <c r="M425" i="2" s="1"/>
  <c r="A139" i="3" l="1"/>
  <c r="F428" i="2"/>
  <c r="E428" i="2"/>
  <c r="G427" i="2"/>
  <c r="J427" i="2"/>
  <c r="I427" i="2" s="1"/>
  <c r="K140" i="3"/>
  <c r="C429" i="2"/>
  <c r="M140" i="3" s="1"/>
  <c r="A430" i="2"/>
  <c r="B429" i="2"/>
  <c r="K426" i="2"/>
  <c r="M426" i="2" s="1"/>
  <c r="L139" i="3"/>
  <c r="D428" i="2"/>
  <c r="A140" i="3" l="1"/>
  <c r="E429" i="2"/>
  <c r="G429" i="2" s="1"/>
  <c r="K141" i="3"/>
  <c r="A431" i="2"/>
  <c r="C430" i="2"/>
  <c r="M141" i="3" s="1"/>
  <c r="B430" i="2"/>
  <c r="F429" i="2"/>
  <c r="K427" i="2"/>
  <c r="M427" i="2" s="1"/>
  <c r="L140" i="3"/>
  <c r="D429" i="2"/>
  <c r="J428" i="2"/>
  <c r="I428" i="2" s="1"/>
  <c r="G428" i="2"/>
  <c r="A141" i="3" l="1"/>
  <c r="J429" i="2"/>
  <c r="I429" i="2" s="1"/>
  <c r="F430" i="2"/>
  <c r="K142" i="3"/>
  <c r="C431" i="2"/>
  <c r="M142" i="3" s="1"/>
  <c r="B431" i="2"/>
  <c r="A432" i="2"/>
  <c r="L141" i="3"/>
  <c r="D430" i="2"/>
  <c r="K428" i="2"/>
  <c r="E430" i="2"/>
  <c r="A142" i="3" l="1"/>
  <c r="M428" i="2"/>
  <c r="K429" i="2"/>
  <c r="M429" i="2" s="1"/>
  <c r="F431" i="2"/>
  <c r="J430" i="2"/>
  <c r="I430" i="2" s="1"/>
  <c r="G430" i="2"/>
  <c r="K143" i="3"/>
  <c r="C432" i="2"/>
  <c r="M143" i="3" s="1"/>
  <c r="B432" i="2"/>
  <c r="A433" i="2"/>
  <c r="L142" i="3"/>
  <c r="D431" i="2"/>
  <c r="E431" i="2"/>
  <c r="A143" i="3" l="1"/>
  <c r="G431" i="2"/>
  <c r="J431" i="2"/>
  <c r="I431" i="2" s="1"/>
  <c r="L143" i="3"/>
  <c r="D432" i="2"/>
  <c r="F432" i="2"/>
  <c r="K430" i="2"/>
  <c r="M430" i="2" s="1"/>
  <c r="K144" i="3"/>
  <c r="C433" i="2"/>
  <c r="M144" i="3" s="1"/>
  <c r="B433" i="2"/>
  <c r="E433" i="2" s="1"/>
  <c r="A434" i="2"/>
  <c r="E432" i="2"/>
  <c r="G433" i="2" l="1"/>
  <c r="J432" i="2"/>
  <c r="I432" i="2" s="1"/>
  <c r="G432" i="2"/>
  <c r="L144" i="3"/>
  <c r="D433" i="2"/>
  <c r="F433" i="2"/>
  <c r="J433" i="2" s="1"/>
  <c r="K145" i="3"/>
  <c r="A435" i="2"/>
  <c r="B434" i="2"/>
  <c r="E434" i="2" s="1"/>
  <c r="C434" i="2"/>
  <c r="M145" i="3" s="1"/>
  <c r="A144" i="3"/>
  <c r="K431" i="2"/>
  <c r="M431" i="2" s="1"/>
  <c r="I433" i="2" l="1"/>
  <c r="G434" i="2"/>
  <c r="L145" i="3"/>
  <c r="D434" i="2"/>
  <c r="K432" i="2"/>
  <c r="K146" i="3"/>
  <c r="C435" i="2"/>
  <c r="M146" i="3" s="1"/>
  <c r="B435" i="2"/>
  <c r="A436" i="2"/>
  <c r="A145" i="3"/>
  <c r="F434" i="2"/>
  <c r="J434" i="2" s="1"/>
  <c r="I434" i="2" l="1"/>
  <c r="L146" i="3"/>
  <c r="D435" i="2"/>
  <c r="A146" i="3"/>
  <c r="E435" i="2"/>
  <c r="F435" i="2"/>
  <c r="K147" i="3"/>
  <c r="C436" i="2"/>
  <c r="M147" i="3" s="1"/>
  <c r="A437" i="2"/>
  <c r="B436" i="2"/>
  <c r="E436" i="2" s="1"/>
  <c r="M432" i="2"/>
  <c r="K433" i="2"/>
  <c r="G436" i="2" l="1"/>
  <c r="F436" i="2"/>
  <c r="J436" i="2" s="1"/>
  <c r="L147" i="3"/>
  <c r="D436" i="2"/>
  <c r="J435" i="2"/>
  <c r="I435" i="2" s="1"/>
  <c r="G435" i="2"/>
  <c r="M433" i="2"/>
  <c r="K434" i="2"/>
  <c r="M434" i="2" s="1"/>
  <c r="K148" i="3"/>
  <c r="C437" i="2"/>
  <c r="M148" i="3" s="1"/>
  <c r="A438" i="2"/>
  <c r="B437" i="2"/>
  <c r="A147" i="3"/>
  <c r="I436" i="2" l="1"/>
  <c r="K149" i="3"/>
  <c r="C438" i="2"/>
  <c r="M149" i="3" s="1"/>
  <c r="B438" i="2"/>
  <c r="A439" i="2"/>
  <c r="K435" i="2"/>
  <c r="F437" i="2"/>
  <c r="A148" i="3"/>
  <c r="L148" i="3"/>
  <c r="D437" i="2"/>
  <c r="E437" i="2"/>
  <c r="A149" i="3" l="1"/>
  <c r="F438" i="2"/>
  <c r="K150" i="3"/>
  <c r="B439" i="2"/>
  <c r="E439" i="2" s="1"/>
  <c r="A440" i="2"/>
  <c r="C439" i="2"/>
  <c r="M150" i="3" s="1"/>
  <c r="J437" i="2"/>
  <c r="I437" i="2" s="1"/>
  <c r="G437" i="2"/>
  <c r="M435" i="2"/>
  <c r="K436" i="2"/>
  <c r="M436" i="2" s="1"/>
  <c r="L149" i="3"/>
  <c r="D438" i="2"/>
  <c r="E438" i="2"/>
  <c r="G439" i="2" l="1"/>
  <c r="J438" i="2"/>
  <c r="I438" i="2" s="1"/>
  <c r="G438" i="2"/>
  <c r="K151" i="3"/>
  <c r="B440" i="2"/>
  <c r="A441" i="2"/>
  <c r="C440" i="2"/>
  <c r="M151" i="3" s="1"/>
  <c r="A150" i="3"/>
  <c r="F439" i="2"/>
  <c r="J439" i="2" s="1"/>
  <c r="K437" i="2"/>
  <c r="M437" i="2" s="1"/>
  <c r="L150" i="3"/>
  <c r="D439" i="2"/>
  <c r="I439" i="2" l="1"/>
  <c r="L151" i="3"/>
  <c r="D440" i="2"/>
  <c r="A151" i="3"/>
  <c r="K152" i="3"/>
  <c r="C441" i="2"/>
  <c r="M152" i="3" s="1"/>
  <c r="B441" i="2"/>
  <c r="A442" i="2"/>
  <c r="K438" i="2"/>
  <c r="E440" i="2"/>
  <c r="F440" i="2"/>
  <c r="L152" i="3" l="1"/>
  <c r="D441" i="2"/>
  <c r="E441" i="2"/>
  <c r="K153" i="3"/>
  <c r="A443" i="2"/>
  <c r="C442" i="2"/>
  <c r="M153" i="3" s="1"/>
  <c r="B442" i="2"/>
  <c r="F441" i="2"/>
  <c r="M438" i="2"/>
  <c r="K439" i="2"/>
  <c r="M439" i="2" s="1"/>
  <c r="G440" i="2"/>
  <c r="J440" i="2"/>
  <c r="I440" i="2" s="1"/>
  <c r="A152" i="3"/>
  <c r="A153" i="3" l="1"/>
  <c r="K440" i="2"/>
  <c r="M440" i="2" s="1"/>
  <c r="E442" i="2"/>
  <c r="F442" i="2"/>
  <c r="L153" i="3"/>
  <c r="D442" i="2"/>
  <c r="G441" i="2"/>
  <c r="J441" i="2"/>
  <c r="I441" i="2" s="1"/>
  <c r="K154" i="3"/>
  <c r="A444" i="2"/>
  <c r="C443" i="2"/>
  <c r="M154" i="3" s="1"/>
  <c r="B443" i="2"/>
  <c r="E443" i="2" s="1"/>
  <c r="G443" i="2" l="1"/>
  <c r="K155" i="3"/>
  <c r="C444" i="2"/>
  <c r="M155" i="3" s="1"/>
  <c r="A445" i="2"/>
  <c r="B444" i="2"/>
  <c r="K441" i="2"/>
  <c r="M441" i="2" s="1"/>
  <c r="A154" i="3"/>
  <c r="J442" i="2"/>
  <c r="I442" i="2" s="1"/>
  <c r="G442" i="2"/>
  <c r="L154" i="3"/>
  <c r="D443" i="2"/>
  <c r="F443" i="2"/>
  <c r="J443" i="2" s="1"/>
  <c r="I443" i="2" l="1"/>
  <c r="L155" i="3"/>
  <c r="D444" i="2"/>
  <c r="E444" i="2"/>
  <c r="A155" i="3"/>
  <c r="K442" i="2"/>
  <c r="C445" i="2"/>
  <c r="F445" i="2" s="1"/>
  <c r="B445" i="2"/>
  <c r="A446" i="2"/>
  <c r="F444" i="2"/>
  <c r="D445" i="2" l="1"/>
  <c r="A156" i="3"/>
  <c r="A447" i="2"/>
  <c r="C446" i="2"/>
  <c r="F446" i="2" s="1"/>
  <c r="B446" i="2"/>
  <c r="M442" i="2"/>
  <c r="K443" i="2"/>
  <c r="M443" i="2" s="1"/>
  <c r="E445" i="2"/>
  <c r="J444" i="2"/>
  <c r="I444" i="2" s="1"/>
  <c r="G444" i="2"/>
  <c r="D446" i="2" l="1"/>
  <c r="J445" i="2"/>
  <c r="I445" i="2" s="1"/>
  <c r="G445" i="2"/>
  <c r="E446" i="2"/>
  <c r="K444" i="2"/>
  <c r="M444" i="2" s="1"/>
  <c r="B447" i="2"/>
  <c r="C447" i="2"/>
  <c r="F447" i="2" s="1"/>
  <c r="A448" i="2"/>
  <c r="A157" i="3"/>
  <c r="D447" i="2" l="1"/>
  <c r="C448" i="2"/>
  <c r="F448" i="2" s="1"/>
  <c r="B448" i="2"/>
  <c r="A449" i="2"/>
  <c r="E447" i="2"/>
  <c r="J446" i="2"/>
  <c r="I446" i="2" s="1"/>
  <c r="G446" i="2"/>
  <c r="A158" i="3"/>
  <c r="K445" i="2"/>
  <c r="M445" i="2" s="1"/>
  <c r="D448" i="2" l="1"/>
  <c r="A450" i="2"/>
  <c r="C449" i="2"/>
  <c r="F449" i="2" s="1"/>
  <c r="B449" i="2"/>
  <c r="E448" i="2"/>
  <c r="K446" i="2"/>
  <c r="M446" i="2" s="1"/>
  <c r="J447" i="2"/>
  <c r="I447" i="2" s="1"/>
  <c r="G447" i="2"/>
  <c r="A159" i="3"/>
  <c r="D449" i="2" l="1"/>
  <c r="K447" i="2"/>
  <c r="M447" i="2" s="1"/>
  <c r="E449" i="2"/>
  <c r="A451" i="2"/>
  <c r="B450" i="2"/>
  <c r="C450" i="2"/>
  <c r="F450" i="2" s="1"/>
  <c r="G448" i="2"/>
  <c r="J448" i="2"/>
  <c r="I448" i="2" s="1"/>
  <c r="A160" i="3"/>
  <c r="D450" i="2" l="1"/>
  <c r="E450" i="2"/>
  <c r="K448" i="2"/>
  <c r="M448" i="2" s="1"/>
  <c r="B451" i="2"/>
  <c r="A452" i="2"/>
  <c r="C451" i="2"/>
  <c r="F451" i="2" s="1"/>
  <c r="A161" i="3"/>
  <c r="G449" i="2"/>
  <c r="J449" i="2"/>
  <c r="I449" i="2" s="1"/>
  <c r="D451" i="2" l="1"/>
  <c r="E451" i="2"/>
  <c r="A453" i="2"/>
  <c r="C452" i="2"/>
  <c r="F452" i="2" s="1"/>
  <c r="B452" i="2"/>
  <c r="K449" i="2"/>
  <c r="M449" i="2" s="1"/>
  <c r="A162" i="3"/>
  <c r="J450" i="2"/>
  <c r="I450" i="2" s="1"/>
  <c r="G450" i="2"/>
  <c r="D452" i="2" l="1"/>
  <c r="K450" i="2"/>
  <c r="C453" i="2"/>
  <c r="F453" i="2" s="1"/>
  <c r="A454" i="2"/>
  <c r="B453" i="2"/>
  <c r="A163" i="3"/>
  <c r="E452" i="2"/>
  <c r="J451" i="2"/>
  <c r="I451" i="2" s="1"/>
  <c r="G451" i="2"/>
  <c r="D453" i="2" l="1"/>
  <c r="J452" i="2"/>
  <c r="I452" i="2" s="1"/>
  <c r="G452" i="2"/>
  <c r="C454" i="2"/>
  <c r="F454" i="2" s="1"/>
  <c r="B454" i="2"/>
  <c r="A455" i="2"/>
  <c r="E453" i="2"/>
  <c r="A164" i="3"/>
  <c r="K451" i="2"/>
  <c r="M450" i="2"/>
  <c r="D454" i="2" l="1"/>
  <c r="M451" i="2"/>
  <c r="J453" i="2"/>
  <c r="I453" i="2" s="1"/>
  <c r="G453" i="2"/>
  <c r="A456" i="2"/>
  <c r="C455" i="2"/>
  <c r="F455" i="2" s="1"/>
  <c r="B455" i="2"/>
  <c r="E454" i="2"/>
  <c r="A165" i="3"/>
  <c r="K452" i="2"/>
  <c r="D455" i="2" l="1"/>
  <c r="M452" i="2"/>
  <c r="B456" i="2"/>
  <c r="C456" i="2"/>
  <c r="F456" i="2" s="1"/>
  <c r="A457" i="2"/>
  <c r="E455" i="2"/>
  <c r="A166" i="3"/>
  <c r="K453" i="2"/>
  <c r="G454" i="2"/>
  <c r="J454" i="2"/>
  <c r="I454" i="2" s="1"/>
  <c r="D456" i="2" l="1"/>
  <c r="M453" i="2"/>
  <c r="B457" i="2"/>
  <c r="A458" i="2"/>
  <c r="C457" i="2"/>
  <c r="F457" i="2" s="1"/>
  <c r="E456" i="2"/>
  <c r="G455" i="2"/>
  <c r="J455" i="2"/>
  <c r="I455" i="2" s="1"/>
  <c r="K454" i="2"/>
  <c r="A167" i="3"/>
  <c r="D457" i="2" l="1"/>
  <c r="M454" i="2"/>
  <c r="K455" i="2"/>
  <c r="A459" i="2"/>
  <c r="C458" i="2"/>
  <c r="F458" i="2" s="1"/>
  <c r="B458" i="2"/>
  <c r="E457" i="2"/>
  <c r="A168" i="3"/>
  <c r="G456" i="2"/>
  <c r="J456" i="2"/>
  <c r="I456" i="2" s="1"/>
  <c r="D458" i="2" l="1"/>
  <c r="M455" i="2"/>
  <c r="E458" i="2"/>
  <c r="K456" i="2"/>
  <c r="G457" i="2"/>
  <c r="J457" i="2"/>
  <c r="I457" i="2" s="1"/>
  <c r="A460" i="2"/>
  <c r="C459" i="2"/>
  <c r="F459" i="2" s="1"/>
  <c r="B459" i="2"/>
  <c r="A169" i="3"/>
  <c r="D459" i="2" l="1"/>
  <c r="M456" i="2"/>
  <c r="K457" i="2"/>
  <c r="A170" i="3"/>
  <c r="E459" i="2"/>
  <c r="C460" i="2"/>
  <c r="F460" i="2" s="1"/>
  <c r="B460" i="2"/>
  <c r="A461" i="2"/>
  <c r="J458" i="2"/>
  <c r="I458" i="2" s="1"/>
  <c r="G458" i="2"/>
  <c r="D460" i="2" l="1"/>
  <c r="M457" i="2"/>
  <c r="C461" i="2"/>
  <c r="F461" i="2" s="1"/>
  <c r="B461" i="2"/>
  <c r="A462" i="2"/>
  <c r="E460" i="2"/>
  <c r="K458" i="2"/>
  <c r="A171" i="3"/>
  <c r="J459" i="2"/>
  <c r="I459" i="2" s="1"/>
  <c r="G459" i="2"/>
  <c r="D461" i="2" l="1"/>
  <c r="M458" i="2"/>
  <c r="G460" i="2"/>
  <c r="J460" i="2"/>
  <c r="I460" i="2" s="1"/>
  <c r="K459" i="2"/>
  <c r="A463" i="2"/>
  <c r="C462" i="2"/>
  <c r="F462" i="2" s="1"/>
  <c r="B462" i="2"/>
  <c r="E461" i="2"/>
  <c r="A172" i="3"/>
  <c r="D462" i="2" l="1"/>
  <c r="M459" i="2"/>
  <c r="J461" i="2"/>
  <c r="I461" i="2" s="1"/>
  <c r="G461" i="2"/>
  <c r="A173" i="3"/>
  <c r="C463" i="2"/>
  <c r="F463" i="2" s="1"/>
  <c r="B463" i="2"/>
  <c r="A464" i="2"/>
  <c r="E462" i="2"/>
  <c r="K460" i="2"/>
  <c r="M460" i="2" s="1"/>
  <c r="D463" i="2" l="1"/>
  <c r="J462" i="2"/>
  <c r="I462" i="2" s="1"/>
  <c r="G462" i="2"/>
  <c r="C464" i="2"/>
  <c r="F464" i="2" s="1"/>
  <c r="B464" i="2"/>
  <c r="A465" i="2"/>
  <c r="E463" i="2"/>
  <c r="A174" i="3"/>
  <c r="K461" i="2"/>
  <c r="M461" i="2" s="1"/>
  <c r="D464" i="2" l="1"/>
  <c r="J463" i="2"/>
  <c r="I463" i="2" s="1"/>
  <c r="G463" i="2"/>
  <c r="A175" i="3"/>
  <c r="K462" i="2"/>
  <c r="M462" i="2" s="1"/>
  <c r="A466" i="2"/>
  <c r="C465" i="2"/>
  <c r="F465" i="2" s="1"/>
  <c r="B465" i="2"/>
  <c r="E464" i="2"/>
  <c r="D465" i="2" l="1"/>
  <c r="C466" i="2"/>
  <c r="F466" i="2" s="1"/>
  <c r="B466" i="2"/>
  <c r="A467" i="2"/>
  <c r="E465" i="2"/>
  <c r="J464" i="2"/>
  <c r="I464" i="2" s="1"/>
  <c r="G464" i="2"/>
  <c r="K463" i="2"/>
  <c r="M463" i="2" s="1"/>
  <c r="A176" i="3"/>
  <c r="D466" i="2" l="1"/>
  <c r="K464" i="2"/>
  <c r="M464" i="2" s="1"/>
  <c r="B467" i="2"/>
  <c r="A468" i="2"/>
  <c r="C467" i="2"/>
  <c r="F467" i="2" s="1"/>
  <c r="G465" i="2"/>
  <c r="J465" i="2"/>
  <c r="I465" i="2" s="1"/>
  <c r="E466" i="2"/>
  <c r="A177" i="3"/>
  <c r="D467" i="2" l="1"/>
  <c r="A469" i="2"/>
  <c r="C468" i="2"/>
  <c r="F468" i="2" s="1"/>
  <c r="B468" i="2"/>
  <c r="K465" i="2"/>
  <c r="M465" i="2" s="1"/>
  <c r="E467" i="2"/>
  <c r="A178" i="3"/>
  <c r="J466" i="2"/>
  <c r="I466" i="2" s="1"/>
  <c r="G466" i="2"/>
  <c r="D468" i="2" l="1"/>
  <c r="K466" i="2"/>
  <c r="M466" i="2" s="1"/>
  <c r="J467" i="2"/>
  <c r="I467" i="2" s="1"/>
  <c r="G467" i="2"/>
  <c r="E468" i="2"/>
  <c r="C469" i="2"/>
  <c r="F469" i="2" s="1"/>
  <c r="B469" i="2"/>
  <c r="A470" i="2"/>
  <c r="A179" i="3"/>
  <c r="D469" i="2" l="1"/>
  <c r="K467" i="2"/>
  <c r="M467" i="2" s="1"/>
  <c r="C470" i="2"/>
  <c r="F470" i="2" s="1"/>
  <c r="A471" i="2"/>
  <c r="B470" i="2"/>
  <c r="A180" i="3"/>
  <c r="E469" i="2"/>
  <c r="J468" i="2"/>
  <c r="I468" i="2" s="1"/>
  <c r="G468" i="2"/>
  <c r="D470" i="2" l="1"/>
  <c r="K468" i="2"/>
  <c r="M468" i="2" s="1"/>
  <c r="G469" i="2"/>
  <c r="J469" i="2"/>
  <c r="I469" i="2" s="1"/>
  <c r="A472" i="2"/>
  <c r="B471" i="2"/>
  <c r="C471" i="2"/>
  <c r="F471" i="2" s="1"/>
  <c r="A181" i="3"/>
  <c r="E470" i="2"/>
  <c r="D471" i="2" l="1"/>
  <c r="E471" i="2"/>
  <c r="B472" i="2"/>
  <c r="C472" i="2"/>
  <c r="F472" i="2" s="1"/>
  <c r="A473" i="2"/>
  <c r="G470" i="2"/>
  <c r="J470" i="2"/>
  <c r="I470" i="2" s="1"/>
  <c r="A182" i="3"/>
  <c r="K469" i="2"/>
  <c r="M469" i="2" s="1"/>
  <c r="D472" i="2" l="1"/>
  <c r="E472" i="2"/>
  <c r="J472" i="2" s="1"/>
  <c r="C473" i="2"/>
  <c r="F473" i="2" s="1"/>
  <c r="B473" i="2"/>
  <c r="A474" i="2"/>
  <c r="K470" i="2"/>
  <c r="M470" i="2" s="1"/>
  <c r="A183" i="3"/>
  <c r="J471" i="2"/>
  <c r="I471" i="2" s="1"/>
  <c r="G471" i="2"/>
  <c r="D473" i="2" l="1"/>
  <c r="G472" i="2"/>
  <c r="I472" i="2"/>
  <c r="K471" i="2"/>
  <c r="E473" i="2"/>
  <c r="A475" i="2"/>
  <c r="C474" i="2"/>
  <c r="F474" i="2" s="1"/>
  <c r="B474" i="2"/>
  <c r="A184" i="3"/>
  <c r="D474" i="2" l="1"/>
  <c r="B475" i="2"/>
  <c r="A476" i="2"/>
  <c r="C475" i="2"/>
  <c r="F475" i="2" s="1"/>
  <c r="E474" i="2"/>
  <c r="M471" i="2"/>
  <c r="K472" i="2"/>
  <c r="M472" i="2" s="1"/>
  <c r="A185" i="3"/>
  <c r="G473" i="2"/>
  <c r="J473" i="2"/>
  <c r="I473" i="2" s="1"/>
  <c r="D475" i="2" l="1"/>
  <c r="K473" i="2"/>
  <c r="M473" i="2" s="1"/>
  <c r="J474" i="2"/>
  <c r="I474" i="2" s="1"/>
  <c r="G474" i="2"/>
  <c r="C476" i="2"/>
  <c r="F476" i="2" s="1"/>
  <c r="B476" i="2"/>
  <c r="A477" i="2"/>
  <c r="E475" i="2"/>
  <c r="A186" i="3"/>
  <c r="D476" i="2" l="1"/>
  <c r="J475" i="2"/>
  <c r="I475" i="2" s="1"/>
  <c r="G475" i="2"/>
  <c r="E476" i="2"/>
  <c r="A478" i="2"/>
  <c r="C477" i="2"/>
  <c r="F477" i="2" s="1"/>
  <c r="B477" i="2"/>
  <c r="A187" i="3"/>
  <c r="K474" i="2"/>
  <c r="M474" i="2" s="1"/>
  <c r="D477" i="2" l="1"/>
  <c r="E477" i="2"/>
  <c r="A188" i="3"/>
  <c r="G476" i="2"/>
  <c r="J476" i="2"/>
  <c r="I476" i="2" s="1"/>
  <c r="B478" i="2"/>
  <c r="A479" i="2"/>
  <c r="C478" i="2"/>
  <c r="F478" i="2" s="1"/>
  <c r="K475" i="2"/>
  <c r="M475" i="2" s="1"/>
  <c r="D478" i="2" l="1"/>
  <c r="A189" i="3"/>
  <c r="E478" i="2"/>
  <c r="C479" i="2"/>
  <c r="F479" i="2" s="1"/>
  <c r="B479" i="2"/>
  <c r="A480" i="2"/>
  <c r="K476" i="2"/>
  <c r="M476" i="2" s="1"/>
  <c r="J477" i="2"/>
  <c r="I477" i="2" s="1"/>
  <c r="G477" i="2"/>
  <c r="D479" i="2" l="1"/>
  <c r="A190" i="3"/>
  <c r="C480" i="2"/>
  <c r="F480" i="2" s="1"/>
  <c r="A481" i="2"/>
  <c r="B480" i="2"/>
  <c r="E479" i="2"/>
  <c r="J478" i="2"/>
  <c r="I478" i="2" s="1"/>
  <c r="G478" i="2"/>
  <c r="K477" i="2"/>
  <c r="M477" i="2" s="1"/>
  <c r="D480" i="2" l="1"/>
  <c r="K478" i="2"/>
  <c r="M478" i="2" s="1"/>
  <c r="E480" i="2"/>
  <c r="C481" i="2"/>
  <c r="F481" i="2" s="1"/>
  <c r="B481" i="2"/>
  <c r="A482" i="2"/>
  <c r="A191" i="3"/>
  <c r="G479" i="2"/>
  <c r="J479" i="2"/>
  <c r="I479" i="2" s="1"/>
  <c r="D481" i="2" l="1"/>
  <c r="B482" i="2"/>
  <c r="A483" i="2"/>
  <c r="C482" i="2"/>
  <c r="F482" i="2" s="1"/>
  <c r="E481" i="2"/>
  <c r="A192" i="3"/>
  <c r="J480" i="2"/>
  <c r="I480" i="2" s="1"/>
  <c r="G480" i="2"/>
  <c r="K479" i="2"/>
  <c r="M479" i="2" s="1"/>
  <c r="D482" i="2" l="1"/>
  <c r="K480" i="2"/>
  <c r="M480" i="2" s="1"/>
  <c r="G481" i="2"/>
  <c r="J481" i="2"/>
  <c r="I481" i="2" s="1"/>
  <c r="E482" i="2"/>
  <c r="B483" i="2"/>
  <c r="D483" i="2" s="1"/>
  <c r="A484" i="2"/>
  <c r="C483" i="2"/>
  <c r="F483" i="2" s="1"/>
  <c r="A193" i="3"/>
  <c r="A194" i="3" l="1"/>
  <c r="J482" i="2"/>
  <c r="I482" i="2" s="1"/>
  <c r="G482" i="2"/>
  <c r="K481" i="2"/>
  <c r="M481" i="2" s="1"/>
  <c r="E483" i="2"/>
  <c r="C484" i="2"/>
  <c r="F484" i="2" s="1"/>
  <c r="B484" i="2"/>
  <c r="D484" i="2" s="1"/>
  <c r="A485" i="2"/>
  <c r="A486" i="2" l="1"/>
  <c r="C485" i="2"/>
  <c r="F485" i="2" s="1"/>
  <c r="B485" i="2"/>
  <c r="D485" i="2" s="1"/>
  <c r="G483" i="2"/>
  <c r="J483" i="2"/>
  <c r="I483" i="2" s="1"/>
  <c r="K482" i="2"/>
  <c r="M482" i="2" s="1"/>
  <c r="E484" i="2"/>
  <c r="A195" i="3"/>
  <c r="G484" i="2" l="1"/>
  <c r="J484" i="2"/>
  <c r="I484" i="2" s="1"/>
  <c r="E485" i="2"/>
  <c r="K483" i="2"/>
  <c r="M483" i="2" s="1"/>
  <c r="A487" i="2"/>
  <c r="B486" i="2"/>
  <c r="D486" i="2" s="1"/>
  <c r="C486" i="2"/>
  <c r="F486" i="2" s="1"/>
  <c r="A196" i="3"/>
  <c r="A197" i="3" l="1"/>
  <c r="E486" i="2"/>
  <c r="C487" i="2"/>
  <c r="F487" i="2" s="1"/>
  <c r="B487" i="2"/>
  <c r="D487" i="2" s="1"/>
  <c r="A488" i="2"/>
  <c r="J485" i="2"/>
  <c r="I485" i="2" s="1"/>
  <c r="G485" i="2"/>
  <c r="K484" i="2"/>
  <c r="M484" i="2" s="1"/>
  <c r="A489" i="2" l="1"/>
  <c r="B488" i="2"/>
  <c r="D488" i="2" s="1"/>
  <c r="C488" i="2"/>
  <c r="F488" i="2" s="1"/>
  <c r="K485" i="2"/>
  <c r="M485" i="2" s="1"/>
  <c r="A198" i="3"/>
  <c r="E487" i="2"/>
  <c r="J486" i="2"/>
  <c r="I486" i="2" s="1"/>
  <c r="G486" i="2"/>
  <c r="G487" i="2" l="1"/>
  <c r="J487" i="2"/>
  <c r="I487" i="2" s="1"/>
  <c r="K486" i="2"/>
  <c r="M486" i="2" s="1"/>
  <c r="C489" i="2"/>
  <c r="F489" i="2" s="1"/>
  <c r="B489" i="2"/>
  <c r="D489" i="2" s="1"/>
  <c r="A490" i="2"/>
  <c r="E488" i="2"/>
  <c r="A199" i="3"/>
  <c r="B490" i="2" l="1"/>
  <c r="D490" i="2" s="1"/>
  <c r="A491" i="2"/>
  <c r="C490" i="2"/>
  <c r="F490" i="2" s="1"/>
  <c r="A200" i="3"/>
  <c r="K487" i="2"/>
  <c r="M487" i="2" s="1"/>
  <c r="J488" i="2"/>
  <c r="I488" i="2" s="1"/>
  <c r="G488" i="2"/>
  <c r="E489" i="2"/>
  <c r="J489" i="2" l="1"/>
  <c r="I489" i="2" s="1"/>
  <c r="G489" i="2"/>
  <c r="K488" i="2"/>
  <c r="M488" i="2" s="1"/>
  <c r="A492" i="2"/>
  <c r="C491" i="2"/>
  <c r="F491" i="2" s="1"/>
  <c r="B491" i="2"/>
  <c r="D491" i="2" s="1"/>
  <c r="E490" i="2"/>
  <c r="A201" i="3"/>
  <c r="J490" i="2" l="1"/>
  <c r="I490" i="2" s="1"/>
  <c r="G490" i="2"/>
  <c r="E491" i="2"/>
  <c r="A202" i="3"/>
  <c r="C492" i="2"/>
  <c r="F492" i="2" s="1"/>
  <c r="B492" i="2"/>
  <c r="D492" i="2" s="1"/>
  <c r="A493" i="2"/>
  <c r="K489" i="2"/>
  <c r="M489" i="2" s="1"/>
  <c r="E492" i="2" l="1"/>
  <c r="J491" i="2"/>
  <c r="I491" i="2" s="1"/>
  <c r="G491" i="2"/>
  <c r="A203" i="3"/>
  <c r="C493" i="2"/>
  <c r="F493" i="2" s="1"/>
  <c r="A494" i="2"/>
  <c r="B493" i="2"/>
  <c r="D493" i="2" s="1"/>
  <c r="K490" i="2"/>
  <c r="M490" i="2" s="1"/>
  <c r="B494" i="2" l="1"/>
  <c r="D494" i="2" s="1"/>
  <c r="C494" i="2"/>
  <c r="F494" i="2" s="1"/>
  <c r="A495" i="2"/>
  <c r="K491" i="2"/>
  <c r="M491" i="2" s="1"/>
  <c r="E493" i="2"/>
  <c r="A204" i="3"/>
  <c r="G492" i="2"/>
  <c r="J492" i="2"/>
  <c r="I492" i="2" s="1"/>
  <c r="J493" i="2" l="1"/>
  <c r="I493" i="2" s="1"/>
  <c r="G493" i="2"/>
  <c r="E494" i="2"/>
  <c r="K492" i="2"/>
  <c r="M492" i="2" s="1"/>
  <c r="A496" i="2"/>
  <c r="C495" i="2"/>
  <c r="F495" i="2" s="1"/>
  <c r="B495" i="2"/>
  <c r="D495" i="2" s="1"/>
  <c r="A205" i="3"/>
  <c r="E495" i="2" l="1"/>
  <c r="C496" i="2"/>
  <c r="F496" i="2" s="1"/>
  <c r="B496" i="2"/>
  <c r="D496" i="2" s="1"/>
  <c r="A497" i="2"/>
  <c r="A206" i="3"/>
  <c r="J494" i="2"/>
  <c r="I494" i="2" s="1"/>
  <c r="G494" i="2"/>
  <c r="K493" i="2"/>
  <c r="M493" i="2" s="1"/>
  <c r="K494" i="2" l="1"/>
  <c r="M494" i="2" s="1"/>
  <c r="A207" i="3"/>
  <c r="E496" i="2"/>
  <c r="B497" i="2"/>
  <c r="D497" i="2" s="1"/>
  <c r="A498" i="2"/>
  <c r="C497" i="2"/>
  <c r="F497" i="2" s="1"/>
  <c r="G495" i="2"/>
  <c r="J495" i="2"/>
  <c r="I495" i="2" s="1"/>
  <c r="K495" i="2" l="1"/>
  <c r="M495" i="2" s="1"/>
  <c r="A499" i="2"/>
  <c r="C498" i="2"/>
  <c r="F498" i="2" s="1"/>
  <c r="B498" i="2"/>
  <c r="D498" i="2" s="1"/>
  <c r="E497" i="2"/>
  <c r="A208" i="3"/>
  <c r="G496" i="2"/>
  <c r="J496" i="2"/>
  <c r="I496" i="2" s="1"/>
  <c r="E498" i="2" l="1"/>
  <c r="K496" i="2"/>
  <c r="M496" i="2" s="1"/>
  <c r="B499" i="2"/>
  <c r="D499" i="2" s="1"/>
  <c r="C499" i="2"/>
  <c r="F499" i="2" s="1"/>
  <c r="A500" i="2"/>
  <c r="A209" i="3"/>
  <c r="G497" i="2"/>
  <c r="J497" i="2"/>
  <c r="I497" i="2" s="1"/>
  <c r="E499" i="2" l="1"/>
  <c r="G499" i="2" s="1"/>
  <c r="A501" i="2"/>
  <c r="C500" i="2"/>
  <c r="F500" i="2" s="1"/>
  <c r="B500" i="2"/>
  <c r="D500" i="2" s="1"/>
  <c r="A210" i="3"/>
  <c r="K497" i="2"/>
  <c r="M497" i="2" s="1"/>
  <c r="J498" i="2"/>
  <c r="I498" i="2" s="1"/>
  <c r="G498" i="2"/>
  <c r="J499" i="2" l="1"/>
  <c r="I499" i="2" s="1"/>
  <c r="K498" i="2"/>
  <c r="A502" i="2"/>
  <c r="C501" i="2"/>
  <c r="F501" i="2" s="1"/>
  <c r="B501" i="2"/>
  <c r="D501" i="2" s="1"/>
  <c r="A211" i="3"/>
  <c r="E500" i="2"/>
  <c r="E501" i="2" l="1"/>
  <c r="G500" i="2"/>
  <c r="J500" i="2"/>
  <c r="I500" i="2" s="1"/>
  <c r="A212" i="3"/>
  <c r="A503" i="2"/>
  <c r="B502" i="2"/>
  <c r="D502" i="2" s="1"/>
  <c r="C502" i="2"/>
  <c r="F502" i="2" s="1"/>
  <c r="M498" i="2"/>
  <c r="K499" i="2"/>
  <c r="M499" i="2" s="1"/>
  <c r="A213" i="3" l="1"/>
  <c r="K500" i="2"/>
  <c r="M500" i="2" s="1"/>
  <c r="E502" i="2"/>
  <c r="C503" i="2"/>
  <c r="F503" i="2" s="1"/>
  <c r="B503" i="2"/>
  <c r="D503" i="2" s="1"/>
  <c r="A504" i="2"/>
  <c r="G501" i="2"/>
  <c r="J501" i="2"/>
  <c r="I501" i="2" s="1"/>
  <c r="A505" i="2" l="1"/>
  <c r="C504" i="2"/>
  <c r="F504" i="2" s="1"/>
  <c r="B504" i="2"/>
  <c r="D504" i="2" s="1"/>
  <c r="A214" i="3"/>
  <c r="E503" i="2"/>
  <c r="J502" i="2"/>
  <c r="I502" i="2" s="1"/>
  <c r="G502" i="2"/>
  <c r="K501" i="2"/>
  <c r="M501" i="2" s="1"/>
  <c r="J503" i="2" l="1"/>
  <c r="I503" i="2" s="1"/>
  <c r="G503" i="2"/>
  <c r="K502" i="2"/>
  <c r="M502" i="2" s="1"/>
  <c r="E504" i="2"/>
  <c r="B505" i="2"/>
  <c r="D505" i="2" s="1"/>
  <c r="A506" i="2"/>
  <c r="C505" i="2"/>
  <c r="F505" i="2" s="1"/>
  <c r="A215" i="3"/>
  <c r="A216" i="3" l="1"/>
  <c r="J504" i="2"/>
  <c r="I504" i="2" s="1"/>
  <c r="G504" i="2"/>
  <c r="E505" i="2"/>
  <c r="C506" i="2"/>
  <c r="F506" i="2" s="1"/>
  <c r="A507" i="2"/>
  <c r="B506" i="2"/>
  <c r="D506" i="2" s="1"/>
  <c r="K503" i="2"/>
  <c r="M503" i="2" s="1"/>
  <c r="C507" i="2" l="1"/>
  <c r="F507" i="2" s="1"/>
  <c r="B507" i="2"/>
  <c r="D507" i="2" s="1"/>
  <c r="A508" i="2"/>
  <c r="A217" i="3"/>
  <c r="J505" i="2"/>
  <c r="I505" i="2" s="1"/>
  <c r="G505" i="2"/>
  <c r="K504" i="2"/>
  <c r="M504" i="2" s="1"/>
  <c r="E506" i="2"/>
  <c r="J506" i="2" l="1"/>
  <c r="I506" i="2" s="1"/>
  <c r="G506" i="2"/>
  <c r="K505" i="2"/>
  <c r="M505" i="2" s="1"/>
  <c r="C508" i="2"/>
  <c r="F508" i="2" s="1"/>
  <c r="B508" i="2"/>
  <c r="D508" i="2" s="1"/>
  <c r="A509" i="2"/>
  <c r="E507" i="2"/>
  <c r="A218" i="3"/>
  <c r="J507" i="2" l="1"/>
  <c r="I507" i="2" s="1"/>
  <c r="G507" i="2"/>
  <c r="C509" i="2"/>
  <c r="F509" i="2" s="1"/>
  <c r="A510" i="2"/>
  <c r="B509" i="2"/>
  <c r="D509" i="2" s="1"/>
  <c r="A219" i="3"/>
  <c r="E508" i="2"/>
  <c r="K506" i="2"/>
  <c r="M506" i="2" s="1"/>
  <c r="B510" i="2" l="1"/>
  <c r="D510" i="2" s="1"/>
  <c r="C510" i="2"/>
  <c r="F510" i="2" s="1"/>
  <c r="A511" i="2"/>
  <c r="A220" i="3"/>
  <c r="G508" i="2"/>
  <c r="J508" i="2"/>
  <c r="I508" i="2" s="1"/>
  <c r="E509" i="2"/>
  <c r="K507" i="2"/>
  <c r="M507" i="2" s="1"/>
  <c r="K508" i="2" l="1"/>
  <c r="M508" i="2" s="1"/>
  <c r="G509" i="2"/>
  <c r="J509" i="2"/>
  <c r="I509" i="2" s="1"/>
  <c r="A512" i="2"/>
  <c r="C511" i="2"/>
  <c r="F511" i="2" s="1"/>
  <c r="B511" i="2"/>
  <c r="D511" i="2" s="1"/>
  <c r="E510" i="2"/>
  <c r="A221" i="3"/>
  <c r="J510" i="2" l="1"/>
  <c r="I510" i="2" s="1"/>
  <c r="G510" i="2"/>
  <c r="E511" i="2"/>
  <c r="C512" i="2"/>
  <c r="F512" i="2" s="1"/>
  <c r="B512" i="2"/>
  <c r="D512" i="2" s="1"/>
  <c r="A513" i="2"/>
  <c r="A222" i="3"/>
  <c r="K509" i="2"/>
  <c r="M509" i="2" s="1"/>
  <c r="A514" i="2" l="1"/>
  <c r="C513" i="2"/>
  <c r="F513" i="2" s="1"/>
  <c r="B513" i="2"/>
  <c r="D513" i="2" s="1"/>
  <c r="E512" i="2"/>
  <c r="G511" i="2"/>
  <c r="J511" i="2"/>
  <c r="I511" i="2" s="1"/>
  <c r="K510" i="2"/>
  <c r="M510" i="2" s="1"/>
  <c r="A223" i="3"/>
  <c r="K511" i="2" l="1"/>
  <c r="M511" i="2" s="1"/>
  <c r="A515" i="2"/>
  <c r="C514" i="2"/>
  <c r="F514" i="2" s="1"/>
  <c r="B514" i="2"/>
  <c r="D514" i="2" s="1"/>
  <c r="J512" i="2"/>
  <c r="I512" i="2" s="1"/>
  <c r="G512" i="2"/>
  <c r="E513" i="2"/>
  <c r="A224" i="3"/>
  <c r="G513" i="2" l="1"/>
  <c r="J513" i="2"/>
  <c r="I513" i="2" s="1"/>
  <c r="K512" i="2"/>
  <c r="M512" i="2" s="1"/>
  <c r="B515" i="2"/>
  <c r="D515" i="2" s="1"/>
  <c r="A516" i="2"/>
  <c r="C515" i="2"/>
  <c r="F515" i="2" s="1"/>
  <c r="E514" i="2"/>
  <c r="A225" i="3"/>
  <c r="J514" i="2" l="1"/>
  <c r="I514" i="2" s="1"/>
  <c r="G514" i="2"/>
  <c r="E515" i="2"/>
  <c r="A226" i="3"/>
  <c r="K513" i="2"/>
  <c r="M513" i="2" s="1"/>
  <c r="B516" i="2"/>
  <c r="D516" i="2" s="1"/>
  <c r="A517" i="2"/>
  <c r="C516" i="2"/>
  <c r="F516" i="2" s="1"/>
  <c r="A227" i="3" l="1"/>
  <c r="J515" i="2"/>
  <c r="I515" i="2" s="1"/>
  <c r="G515" i="2"/>
  <c r="E516" i="2"/>
  <c r="A518" i="2"/>
  <c r="C517" i="2"/>
  <c r="F517" i="2" s="1"/>
  <c r="B517" i="2"/>
  <c r="D517" i="2" s="1"/>
  <c r="K514" i="2"/>
  <c r="M514" i="2" s="1"/>
  <c r="E517" i="2" l="1"/>
  <c r="A228" i="3"/>
  <c r="C518" i="2"/>
  <c r="F518" i="2" s="1"/>
  <c r="B518" i="2"/>
  <c r="D518" i="2" s="1"/>
  <c r="A519" i="2"/>
  <c r="G516" i="2"/>
  <c r="J516" i="2"/>
  <c r="I516" i="2" s="1"/>
  <c r="K515" i="2"/>
  <c r="M515" i="2" s="1"/>
  <c r="K516" i="2" l="1"/>
  <c r="M516" i="2" s="1"/>
  <c r="C519" i="2"/>
  <c r="F519" i="2" s="1"/>
  <c r="A520" i="2"/>
  <c r="B519" i="2"/>
  <c r="D519" i="2" s="1"/>
  <c r="E518" i="2"/>
  <c r="A229" i="3"/>
  <c r="J517" i="2"/>
  <c r="I517" i="2" s="1"/>
  <c r="G517" i="2"/>
  <c r="K517" i="2" l="1"/>
  <c r="M517" i="2" s="1"/>
  <c r="J518" i="2"/>
  <c r="I518" i="2" s="1"/>
  <c r="G518" i="2"/>
  <c r="A521" i="2"/>
  <c r="B520" i="2"/>
  <c r="D520" i="2" s="1"/>
  <c r="C520" i="2"/>
  <c r="F520" i="2" s="1"/>
  <c r="E519" i="2"/>
  <c r="A230" i="3"/>
  <c r="E520" i="2" l="1"/>
  <c r="J519" i="2"/>
  <c r="I519" i="2" s="1"/>
  <c r="G519" i="2"/>
  <c r="C521" i="2"/>
  <c r="F521" i="2" s="1"/>
  <c r="B521" i="2"/>
  <c r="D521" i="2" s="1"/>
  <c r="A522" i="2"/>
  <c r="A231" i="3"/>
  <c r="K518" i="2"/>
  <c r="M518" i="2" s="1"/>
  <c r="A232" i="3" l="1"/>
  <c r="E521" i="2"/>
  <c r="K519" i="2"/>
  <c r="M519" i="2" s="1"/>
  <c r="B522" i="2"/>
  <c r="D522" i="2" s="1"/>
  <c r="A523" i="2"/>
  <c r="C522" i="2"/>
  <c r="F522" i="2" s="1"/>
  <c r="J520" i="2"/>
  <c r="I520" i="2" s="1"/>
  <c r="G520" i="2"/>
  <c r="E522" i="2" l="1"/>
  <c r="K520" i="2"/>
  <c r="M520" i="2" s="1"/>
  <c r="A233" i="3"/>
  <c r="C523" i="2"/>
  <c r="F523" i="2" s="1"/>
  <c r="A524" i="2"/>
  <c r="B523" i="2"/>
  <c r="D523" i="2" s="1"/>
  <c r="J521" i="2"/>
  <c r="I521" i="2" s="1"/>
  <c r="G521" i="2"/>
  <c r="K521" i="2" l="1"/>
  <c r="M521" i="2" s="1"/>
  <c r="E523" i="2"/>
  <c r="A525" i="2"/>
  <c r="B524" i="2"/>
  <c r="D524" i="2" s="1"/>
  <c r="C524" i="2"/>
  <c r="F524" i="2" s="1"/>
  <c r="A234" i="3"/>
  <c r="J522" i="2"/>
  <c r="I522" i="2" s="1"/>
  <c r="G522" i="2"/>
  <c r="E524" i="2" l="1"/>
  <c r="C525" i="2"/>
  <c r="F525" i="2" s="1"/>
  <c r="B525" i="2"/>
  <c r="D525" i="2" s="1"/>
  <c r="A526" i="2"/>
  <c r="A235" i="3"/>
  <c r="K522" i="2"/>
  <c r="M522" i="2" s="1"/>
  <c r="J523" i="2"/>
  <c r="I523" i="2" s="1"/>
  <c r="G523" i="2"/>
  <c r="A236" i="3" l="1"/>
  <c r="K523" i="2"/>
  <c r="M523" i="2" s="1"/>
  <c r="B526" i="2"/>
  <c r="D526" i="2" s="1"/>
  <c r="A527" i="2"/>
  <c r="C526" i="2"/>
  <c r="F526" i="2" s="1"/>
  <c r="E525" i="2"/>
  <c r="J524" i="2"/>
  <c r="I524" i="2" s="1"/>
  <c r="G524" i="2"/>
  <c r="K524" i="2" l="1"/>
  <c r="M524" i="2" s="1"/>
  <c r="B527" i="2"/>
  <c r="D527" i="2" s="1"/>
  <c r="A528" i="2"/>
  <c r="C527" i="2"/>
  <c r="F527" i="2" s="1"/>
  <c r="J525" i="2"/>
  <c r="I525" i="2" s="1"/>
  <c r="G525" i="2"/>
  <c r="A237" i="3"/>
  <c r="E526" i="2"/>
  <c r="J526" i="2" l="1"/>
  <c r="I526" i="2" s="1"/>
  <c r="G526" i="2"/>
  <c r="K525" i="2"/>
  <c r="M525" i="2" s="1"/>
  <c r="E527" i="2"/>
  <c r="B528" i="2"/>
  <c r="D528" i="2" s="1"/>
  <c r="A529" i="2"/>
  <c r="C528" i="2"/>
  <c r="F528" i="2" s="1"/>
  <c r="A238" i="3"/>
  <c r="C529" i="2" l="1"/>
  <c r="F529" i="2" s="1"/>
  <c r="A530" i="2"/>
  <c r="B529" i="2"/>
  <c r="D529" i="2" s="1"/>
  <c r="A239" i="3"/>
  <c r="E528" i="2"/>
  <c r="J527" i="2"/>
  <c r="I527" i="2" s="1"/>
  <c r="G527" i="2"/>
  <c r="K526" i="2"/>
  <c r="M526" i="2" s="1"/>
  <c r="E529" i="2" l="1"/>
  <c r="G529" i="2" s="1"/>
  <c r="J528" i="2"/>
  <c r="I528" i="2" s="1"/>
  <c r="G528" i="2"/>
  <c r="K527" i="2"/>
  <c r="M527" i="2" s="1"/>
  <c r="B530" i="2"/>
  <c r="D530" i="2" s="1"/>
  <c r="A531" i="2"/>
  <c r="C530" i="2"/>
  <c r="F530" i="2" s="1"/>
  <c r="A240" i="3"/>
  <c r="J529" i="2" l="1"/>
  <c r="I529" i="2" s="1"/>
  <c r="A241" i="3"/>
  <c r="E530" i="2"/>
  <c r="C531" i="2"/>
  <c r="F531" i="2" s="1"/>
  <c r="A532" i="2"/>
  <c r="B531" i="2"/>
  <c r="D531" i="2" s="1"/>
  <c r="K528" i="2"/>
  <c r="M528" i="2" l="1"/>
  <c r="K529" i="2"/>
  <c r="M529" i="2" s="1"/>
  <c r="A242" i="3"/>
  <c r="A533" i="2"/>
  <c r="B532" i="2"/>
  <c r="D532" i="2" s="1"/>
  <c r="C532" i="2"/>
  <c r="F532" i="2" s="1"/>
  <c r="J530" i="2"/>
  <c r="I530" i="2" s="1"/>
  <c r="G530" i="2"/>
  <c r="E531" i="2"/>
  <c r="E532" i="2" l="1"/>
  <c r="A243" i="3"/>
  <c r="K530" i="2"/>
  <c r="M530" i="2" s="1"/>
  <c r="A534" i="2"/>
  <c r="C533" i="2"/>
  <c r="F533" i="2" s="1"/>
  <c r="B533" i="2"/>
  <c r="D533" i="2" s="1"/>
  <c r="J531" i="2"/>
  <c r="I531" i="2" s="1"/>
  <c r="G531" i="2"/>
  <c r="K531" i="2" l="1"/>
  <c r="B534" i="2"/>
  <c r="D534" i="2" s="1"/>
  <c r="A535" i="2"/>
  <c r="C534" i="2"/>
  <c r="F534" i="2" s="1"/>
  <c r="E533" i="2"/>
  <c r="A244" i="3"/>
  <c r="J532" i="2"/>
  <c r="I532" i="2" s="1"/>
  <c r="G532" i="2"/>
  <c r="K532" i="2" l="1"/>
  <c r="M532" i="2" s="1"/>
  <c r="E534" i="2"/>
  <c r="G534" i="2" s="1"/>
  <c r="J533" i="2"/>
  <c r="I533" i="2" s="1"/>
  <c r="G533" i="2"/>
  <c r="C535" i="2"/>
  <c r="F535" i="2" s="1"/>
  <c r="A536" i="2"/>
  <c r="B535" i="2"/>
  <c r="D535" i="2" s="1"/>
  <c r="A245" i="3"/>
  <c r="M531" i="2"/>
  <c r="J534" i="2" l="1"/>
  <c r="I534" i="2" s="1"/>
  <c r="E535" i="2"/>
  <c r="J535" i="2" s="1"/>
  <c r="G142" i="4"/>
  <c r="S142" i="4" s="1"/>
  <c r="B536" i="2"/>
  <c r="D536" i="2" s="1"/>
  <c r="A537" i="2"/>
  <c r="C536" i="2"/>
  <c r="F536" i="2" s="1"/>
  <c r="A246" i="3"/>
  <c r="K533" i="2"/>
  <c r="I535" i="2" l="1"/>
  <c r="G535" i="2"/>
  <c r="M533" i="2"/>
  <c r="K534" i="2"/>
  <c r="E536" i="2"/>
  <c r="A538" i="2"/>
  <c r="C537" i="2"/>
  <c r="F537" i="2" s="1"/>
  <c r="B537" i="2"/>
  <c r="D537" i="2" s="1"/>
  <c r="A247" i="3"/>
  <c r="A248" i="3" l="1"/>
  <c r="B538" i="2"/>
  <c r="D538" i="2" s="1"/>
  <c r="C538" i="2"/>
  <c r="F538" i="2" s="1"/>
  <c r="A539" i="2"/>
  <c r="J536" i="2"/>
  <c r="I536" i="2" s="1"/>
  <c r="G536" i="2"/>
  <c r="E537" i="2"/>
  <c r="M534" i="2"/>
  <c r="K535" i="2"/>
  <c r="E538" i="2" l="1"/>
  <c r="J538" i="2" s="1"/>
  <c r="M535" i="2"/>
  <c r="C539" i="2"/>
  <c r="F539" i="2" s="1"/>
  <c r="B539" i="2"/>
  <c r="D539" i="2" s="1"/>
  <c r="A540" i="2"/>
  <c r="G537" i="2"/>
  <c r="J537" i="2"/>
  <c r="I537" i="2" s="1"/>
  <c r="A249" i="3"/>
  <c r="K536" i="2"/>
  <c r="M536" i="2" s="1"/>
  <c r="G538" i="2" l="1"/>
  <c r="I538" i="2"/>
  <c r="A541" i="2"/>
  <c r="B540" i="2"/>
  <c r="D540" i="2" s="1"/>
  <c r="C540" i="2"/>
  <c r="F540" i="2" s="1"/>
  <c r="K537" i="2"/>
  <c r="E539" i="2"/>
  <c r="A250" i="3"/>
  <c r="G539" i="2" l="1"/>
  <c r="J539" i="2"/>
  <c r="I539" i="2" s="1"/>
  <c r="E540" i="2"/>
  <c r="B541" i="2"/>
  <c r="D541" i="2" s="1"/>
  <c r="A542" i="2"/>
  <c r="C541" i="2"/>
  <c r="F541" i="2" s="1"/>
  <c r="M537" i="2"/>
  <c r="K538" i="2"/>
  <c r="A251" i="3"/>
  <c r="M538" i="2" l="1"/>
  <c r="B542" i="2"/>
  <c r="D542" i="2" s="1"/>
  <c r="C542" i="2"/>
  <c r="F542" i="2" s="1"/>
  <c r="A543" i="2"/>
  <c r="A252" i="3"/>
  <c r="E541" i="2"/>
  <c r="J540" i="2"/>
  <c r="I540" i="2" s="1"/>
  <c r="G540" i="2"/>
  <c r="K539" i="2"/>
  <c r="M539" i="2" l="1"/>
  <c r="J541" i="2"/>
  <c r="I541" i="2" s="1"/>
  <c r="G541" i="2"/>
  <c r="A544" i="2"/>
  <c r="C543" i="2"/>
  <c r="F543" i="2" s="1"/>
  <c r="B543" i="2"/>
  <c r="D543" i="2" s="1"/>
  <c r="K540" i="2"/>
  <c r="M540" i="2" s="1"/>
  <c r="A253" i="3"/>
  <c r="E542" i="2"/>
  <c r="C544" i="2" l="1"/>
  <c r="F544" i="2" s="1"/>
  <c r="B544" i="2"/>
  <c r="D544" i="2" s="1"/>
  <c r="A545" i="2"/>
  <c r="G542" i="2"/>
  <c r="J542" i="2"/>
  <c r="I542" i="2" s="1"/>
  <c r="A254" i="3"/>
  <c r="E543" i="2"/>
  <c r="K541" i="2"/>
  <c r="E544" i="2" l="1"/>
  <c r="G544" i="2" s="1"/>
  <c r="M541" i="2"/>
  <c r="K542" i="2"/>
  <c r="M542" i="2" s="1"/>
  <c r="J543" i="2"/>
  <c r="I543" i="2" s="1"/>
  <c r="G543" i="2"/>
  <c r="A546" i="2"/>
  <c r="C545" i="2"/>
  <c r="F545" i="2" s="1"/>
  <c r="B545" i="2"/>
  <c r="D545" i="2" s="1"/>
  <c r="A255" i="3"/>
  <c r="J544" i="2" l="1"/>
  <c r="I544" i="2" s="1"/>
  <c r="K543" i="2"/>
  <c r="M543" i="2" s="1"/>
  <c r="A547" i="2"/>
  <c r="B546" i="2"/>
  <c r="D546" i="2" s="1"/>
  <c r="C546" i="2"/>
  <c r="F546" i="2" s="1"/>
  <c r="A256" i="3"/>
  <c r="E545" i="2"/>
  <c r="K544" i="2" l="1"/>
  <c r="M544" i="2" s="1"/>
  <c r="J545" i="2"/>
  <c r="I545" i="2" s="1"/>
  <c r="G545" i="2"/>
  <c r="E546" i="2"/>
  <c r="C547" i="2"/>
  <c r="F547" i="2" s="1"/>
  <c r="A548" i="2"/>
  <c r="B547" i="2"/>
  <c r="D547" i="2" s="1"/>
  <c r="A257" i="3"/>
  <c r="A549" i="2" l="1"/>
  <c r="B548" i="2"/>
  <c r="D548" i="2" s="1"/>
  <c r="C548" i="2"/>
  <c r="F548" i="2" s="1"/>
  <c r="A258" i="3"/>
  <c r="J546" i="2"/>
  <c r="I546" i="2" s="1"/>
  <c r="G546" i="2"/>
  <c r="E547" i="2"/>
  <c r="K545" i="2"/>
  <c r="M545" i="2" s="1"/>
  <c r="J547" i="2" l="1"/>
  <c r="I547" i="2" s="1"/>
  <c r="G547" i="2"/>
  <c r="K546" i="2"/>
  <c r="M546" i="2" s="1"/>
  <c r="B549" i="2"/>
  <c r="D549" i="2" s="1"/>
  <c r="C549" i="2"/>
  <c r="F549" i="2" s="1"/>
  <c r="A550" i="2"/>
  <c r="E548" i="2"/>
  <c r="A259" i="3"/>
  <c r="B550" i="2" l="1"/>
  <c r="D550" i="2" s="1"/>
  <c r="A551" i="2"/>
  <c r="C550" i="2"/>
  <c r="F550" i="2" s="1"/>
  <c r="J548" i="2"/>
  <c r="I548" i="2" s="1"/>
  <c r="G548" i="2"/>
  <c r="A260" i="3"/>
  <c r="E549" i="2"/>
  <c r="K547" i="2"/>
  <c r="M547" i="2" s="1"/>
  <c r="K548" i="2" l="1"/>
  <c r="M548" i="2" s="1"/>
  <c r="J549" i="2"/>
  <c r="I549" i="2" s="1"/>
  <c r="G549" i="2"/>
  <c r="C551" i="2"/>
  <c r="F551" i="2" s="1"/>
  <c r="B551" i="2"/>
  <c r="D551" i="2" s="1"/>
  <c r="A552" i="2"/>
  <c r="E550" i="2"/>
  <c r="A261" i="3"/>
  <c r="B552" i="2" l="1"/>
  <c r="D552" i="2" s="1"/>
  <c r="A553" i="2"/>
  <c r="C552" i="2"/>
  <c r="F552" i="2" s="1"/>
  <c r="J550" i="2"/>
  <c r="I550" i="2" s="1"/>
  <c r="G550" i="2"/>
  <c r="A262" i="3"/>
  <c r="K549" i="2"/>
  <c r="M549" i="2" s="1"/>
  <c r="E551" i="2"/>
  <c r="K550" i="2" l="1"/>
  <c r="M550" i="2" s="1"/>
  <c r="J551" i="2"/>
  <c r="I551" i="2" s="1"/>
  <c r="G551" i="2"/>
  <c r="E552" i="2"/>
  <c r="A554" i="2"/>
  <c r="C553" i="2"/>
  <c r="F553" i="2" s="1"/>
  <c r="B553" i="2"/>
  <c r="D553" i="2" s="1"/>
  <c r="A263" i="3"/>
  <c r="K551" i="2" l="1"/>
  <c r="M551" i="2" s="1"/>
  <c r="J552" i="2"/>
  <c r="I552" i="2" s="1"/>
  <c r="G552" i="2"/>
  <c r="E553" i="2"/>
  <c r="B554" i="2"/>
  <c r="D554" i="2" s="1"/>
  <c r="C554" i="2"/>
  <c r="F554" i="2" s="1"/>
  <c r="A555" i="2"/>
  <c r="A264" i="3"/>
  <c r="E554" i="2" l="1"/>
  <c r="G554" i="2" s="1"/>
  <c r="K552" i="2"/>
  <c r="M552" i="2" s="1"/>
  <c r="A556" i="2"/>
  <c r="C555" i="2"/>
  <c r="F555" i="2" s="1"/>
  <c r="B555" i="2"/>
  <c r="D555" i="2" s="1"/>
  <c r="J553" i="2"/>
  <c r="I553" i="2" s="1"/>
  <c r="G553" i="2"/>
  <c r="A265" i="3"/>
  <c r="J554" i="2" l="1"/>
  <c r="I554" i="2" s="1"/>
  <c r="K553" i="2"/>
  <c r="A557" i="2"/>
  <c r="B556" i="2"/>
  <c r="D556" i="2" s="1"/>
  <c r="C556" i="2"/>
  <c r="F556" i="2" s="1"/>
  <c r="E555" i="2"/>
  <c r="A266" i="3"/>
  <c r="G555" i="2" l="1"/>
  <c r="J555" i="2"/>
  <c r="I555" i="2" s="1"/>
  <c r="B557" i="2"/>
  <c r="D557" i="2" s="1"/>
  <c r="C557" i="2"/>
  <c r="F557" i="2" s="1"/>
  <c r="A558" i="2"/>
  <c r="A267" i="3"/>
  <c r="E556" i="2"/>
  <c r="M553" i="2"/>
  <c r="K554" i="2"/>
  <c r="M554" i="2" s="1"/>
  <c r="E557" i="2" l="1"/>
  <c r="A559" i="2"/>
  <c r="B558" i="2"/>
  <c r="D558" i="2" s="1"/>
  <c r="C558" i="2"/>
  <c r="F558" i="2" s="1"/>
  <c r="A268" i="3"/>
  <c r="K555" i="2"/>
  <c r="M555" i="2" s="1"/>
  <c r="J556" i="2"/>
  <c r="I556" i="2" s="1"/>
  <c r="G556" i="2"/>
  <c r="E558" i="2" l="1"/>
  <c r="G558" i="2" s="1"/>
  <c r="A269" i="3"/>
  <c r="K556" i="2"/>
  <c r="M556" i="2" s="1"/>
  <c r="A560" i="2"/>
  <c r="B559" i="2"/>
  <c r="D559" i="2" s="1"/>
  <c r="C559" i="2"/>
  <c r="F559" i="2" s="1"/>
  <c r="J557" i="2"/>
  <c r="I557" i="2" s="1"/>
  <c r="G557" i="2"/>
  <c r="J558" i="2" l="1"/>
  <c r="I558" i="2" s="1"/>
  <c r="E559" i="2"/>
  <c r="B560" i="2"/>
  <c r="D560" i="2" s="1"/>
  <c r="C560" i="2"/>
  <c r="F560" i="2" s="1"/>
  <c r="A561" i="2"/>
  <c r="A270" i="3"/>
  <c r="K557" i="2"/>
  <c r="M557" i="2" l="1"/>
  <c r="K558" i="2"/>
  <c r="M558" i="2" s="1"/>
  <c r="A562" i="2"/>
  <c r="B561" i="2"/>
  <c r="D561" i="2" s="1"/>
  <c r="C561" i="2"/>
  <c r="F561" i="2" s="1"/>
  <c r="E560" i="2"/>
  <c r="A271" i="3"/>
  <c r="J559" i="2"/>
  <c r="I559" i="2" s="1"/>
  <c r="G559" i="2"/>
  <c r="J560" i="2" l="1"/>
  <c r="I560" i="2" s="1"/>
  <c r="G560" i="2"/>
  <c r="C562" i="2"/>
  <c r="F562" i="2" s="1"/>
  <c r="B562" i="2"/>
  <c r="D562" i="2" s="1"/>
  <c r="A563" i="2"/>
  <c r="E561" i="2"/>
  <c r="A272" i="3"/>
  <c r="K559" i="2"/>
  <c r="M559" i="2" s="1"/>
  <c r="J561" i="2" l="1"/>
  <c r="I561" i="2" s="1"/>
  <c r="G561" i="2"/>
  <c r="A273" i="3"/>
  <c r="K560" i="2"/>
  <c r="M560" i="2" s="1"/>
  <c r="A564" i="2"/>
  <c r="B563" i="2"/>
  <c r="D563" i="2" s="1"/>
  <c r="C563" i="2"/>
  <c r="F563" i="2" s="1"/>
  <c r="E562" i="2"/>
  <c r="J562" i="2" l="1"/>
  <c r="I562" i="2" s="1"/>
  <c r="G562" i="2"/>
  <c r="E563" i="2"/>
  <c r="A565" i="2"/>
  <c r="C564" i="2"/>
  <c r="F564" i="2" s="1"/>
  <c r="B564" i="2"/>
  <c r="D564" i="2" s="1"/>
  <c r="K561" i="2"/>
  <c r="M561" i="2" s="1"/>
  <c r="A274" i="3"/>
  <c r="A566" i="2" l="1"/>
  <c r="C565" i="2"/>
  <c r="F565" i="2" s="1"/>
  <c r="B565" i="2"/>
  <c r="D565" i="2" s="1"/>
  <c r="A275" i="3"/>
  <c r="J563" i="2"/>
  <c r="I563" i="2" s="1"/>
  <c r="G563" i="2"/>
  <c r="E564" i="2"/>
  <c r="K562" i="2"/>
  <c r="M562" i="2" s="1"/>
  <c r="E565" i="2" l="1"/>
  <c r="J565" i="2" s="1"/>
  <c r="A276" i="3"/>
  <c r="A567" i="2"/>
  <c r="B566" i="2"/>
  <c r="D566" i="2" s="1"/>
  <c r="C566" i="2"/>
  <c r="F566" i="2" s="1"/>
  <c r="J564" i="2"/>
  <c r="I564" i="2" s="1"/>
  <c r="G564" i="2"/>
  <c r="K563" i="2"/>
  <c r="M563" i="2" s="1"/>
  <c r="I565" i="2" l="1"/>
  <c r="G565" i="2"/>
  <c r="E566" i="2"/>
  <c r="J566" i="2" s="1"/>
  <c r="A277" i="3"/>
  <c r="K564" i="2"/>
  <c r="C567" i="2"/>
  <c r="F567" i="2" s="1"/>
  <c r="B567" i="2"/>
  <c r="D567" i="2" s="1"/>
  <c r="A568" i="2"/>
  <c r="I566" i="2" l="1"/>
  <c r="E567" i="2"/>
  <c r="G567" i="2" s="1"/>
  <c r="G566" i="2"/>
  <c r="A278" i="3"/>
  <c r="M564" i="2"/>
  <c r="K565" i="2"/>
  <c r="B568" i="2"/>
  <c r="D568" i="2" s="1"/>
  <c r="C568" i="2"/>
  <c r="F568" i="2" s="1"/>
  <c r="A569" i="2"/>
  <c r="K566" i="2" l="1"/>
  <c r="M566" i="2" s="1"/>
  <c r="M565" i="2"/>
  <c r="J567" i="2"/>
  <c r="I567" i="2" s="1"/>
  <c r="A279" i="3"/>
  <c r="E568" i="2"/>
  <c r="J568" i="2" s="1"/>
  <c r="A570" i="2"/>
  <c r="C569" i="2"/>
  <c r="F569" i="2" s="1"/>
  <c r="B569" i="2"/>
  <c r="D569" i="2" s="1"/>
  <c r="K567" i="2" l="1"/>
  <c r="M567" i="2" s="1"/>
  <c r="I568" i="2"/>
  <c r="G568" i="2"/>
  <c r="A280" i="3"/>
  <c r="E569" i="2"/>
  <c r="J569" i="2" s="1"/>
  <c r="B570" i="2"/>
  <c r="D570" i="2" s="1"/>
  <c r="C570" i="2"/>
  <c r="F570" i="2" s="1"/>
  <c r="A571" i="2"/>
  <c r="K568" i="2" l="1"/>
  <c r="M568" i="2" s="1"/>
  <c r="E570" i="2"/>
  <c r="G570" i="2" s="1"/>
  <c r="G569" i="2"/>
  <c r="I569" i="2"/>
  <c r="A281" i="3"/>
  <c r="C571" i="2"/>
  <c r="F571" i="2" s="1"/>
  <c r="B571" i="2"/>
  <c r="D571" i="2" s="1"/>
  <c r="A572" i="2"/>
  <c r="K569" i="2" l="1"/>
  <c r="M569" i="2" s="1"/>
  <c r="J570" i="2"/>
  <c r="I570" i="2" s="1"/>
  <c r="E571" i="2"/>
  <c r="G571" i="2" s="1"/>
  <c r="A282" i="3"/>
  <c r="A573" i="2"/>
  <c r="B572" i="2"/>
  <c r="D572" i="2" s="1"/>
  <c r="C572" i="2"/>
  <c r="K570" i="2" l="1"/>
  <c r="M570" i="2" s="1"/>
  <c r="A283" i="3"/>
  <c r="J571" i="2"/>
  <c r="I571" i="2" s="1"/>
  <c r="E572" i="2"/>
  <c r="G572" i="2" s="1"/>
  <c r="F572" i="2"/>
  <c r="B573" i="2"/>
  <c r="D573" i="2" s="1"/>
  <c r="C573" i="2"/>
  <c r="F573" i="2" s="1"/>
  <c r="A574" i="2"/>
  <c r="K571" i="2" l="1"/>
  <c r="M571" i="2" s="1"/>
  <c r="J572" i="2"/>
  <c r="I572" i="2" s="1"/>
  <c r="E573" i="2"/>
  <c r="G573" i="2" s="1"/>
  <c r="A284" i="3"/>
  <c r="C574" i="2"/>
  <c r="F574" i="2" s="1"/>
  <c r="A575" i="2"/>
  <c r="B574" i="2"/>
  <c r="D574" i="2" s="1"/>
  <c r="K572" i="2" l="1"/>
  <c r="M572" i="2" s="1"/>
  <c r="J573" i="2"/>
  <c r="I573" i="2" s="1"/>
  <c r="A285" i="3"/>
  <c r="E574" i="2"/>
  <c r="G574" i="2" s="1"/>
  <c r="B575" i="2"/>
  <c r="D575" i="2" s="1"/>
  <c r="A576" i="2"/>
  <c r="C575" i="2"/>
  <c r="A286" i="3" l="1"/>
  <c r="K573" i="2"/>
  <c r="M573" i="2" s="1"/>
  <c r="J574" i="2"/>
  <c r="I574" i="2" s="1"/>
  <c r="E575" i="2"/>
  <c r="G575" i="2" s="1"/>
  <c r="F575" i="2"/>
  <c r="B576" i="2"/>
  <c r="D576" i="2" s="1"/>
  <c r="C576" i="2"/>
  <c r="F576" i="2" s="1"/>
  <c r="A577" i="2"/>
  <c r="K574" i="2" l="1"/>
  <c r="M574" i="2" s="1"/>
  <c r="J575" i="2"/>
  <c r="I575" i="2" s="1"/>
  <c r="E576" i="2"/>
  <c r="G576" i="2" s="1"/>
  <c r="A287" i="3"/>
  <c r="A578" i="2"/>
  <c r="C577" i="2"/>
  <c r="F577" i="2" s="1"/>
  <c r="B577" i="2"/>
  <c r="D577" i="2" s="1"/>
  <c r="K575" i="2" l="1"/>
  <c r="M575" i="2" s="1"/>
  <c r="J576" i="2"/>
  <c r="I576" i="2" s="1"/>
  <c r="E577" i="2"/>
  <c r="J577" i="2" s="1"/>
  <c r="A288" i="3"/>
  <c r="B578" i="2"/>
  <c r="D578" i="2" s="1"/>
  <c r="A579" i="2"/>
  <c r="C578" i="2"/>
  <c r="A289" i="3" l="1"/>
  <c r="I577" i="2"/>
  <c r="K576" i="2"/>
  <c r="G577" i="2"/>
  <c r="E578" i="2"/>
  <c r="G578" i="2" s="1"/>
  <c r="F578" i="2"/>
  <c r="C579" i="2"/>
  <c r="F579" i="2" s="1"/>
  <c r="B579" i="2"/>
  <c r="D579" i="2" s="1"/>
  <c r="A580" i="2"/>
  <c r="K577" i="2" l="1"/>
  <c r="M577" i="2" s="1"/>
  <c r="M576" i="2"/>
  <c r="J578" i="2"/>
  <c r="I578" i="2" s="1"/>
  <c r="A290" i="3"/>
  <c r="E579" i="2"/>
  <c r="G579" i="2" s="1"/>
  <c r="A581" i="2"/>
  <c r="C580" i="2"/>
  <c r="F580" i="2" s="1"/>
  <c r="B580" i="2"/>
  <c r="D580" i="2" s="1"/>
  <c r="K578" i="2" l="1"/>
  <c r="M578" i="2" s="1"/>
  <c r="J579" i="2"/>
  <c r="I579" i="2" s="1"/>
  <c r="E580" i="2"/>
  <c r="J580" i="2" s="1"/>
  <c r="A291" i="3"/>
  <c r="B581" i="2"/>
  <c r="D581" i="2" s="1"/>
  <c r="C581" i="2"/>
  <c r="F581" i="2" s="1"/>
  <c r="A582" i="2"/>
  <c r="I580" i="2" l="1"/>
  <c r="G580" i="2"/>
  <c r="K579" i="2"/>
  <c r="E581" i="2"/>
  <c r="G581" i="2" s="1"/>
  <c r="A292" i="3"/>
  <c r="C582" i="2"/>
  <c r="F582" i="2" s="1"/>
  <c r="A583" i="2"/>
  <c r="B582" i="2"/>
  <c r="D582" i="2" s="1"/>
  <c r="K580" i="2" l="1"/>
  <c r="M580" i="2" s="1"/>
  <c r="M579" i="2"/>
  <c r="J581" i="2"/>
  <c r="I581" i="2" s="1"/>
  <c r="E582" i="2"/>
  <c r="J582" i="2" s="1"/>
  <c r="A293" i="3"/>
  <c r="A584" i="2"/>
  <c r="C583" i="2"/>
  <c r="F583" i="2" s="1"/>
  <c r="B583" i="2"/>
  <c r="D583" i="2" s="1"/>
  <c r="I582" i="2" l="1"/>
  <c r="K581" i="2"/>
  <c r="M581" i="2" s="1"/>
  <c r="G582" i="2"/>
  <c r="E583" i="2"/>
  <c r="J583" i="2" s="1"/>
  <c r="A294" i="3"/>
  <c r="C584" i="2"/>
  <c r="F584" i="2" s="1"/>
  <c r="A585" i="2"/>
  <c r="B584" i="2"/>
  <c r="D584" i="2" s="1"/>
  <c r="I583" i="2" l="1"/>
  <c r="K582" i="2"/>
  <c r="M582" i="2" s="1"/>
  <c r="G583" i="2"/>
  <c r="E584" i="2"/>
  <c r="G584" i="2" s="1"/>
  <c r="A295" i="3"/>
  <c r="A586" i="2"/>
  <c r="C585" i="2"/>
  <c r="F585" i="2" s="1"/>
  <c r="B585" i="2"/>
  <c r="D585" i="2" s="1"/>
  <c r="K583" i="2" l="1"/>
  <c r="M583" i="2" s="1"/>
  <c r="J584" i="2"/>
  <c r="I584" i="2" s="1"/>
  <c r="E585" i="2"/>
  <c r="G585" i="2" s="1"/>
  <c r="A296" i="3"/>
  <c r="B586" i="2"/>
  <c r="D586" i="2" s="1"/>
  <c r="A587" i="2"/>
  <c r="C586" i="2"/>
  <c r="F586" i="2" s="1"/>
  <c r="K584" i="2" l="1"/>
  <c r="M584" i="2" s="1"/>
  <c r="J585" i="2"/>
  <c r="I585" i="2" s="1"/>
  <c r="E586" i="2"/>
  <c r="G586" i="2" s="1"/>
  <c r="A297" i="3"/>
  <c r="C587" i="2"/>
  <c r="F587" i="2" s="1"/>
  <c r="A588" i="2"/>
  <c r="B587" i="2"/>
  <c r="D587" i="2" s="1"/>
  <c r="K585" i="2" l="1"/>
  <c r="M585" i="2" s="1"/>
  <c r="J586" i="2"/>
  <c r="I586" i="2" s="1"/>
  <c r="E587" i="2"/>
  <c r="G587" i="2" s="1"/>
  <c r="A298" i="3"/>
  <c r="C588" i="2"/>
  <c r="F588" i="2" s="1"/>
  <c r="B588" i="2"/>
  <c r="D588" i="2" s="1"/>
  <c r="A589" i="2"/>
  <c r="K586" i="2" l="1"/>
  <c r="M586" i="2" s="1"/>
  <c r="A299" i="3"/>
  <c r="J587" i="2"/>
  <c r="I587" i="2" s="1"/>
  <c r="E588" i="2"/>
  <c r="C589" i="2"/>
  <c r="F589" i="2" s="1"/>
  <c r="B589" i="2"/>
  <c r="D589" i="2" s="1"/>
  <c r="A590" i="2"/>
  <c r="K587" i="2" l="1"/>
  <c r="M587" i="2" s="1"/>
  <c r="J588" i="2"/>
  <c r="I588" i="2" s="1"/>
  <c r="G588" i="2"/>
  <c r="E589" i="2"/>
  <c r="J589" i="2" s="1"/>
  <c r="A300" i="3"/>
  <c r="C590" i="2"/>
  <c r="F590" i="2" s="1"/>
  <c r="B590" i="2"/>
  <c r="D590" i="2" s="1"/>
  <c r="A591" i="2"/>
  <c r="I589" i="2" l="1"/>
  <c r="G589" i="2"/>
  <c r="K588" i="2"/>
  <c r="M588" i="2" s="1"/>
  <c r="E590" i="2"/>
  <c r="G590" i="2" s="1"/>
  <c r="A301" i="3"/>
  <c r="C591" i="2"/>
  <c r="F591" i="2" s="1"/>
  <c r="B591" i="2"/>
  <c r="D591" i="2" s="1"/>
  <c r="A592" i="2"/>
  <c r="K589" i="2" l="1"/>
  <c r="M589" i="2" s="1"/>
  <c r="A302" i="3"/>
  <c r="J590" i="2"/>
  <c r="I590" i="2" s="1"/>
  <c r="E591" i="2"/>
  <c r="G591" i="2" s="1"/>
  <c r="C592" i="2"/>
  <c r="F592" i="2" s="1"/>
  <c r="B592" i="2"/>
  <c r="D592" i="2" s="1"/>
  <c r="A593" i="2"/>
  <c r="K590" i="2" l="1"/>
  <c r="M590" i="2" s="1"/>
  <c r="A303" i="3"/>
  <c r="J591" i="2"/>
  <c r="I591" i="2" s="1"/>
  <c r="E592" i="2"/>
  <c r="G592" i="2" s="1"/>
  <c r="A594" i="2"/>
  <c r="C593" i="2"/>
  <c r="F593" i="2" s="1"/>
  <c r="B593" i="2"/>
  <c r="D593" i="2" s="1"/>
  <c r="J592" i="2" l="1"/>
  <c r="I592" i="2" s="1"/>
  <c r="K591" i="2"/>
  <c r="A304" i="3"/>
  <c r="E593" i="2"/>
  <c r="B594" i="2"/>
  <c r="D594" i="2" s="1"/>
  <c r="C594" i="2"/>
  <c r="F594" i="2" s="1"/>
  <c r="A595" i="2"/>
  <c r="K592" i="2" l="1"/>
  <c r="M592" i="2" s="1"/>
  <c r="M591" i="2"/>
  <c r="A305" i="3"/>
  <c r="E594" i="2"/>
  <c r="J594" i="2" s="1"/>
  <c r="J593" i="2"/>
  <c r="I593" i="2" s="1"/>
  <c r="G593" i="2"/>
  <c r="A596" i="2"/>
  <c r="C595" i="2"/>
  <c r="F595" i="2" s="1"/>
  <c r="B595" i="2"/>
  <c r="D595" i="2" s="1"/>
  <c r="I594" i="2" l="1"/>
  <c r="G594" i="2"/>
  <c r="A306" i="3"/>
  <c r="E595" i="2"/>
  <c r="G595" i="2" s="1"/>
  <c r="K593" i="2"/>
  <c r="A597" i="2"/>
  <c r="C596" i="2"/>
  <c r="F596" i="2" s="1"/>
  <c r="B596" i="2"/>
  <c r="D596" i="2" s="1"/>
  <c r="K594" i="2" l="1"/>
  <c r="M594" i="2" s="1"/>
  <c r="M593" i="2"/>
  <c r="J595" i="2"/>
  <c r="I595" i="2" s="1"/>
  <c r="E596" i="2"/>
  <c r="J596" i="2" s="1"/>
  <c r="A307" i="3"/>
  <c r="C597" i="2"/>
  <c r="F597" i="2" s="1"/>
  <c r="B597" i="2"/>
  <c r="D597" i="2" s="1"/>
  <c r="A598" i="2"/>
  <c r="I596" i="2" l="1"/>
  <c r="K595" i="2"/>
  <c r="M595" i="2" s="1"/>
  <c r="G596" i="2"/>
  <c r="A308" i="3"/>
  <c r="E597" i="2"/>
  <c r="G597" i="2" s="1"/>
  <c r="A599" i="2"/>
  <c r="B598" i="2"/>
  <c r="D598" i="2" s="1"/>
  <c r="C598" i="2"/>
  <c r="F598" i="2" s="1"/>
  <c r="K596" i="2" l="1"/>
  <c r="M596" i="2" s="1"/>
  <c r="J597" i="2"/>
  <c r="I597" i="2" s="1"/>
  <c r="A309" i="3"/>
  <c r="E598" i="2"/>
  <c r="J598" i="2" s="1"/>
  <c r="B599" i="2"/>
  <c r="D599" i="2" s="1"/>
  <c r="C599" i="2"/>
  <c r="A600" i="2"/>
  <c r="A310" i="3" l="1"/>
  <c r="I598" i="2"/>
  <c r="K597" i="2"/>
  <c r="M597" i="2" s="1"/>
  <c r="G598" i="2"/>
  <c r="E599" i="2"/>
  <c r="G599" i="2" s="1"/>
  <c r="F599" i="2"/>
  <c r="C600" i="2"/>
  <c r="F600" i="2" s="1"/>
  <c r="B600" i="2"/>
  <c r="D600" i="2" s="1"/>
  <c r="A601" i="2"/>
  <c r="K598" i="2" l="1"/>
  <c r="M598" i="2" s="1"/>
  <c r="J599" i="2"/>
  <c r="I599" i="2" s="1"/>
  <c r="A311" i="3"/>
  <c r="E600" i="2"/>
  <c r="J600" i="2" s="1"/>
  <c r="A602" i="2"/>
  <c r="C601" i="2"/>
  <c r="F601" i="2" s="1"/>
  <c r="B601" i="2"/>
  <c r="D601" i="2" s="1"/>
  <c r="I600" i="2" l="1"/>
  <c r="K599" i="2"/>
  <c r="M599" i="2" s="1"/>
  <c r="G600" i="2"/>
  <c r="A312" i="3"/>
  <c r="E601" i="2"/>
  <c r="J601" i="2" s="1"/>
  <c r="C602" i="2"/>
  <c r="F602" i="2" s="1"/>
  <c r="A603" i="2"/>
  <c r="B602" i="2"/>
  <c r="D602" i="2" s="1"/>
  <c r="I601" i="2" l="1"/>
  <c r="K600" i="2"/>
  <c r="M600" i="2" s="1"/>
  <c r="G601" i="2"/>
  <c r="A313" i="3"/>
  <c r="E602" i="2"/>
  <c r="J602" i="2" s="1"/>
  <c r="A604" i="2"/>
  <c r="C603" i="2"/>
  <c r="F603" i="2" s="1"/>
  <c r="B603" i="2"/>
  <c r="D603" i="2" s="1"/>
  <c r="I602" i="2" l="1"/>
  <c r="K601" i="2"/>
  <c r="M601" i="2" s="1"/>
  <c r="G602" i="2"/>
  <c r="A314" i="3"/>
  <c r="E603" i="2"/>
  <c r="G603" i="2" s="1"/>
  <c r="C604" i="2"/>
  <c r="F604" i="2" s="1"/>
  <c r="A605" i="2"/>
  <c r="B604" i="2"/>
  <c r="D604" i="2" s="1"/>
  <c r="K602" i="2" l="1"/>
  <c r="M602" i="2" s="1"/>
  <c r="E604" i="2"/>
  <c r="G604" i="2" s="1"/>
  <c r="A315" i="3"/>
  <c r="J603" i="2"/>
  <c r="I603" i="2" s="1"/>
  <c r="C605" i="2"/>
  <c r="F605" i="2" s="1"/>
  <c r="B605" i="2"/>
  <c r="D605" i="2" s="1"/>
  <c r="A606" i="2"/>
  <c r="J604" i="2" l="1"/>
  <c r="I604" i="2" s="1"/>
  <c r="E605" i="2"/>
  <c r="G605" i="2" s="1"/>
  <c r="K603" i="2"/>
  <c r="A316" i="3"/>
  <c r="A607" i="2"/>
  <c r="C606" i="2"/>
  <c r="F606" i="2" s="1"/>
  <c r="B606" i="2"/>
  <c r="D606" i="2" s="1"/>
  <c r="K604" i="2" l="1"/>
  <c r="M604" i="2" s="1"/>
  <c r="M603" i="2"/>
  <c r="A317" i="3"/>
  <c r="J605" i="2"/>
  <c r="E606" i="2"/>
  <c r="J606" i="2" s="1"/>
  <c r="C607" i="2"/>
  <c r="F607" i="2" s="1"/>
  <c r="B607" i="2"/>
  <c r="D607" i="2" s="1"/>
  <c r="A608" i="2"/>
  <c r="A609" i="2" s="1"/>
  <c r="B609" i="2" l="1"/>
  <c r="A610" i="2"/>
  <c r="C609" i="2"/>
  <c r="A318" i="3"/>
  <c r="G606" i="2"/>
  <c r="E607" i="2"/>
  <c r="J607" i="2" s="1"/>
  <c r="I605" i="2"/>
  <c r="I606" i="2" s="1"/>
  <c r="K605" i="2"/>
  <c r="C608" i="2"/>
  <c r="F608" i="2" s="1"/>
  <c r="B608" i="2"/>
  <c r="D608" i="2" s="1"/>
  <c r="K606" i="2" l="1"/>
  <c r="M606" i="2" s="1"/>
  <c r="M605" i="2"/>
  <c r="F609" i="2"/>
  <c r="E609" i="2"/>
  <c r="G609" i="2" s="1"/>
  <c r="C610" i="2"/>
  <c r="F610" i="2" s="1"/>
  <c r="B610" i="2"/>
  <c r="E610" i="2" s="1"/>
  <c r="A611" i="2"/>
  <c r="D609" i="2"/>
  <c r="G607" i="2"/>
  <c r="A319" i="3"/>
  <c r="I607" i="2"/>
  <c r="E608" i="2"/>
  <c r="G608" i="2" s="1"/>
  <c r="K607" i="2" l="1"/>
  <c r="M607" i="2" s="1"/>
  <c r="J609" i="2"/>
  <c r="B611" i="2"/>
  <c r="E611" i="2" s="1"/>
  <c r="C611" i="2"/>
  <c r="F611" i="2" s="1"/>
  <c r="A612" i="2"/>
  <c r="G610" i="2"/>
  <c r="J610" i="2"/>
  <c r="D610" i="2"/>
  <c r="J608" i="2"/>
  <c r="I608" i="2" s="1"/>
  <c r="A320" i="3"/>
  <c r="I609" i="2" l="1"/>
  <c r="I610" i="2" s="1"/>
  <c r="C612" i="2"/>
  <c r="F612" i="2" s="1"/>
  <c r="B612" i="2"/>
  <c r="E612" i="2" s="1"/>
  <c r="A613" i="2"/>
  <c r="G611" i="2"/>
  <c r="J611" i="2"/>
  <c r="D611" i="2"/>
  <c r="K608" i="2"/>
  <c r="I611" i="2" l="1"/>
  <c r="K609" i="2"/>
  <c r="M608" i="2"/>
  <c r="D612" i="2"/>
  <c r="J612" i="2"/>
  <c r="G612" i="2"/>
  <c r="C613" i="2"/>
  <c r="F613" i="2" s="1"/>
  <c r="A614" i="2"/>
  <c r="B613" i="2"/>
  <c r="E613" i="2" s="1"/>
  <c r="I612" i="2" l="1"/>
  <c r="K610" i="2"/>
  <c r="M609" i="2"/>
  <c r="D613" i="2"/>
  <c r="A615" i="2"/>
  <c r="B614" i="2"/>
  <c r="C614" i="2"/>
  <c r="F614" i="2" s="1"/>
  <c r="J613" i="2"/>
  <c r="G613" i="2"/>
  <c r="I613" i="2" l="1"/>
  <c r="K611" i="2"/>
  <c r="M610" i="2"/>
  <c r="D614" i="2"/>
  <c r="E614" i="2"/>
  <c r="B615" i="2"/>
  <c r="C615" i="2"/>
  <c r="F615" i="2" s="1"/>
  <c r="A616" i="2"/>
  <c r="M611" i="2" l="1"/>
  <c r="K612" i="2"/>
  <c r="D615" i="2"/>
  <c r="J614" i="2"/>
  <c r="I614" i="2" s="1"/>
  <c r="E615" i="2"/>
  <c r="J615" i="2" s="1"/>
  <c r="G614" i="2"/>
  <c r="A617" i="2"/>
  <c r="B616" i="2"/>
  <c r="C616" i="2"/>
  <c r="F616" i="2" s="1"/>
  <c r="D616" i="2" l="1"/>
  <c r="G615" i="2"/>
  <c r="I615" i="2"/>
  <c r="M612" i="2"/>
  <c r="K613" i="2"/>
  <c r="M613" i="2" s="1"/>
  <c r="E616" i="2"/>
  <c r="J616" i="2" s="1"/>
  <c r="I616" i="2" s="1"/>
  <c r="A618" i="2"/>
  <c r="B617" i="2"/>
  <c r="C617" i="2"/>
  <c r="F617" i="2" s="1"/>
  <c r="D617" i="2" l="1"/>
  <c r="K614" i="2"/>
  <c r="G616" i="2"/>
  <c r="E617" i="2"/>
  <c r="J617" i="2" s="1"/>
  <c r="B618" i="2"/>
  <c r="C618" i="2"/>
  <c r="F618" i="2" s="1"/>
  <c r="A619" i="2"/>
  <c r="D618" i="2" l="1"/>
  <c r="M614" i="2"/>
  <c r="K615" i="2"/>
  <c r="G617" i="2"/>
  <c r="I617" i="2"/>
  <c r="E618" i="2"/>
  <c r="G618" i="2" s="1"/>
  <c r="B619" i="2"/>
  <c r="C619" i="2"/>
  <c r="F619" i="2" s="1"/>
  <c r="A620" i="2"/>
  <c r="D619" i="2" l="1"/>
  <c r="M615" i="2"/>
  <c r="K616" i="2"/>
  <c r="J618" i="2"/>
  <c r="I618" i="2" s="1"/>
  <c r="E619" i="2"/>
  <c r="G619" i="2" s="1"/>
  <c r="A621" i="2"/>
  <c r="B620" i="2"/>
  <c r="C620" i="2"/>
  <c r="F620" i="2" s="1"/>
  <c r="D620" i="2" l="1"/>
  <c r="M616" i="2"/>
  <c r="K617" i="2"/>
  <c r="M617" i="2" s="1"/>
  <c r="J619" i="2"/>
  <c r="I619" i="2" s="1"/>
  <c r="E620" i="2"/>
  <c r="G620" i="2" s="1"/>
  <c r="B621" i="2"/>
  <c r="C621" i="2"/>
  <c r="F621" i="2" s="1"/>
  <c r="A622" i="2"/>
  <c r="D621" i="2" l="1"/>
  <c r="K618" i="2"/>
  <c r="M618" i="2" s="1"/>
  <c r="J620" i="2"/>
  <c r="I620" i="2" s="1"/>
  <c r="E621" i="2"/>
  <c r="G621" i="2" s="1"/>
  <c r="B622" i="2"/>
  <c r="C622" i="2"/>
  <c r="F622" i="2" s="1"/>
  <c r="A623" i="2"/>
  <c r="D622" i="2" l="1"/>
  <c r="K619" i="2"/>
  <c r="M619" i="2" s="1"/>
  <c r="J621" i="2"/>
  <c r="I621" i="2" s="1"/>
  <c r="E622" i="2"/>
  <c r="J622" i="2" s="1"/>
  <c r="A624" i="2"/>
  <c r="B623" i="2"/>
  <c r="C623" i="2"/>
  <c r="F623" i="2" s="1"/>
  <c r="D623" i="2" l="1"/>
  <c r="K620" i="2"/>
  <c r="M620" i="2" s="1"/>
  <c r="I622" i="2"/>
  <c r="G622" i="2"/>
  <c r="E623" i="2"/>
  <c r="G623" i="2" s="1"/>
  <c r="C624" i="2"/>
  <c r="F624" i="2" s="1"/>
  <c r="A625" i="2"/>
  <c r="B624" i="2"/>
  <c r="D624" i="2" l="1"/>
  <c r="K621" i="2"/>
  <c r="M621" i="2" s="1"/>
  <c r="J623" i="2"/>
  <c r="I623" i="2" s="1"/>
  <c r="E624" i="2"/>
  <c r="G624" i="2" s="1"/>
  <c r="B625" i="2"/>
  <c r="C625" i="2"/>
  <c r="F625" i="2" s="1"/>
  <c r="A626" i="2"/>
  <c r="D625" i="2" l="1"/>
  <c r="K622" i="2"/>
  <c r="M622" i="2" s="1"/>
  <c r="J624" i="2"/>
  <c r="I624" i="2" s="1"/>
  <c r="E625" i="2"/>
  <c r="G625" i="2" s="1"/>
  <c r="A627" i="2"/>
  <c r="B626" i="2"/>
  <c r="C626" i="2"/>
  <c r="F626" i="2" s="1"/>
  <c r="D626" i="2" l="1"/>
  <c r="K623" i="2"/>
  <c r="M623" i="2" s="1"/>
  <c r="J625" i="2"/>
  <c r="I625" i="2" s="1"/>
  <c r="E626" i="2"/>
  <c r="J626" i="2" s="1"/>
  <c r="C627" i="2"/>
  <c r="F627" i="2" s="1"/>
  <c r="A628" i="2"/>
  <c r="B627" i="2"/>
  <c r="D627" i="2" l="1"/>
  <c r="K624" i="2"/>
  <c r="M624" i="2" s="1"/>
  <c r="I626" i="2"/>
  <c r="G626" i="2"/>
  <c r="E627" i="2"/>
  <c r="J627" i="2" s="1"/>
  <c r="B628" i="2"/>
  <c r="C628" i="2"/>
  <c r="F628" i="2" s="1"/>
  <c r="A629" i="2"/>
  <c r="D628" i="2" l="1"/>
  <c r="I627" i="2"/>
  <c r="K625" i="2"/>
  <c r="M625" i="2" s="1"/>
  <c r="G627" i="2"/>
  <c r="E628" i="2"/>
  <c r="G628" i="2" s="1"/>
  <c r="A630" i="2"/>
  <c r="B629" i="2"/>
  <c r="C629" i="2"/>
  <c r="F629" i="2" s="1"/>
  <c r="D629" i="2" l="1"/>
  <c r="K626" i="2"/>
  <c r="J628" i="2"/>
  <c r="I628" i="2" s="1"/>
  <c r="E629" i="2"/>
  <c r="B630" i="2"/>
  <c r="C630" i="2"/>
  <c r="F630" i="2" s="1"/>
  <c r="A631" i="2"/>
  <c r="D630" i="2" l="1"/>
  <c r="M626" i="2"/>
  <c r="K627" i="2"/>
  <c r="M627" i="2" s="1"/>
  <c r="J629" i="2"/>
  <c r="I629" i="2" s="1"/>
  <c r="G629" i="2"/>
  <c r="E630" i="2"/>
  <c r="G630" i="2" s="1"/>
  <c r="C631" i="2"/>
  <c r="F631" i="2" s="1"/>
  <c r="B631" i="2"/>
  <c r="A632" i="2"/>
  <c r="D631" i="2" l="1"/>
  <c r="K628" i="2"/>
  <c r="M628" i="2" s="1"/>
  <c r="J630" i="2"/>
  <c r="I630" i="2" s="1"/>
  <c r="E631" i="2"/>
  <c r="J631" i="2" s="1"/>
  <c r="A633" i="2"/>
  <c r="B632" i="2"/>
  <c r="C632" i="2"/>
  <c r="F632" i="2" s="1"/>
  <c r="D632" i="2" l="1"/>
  <c r="K629" i="2"/>
  <c r="M629" i="2" s="1"/>
  <c r="I631" i="2"/>
  <c r="G631" i="2"/>
  <c r="E632" i="2"/>
  <c r="G632" i="2" s="1"/>
  <c r="B633" i="2"/>
  <c r="C633" i="2"/>
  <c r="F633" i="2" s="1"/>
  <c r="A634" i="2"/>
  <c r="D633" i="2" l="1"/>
  <c r="K630" i="2"/>
  <c r="M630" i="2" s="1"/>
  <c r="J632" i="2"/>
  <c r="I632" i="2" s="1"/>
  <c r="E633" i="2"/>
  <c r="G633" i="2" s="1"/>
  <c r="A635" i="2"/>
  <c r="B634" i="2"/>
  <c r="C634" i="2"/>
  <c r="F634" i="2" s="1"/>
  <c r="D634" i="2" l="1"/>
  <c r="K631" i="2"/>
  <c r="M631" i="2" s="1"/>
  <c r="J633" i="2"/>
  <c r="I633" i="2" s="1"/>
  <c r="E634" i="2"/>
  <c r="G634" i="2" s="1"/>
  <c r="A636" i="2"/>
  <c r="C635" i="2"/>
  <c r="F635" i="2" s="1"/>
  <c r="B635" i="2"/>
  <c r="D635" i="2" l="1"/>
  <c r="K632" i="2"/>
  <c r="M632" i="2" s="1"/>
  <c r="J634" i="2"/>
  <c r="I634" i="2" s="1"/>
  <c r="E635" i="2"/>
  <c r="B636" i="2"/>
  <c r="C636" i="2"/>
  <c r="F636" i="2" s="1"/>
  <c r="A637" i="2"/>
  <c r="D636" i="2" l="1"/>
  <c r="K633" i="2"/>
  <c r="M633" i="2" s="1"/>
  <c r="E636" i="2"/>
  <c r="G636" i="2" s="1"/>
  <c r="J635" i="2"/>
  <c r="I635" i="2" s="1"/>
  <c r="G635" i="2"/>
  <c r="A638" i="2"/>
  <c r="C637" i="2"/>
  <c r="F637" i="2" s="1"/>
  <c r="B637" i="2"/>
  <c r="D637" i="2" l="1"/>
  <c r="K634" i="2"/>
  <c r="M634" i="2" s="1"/>
  <c r="J636" i="2"/>
  <c r="I636" i="2" s="1"/>
  <c r="E637" i="2"/>
  <c r="G637" i="2" s="1"/>
  <c r="A639" i="2"/>
  <c r="B638" i="2"/>
  <c r="C638" i="2"/>
  <c r="F638" i="2" s="1"/>
  <c r="D638" i="2" l="1"/>
  <c r="K635" i="2"/>
  <c r="M635" i="2" s="1"/>
  <c r="J637" i="2"/>
  <c r="I637" i="2" s="1"/>
  <c r="E638" i="2"/>
  <c r="G638" i="2" s="1"/>
  <c r="B639" i="2"/>
  <c r="C639" i="2"/>
  <c r="F639" i="2" s="1"/>
  <c r="A640" i="2"/>
  <c r="D639" i="2" l="1"/>
  <c r="K636" i="2"/>
  <c r="M636" i="2" s="1"/>
  <c r="J638" i="2"/>
  <c r="I638" i="2" s="1"/>
  <c r="E639" i="2"/>
  <c r="G639" i="2" s="1"/>
  <c r="C640" i="2"/>
  <c r="F640" i="2" s="1"/>
  <c r="A641" i="2"/>
  <c r="B640" i="2"/>
  <c r="D640" i="2" l="1"/>
  <c r="K637" i="2"/>
  <c r="M637" i="2" s="1"/>
  <c r="J639" i="2"/>
  <c r="I639" i="2" s="1"/>
  <c r="E640" i="2"/>
  <c r="G640" i="2" s="1"/>
  <c r="A642" i="2"/>
  <c r="B641" i="2"/>
  <c r="C641" i="2"/>
  <c r="F641" i="2" s="1"/>
  <c r="D641" i="2" l="1"/>
  <c r="K638" i="2"/>
  <c r="M638" i="2" s="1"/>
  <c r="J640" i="2"/>
  <c r="I640" i="2" s="1"/>
  <c r="E641" i="2"/>
  <c r="J641" i="2" s="1"/>
  <c r="B642" i="2"/>
  <c r="D642" i="2" s="1"/>
  <c r="C642" i="2"/>
  <c r="F642" i="2" s="1"/>
  <c r="A643" i="2"/>
  <c r="K639" i="2" l="1"/>
  <c r="M639" i="2" s="1"/>
  <c r="I641" i="2"/>
  <c r="E642" i="2"/>
  <c r="J642" i="2" s="1"/>
  <c r="G641" i="2"/>
  <c r="B643" i="2"/>
  <c r="D643" i="2" s="1"/>
  <c r="C643" i="2"/>
  <c r="F643" i="2" s="1"/>
  <c r="A644" i="2"/>
  <c r="I642" i="2" l="1"/>
  <c r="K640" i="2"/>
  <c r="G642" i="2"/>
  <c r="E643" i="2"/>
  <c r="G643" i="2" s="1"/>
  <c r="A645" i="2"/>
  <c r="B644" i="2"/>
  <c r="D644" i="2" s="1"/>
  <c r="C644" i="2"/>
  <c r="F644" i="2" s="1"/>
  <c r="M640" i="2" l="1"/>
  <c r="K641" i="2"/>
  <c r="E644" i="2"/>
  <c r="G644" i="2" s="1"/>
  <c r="J643" i="2"/>
  <c r="I643" i="2" s="1"/>
  <c r="A646" i="2"/>
  <c r="B645" i="2"/>
  <c r="D645" i="2" s="1"/>
  <c r="C645" i="2"/>
  <c r="F645" i="2" s="1"/>
  <c r="M641" i="2" l="1"/>
  <c r="K642" i="2"/>
  <c r="M642" i="2" s="1"/>
  <c r="J644" i="2"/>
  <c r="I644" i="2" s="1"/>
  <c r="E645" i="2"/>
  <c r="G645" i="2" s="1"/>
  <c r="B646" i="2"/>
  <c r="D646" i="2" s="1"/>
  <c r="C646" i="2"/>
  <c r="F646" i="2" s="1"/>
  <c r="A647" i="2"/>
  <c r="K643" i="2" l="1"/>
  <c r="M643" i="2" s="1"/>
  <c r="J645" i="2"/>
  <c r="I645" i="2" s="1"/>
  <c r="E646" i="2"/>
  <c r="G646" i="2" s="1"/>
  <c r="A648" i="2"/>
  <c r="B647" i="2"/>
  <c r="D647" i="2" s="1"/>
  <c r="C647" i="2"/>
  <c r="F647" i="2" s="1"/>
  <c r="K644" i="2" l="1"/>
  <c r="M644" i="2" s="1"/>
  <c r="J646" i="2"/>
  <c r="I646" i="2" s="1"/>
  <c r="E647" i="2"/>
  <c r="J647" i="2" s="1"/>
  <c r="A649" i="2"/>
  <c r="B648" i="2"/>
  <c r="D648" i="2" s="1"/>
  <c r="C648" i="2"/>
  <c r="F648" i="2" s="1"/>
  <c r="K645" i="2" l="1"/>
  <c r="M645" i="2" s="1"/>
  <c r="I647" i="2"/>
  <c r="E648" i="2"/>
  <c r="G648" i="2" s="1"/>
  <c r="G647" i="2"/>
  <c r="B649" i="2"/>
  <c r="D649" i="2" s="1"/>
  <c r="C649" i="2"/>
  <c r="F649" i="2" s="1"/>
  <c r="A650" i="2"/>
  <c r="K646" i="2" l="1"/>
  <c r="M646" i="2" s="1"/>
  <c r="E649" i="2"/>
  <c r="J649" i="2" s="1"/>
  <c r="J648" i="2"/>
  <c r="I648" i="2" s="1"/>
  <c r="A651" i="2"/>
  <c r="B650" i="2"/>
  <c r="D650" i="2" s="1"/>
  <c r="C650" i="2"/>
  <c r="F650" i="2" s="1"/>
  <c r="K647" i="2" l="1"/>
  <c r="M647" i="2" s="1"/>
  <c r="I649" i="2"/>
  <c r="G649" i="2"/>
  <c r="E650" i="2"/>
  <c r="J650" i="2" s="1"/>
  <c r="A652" i="2"/>
  <c r="B651" i="2"/>
  <c r="D651" i="2" s="1"/>
  <c r="C651" i="2"/>
  <c r="F651" i="2" s="1"/>
  <c r="K648" i="2" l="1"/>
  <c r="M648" i="2" s="1"/>
  <c r="I650" i="2"/>
  <c r="G650" i="2"/>
  <c r="E651" i="2"/>
  <c r="J651" i="2" s="1"/>
  <c r="I651" i="2" s="1"/>
  <c r="B652" i="2"/>
  <c r="D652" i="2" s="1"/>
  <c r="C652" i="2"/>
  <c r="F652" i="2" s="1"/>
  <c r="A653" i="2"/>
  <c r="K649" i="2" l="1"/>
  <c r="M649" i="2" s="1"/>
  <c r="G651" i="2"/>
  <c r="E652" i="2"/>
  <c r="G652" i="2" s="1"/>
  <c r="A654" i="2"/>
  <c r="C653" i="2"/>
  <c r="F653" i="2" s="1"/>
  <c r="B653" i="2"/>
  <c r="D653" i="2" s="1"/>
  <c r="K650" i="2" l="1"/>
  <c r="M650" i="2" s="1"/>
  <c r="J652" i="2"/>
  <c r="I652" i="2" s="1"/>
  <c r="E653" i="2"/>
  <c r="G653" i="2" s="1"/>
  <c r="A655" i="2"/>
  <c r="B654" i="2"/>
  <c r="D654" i="2" s="1"/>
  <c r="C654" i="2"/>
  <c r="F654" i="2" s="1"/>
  <c r="K651" i="2" l="1"/>
  <c r="M651" i="2" s="1"/>
  <c r="J653" i="2"/>
  <c r="I653" i="2" s="1"/>
  <c r="E654" i="2"/>
  <c r="J654" i="2" s="1"/>
  <c r="A656" i="2"/>
  <c r="B655" i="2"/>
  <c r="D655" i="2" s="1"/>
  <c r="C655" i="2"/>
  <c r="F655" i="2" s="1"/>
  <c r="I654" i="2" l="1"/>
  <c r="K652" i="2"/>
  <c r="M652" i="2" s="1"/>
  <c r="G654" i="2"/>
  <c r="E655" i="2"/>
  <c r="G655" i="2" s="1"/>
  <c r="C656" i="2"/>
  <c r="F656" i="2" s="1"/>
  <c r="A657" i="2"/>
  <c r="B656" i="2"/>
  <c r="D656" i="2" s="1"/>
  <c r="K653" i="2" l="1"/>
  <c r="M653" i="2" s="1"/>
  <c r="J655" i="2"/>
  <c r="E656" i="2"/>
  <c r="G656" i="2" s="1"/>
  <c r="B657" i="2"/>
  <c r="D657" i="2" s="1"/>
  <c r="A658" i="2"/>
  <c r="C657" i="2"/>
  <c r="F657" i="2" s="1"/>
  <c r="K654" i="2" l="1"/>
  <c r="M654" i="2" s="1"/>
  <c r="J656" i="2"/>
  <c r="E657" i="2"/>
  <c r="J657" i="2" s="1"/>
  <c r="I655" i="2"/>
  <c r="A659" i="2"/>
  <c r="B658" i="2"/>
  <c r="D658" i="2" s="1"/>
  <c r="C658" i="2"/>
  <c r="F658" i="2" s="1"/>
  <c r="K655" i="2" l="1"/>
  <c r="M655" i="2" s="1"/>
  <c r="G657" i="2"/>
  <c r="I656" i="2"/>
  <c r="I657" i="2" s="1"/>
  <c r="E658" i="2"/>
  <c r="B659" i="2"/>
  <c r="D659" i="2" s="1"/>
  <c r="C659" i="2"/>
  <c r="F659" i="2" s="1"/>
  <c r="A660" i="2"/>
  <c r="K656" i="2" l="1"/>
  <c r="M656" i="2" s="1"/>
  <c r="J658" i="2"/>
  <c r="I658" i="2" s="1"/>
  <c r="E659" i="2"/>
  <c r="G659" i="2" s="1"/>
  <c r="G658" i="2"/>
  <c r="A661" i="2"/>
  <c r="B660" i="2"/>
  <c r="D660" i="2" s="1"/>
  <c r="C660" i="2"/>
  <c r="F660" i="2" s="1"/>
  <c r="K657" i="2" l="1"/>
  <c r="M657" i="2" s="1"/>
  <c r="J659" i="2"/>
  <c r="I659" i="2" s="1"/>
  <c r="E660" i="2"/>
  <c r="G660" i="2" s="1"/>
  <c r="A662" i="2"/>
  <c r="C661" i="2"/>
  <c r="F661" i="2" s="1"/>
  <c r="B661" i="2"/>
  <c r="D661" i="2" s="1"/>
  <c r="K658" i="2" l="1"/>
  <c r="K659" i="2" s="1"/>
  <c r="M659" i="2" s="1"/>
  <c r="J660" i="2"/>
  <c r="I660" i="2" s="1"/>
  <c r="E661" i="2"/>
  <c r="G661" i="2" s="1"/>
  <c r="A663" i="2"/>
  <c r="B662" i="2"/>
  <c r="D662" i="2" s="1"/>
  <c r="C662" i="2"/>
  <c r="F662" i="2" s="1"/>
  <c r="M658" i="2" l="1"/>
  <c r="K660" i="2"/>
  <c r="M660" i="2" s="1"/>
  <c r="J661" i="2"/>
  <c r="E662" i="2"/>
  <c r="G662" i="2" s="1"/>
  <c r="B663" i="2"/>
  <c r="D663" i="2" s="1"/>
  <c r="C663" i="2"/>
  <c r="F663" i="2" s="1"/>
  <c r="A664" i="2"/>
  <c r="J662" i="2" l="1"/>
  <c r="E663" i="2"/>
  <c r="J663" i="2" s="1"/>
  <c r="I661" i="2"/>
  <c r="K661" i="2"/>
  <c r="A665" i="2"/>
  <c r="B664" i="2"/>
  <c r="D664" i="2" s="1"/>
  <c r="C664" i="2"/>
  <c r="F664" i="2" s="1"/>
  <c r="G663" i="2" l="1"/>
  <c r="K662" i="2"/>
  <c r="M662" i="2" s="1"/>
  <c r="M661" i="2"/>
  <c r="I662" i="2"/>
  <c r="I663" i="2" s="1"/>
  <c r="E664" i="2"/>
  <c r="A666" i="2"/>
  <c r="B665" i="2"/>
  <c r="D665" i="2" s="1"/>
  <c r="C665" i="2"/>
  <c r="F665" i="2" s="1"/>
  <c r="K663" i="2" l="1"/>
  <c r="M663" i="2" s="1"/>
  <c r="J664" i="2"/>
  <c r="I664" i="2" s="1"/>
  <c r="G664" i="2"/>
  <c r="E665" i="2"/>
  <c r="C666" i="2"/>
  <c r="F666" i="2" s="1"/>
  <c r="A667" i="2"/>
  <c r="B666" i="2"/>
  <c r="D666" i="2" s="1"/>
  <c r="K664" i="2" l="1"/>
  <c r="M664" i="2" s="1"/>
  <c r="G665" i="2"/>
  <c r="J665" i="2"/>
  <c r="I665" i="2" s="1"/>
  <c r="E666" i="2"/>
  <c r="G666" i="2" s="1"/>
  <c r="A668" i="2"/>
  <c r="B667" i="2"/>
  <c r="D667" i="2" s="1"/>
  <c r="C667" i="2"/>
  <c r="F667" i="2" s="1"/>
  <c r="K665" i="2" l="1"/>
  <c r="M665" i="2" s="1"/>
  <c r="J666" i="2"/>
  <c r="I666" i="2" s="1"/>
  <c r="E667" i="2"/>
  <c r="G667" i="2" s="1"/>
  <c r="A669" i="2"/>
  <c r="B668" i="2"/>
  <c r="D668" i="2" s="1"/>
  <c r="C668" i="2"/>
  <c r="F668" i="2" s="1"/>
  <c r="K666" i="2" l="1"/>
  <c r="M666" i="2" s="1"/>
  <c r="J667" i="2"/>
  <c r="I667" i="2" s="1"/>
  <c r="E668" i="2"/>
  <c r="J668" i="2" s="1"/>
  <c r="A670" i="2"/>
  <c r="C669" i="2"/>
  <c r="F669" i="2" s="1"/>
  <c r="B669" i="2"/>
  <c r="D669" i="2" s="1"/>
  <c r="I668" i="2" l="1"/>
  <c r="K667" i="2"/>
  <c r="M667" i="2" s="1"/>
  <c r="G668" i="2"/>
  <c r="E669" i="2"/>
  <c r="J669" i="2" s="1"/>
  <c r="K668" i="2"/>
  <c r="M668" i="2" s="1"/>
  <c r="A671" i="2"/>
  <c r="B670" i="2"/>
  <c r="D670" i="2" s="1"/>
  <c r="C670" i="2"/>
  <c r="F670" i="2" s="1"/>
  <c r="I669" i="2" l="1"/>
  <c r="G669" i="2"/>
  <c r="K669" i="2"/>
  <c r="M669" i="2" s="1"/>
  <c r="E670" i="2"/>
  <c r="G670" i="2" s="1"/>
  <c r="A672" i="2"/>
  <c r="B671" i="2"/>
  <c r="D671" i="2" s="1"/>
  <c r="C671" i="2"/>
  <c r="F671" i="2" s="1"/>
  <c r="J670" i="2" l="1"/>
  <c r="I670" i="2" s="1"/>
  <c r="E671" i="2"/>
  <c r="J671" i="2" s="1"/>
  <c r="C672" i="2"/>
  <c r="F672" i="2" s="1"/>
  <c r="A673" i="2"/>
  <c r="B672" i="2"/>
  <c r="D672" i="2" s="1"/>
  <c r="K670" i="2" l="1"/>
  <c r="M670" i="2" s="1"/>
  <c r="I671" i="2"/>
  <c r="G671" i="2"/>
  <c r="E672" i="2"/>
  <c r="J672" i="2" s="1"/>
  <c r="I672" i="2" s="1"/>
  <c r="B673" i="2"/>
  <c r="D673" i="2" s="1"/>
  <c r="C673" i="2"/>
  <c r="F673" i="2" s="1"/>
  <c r="A674" i="2"/>
  <c r="K671" i="2" l="1"/>
  <c r="M671" i="2" s="1"/>
  <c r="G672" i="2"/>
  <c r="E673" i="2"/>
  <c r="J673" i="2" s="1"/>
  <c r="I673" i="2" s="1"/>
  <c r="A675" i="2"/>
  <c r="B674" i="2"/>
  <c r="D674" i="2" s="1"/>
  <c r="C674" i="2"/>
  <c r="F674" i="2" s="1"/>
  <c r="K672" i="2" l="1"/>
  <c r="M672" i="2" s="1"/>
  <c r="E674" i="2"/>
  <c r="G674" i="2" s="1"/>
  <c r="G673" i="2"/>
  <c r="B675" i="2"/>
  <c r="D675" i="2" s="1"/>
  <c r="C675" i="2"/>
  <c r="F675" i="2" s="1"/>
  <c r="A676" i="2"/>
  <c r="K673" i="2" l="1"/>
  <c r="M673" i="2" s="1"/>
  <c r="J674" i="2"/>
  <c r="I674" i="2" s="1"/>
  <c r="E675" i="2"/>
  <c r="G675" i="2" s="1"/>
  <c r="A677" i="2"/>
  <c r="B676" i="2"/>
  <c r="D676" i="2" s="1"/>
  <c r="C676" i="2"/>
  <c r="F676" i="2" s="1"/>
  <c r="J675" i="2" l="1"/>
  <c r="I675" i="2" s="1"/>
  <c r="K674" i="2"/>
  <c r="M674" i="2" s="1"/>
  <c r="E676" i="2"/>
  <c r="G676" i="2" s="1"/>
  <c r="A678" i="2"/>
  <c r="B677" i="2"/>
  <c r="D677" i="2" s="1"/>
  <c r="C677" i="2"/>
  <c r="F677" i="2" s="1"/>
  <c r="K675" i="2" l="1"/>
  <c r="M675" i="2" s="1"/>
  <c r="E677" i="2"/>
  <c r="G677" i="2" s="1"/>
  <c r="J676" i="2"/>
  <c r="I676" i="2" s="1"/>
  <c r="B678" i="2"/>
  <c r="D678" i="2" s="1"/>
  <c r="C678" i="2"/>
  <c r="F678" i="2" s="1"/>
  <c r="A679" i="2"/>
  <c r="J677" i="2" l="1"/>
  <c r="I677" i="2" s="1"/>
  <c r="E678" i="2"/>
  <c r="G678" i="2" s="1"/>
  <c r="K676" i="2"/>
  <c r="A680" i="2"/>
  <c r="B679" i="2"/>
  <c r="D679" i="2" s="1"/>
  <c r="C679" i="2"/>
  <c r="F679" i="2" s="1"/>
  <c r="J678" i="2" l="1"/>
  <c r="I678" i="2" s="1"/>
  <c r="K677" i="2"/>
  <c r="M677" i="2" s="1"/>
  <c r="M676" i="2"/>
  <c r="E679" i="2"/>
  <c r="G679" i="2" s="1"/>
  <c r="B680" i="2"/>
  <c r="D680" i="2" s="1"/>
  <c r="A681" i="2"/>
  <c r="C680" i="2"/>
  <c r="F680" i="2" s="1"/>
  <c r="K678" i="2" l="1"/>
  <c r="M678" i="2" s="1"/>
  <c r="E680" i="2"/>
  <c r="G680" i="2" s="1"/>
  <c r="J679" i="2"/>
  <c r="I679" i="2" s="1"/>
  <c r="B681" i="2"/>
  <c r="D681" i="2" s="1"/>
  <c r="A682" i="2"/>
  <c r="C681" i="2"/>
  <c r="F681" i="2" s="1"/>
  <c r="J680" i="2" l="1"/>
  <c r="I680" i="2" s="1"/>
  <c r="K679" i="2"/>
  <c r="M679" i="2" s="1"/>
  <c r="E681" i="2"/>
  <c r="G681" i="2" s="1"/>
  <c r="A683" i="2"/>
  <c r="B682" i="2"/>
  <c r="D682" i="2" s="1"/>
  <c r="C682" i="2"/>
  <c r="F682" i="2" s="1"/>
  <c r="K680" i="2" l="1"/>
  <c r="M680" i="2" s="1"/>
  <c r="J681" i="2"/>
  <c r="I681" i="2" s="1"/>
  <c r="E682" i="2"/>
  <c r="G682" i="2" s="1"/>
  <c r="C683" i="2"/>
  <c r="F683" i="2" s="1"/>
  <c r="A684" i="2"/>
  <c r="B683" i="2"/>
  <c r="D683" i="2" s="1"/>
  <c r="J682" i="2" l="1"/>
  <c r="I682" i="2" s="1"/>
  <c r="K681" i="2"/>
  <c r="M681" i="2" s="1"/>
  <c r="E683" i="2"/>
  <c r="J683" i="2" s="1"/>
  <c r="B684" i="2"/>
  <c r="D684" i="2" s="1"/>
  <c r="A685" i="2"/>
  <c r="C684" i="2"/>
  <c r="F684" i="2" s="1"/>
  <c r="I683" i="2" l="1"/>
  <c r="K682" i="2"/>
  <c r="M682" i="2" s="1"/>
  <c r="G683" i="2"/>
  <c r="E684" i="2"/>
  <c r="J684" i="2" s="1"/>
  <c r="A686" i="2"/>
  <c r="C685" i="2"/>
  <c r="F685" i="2" s="1"/>
  <c r="B685" i="2"/>
  <c r="D685" i="2" s="1"/>
  <c r="I684" i="2" l="1"/>
  <c r="K683" i="2"/>
  <c r="M683" i="2" s="1"/>
  <c r="G684" i="2"/>
  <c r="E685" i="2"/>
  <c r="G685" i="2" s="1"/>
  <c r="A687" i="2"/>
  <c r="B686" i="2"/>
  <c r="D686" i="2" s="1"/>
  <c r="C686" i="2"/>
  <c r="F686" i="2" s="1"/>
  <c r="K684" i="2" l="1"/>
  <c r="M684" i="2" s="1"/>
  <c r="E686" i="2"/>
  <c r="J686" i="2" s="1"/>
  <c r="J685" i="2"/>
  <c r="B687" i="2"/>
  <c r="D687" i="2" s="1"/>
  <c r="C687" i="2"/>
  <c r="F687" i="2" s="1"/>
  <c r="A688" i="2"/>
  <c r="G686" i="2" l="1"/>
  <c r="I685" i="2"/>
  <c r="I686" i="2" s="1"/>
  <c r="K685" i="2"/>
  <c r="M685" i="2" s="1"/>
  <c r="E687" i="2"/>
  <c r="J687" i="2" s="1"/>
  <c r="C688" i="2"/>
  <c r="F688" i="2" s="1"/>
  <c r="A689" i="2"/>
  <c r="B688" i="2"/>
  <c r="D688" i="2" s="1"/>
  <c r="K686" i="2" l="1"/>
  <c r="M686" i="2" s="1"/>
  <c r="I687" i="2"/>
  <c r="G687" i="2"/>
  <c r="E688" i="2"/>
  <c r="J688" i="2" s="1"/>
  <c r="I688" i="2" s="1"/>
  <c r="A690" i="2"/>
  <c r="B689" i="2"/>
  <c r="D689" i="2" s="1"/>
  <c r="C689" i="2"/>
  <c r="F689" i="2" s="1"/>
  <c r="K687" i="2" l="1"/>
  <c r="M687" i="2" s="1"/>
  <c r="G688" i="2"/>
  <c r="E689" i="2"/>
  <c r="G689" i="2" s="1"/>
  <c r="B690" i="2"/>
  <c r="D690" i="2" s="1"/>
  <c r="C690" i="2"/>
  <c r="F690" i="2" s="1"/>
  <c r="A691" i="2"/>
  <c r="K688" i="2" l="1"/>
  <c r="M688" i="2" s="1"/>
  <c r="J689" i="2"/>
  <c r="I689" i="2" s="1"/>
  <c r="E690" i="2"/>
  <c r="G690" i="2" s="1"/>
  <c r="A692" i="2"/>
  <c r="B691" i="2"/>
  <c r="D691" i="2" s="1"/>
  <c r="C691" i="2"/>
  <c r="F691" i="2" s="1"/>
  <c r="J690" i="2" l="1"/>
  <c r="I690" i="2" s="1"/>
  <c r="E691" i="2"/>
  <c r="J691" i="2" s="1"/>
  <c r="K689" i="2"/>
  <c r="A693" i="2"/>
  <c r="B692" i="2"/>
  <c r="D692" i="2" s="1"/>
  <c r="C692" i="2"/>
  <c r="F692" i="2" s="1"/>
  <c r="I691" i="2" l="1"/>
  <c r="K690" i="2"/>
  <c r="M690" i="2" s="1"/>
  <c r="M689" i="2"/>
  <c r="G691" i="2"/>
  <c r="K691" i="2"/>
  <c r="M691" i="2" s="1"/>
  <c r="E692" i="2"/>
  <c r="G692" i="2" s="1"/>
  <c r="A694" i="2"/>
  <c r="C693" i="2"/>
  <c r="F693" i="2" s="1"/>
  <c r="B693" i="2"/>
  <c r="D693" i="2" s="1"/>
  <c r="J692" i="2" l="1"/>
  <c r="I692" i="2" s="1"/>
  <c r="E693" i="2"/>
  <c r="G693" i="2" s="1"/>
  <c r="B694" i="2"/>
  <c r="D694" i="2" s="1"/>
  <c r="C694" i="2"/>
  <c r="F694" i="2" s="1"/>
  <c r="A695" i="2"/>
  <c r="K692" i="2" l="1"/>
  <c r="M692" i="2" s="1"/>
  <c r="E694" i="2"/>
  <c r="G694" i="2" s="1"/>
  <c r="J693" i="2"/>
  <c r="I693" i="2" s="1"/>
  <c r="A696" i="2"/>
  <c r="B695" i="2"/>
  <c r="D695" i="2" s="1"/>
  <c r="C695" i="2"/>
  <c r="F695" i="2" s="1"/>
  <c r="J694" i="2" l="1"/>
  <c r="I694" i="2" s="1"/>
  <c r="K693" i="2"/>
  <c r="E695" i="2"/>
  <c r="G695" i="2" s="1"/>
  <c r="C696" i="2"/>
  <c r="F696" i="2" s="1"/>
  <c r="A697" i="2"/>
  <c r="B696" i="2"/>
  <c r="D696" i="2" s="1"/>
  <c r="K694" i="2" l="1"/>
  <c r="M694" i="2" s="1"/>
  <c r="M693" i="2"/>
  <c r="J695" i="2"/>
  <c r="I695" i="2" s="1"/>
  <c r="E696" i="2"/>
  <c r="G696" i="2" s="1"/>
  <c r="B697" i="2"/>
  <c r="D697" i="2" s="1"/>
  <c r="A698" i="2"/>
  <c r="C697" i="2"/>
  <c r="F697" i="2" s="1"/>
  <c r="K695" i="2" l="1"/>
  <c r="M695" i="2" s="1"/>
  <c r="J696" i="2"/>
  <c r="I696" i="2" s="1"/>
  <c r="E697" i="2"/>
  <c r="G697" i="2" s="1"/>
  <c r="A699" i="2"/>
  <c r="B698" i="2"/>
  <c r="D698" i="2" s="1"/>
  <c r="C698" i="2"/>
  <c r="F698" i="2" s="1"/>
  <c r="K696" i="2" l="1"/>
  <c r="M696" i="2" s="1"/>
  <c r="J697" i="2"/>
  <c r="I697" i="2" s="1"/>
  <c r="E698" i="2"/>
  <c r="G698" i="2" s="1"/>
  <c r="A700" i="2"/>
  <c r="B699" i="2"/>
  <c r="D699" i="2" s="1"/>
  <c r="C699" i="2"/>
  <c r="F699" i="2" s="1"/>
  <c r="K697" i="2" l="1"/>
  <c r="M697" i="2" s="1"/>
  <c r="J698" i="2"/>
  <c r="I698" i="2" s="1"/>
  <c r="E699" i="2"/>
  <c r="J699" i="2" s="1"/>
  <c r="B700" i="2"/>
  <c r="D700" i="2" s="1"/>
  <c r="C700" i="2"/>
  <c r="F700" i="2" s="1"/>
  <c r="A701" i="2"/>
  <c r="I699" i="2" l="1"/>
  <c r="K698" i="2"/>
  <c r="M698" i="2" s="1"/>
  <c r="G699" i="2"/>
  <c r="E700" i="2"/>
  <c r="G700" i="2" s="1"/>
  <c r="B701" i="2"/>
  <c r="D701" i="2" s="1"/>
  <c r="C701" i="2"/>
  <c r="F701" i="2" s="1"/>
  <c r="A702" i="2"/>
  <c r="K699" i="2" l="1"/>
  <c r="M699" i="2" s="1"/>
  <c r="J700" i="2"/>
  <c r="I700" i="2" s="1"/>
  <c r="E701" i="2"/>
  <c r="J701" i="2" s="1"/>
  <c r="A703" i="2"/>
  <c r="B702" i="2"/>
  <c r="D702" i="2" s="1"/>
  <c r="C702" i="2"/>
  <c r="F702" i="2" s="1"/>
  <c r="I701" i="2" l="1"/>
  <c r="K700" i="2"/>
  <c r="M700" i="2" s="1"/>
  <c r="G701" i="2"/>
  <c r="K701" i="2"/>
  <c r="M701" i="2" s="1"/>
  <c r="E702" i="2"/>
  <c r="J702" i="2" s="1"/>
  <c r="C703" i="2"/>
  <c r="F703" i="2" s="1"/>
  <c r="A704" i="2"/>
  <c r="B703" i="2"/>
  <c r="D703" i="2" s="1"/>
  <c r="G702" i="2" l="1"/>
  <c r="I702" i="2"/>
  <c r="K702" i="2"/>
  <c r="M702" i="2" s="1"/>
  <c r="E703" i="2"/>
  <c r="G703" i="2" s="1"/>
  <c r="C704" i="2"/>
  <c r="F704" i="2" s="1"/>
  <c r="A705" i="2"/>
  <c r="B704" i="2"/>
  <c r="D704" i="2" s="1"/>
  <c r="J703" i="2" l="1"/>
  <c r="I703" i="2" s="1"/>
  <c r="E704" i="2"/>
  <c r="J704" i="2" s="1"/>
  <c r="A706" i="2"/>
  <c r="B705" i="2"/>
  <c r="D705" i="2" s="1"/>
  <c r="C705" i="2"/>
  <c r="F705" i="2" s="1"/>
  <c r="I704" i="2" l="1"/>
  <c r="K703" i="2"/>
  <c r="M703" i="2" s="1"/>
  <c r="G704" i="2"/>
  <c r="E705" i="2"/>
  <c r="J705" i="2" s="1"/>
  <c r="B706" i="2"/>
  <c r="D706" i="2" s="1"/>
  <c r="A707" i="2"/>
  <c r="C706" i="2"/>
  <c r="F706" i="2" s="1"/>
  <c r="K704" i="2" l="1"/>
  <c r="M704" i="2" s="1"/>
  <c r="G705" i="2"/>
  <c r="I705" i="2"/>
  <c r="E706" i="2"/>
  <c r="G706" i="2" s="1"/>
  <c r="A708" i="2"/>
  <c r="B707" i="2"/>
  <c r="D707" i="2" s="1"/>
  <c r="C707" i="2"/>
  <c r="F707" i="2" s="1"/>
  <c r="K705" i="2" l="1"/>
  <c r="M705" i="2" s="1"/>
  <c r="E707" i="2"/>
  <c r="J707" i="2" s="1"/>
  <c r="J706" i="2"/>
  <c r="I706" i="2" s="1"/>
  <c r="A709" i="2"/>
  <c r="B708" i="2"/>
  <c r="D708" i="2" s="1"/>
  <c r="C708" i="2"/>
  <c r="F708" i="2" s="1"/>
  <c r="G707" i="2" l="1"/>
  <c r="I707" i="2"/>
  <c r="E708" i="2"/>
  <c r="G708" i="2" s="1"/>
  <c r="K706" i="2"/>
  <c r="C709" i="2"/>
  <c r="F709" i="2" s="1"/>
  <c r="A710" i="2"/>
  <c r="B709" i="2"/>
  <c r="D709" i="2" s="1"/>
  <c r="J708" i="2" l="1"/>
  <c r="I708" i="2" s="1"/>
  <c r="K707" i="2"/>
  <c r="M707" i="2" s="1"/>
  <c r="M706" i="2"/>
  <c r="E709" i="2"/>
  <c r="J709" i="2" s="1"/>
  <c r="B710" i="2"/>
  <c r="D710" i="2" s="1"/>
  <c r="A711" i="2"/>
  <c r="C710" i="2"/>
  <c r="F710" i="2" s="1"/>
  <c r="K708" i="2" l="1"/>
  <c r="M708" i="2" s="1"/>
  <c r="I709" i="2"/>
  <c r="E710" i="2"/>
  <c r="G710" i="2" s="1"/>
  <c r="G709" i="2"/>
  <c r="A712" i="2"/>
  <c r="B711" i="2"/>
  <c r="D711" i="2" s="1"/>
  <c r="C711" i="2"/>
  <c r="F711" i="2" s="1"/>
  <c r="K709" i="2" l="1"/>
  <c r="M709" i="2" s="1"/>
  <c r="E711" i="2"/>
  <c r="G711" i="2" s="1"/>
  <c r="J710" i="2"/>
  <c r="I710" i="2" s="1"/>
  <c r="A713" i="2"/>
  <c r="B712" i="2"/>
  <c r="D712" i="2" s="1"/>
  <c r="C712" i="2"/>
  <c r="F712" i="2" s="1"/>
  <c r="J711" i="2" l="1"/>
  <c r="I711" i="2" s="1"/>
  <c r="E712" i="2"/>
  <c r="G712" i="2" s="1"/>
  <c r="K710" i="2"/>
  <c r="C713" i="2"/>
  <c r="F713" i="2" s="1"/>
  <c r="A714" i="2"/>
  <c r="B713" i="2"/>
  <c r="D713" i="2" s="1"/>
  <c r="J712" i="2" l="1"/>
  <c r="I712" i="2" s="1"/>
  <c r="K711" i="2"/>
  <c r="M711" i="2" s="1"/>
  <c r="M710" i="2"/>
  <c r="E713" i="2"/>
  <c r="G713" i="2" s="1"/>
  <c r="C714" i="2"/>
  <c r="F714" i="2" s="1"/>
  <c r="A715" i="2"/>
  <c r="B714" i="2"/>
  <c r="D714" i="2" s="1"/>
  <c r="K712" i="2" l="1"/>
  <c r="M712" i="2" s="1"/>
  <c r="J713" i="2"/>
  <c r="I713" i="2" s="1"/>
  <c r="E714" i="2"/>
  <c r="G714" i="2" s="1"/>
  <c r="A716" i="2"/>
  <c r="B715" i="2"/>
  <c r="D715" i="2" s="1"/>
  <c r="C715" i="2"/>
  <c r="F715" i="2" s="1"/>
  <c r="K713" i="2" l="1"/>
  <c r="M713" i="2" s="1"/>
  <c r="J714" i="2"/>
  <c r="I714" i="2" s="1"/>
  <c r="E715" i="2"/>
  <c r="J715" i="2" s="1"/>
  <c r="B716" i="2"/>
  <c r="D716" i="2" s="1"/>
  <c r="A717" i="2"/>
  <c r="C716" i="2"/>
  <c r="F716" i="2" s="1"/>
  <c r="I715" i="2" l="1"/>
  <c r="K714" i="2"/>
  <c r="M714" i="2" s="1"/>
  <c r="G715" i="2"/>
  <c r="E716" i="2"/>
  <c r="G716" i="2" s="1"/>
  <c r="A718" i="2"/>
  <c r="B717" i="2"/>
  <c r="D717" i="2" s="1"/>
  <c r="C717" i="2"/>
  <c r="F717" i="2" s="1"/>
  <c r="K715" i="2" l="1"/>
  <c r="M715" i="2" s="1"/>
  <c r="J716" i="2"/>
  <c r="I716" i="2" s="1"/>
  <c r="E717" i="2"/>
  <c r="A719" i="2"/>
  <c r="B718" i="2"/>
  <c r="D718" i="2" s="1"/>
  <c r="C718" i="2"/>
  <c r="F718" i="2" s="1"/>
  <c r="K716" i="2" l="1"/>
  <c r="M716" i="2" s="1"/>
  <c r="G717" i="2"/>
  <c r="J717" i="2"/>
  <c r="I717" i="2" s="1"/>
  <c r="E718" i="2"/>
  <c r="G718" i="2" s="1"/>
  <c r="B719" i="2"/>
  <c r="D719" i="2" s="1"/>
  <c r="C719" i="2"/>
  <c r="F719" i="2" s="1"/>
  <c r="A720" i="2"/>
  <c r="E719" i="2" l="1"/>
  <c r="G719" i="2" s="1"/>
  <c r="K717" i="2"/>
  <c r="M717" i="2" s="1"/>
  <c r="J718" i="2"/>
  <c r="I718" i="2" s="1"/>
  <c r="C720" i="2"/>
  <c r="F720" i="2" s="1"/>
  <c r="B720" i="2"/>
  <c r="D720" i="2" s="1"/>
  <c r="A721" i="2"/>
  <c r="J719" i="2" l="1"/>
  <c r="I719" i="2" s="1"/>
  <c r="K718" i="2"/>
  <c r="M718" i="2" s="1"/>
  <c r="E720" i="2"/>
  <c r="G720" i="2" s="1"/>
  <c r="A722" i="2"/>
  <c r="B721" i="2"/>
  <c r="D721" i="2" s="1"/>
  <c r="C721" i="2"/>
  <c r="F721" i="2" s="1"/>
  <c r="K719" i="2" l="1"/>
  <c r="M719" i="2" s="1"/>
  <c r="E721" i="2"/>
  <c r="J721" i="2" s="1"/>
  <c r="J720" i="2"/>
  <c r="I720" i="2" s="1"/>
  <c r="B722" i="2"/>
  <c r="D722" i="2" s="1"/>
  <c r="A723" i="2"/>
  <c r="C722" i="2"/>
  <c r="F722" i="2" s="1"/>
  <c r="G721" i="2" l="1"/>
  <c r="I721" i="2"/>
  <c r="K720" i="2"/>
  <c r="M720" i="2" s="1"/>
  <c r="E722" i="2"/>
  <c r="J722" i="2" s="1"/>
  <c r="I722" i="2" s="1"/>
  <c r="B723" i="2"/>
  <c r="D723" i="2" s="1"/>
  <c r="C723" i="2"/>
  <c r="F723" i="2" s="1"/>
  <c r="A724" i="2"/>
  <c r="G722" i="2" l="1"/>
  <c r="K721" i="2"/>
  <c r="M721" i="2" s="1"/>
  <c r="E723" i="2"/>
  <c r="J723" i="2" s="1"/>
  <c r="I723" i="2" s="1"/>
  <c r="A725" i="2"/>
  <c r="B724" i="2"/>
  <c r="D724" i="2" s="1"/>
  <c r="C724" i="2"/>
  <c r="F724" i="2" s="1"/>
  <c r="K722" i="2" l="1"/>
  <c r="M722" i="2" s="1"/>
  <c r="G723" i="2"/>
  <c r="E724" i="2"/>
  <c r="G724" i="2" s="1"/>
  <c r="K723" i="2"/>
  <c r="M723" i="2" s="1"/>
  <c r="A726" i="2"/>
  <c r="C725" i="2"/>
  <c r="F725" i="2" s="1"/>
  <c r="B725" i="2"/>
  <c r="D725" i="2" s="1"/>
  <c r="J724" i="2" l="1"/>
  <c r="I724" i="2" s="1"/>
  <c r="E725" i="2"/>
  <c r="G725" i="2" s="1"/>
  <c r="B726" i="2"/>
  <c r="D726" i="2" s="1"/>
  <c r="A727" i="2"/>
  <c r="C726" i="2"/>
  <c r="F726" i="2" s="1"/>
  <c r="K724" i="2" l="1"/>
  <c r="M724" i="2" s="1"/>
  <c r="J725" i="2"/>
  <c r="I725" i="2" s="1"/>
  <c r="E726" i="2"/>
  <c r="G726" i="2" s="1"/>
  <c r="B727" i="2"/>
  <c r="D727" i="2" s="1"/>
  <c r="C727" i="2"/>
  <c r="F727" i="2" s="1"/>
  <c r="A728" i="2"/>
  <c r="K725" i="2" l="1"/>
  <c r="M725" i="2" s="1"/>
  <c r="J726" i="2"/>
  <c r="I726" i="2" s="1"/>
  <c r="E727" i="2"/>
  <c r="G727" i="2" s="1"/>
  <c r="B728" i="2"/>
  <c r="D728" i="2" s="1"/>
  <c r="A729" i="2"/>
  <c r="C728" i="2"/>
  <c r="F728" i="2" s="1"/>
  <c r="K726" i="2" l="1"/>
  <c r="M726" i="2" s="1"/>
  <c r="J727" i="2"/>
  <c r="I727" i="2" s="1"/>
  <c r="E728" i="2"/>
  <c r="A730" i="2"/>
  <c r="B729" i="2"/>
  <c r="D729" i="2" s="1"/>
  <c r="C729" i="2"/>
  <c r="F729" i="2" s="1"/>
  <c r="K727" i="2" l="1"/>
  <c r="M727" i="2" s="1"/>
  <c r="J728" i="2"/>
  <c r="I728" i="2" s="1"/>
  <c r="G728" i="2"/>
  <c r="E729" i="2"/>
  <c r="J729" i="2" s="1"/>
  <c r="A731" i="2"/>
  <c r="B730" i="2"/>
  <c r="D730" i="2" s="1"/>
  <c r="C730" i="2"/>
  <c r="F730" i="2" s="1"/>
  <c r="I729" i="2" l="1"/>
  <c r="K728" i="2"/>
  <c r="M728" i="2" s="1"/>
  <c r="G729" i="2"/>
  <c r="E730" i="2"/>
  <c r="J730" i="2" s="1"/>
  <c r="A732" i="2"/>
  <c r="B731" i="2"/>
  <c r="D731" i="2" s="1"/>
  <c r="C731" i="2"/>
  <c r="F731" i="2" s="1"/>
  <c r="I730" i="2" l="1"/>
  <c r="K729" i="2"/>
  <c r="M729" i="2" s="1"/>
  <c r="G730" i="2"/>
  <c r="E731" i="2"/>
  <c r="G731" i="2" s="1"/>
  <c r="C732" i="2"/>
  <c r="F732" i="2" s="1"/>
  <c r="B732" i="2"/>
  <c r="D732" i="2" s="1"/>
  <c r="A733" i="2"/>
  <c r="K730" i="2" l="1"/>
  <c r="M730" i="2" s="1"/>
  <c r="J731" i="2"/>
  <c r="I731" i="2" s="1"/>
  <c r="E732" i="2"/>
  <c r="G732" i="2" s="1"/>
  <c r="B733" i="2"/>
  <c r="D733" i="2" s="1"/>
  <c r="C733" i="2"/>
  <c r="F733" i="2" s="1"/>
  <c r="A734" i="2"/>
  <c r="K731" i="2" l="1"/>
  <c r="M731" i="2" s="1"/>
  <c r="E733" i="2"/>
  <c r="G733" i="2" s="1"/>
  <c r="J732" i="2"/>
  <c r="I732" i="2" s="1"/>
  <c r="A735" i="2"/>
  <c r="C734" i="2"/>
  <c r="F734" i="2" s="1"/>
  <c r="B734" i="2"/>
  <c r="D734" i="2" s="1"/>
  <c r="J733" i="2" l="1"/>
  <c r="I733" i="2" s="1"/>
  <c r="K732" i="2"/>
  <c r="E734" i="2"/>
  <c r="J734" i="2" s="1"/>
  <c r="C735" i="2"/>
  <c r="F735" i="2" s="1"/>
  <c r="A736" i="2"/>
  <c r="B735" i="2"/>
  <c r="D735" i="2" s="1"/>
  <c r="I734" i="2" l="1"/>
  <c r="K733" i="2"/>
  <c r="M733" i="2" s="1"/>
  <c r="M732" i="2"/>
  <c r="E735" i="2"/>
  <c r="G735" i="2" s="1"/>
  <c r="G734" i="2"/>
  <c r="B736" i="2"/>
  <c r="D736" i="2" s="1"/>
  <c r="A737" i="2"/>
  <c r="A738" i="2" s="1"/>
  <c r="C736" i="2"/>
  <c r="F736" i="2" s="1"/>
  <c r="K734" i="2" l="1"/>
  <c r="M734" i="2" s="1"/>
  <c r="J735" i="2"/>
  <c r="I735" i="2" s="1"/>
  <c r="E736" i="2"/>
  <c r="J736" i="2" s="1"/>
  <c r="B738" i="2"/>
  <c r="A739" i="2"/>
  <c r="C738" i="2"/>
  <c r="B737" i="2"/>
  <c r="D737" i="2" s="1"/>
  <c r="C737" i="2"/>
  <c r="F737" i="2" s="1"/>
  <c r="I736" i="2" l="1"/>
  <c r="F738" i="2"/>
  <c r="E737" i="2"/>
  <c r="G737" i="2" s="1"/>
  <c r="K735" i="2"/>
  <c r="M735" i="2" s="1"/>
  <c r="G736" i="2"/>
  <c r="E738" i="2"/>
  <c r="G738" i="2" s="1"/>
  <c r="A740" i="2"/>
  <c r="B739" i="2"/>
  <c r="C739" i="2"/>
  <c r="F739" i="2" s="1"/>
  <c r="D738" i="2"/>
  <c r="J737" i="2" l="1"/>
  <c r="I737" i="2" s="1"/>
  <c r="K736" i="2"/>
  <c r="M736" i="2" s="1"/>
  <c r="J738" i="2"/>
  <c r="D739" i="2"/>
  <c r="E739" i="2"/>
  <c r="G739" i="2" s="1"/>
  <c r="A741" i="2"/>
  <c r="B740" i="2"/>
  <c r="C740" i="2"/>
  <c r="F740" i="2" s="1"/>
  <c r="I738" i="2" l="1"/>
  <c r="K737" i="2"/>
  <c r="K738" i="2" s="1"/>
  <c r="M738" i="2" s="1"/>
  <c r="D740" i="2"/>
  <c r="J739" i="2"/>
  <c r="I739" i="2" s="1"/>
  <c r="E740" i="2"/>
  <c r="G740" i="2" s="1"/>
  <c r="B741" i="2"/>
  <c r="C741" i="2"/>
  <c r="F741" i="2" s="1"/>
  <c r="A742" i="2"/>
  <c r="D741" i="2" l="1"/>
  <c r="M737" i="2"/>
  <c r="K739" i="2"/>
  <c r="M739" i="2" s="1"/>
  <c r="J740" i="2"/>
  <c r="I740" i="2" s="1"/>
  <c r="E741" i="2"/>
  <c r="G741" i="2" s="1"/>
  <c r="A743" i="2"/>
  <c r="B742" i="2"/>
  <c r="C742" i="2"/>
  <c r="F742" i="2" s="1"/>
  <c r="D742" i="2" l="1"/>
  <c r="K740" i="2"/>
  <c r="M740" i="2" s="1"/>
  <c r="J741" i="2"/>
  <c r="I741" i="2" s="1"/>
  <c r="E742" i="2"/>
  <c r="G742" i="2" s="1"/>
  <c r="A744" i="2"/>
  <c r="B743" i="2"/>
  <c r="C743" i="2"/>
  <c r="F743" i="2" s="1"/>
  <c r="D743" i="2" l="1"/>
  <c r="K741" i="2"/>
  <c r="M741" i="2" s="1"/>
  <c r="E743" i="2"/>
  <c r="G743" i="2" s="1"/>
  <c r="J742" i="2"/>
  <c r="I742" i="2" s="1"/>
  <c r="B744" i="2"/>
  <c r="C744" i="2"/>
  <c r="F744" i="2" s="1"/>
  <c r="A745" i="2"/>
  <c r="D744" i="2" l="1"/>
  <c r="J743" i="2"/>
  <c r="I743" i="2" s="1"/>
  <c r="K742" i="2"/>
  <c r="E744" i="2"/>
  <c r="J744" i="2" s="1"/>
  <c r="A746" i="2"/>
  <c r="B745" i="2"/>
  <c r="C745" i="2"/>
  <c r="F745" i="2" s="1"/>
  <c r="D745" i="2" l="1"/>
  <c r="K743" i="2"/>
  <c r="M743" i="2" s="1"/>
  <c r="M742" i="2"/>
  <c r="I744" i="2"/>
  <c r="K744" i="2"/>
  <c r="M744" i="2" s="1"/>
  <c r="G744" i="2"/>
  <c r="E745" i="2"/>
  <c r="J745" i="2" s="1"/>
  <c r="I745" i="2" s="1"/>
  <c r="A747" i="2"/>
  <c r="B746" i="2"/>
  <c r="C746" i="2"/>
  <c r="F746" i="2" s="1"/>
  <c r="D746" i="2" l="1"/>
  <c r="K745" i="2"/>
  <c r="M745" i="2" s="1"/>
  <c r="G745" i="2"/>
  <c r="E746" i="2"/>
  <c r="J746" i="2" s="1"/>
  <c r="I746" i="2" s="1"/>
  <c r="B747" i="2"/>
  <c r="C747" i="2"/>
  <c r="F747" i="2" s="1"/>
  <c r="A748" i="2"/>
  <c r="D747" i="2" l="1"/>
  <c r="G746" i="2"/>
  <c r="K746" i="2"/>
  <c r="M746" i="2" s="1"/>
  <c r="E747" i="2"/>
  <c r="G747" i="2" s="1"/>
  <c r="A749" i="2"/>
  <c r="C748" i="2"/>
  <c r="F748" i="2" s="1"/>
  <c r="B748" i="2"/>
  <c r="D748" i="2" l="1"/>
  <c r="J747" i="2"/>
  <c r="I747" i="2" s="1"/>
  <c r="E748" i="2"/>
  <c r="J748" i="2" s="1"/>
  <c r="A750" i="2"/>
  <c r="B749" i="2"/>
  <c r="C749" i="2"/>
  <c r="F749" i="2" s="1"/>
  <c r="D749" i="2" l="1"/>
  <c r="I748" i="2"/>
  <c r="K747" i="2"/>
  <c r="M747" i="2" s="1"/>
  <c r="E749" i="2"/>
  <c r="G749" i="2" s="1"/>
  <c r="G748" i="2"/>
  <c r="B750" i="2"/>
  <c r="C750" i="2"/>
  <c r="F750" i="2" s="1"/>
  <c r="A751" i="2"/>
  <c r="D750" i="2" l="1"/>
  <c r="J749" i="2"/>
  <c r="I749" i="2" s="1"/>
  <c r="K748" i="2"/>
  <c r="M748" i="2" s="1"/>
  <c r="E750" i="2"/>
  <c r="G750" i="2" s="1"/>
  <c r="B751" i="2"/>
  <c r="C751" i="2"/>
  <c r="F751" i="2" s="1"/>
  <c r="A752" i="2"/>
  <c r="D751" i="2" l="1"/>
  <c r="K749" i="2"/>
  <c r="M749" i="2" s="1"/>
  <c r="J750" i="2"/>
  <c r="I750" i="2" s="1"/>
  <c r="E751" i="2"/>
  <c r="J751" i="2" s="1"/>
  <c r="A753" i="2"/>
  <c r="B752" i="2"/>
  <c r="C752" i="2"/>
  <c r="F752" i="2" s="1"/>
  <c r="D752" i="2" l="1"/>
  <c r="I751" i="2"/>
  <c r="K750" i="2"/>
  <c r="M750" i="2" s="1"/>
  <c r="E752" i="2"/>
  <c r="G752" i="2" s="1"/>
  <c r="G751" i="2"/>
  <c r="B753" i="2"/>
  <c r="C753" i="2"/>
  <c r="F753" i="2" s="1"/>
  <c r="A754" i="2"/>
  <c r="D753" i="2" l="1"/>
  <c r="K751" i="2"/>
  <c r="M751" i="2" s="1"/>
  <c r="J752" i="2"/>
  <c r="I752" i="2" s="1"/>
  <c r="E753" i="2"/>
  <c r="J753" i="2" s="1"/>
  <c r="C754" i="2"/>
  <c r="F754" i="2" s="1"/>
  <c r="B754" i="2"/>
  <c r="A755" i="2"/>
  <c r="D754" i="2" l="1"/>
  <c r="I753" i="2"/>
  <c r="K752" i="2"/>
  <c r="M752" i="2" s="1"/>
  <c r="G753" i="2"/>
  <c r="E754" i="2"/>
  <c r="G754" i="2" s="1"/>
  <c r="A756" i="2"/>
  <c r="B755" i="2"/>
  <c r="C755" i="2"/>
  <c r="F755" i="2" s="1"/>
  <c r="D755" i="2" l="1"/>
  <c r="K753" i="2"/>
  <c r="M753" i="2" s="1"/>
  <c r="J754" i="2"/>
  <c r="I754" i="2" s="1"/>
  <c r="E755" i="2"/>
  <c r="G755" i="2" s="1"/>
  <c r="B756" i="2"/>
  <c r="C756" i="2"/>
  <c r="F756" i="2" s="1"/>
  <c r="A757" i="2"/>
  <c r="D756" i="2" l="1"/>
  <c r="K754" i="2"/>
  <c r="M754" i="2" s="1"/>
  <c r="J755" i="2"/>
  <c r="I755" i="2" s="1"/>
  <c r="E756" i="2"/>
  <c r="G756" i="2" s="1"/>
  <c r="A758" i="2"/>
  <c r="B757" i="2"/>
  <c r="C757" i="2"/>
  <c r="F757" i="2" s="1"/>
  <c r="D757" i="2" l="1"/>
  <c r="K755" i="2"/>
  <c r="M755" i="2" s="1"/>
  <c r="J756" i="2"/>
  <c r="I756" i="2" s="1"/>
  <c r="E757" i="2"/>
  <c r="G757" i="2" s="1"/>
  <c r="A759" i="2"/>
  <c r="B758" i="2"/>
  <c r="C758" i="2"/>
  <c r="F758" i="2" s="1"/>
  <c r="D758" i="2" l="1"/>
  <c r="J757" i="2"/>
  <c r="I757" i="2" s="1"/>
  <c r="K756" i="2"/>
  <c r="M756" i="2" s="1"/>
  <c r="E758" i="2"/>
  <c r="G758" i="2" s="1"/>
  <c r="B759" i="2"/>
  <c r="C759" i="2"/>
  <c r="F759" i="2" s="1"/>
  <c r="A760" i="2"/>
  <c r="D759" i="2" l="1"/>
  <c r="K757" i="2"/>
  <c r="M757" i="2" s="1"/>
  <c r="J758" i="2"/>
  <c r="I758" i="2" s="1"/>
  <c r="E759" i="2"/>
  <c r="G759" i="2" s="1"/>
  <c r="A761" i="2"/>
  <c r="B760" i="2"/>
  <c r="C760" i="2"/>
  <c r="F760" i="2" s="1"/>
  <c r="D760" i="2" l="1"/>
  <c r="K758" i="2"/>
  <c r="M758" i="2" s="1"/>
  <c r="E760" i="2"/>
  <c r="G760" i="2" s="1"/>
  <c r="J759" i="2"/>
  <c r="I759" i="2" s="1"/>
  <c r="A762" i="2"/>
  <c r="B761" i="2"/>
  <c r="C761" i="2"/>
  <c r="F761" i="2" s="1"/>
  <c r="D761" i="2" l="1"/>
  <c r="J760" i="2"/>
  <c r="I760" i="2" s="1"/>
  <c r="E761" i="2"/>
  <c r="J761" i="2" s="1"/>
  <c r="K759" i="2"/>
  <c r="B762" i="2"/>
  <c r="C762" i="2"/>
  <c r="F762" i="2" s="1"/>
  <c r="A763" i="2"/>
  <c r="D762" i="2" l="1"/>
  <c r="I761" i="2"/>
  <c r="K760" i="2"/>
  <c r="M760" i="2" s="1"/>
  <c r="M759" i="2"/>
  <c r="G761" i="2"/>
  <c r="E762" i="2"/>
  <c r="G762" i="2" s="1"/>
  <c r="K761" i="2"/>
  <c r="M761" i="2" s="1"/>
  <c r="C763" i="2"/>
  <c r="F763" i="2" s="1"/>
  <c r="A764" i="2"/>
  <c r="B763" i="2"/>
  <c r="D763" i="2" l="1"/>
  <c r="J762" i="2"/>
  <c r="I762" i="2" s="1"/>
  <c r="E763" i="2"/>
  <c r="J763" i="2" s="1"/>
  <c r="A765" i="2"/>
  <c r="B764" i="2"/>
  <c r="D764" i="2" s="1"/>
  <c r="C764" i="2"/>
  <c r="F764" i="2" s="1"/>
  <c r="K762" i="2" l="1"/>
  <c r="M762" i="2" s="1"/>
  <c r="I763" i="2"/>
  <c r="G763" i="2"/>
  <c r="E764" i="2"/>
  <c r="J764" i="2" s="1"/>
  <c r="I764" i="2" s="1"/>
  <c r="B765" i="2"/>
  <c r="D765" i="2" s="1"/>
  <c r="C765" i="2"/>
  <c r="F765" i="2" s="1"/>
  <c r="A766" i="2"/>
  <c r="K763" i="2" l="1"/>
  <c r="M763" i="2" s="1"/>
  <c r="E765" i="2"/>
  <c r="G765" i="2" s="1"/>
  <c r="G764" i="2"/>
  <c r="B766" i="2"/>
  <c r="D766" i="2" s="1"/>
  <c r="C766" i="2"/>
  <c r="F766" i="2" s="1"/>
  <c r="A767" i="2"/>
  <c r="K764" i="2" l="1"/>
  <c r="M764" i="2" s="1"/>
  <c r="J765" i="2"/>
  <c r="I765" i="2" s="1"/>
  <c r="E766" i="2"/>
  <c r="G766" i="2" s="1"/>
  <c r="A768" i="2"/>
  <c r="B767" i="2"/>
  <c r="D767" i="2" s="1"/>
  <c r="C767" i="2"/>
  <c r="F767" i="2" s="1"/>
  <c r="K765" i="2" l="1"/>
  <c r="M765" i="2" s="1"/>
  <c r="E767" i="2"/>
  <c r="G767" i="2" s="1"/>
  <c r="J766" i="2"/>
  <c r="I766" i="2" s="1"/>
  <c r="A769" i="2"/>
  <c r="B768" i="2"/>
  <c r="D768" i="2" s="1"/>
  <c r="C768" i="2"/>
  <c r="F768" i="2" s="1"/>
  <c r="J767" i="2" l="1"/>
  <c r="I767" i="2" s="1"/>
  <c r="K766" i="2"/>
  <c r="M766" i="2" s="1"/>
  <c r="E768" i="2"/>
  <c r="B769" i="2"/>
  <c r="D769" i="2" s="1"/>
  <c r="C769" i="2"/>
  <c r="F769" i="2" s="1"/>
  <c r="A770" i="2"/>
  <c r="K767" i="2" l="1"/>
  <c r="M767" i="2" s="1"/>
  <c r="J768" i="2"/>
  <c r="I768" i="2" s="1"/>
  <c r="E769" i="2"/>
  <c r="G769" i="2" s="1"/>
  <c r="G768" i="2"/>
  <c r="A771" i="2"/>
  <c r="B770" i="2"/>
  <c r="D770" i="2" s="1"/>
  <c r="C770" i="2"/>
  <c r="F770" i="2" s="1"/>
  <c r="K768" i="2" l="1"/>
  <c r="M768" i="2" s="1"/>
  <c r="J769" i="2"/>
  <c r="I769" i="2" s="1"/>
  <c r="E770" i="2"/>
  <c r="G770" i="2" s="1"/>
  <c r="A772" i="2"/>
  <c r="B771" i="2"/>
  <c r="D771" i="2" s="1"/>
  <c r="C771" i="2"/>
  <c r="F771" i="2" s="1"/>
  <c r="K769" i="2" l="1"/>
  <c r="M769" i="2" s="1"/>
  <c r="E771" i="2"/>
  <c r="G771" i="2" s="1"/>
  <c r="J770" i="2"/>
  <c r="I770" i="2" s="1"/>
  <c r="B772" i="2"/>
  <c r="D772" i="2" s="1"/>
  <c r="C772" i="2"/>
  <c r="F772" i="2" s="1"/>
  <c r="A773" i="2"/>
  <c r="E772" i="2" l="1"/>
  <c r="G772" i="2" s="1"/>
  <c r="J771" i="2"/>
  <c r="I771" i="2" s="1"/>
  <c r="K770" i="2"/>
  <c r="M770" i="2" s="1"/>
  <c r="A774" i="2"/>
  <c r="B773" i="2"/>
  <c r="D773" i="2" s="1"/>
  <c r="C773" i="2"/>
  <c r="F773" i="2" s="1"/>
  <c r="J772" i="2" l="1"/>
  <c r="I772" i="2" s="1"/>
  <c r="K771" i="2"/>
  <c r="E773" i="2"/>
  <c r="G773" i="2" s="1"/>
  <c r="A775" i="2"/>
  <c r="B774" i="2"/>
  <c r="D774" i="2" s="1"/>
  <c r="C774" i="2"/>
  <c r="F774" i="2" s="1"/>
  <c r="K772" i="2" l="1"/>
  <c r="M772" i="2" s="1"/>
  <c r="M771" i="2"/>
  <c r="J773" i="2"/>
  <c r="I773" i="2" s="1"/>
  <c r="E774" i="2"/>
  <c r="B775" i="2"/>
  <c r="D775" i="2" s="1"/>
  <c r="C775" i="2"/>
  <c r="F775" i="2" s="1"/>
  <c r="A776" i="2"/>
  <c r="E775" i="2" l="1"/>
  <c r="J775" i="2" s="1"/>
  <c r="K773" i="2"/>
  <c r="M773" i="2" s="1"/>
  <c r="J774" i="2"/>
  <c r="I774" i="2" s="1"/>
  <c r="G774" i="2"/>
  <c r="A777" i="2"/>
  <c r="B776" i="2"/>
  <c r="D776" i="2" s="1"/>
  <c r="C776" i="2"/>
  <c r="F776" i="2" s="1"/>
  <c r="I775" i="2" l="1"/>
  <c r="G775" i="2"/>
  <c r="K774" i="2"/>
  <c r="E776" i="2"/>
  <c r="J776" i="2" s="1"/>
  <c r="A778" i="2"/>
  <c r="C777" i="2"/>
  <c r="F777" i="2" s="1"/>
  <c r="B777" i="2"/>
  <c r="D777" i="2" s="1"/>
  <c r="I776" i="2" l="1"/>
  <c r="K775" i="2"/>
  <c r="M775" i="2" s="1"/>
  <c r="M774" i="2"/>
  <c r="E777" i="2"/>
  <c r="G777" i="2" s="1"/>
  <c r="G776" i="2"/>
  <c r="B778" i="2"/>
  <c r="D778" i="2" s="1"/>
  <c r="A779" i="2"/>
  <c r="C778" i="2"/>
  <c r="F778" i="2" s="1"/>
  <c r="J777" i="2" l="1"/>
  <c r="I777" i="2" s="1"/>
  <c r="K776" i="2"/>
  <c r="M776" i="2" s="1"/>
  <c r="E778" i="2"/>
  <c r="G778" i="2" s="1"/>
  <c r="C779" i="2"/>
  <c r="F779" i="2" s="1"/>
  <c r="A780" i="2"/>
  <c r="B779" i="2"/>
  <c r="D779" i="2" s="1"/>
  <c r="K777" i="2" l="1"/>
  <c r="M777" i="2" s="1"/>
  <c r="J778" i="2"/>
  <c r="I778" i="2" s="1"/>
  <c r="E779" i="2"/>
  <c r="G779" i="2" s="1"/>
  <c r="A781" i="2"/>
  <c r="B780" i="2"/>
  <c r="D780" i="2" s="1"/>
  <c r="C780" i="2"/>
  <c r="F780" i="2" s="1"/>
  <c r="K778" i="2" l="1"/>
  <c r="M778" i="2" s="1"/>
  <c r="E780" i="2"/>
  <c r="J780" i="2" s="1"/>
  <c r="J779" i="2"/>
  <c r="I779" i="2" s="1"/>
  <c r="B781" i="2"/>
  <c r="D781" i="2" s="1"/>
  <c r="C781" i="2"/>
  <c r="F781" i="2" s="1"/>
  <c r="A782" i="2"/>
  <c r="G780" i="2" l="1"/>
  <c r="K779" i="2"/>
  <c r="E781" i="2"/>
  <c r="G781" i="2" s="1"/>
  <c r="I780" i="2"/>
  <c r="B782" i="2"/>
  <c r="D782" i="2" s="1"/>
  <c r="C782" i="2"/>
  <c r="F782" i="2" s="1"/>
  <c r="A783" i="2"/>
  <c r="J781" i="2" l="1"/>
  <c r="I781" i="2" s="1"/>
  <c r="K780" i="2"/>
  <c r="M780" i="2" s="1"/>
  <c r="M779" i="2"/>
  <c r="E782" i="2"/>
  <c r="G782" i="2" s="1"/>
  <c r="A784" i="2"/>
  <c r="C783" i="2"/>
  <c r="F783" i="2" s="1"/>
  <c r="B783" i="2"/>
  <c r="D783" i="2" s="1"/>
  <c r="K781" i="2" l="1"/>
  <c r="M781" i="2" s="1"/>
  <c r="E783" i="2"/>
  <c r="G783" i="2" s="1"/>
  <c r="J782" i="2"/>
  <c r="I782" i="2" s="1"/>
  <c r="A785" i="2"/>
  <c r="B784" i="2"/>
  <c r="D784" i="2" s="1"/>
  <c r="C784" i="2"/>
  <c r="F784" i="2" s="1"/>
  <c r="J783" i="2" l="1"/>
  <c r="I783" i="2" s="1"/>
  <c r="K782" i="2"/>
  <c r="M782" i="2" s="1"/>
  <c r="E784" i="2"/>
  <c r="J784" i="2" s="1"/>
  <c r="B785" i="2"/>
  <c r="D785" i="2" s="1"/>
  <c r="C785" i="2"/>
  <c r="F785" i="2" s="1"/>
  <c r="A786" i="2"/>
  <c r="I784" i="2" l="1"/>
  <c r="K783" i="2"/>
  <c r="M783" i="2" s="1"/>
  <c r="G784" i="2"/>
  <c r="E785" i="2"/>
  <c r="G785" i="2" s="1"/>
  <c r="B786" i="2"/>
  <c r="D786" i="2" s="1"/>
  <c r="A787" i="2"/>
  <c r="C786" i="2"/>
  <c r="F786" i="2" s="1"/>
  <c r="K784" i="2" l="1"/>
  <c r="M784" i="2" s="1"/>
  <c r="J785" i="2"/>
  <c r="I785" i="2" s="1"/>
  <c r="E786" i="2"/>
  <c r="G786" i="2" s="1"/>
  <c r="A788" i="2"/>
  <c r="B787" i="2"/>
  <c r="D787" i="2" s="1"/>
  <c r="C787" i="2"/>
  <c r="F787" i="2" s="1"/>
  <c r="K785" i="2" l="1"/>
  <c r="M785" i="2" s="1"/>
  <c r="J786" i="2"/>
  <c r="I786" i="2" s="1"/>
  <c r="E787" i="2"/>
  <c r="G787" i="2" s="1"/>
  <c r="B788" i="2"/>
  <c r="D788" i="2" s="1"/>
  <c r="C788" i="2"/>
  <c r="F788" i="2" s="1"/>
  <c r="A789" i="2"/>
  <c r="J787" i="2" l="1"/>
  <c r="I787" i="2" s="1"/>
  <c r="K786" i="2"/>
  <c r="M786" i="2" s="1"/>
  <c r="E788" i="2"/>
  <c r="A790" i="2"/>
  <c r="C789" i="2"/>
  <c r="F789" i="2" s="1"/>
  <c r="B789" i="2"/>
  <c r="D789" i="2" s="1"/>
  <c r="K787" i="2" l="1"/>
  <c r="M787" i="2" s="1"/>
  <c r="J788" i="2"/>
  <c r="I788" i="2" s="1"/>
  <c r="E789" i="2"/>
  <c r="J789" i="2" s="1"/>
  <c r="G788" i="2"/>
  <c r="A791" i="2"/>
  <c r="B790" i="2"/>
  <c r="D790" i="2" s="1"/>
  <c r="C790" i="2"/>
  <c r="F790" i="2" s="1"/>
  <c r="G789" i="2" l="1"/>
  <c r="I789" i="2"/>
  <c r="E790" i="2"/>
  <c r="G790" i="2" s="1"/>
  <c r="K788" i="2"/>
  <c r="B791" i="2"/>
  <c r="D791" i="2" s="1"/>
  <c r="A792" i="2"/>
  <c r="C791" i="2"/>
  <c r="F791" i="2" s="1"/>
  <c r="J790" i="2" l="1"/>
  <c r="I790" i="2" s="1"/>
  <c r="K789" i="2"/>
  <c r="M789" i="2" s="1"/>
  <c r="M788" i="2"/>
  <c r="E791" i="2"/>
  <c r="J791" i="2" s="1"/>
  <c r="C792" i="2"/>
  <c r="F792" i="2" s="1"/>
  <c r="A793" i="2"/>
  <c r="B792" i="2"/>
  <c r="D792" i="2" s="1"/>
  <c r="I791" i="2" l="1"/>
  <c r="K790" i="2"/>
  <c r="G791" i="2"/>
  <c r="E792" i="2"/>
  <c r="G792" i="2" s="1"/>
  <c r="A794" i="2"/>
  <c r="B793" i="2"/>
  <c r="D793" i="2" s="1"/>
  <c r="C793" i="2"/>
  <c r="F793" i="2" s="1"/>
  <c r="K150" i="2" l="1"/>
  <c r="L150" i="2" s="1"/>
  <c r="K145" i="2"/>
  <c r="L145" i="2" s="1"/>
  <c r="K149" i="2"/>
  <c r="L149" i="2" s="1"/>
  <c r="K146" i="2"/>
  <c r="L146" i="2" s="1"/>
  <c r="K148" i="2"/>
  <c r="L148" i="2" s="1"/>
  <c r="K151" i="2"/>
  <c r="L151" i="2" s="1"/>
  <c r="K130" i="2"/>
  <c r="L130" i="2" s="1"/>
  <c r="K80" i="2"/>
  <c r="L80" i="2" s="1"/>
  <c r="K119" i="2"/>
  <c r="L119" i="2" s="1"/>
  <c r="K117" i="2"/>
  <c r="L117" i="2" s="1"/>
  <c r="K86" i="2"/>
  <c r="L86" i="2" s="1"/>
  <c r="K63" i="2"/>
  <c r="L63" i="2" s="1"/>
  <c r="K94" i="2"/>
  <c r="L94" i="2" s="1"/>
  <c r="K128" i="2"/>
  <c r="L128" i="2" s="1"/>
  <c r="K78" i="2"/>
  <c r="L78" i="2" s="1"/>
  <c r="K108" i="2"/>
  <c r="L108" i="2" s="1"/>
  <c r="K101" i="2"/>
  <c r="L101" i="2" s="1"/>
  <c r="K102" i="2"/>
  <c r="L102" i="2" s="1"/>
  <c r="K135" i="2"/>
  <c r="L135" i="2" s="1"/>
  <c r="K113" i="2"/>
  <c r="L113" i="2" s="1"/>
  <c r="K124" i="2"/>
  <c r="L124" i="2" s="1"/>
  <c r="K132" i="2"/>
  <c r="L132" i="2" s="1"/>
  <c r="K142" i="2"/>
  <c r="L142" i="2" s="1"/>
  <c r="K93" i="2"/>
  <c r="L93" i="2" s="1"/>
  <c r="K68" i="2"/>
  <c r="L68" i="2" s="1"/>
  <c r="K109" i="2"/>
  <c r="L109" i="2" s="1"/>
  <c r="K64" i="2"/>
  <c r="L64" i="2" s="1"/>
  <c r="K134" i="2"/>
  <c r="L134" i="2" s="1"/>
  <c r="K87" i="2"/>
  <c r="L87" i="2" s="1"/>
  <c r="K104" i="2"/>
  <c r="L104" i="2" s="1"/>
  <c r="K143" i="2"/>
  <c r="L143" i="2" s="1"/>
  <c r="K120" i="2"/>
  <c r="L120" i="2" s="1"/>
  <c r="K95" i="2"/>
  <c r="L95" i="2" s="1"/>
  <c r="K79" i="2"/>
  <c r="L79" i="2" s="1"/>
  <c r="K70" i="2"/>
  <c r="L70" i="2" s="1"/>
  <c r="K84" i="2"/>
  <c r="L84" i="2" s="1"/>
  <c r="K107" i="2"/>
  <c r="L107" i="2" s="1"/>
  <c r="K126" i="2"/>
  <c r="L126" i="2" s="1"/>
  <c r="K85" i="2"/>
  <c r="L85" i="2" s="1"/>
  <c r="K125" i="2"/>
  <c r="L125" i="2" s="1"/>
  <c r="K140" i="2"/>
  <c r="L140" i="2" s="1"/>
  <c r="K131" i="2"/>
  <c r="L131" i="2" s="1"/>
  <c r="K65" i="2"/>
  <c r="L65" i="2" s="1"/>
  <c r="K99" i="2"/>
  <c r="L99" i="2" s="1"/>
  <c r="K67" i="2"/>
  <c r="L67" i="2" s="1"/>
  <c r="K77" i="2"/>
  <c r="L77" i="2" s="1"/>
  <c r="K66" i="2"/>
  <c r="L66" i="2" s="1"/>
  <c r="K96" i="2"/>
  <c r="L96" i="2" s="1"/>
  <c r="K114" i="2"/>
  <c r="L114" i="2" s="1"/>
  <c r="K112" i="2"/>
  <c r="L112" i="2" s="1"/>
  <c r="K121" i="2"/>
  <c r="L121" i="2" s="1"/>
  <c r="K89" i="2"/>
  <c r="L89" i="2" s="1"/>
  <c r="K97" i="2"/>
  <c r="L97" i="2" s="1"/>
  <c r="K75" i="2"/>
  <c r="L75" i="2" s="1"/>
  <c r="K90" i="2"/>
  <c r="L90" i="2" s="1"/>
  <c r="K133" i="2"/>
  <c r="L133" i="2" s="1"/>
  <c r="K138" i="2"/>
  <c r="L138" i="2" s="1"/>
  <c r="K82" i="2"/>
  <c r="L82" i="2" s="1"/>
  <c r="K69" i="2"/>
  <c r="L69" i="2" s="1"/>
  <c r="K118" i="2"/>
  <c r="L118" i="2" s="1"/>
  <c r="K88" i="2"/>
  <c r="L88" i="2" s="1"/>
  <c r="K105" i="2"/>
  <c r="L105" i="2" s="1"/>
  <c r="K72" i="2"/>
  <c r="L72" i="2" s="1"/>
  <c r="K122" i="2"/>
  <c r="L122" i="2" s="1"/>
  <c r="K110" i="2"/>
  <c r="L110" i="2" s="1"/>
  <c r="K136" i="2"/>
  <c r="L136" i="2" s="1"/>
  <c r="K127" i="2"/>
  <c r="L127" i="2" s="1"/>
  <c r="K76" i="2"/>
  <c r="L76" i="2" s="1"/>
  <c r="K137" i="2"/>
  <c r="L137" i="2" s="1"/>
  <c r="K74" i="2"/>
  <c r="L74" i="2" s="1"/>
  <c r="K83" i="2"/>
  <c r="L83" i="2" s="1"/>
  <c r="K115" i="2"/>
  <c r="L115" i="2" s="1"/>
  <c r="K129" i="2"/>
  <c r="L129" i="2" s="1"/>
  <c r="K71" i="2"/>
  <c r="L71" i="2" s="1"/>
  <c r="K116" i="2"/>
  <c r="L116" i="2" s="1"/>
  <c r="K111" i="2"/>
  <c r="L111" i="2" s="1"/>
  <c r="K106" i="2"/>
  <c r="L106" i="2" s="1"/>
  <c r="K103" i="2"/>
  <c r="L103" i="2" s="1"/>
  <c r="K139" i="2"/>
  <c r="L139" i="2" s="1"/>
  <c r="K98" i="2"/>
  <c r="L98" i="2" s="1"/>
  <c r="K91" i="2"/>
  <c r="L91" i="2" s="1"/>
  <c r="K100" i="2"/>
  <c r="L100" i="2" s="1"/>
  <c r="K123" i="2"/>
  <c r="L123" i="2" s="1"/>
  <c r="K81" i="2"/>
  <c r="L81" i="2" s="1"/>
  <c r="K73" i="2"/>
  <c r="L73" i="2" s="1"/>
  <c r="K791" i="2"/>
  <c r="M791" i="2" s="1"/>
  <c r="M790" i="2"/>
  <c r="E793" i="2"/>
  <c r="J793" i="2" s="1"/>
  <c r="J792" i="2"/>
  <c r="I792" i="2" s="1"/>
  <c r="A795" i="2"/>
  <c r="B794" i="2"/>
  <c r="D794" i="2" s="1"/>
  <c r="C794" i="2"/>
  <c r="F794" i="2" s="1"/>
  <c r="I793" i="2" l="1"/>
  <c r="G793" i="2"/>
  <c r="K792" i="2"/>
  <c r="E794" i="2"/>
  <c r="J794" i="2" s="1"/>
  <c r="C795" i="2"/>
  <c r="F795" i="2" s="1"/>
  <c r="A796" i="2"/>
  <c r="B795" i="2"/>
  <c r="D795" i="2" s="1"/>
  <c r="K793" i="2" l="1"/>
  <c r="M792" i="2"/>
  <c r="G794" i="2"/>
  <c r="I794" i="2"/>
  <c r="E795" i="2"/>
  <c r="A797" i="2"/>
  <c r="B796" i="2"/>
  <c r="D796" i="2" s="1"/>
  <c r="C796" i="2"/>
  <c r="F796" i="2" s="1"/>
  <c r="M793" i="2" l="1"/>
  <c r="K794" i="2"/>
  <c r="G795" i="2"/>
  <c r="E796" i="2"/>
  <c r="J796" i="2" s="1"/>
  <c r="J795" i="2"/>
  <c r="I795" i="2" s="1"/>
  <c r="C797" i="2"/>
  <c r="F797" i="2" s="1"/>
  <c r="B797" i="2"/>
  <c r="D797" i="2" s="1"/>
  <c r="A798" i="2"/>
  <c r="M794" i="2" l="1"/>
  <c r="I796" i="2"/>
  <c r="G796" i="2"/>
  <c r="E797" i="2"/>
  <c r="G797" i="2" s="1"/>
  <c r="K795" i="2"/>
  <c r="B798" i="2"/>
  <c r="D798" i="2" s="1"/>
  <c r="C798" i="2"/>
  <c r="F798" i="2" s="1"/>
  <c r="A799" i="2"/>
  <c r="M795" i="2" l="1"/>
  <c r="J797" i="2"/>
  <c r="I797" i="2" s="1"/>
  <c r="K796" i="2"/>
  <c r="E798" i="2"/>
  <c r="J798" i="2" s="1"/>
  <c r="A800" i="2"/>
  <c r="B799" i="2"/>
  <c r="D799" i="2" s="1"/>
  <c r="C799" i="2"/>
  <c r="F799" i="2" s="1"/>
  <c r="I798" i="2" l="1"/>
  <c r="M796" i="2"/>
  <c r="K797" i="2"/>
  <c r="E799" i="2"/>
  <c r="J799" i="2" s="1"/>
  <c r="I799" i="2" s="1"/>
  <c r="G798" i="2"/>
  <c r="B800" i="2"/>
  <c r="D800" i="2" s="1"/>
  <c r="C800" i="2"/>
  <c r="F800" i="2" s="1"/>
  <c r="A801" i="2"/>
  <c r="K798" i="2" l="1"/>
  <c r="G799" i="2"/>
  <c r="M797" i="2"/>
  <c r="E800" i="2"/>
  <c r="G800" i="2" s="1"/>
  <c r="C801" i="2"/>
  <c r="F801" i="2" s="1"/>
  <c r="B801" i="2"/>
  <c r="D801" i="2" s="1"/>
  <c r="A802" i="2"/>
  <c r="K799" i="2" l="1"/>
  <c r="M798" i="2"/>
  <c r="M799" i="2"/>
  <c r="J800" i="2"/>
  <c r="I800" i="2" s="1"/>
  <c r="E801" i="2"/>
  <c r="G801" i="2" s="1"/>
  <c r="B802" i="2"/>
  <c r="D802" i="2" s="1"/>
  <c r="C802" i="2"/>
  <c r="F802" i="2" s="1"/>
  <c r="A803" i="2"/>
  <c r="K800" i="2" l="1"/>
  <c r="M800" i="2" s="1"/>
  <c r="J801" i="2"/>
  <c r="I801" i="2" s="1"/>
  <c r="E802" i="2"/>
  <c r="G802" i="2" s="1"/>
  <c r="A804" i="2"/>
  <c r="B803" i="2"/>
  <c r="D803" i="2" s="1"/>
  <c r="C803" i="2"/>
  <c r="F803" i="2" s="1"/>
  <c r="K801" i="2" l="1"/>
  <c r="M801" i="2" s="1"/>
  <c r="J802" i="2"/>
  <c r="I802" i="2" s="1"/>
  <c r="E803" i="2"/>
  <c r="G803" i="2" s="1"/>
  <c r="B804" i="2"/>
  <c r="D804" i="2" s="1"/>
  <c r="C804" i="2"/>
  <c r="F804" i="2" s="1"/>
  <c r="A805" i="2"/>
  <c r="K802" i="2" l="1"/>
  <c r="M802" i="2" s="1"/>
  <c r="J803" i="2"/>
  <c r="I803" i="2" s="1"/>
  <c r="E804" i="2"/>
  <c r="G804" i="2" s="1"/>
  <c r="A806" i="2"/>
  <c r="C805" i="2"/>
  <c r="F805" i="2" s="1"/>
  <c r="B805" i="2"/>
  <c r="D805" i="2" s="1"/>
  <c r="K803" i="2" l="1"/>
  <c r="M803" i="2" s="1"/>
  <c r="J804" i="2"/>
  <c r="I804" i="2" s="1"/>
  <c r="E805" i="2"/>
  <c r="G805" i="2" s="1"/>
  <c r="B806" i="2"/>
  <c r="D806" i="2" s="1"/>
  <c r="C806" i="2"/>
  <c r="F806" i="2" s="1"/>
  <c r="A807" i="2"/>
  <c r="K804" i="2" l="1"/>
  <c r="M804" i="2" s="1"/>
  <c r="J805" i="2"/>
  <c r="I805" i="2" s="1"/>
  <c r="E806" i="2"/>
  <c r="G806" i="2" s="1"/>
  <c r="B807" i="2"/>
  <c r="D807" i="2" s="1"/>
  <c r="C807" i="2"/>
  <c r="F807" i="2" s="1"/>
  <c r="A808" i="2"/>
  <c r="K805" i="2" l="1"/>
  <c r="M805" i="2" s="1"/>
  <c r="J806" i="2"/>
  <c r="I806" i="2" s="1"/>
  <c r="E807" i="2"/>
  <c r="G807" i="2" s="1"/>
  <c r="A809" i="2"/>
  <c r="B808" i="2"/>
  <c r="D808" i="2" s="1"/>
  <c r="C808" i="2"/>
  <c r="F808" i="2" s="1"/>
  <c r="K806" i="2" l="1"/>
  <c r="M806" i="2" s="1"/>
  <c r="J807" i="2"/>
  <c r="I807" i="2" s="1"/>
  <c r="E808" i="2"/>
  <c r="J808" i="2" s="1"/>
  <c r="A810" i="2"/>
  <c r="B809" i="2"/>
  <c r="D809" i="2" s="1"/>
  <c r="C809" i="2"/>
  <c r="F809" i="2" s="1"/>
  <c r="I808" i="2" l="1"/>
  <c r="K807" i="2"/>
  <c r="G808" i="2"/>
  <c r="E809" i="2"/>
  <c r="J809" i="2" s="1"/>
  <c r="A811" i="2"/>
  <c r="B810" i="2"/>
  <c r="D810" i="2" s="1"/>
  <c r="C810" i="2"/>
  <c r="F810" i="2" s="1"/>
  <c r="I809" i="2" l="1"/>
  <c r="K808" i="2"/>
  <c r="M808" i="2" s="1"/>
  <c r="M807" i="2"/>
  <c r="G809" i="2"/>
  <c r="E810" i="2"/>
  <c r="G810" i="2" s="1"/>
  <c r="K809" i="2"/>
  <c r="M809" i="2" s="1"/>
  <c r="C811" i="2"/>
  <c r="F811" i="2" s="1"/>
  <c r="B811" i="2"/>
  <c r="D811" i="2" s="1"/>
  <c r="A812" i="2"/>
  <c r="E811" i="2" l="1"/>
  <c r="G811" i="2" s="1"/>
  <c r="J810" i="2"/>
  <c r="I810" i="2" s="1"/>
  <c r="C812" i="2"/>
  <c r="F812" i="2" s="1"/>
  <c r="A813" i="2"/>
  <c r="B812" i="2"/>
  <c r="D812" i="2" s="1"/>
  <c r="J811" i="2" l="1"/>
  <c r="I811" i="2" s="1"/>
  <c r="K810" i="2"/>
  <c r="M810" i="2" s="1"/>
  <c r="E812" i="2"/>
  <c r="G812" i="2" s="1"/>
  <c r="B813" i="2"/>
  <c r="D813" i="2" s="1"/>
  <c r="C813" i="2"/>
  <c r="F813" i="2" s="1"/>
  <c r="A814" i="2"/>
  <c r="K811" i="2" l="1"/>
  <c r="M811" i="2" s="1"/>
  <c r="J812" i="2"/>
  <c r="I812" i="2" s="1"/>
  <c r="E813" i="2"/>
  <c r="J813" i="2" s="1"/>
  <c r="B814" i="2"/>
  <c r="D814" i="2" s="1"/>
  <c r="A815" i="2"/>
  <c r="C814" i="2"/>
  <c r="F814" i="2" s="1"/>
  <c r="K812" i="2" l="1"/>
  <c r="M812" i="2" s="1"/>
  <c r="I813" i="2"/>
  <c r="G813" i="2"/>
  <c r="E814" i="2"/>
  <c r="G814" i="2" s="1"/>
  <c r="A816" i="2"/>
  <c r="B815" i="2"/>
  <c r="D815" i="2" s="1"/>
  <c r="C815" i="2"/>
  <c r="F815" i="2" s="1"/>
  <c r="K813" i="2" l="1"/>
  <c r="M813" i="2" s="1"/>
  <c r="J814" i="2"/>
  <c r="I814" i="2" s="1"/>
  <c r="E815" i="2"/>
  <c r="G815" i="2" s="1"/>
  <c r="C816" i="2"/>
  <c r="F816" i="2" s="1"/>
  <c r="A817" i="2"/>
  <c r="B816" i="2"/>
  <c r="D816" i="2" s="1"/>
  <c r="K814" i="2" l="1"/>
  <c r="M814" i="2" s="1"/>
  <c r="J815" i="2"/>
  <c r="I815" i="2" s="1"/>
  <c r="E816" i="2"/>
  <c r="G816" i="2" s="1"/>
  <c r="B817" i="2"/>
  <c r="D817" i="2" s="1"/>
  <c r="C817" i="2"/>
  <c r="F817" i="2" s="1"/>
  <c r="A818" i="2"/>
  <c r="K815" i="2" l="1"/>
  <c r="M815" i="2" s="1"/>
  <c r="J816" i="2"/>
  <c r="I816" i="2" s="1"/>
  <c r="E817" i="2"/>
  <c r="J817" i="2" s="1"/>
  <c r="B818" i="2"/>
  <c r="D818" i="2" s="1"/>
  <c r="C818" i="2"/>
  <c r="F818" i="2" s="1"/>
  <c r="A819" i="2"/>
  <c r="I817" i="2" l="1"/>
  <c r="G817" i="2"/>
  <c r="K816" i="2"/>
  <c r="M816" i="2" s="1"/>
  <c r="E818" i="2"/>
  <c r="G818" i="2" s="1"/>
  <c r="A820" i="2"/>
  <c r="B819" i="2"/>
  <c r="D819" i="2" s="1"/>
  <c r="C819" i="2"/>
  <c r="F819" i="2" s="1"/>
  <c r="K817" i="2" l="1"/>
  <c r="M817" i="2" s="1"/>
  <c r="E819" i="2"/>
  <c r="J819" i="2" s="1"/>
  <c r="J818" i="2"/>
  <c r="I818" i="2" s="1"/>
  <c r="C820" i="2"/>
  <c r="F820" i="2" s="1"/>
  <c r="B820" i="2"/>
  <c r="D820" i="2" s="1"/>
  <c r="A821" i="2"/>
  <c r="I819" i="2" l="1"/>
  <c r="G819" i="2"/>
  <c r="E820" i="2"/>
  <c r="J820" i="2" s="1"/>
  <c r="I820" i="2" s="1"/>
  <c r="K818" i="2"/>
  <c r="A822" i="2"/>
  <c r="B821" i="2"/>
  <c r="D821" i="2" s="1"/>
  <c r="C821" i="2"/>
  <c r="F821" i="2" s="1"/>
  <c r="K819" i="2" l="1"/>
  <c r="M819" i="2" s="1"/>
  <c r="M818" i="2"/>
  <c r="G820" i="2"/>
  <c r="K820" i="2"/>
  <c r="M820" i="2" s="1"/>
  <c r="E821" i="2"/>
  <c r="G821" i="2" s="1"/>
  <c r="B822" i="2"/>
  <c r="D822" i="2" s="1"/>
  <c r="C822" i="2"/>
  <c r="F822" i="2" s="1"/>
  <c r="A823" i="2"/>
  <c r="J821" i="2" l="1"/>
  <c r="I821" i="2" s="1"/>
  <c r="E822" i="2"/>
  <c r="G822" i="2" s="1"/>
  <c r="B823" i="2"/>
  <c r="D823" i="2" s="1"/>
  <c r="C823" i="2"/>
  <c r="F823" i="2" s="1"/>
  <c r="A824" i="2"/>
  <c r="K821" i="2" l="1"/>
  <c r="M821" i="2" s="1"/>
  <c r="J822" i="2"/>
  <c r="I822" i="2" s="1"/>
  <c r="E823" i="2"/>
  <c r="G823" i="2" s="1"/>
  <c r="A825" i="2"/>
  <c r="B824" i="2"/>
  <c r="D824" i="2" s="1"/>
  <c r="C824" i="2"/>
  <c r="F824" i="2" s="1"/>
  <c r="K822" i="2" l="1"/>
  <c r="M822" i="2" s="1"/>
  <c r="J823" i="2"/>
  <c r="I823" i="2" s="1"/>
  <c r="E824" i="2"/>
  <c r="J824" i="2" s="1"/>
  <c r="A826" i="2"/>
  <c r="C825" i="2"/>
  <c r="F825" i="2" s="1"/>
  <c r="B825" i="2"/>
  <c r="D825" i="2" s="1"/>
  <c r="I824" i="2" l="1"/>
  <c r="K823" i="2"/>
  <c r="M823" i="2" s="1"/>
  <c r="G824" i="2"/>
  <c r="E825" i="2"/>
  <c r="J825" i="2" s="1"/>
  <c r="I825" i="2" s="1"/>
  <c r="K824" i="2"/>
  <c r="M824" i="2" s="1"/>
  <c r="C826" i="2"/>
  <c r="F826" i="2" s="1"/>
  <c r="B826" i="2"/>
  <c r="D826" i="2" s="1"/>
  <c r="A827" i="2"/>
  <c r="G825" i="2" l="1"/>
  <c r="K825" i="2"/>
  <c r="M825" i="2" s="1"/>
  <c r="E826" i="2"/>
  <c r="G826" i="2" s="1"/>
  <c r="C827" i="2"/>
  <c r="F827" i="2" s="1"/>
  <c r="A828" i="2"/>
  <c r="B827" i="2"/>
  <c r="D827" i="2" s="1"/>
  <c r="J826" i="2" l="1"/>
  <c r="I826" i="2" s="1"/>
  <c r="E827" i="2"/>
  <c r="J827" i="2" s="1"/>
  <c r="A829" i="2"/>
  <c r="B828" i="2"/>
  <c r="D828" i="2" s="1"/>
  <c r="C828" i="2"/>
  <c r="F828" i="2" s="1"/>
  <c r="I827" i="2" l="1"/>
  <c r="K826" i="2"/>
  <c r="M826" i="2" s="1"/>
  <c r="G827" i="2"/>
  <c r="E828" i="2"/>
  <c r="J828" i="2" s="1"/>
  <c r="K827" i="2"/>
  <c r="M827" i="2" s="1"/>
  <c r="C829" i="2"/>
  <c r="F829" i="2" s="1"/>
  <c r="B829" i="2"/>
  <c r="D829" i="2" s="1"/>
  <c r="A830" i="2"/>
  <c r="I828" i="2" l="1"/>
  <c r="G828" i="2"/>
  <c r="K828" i="2"/>
  <c r="M828" i="2" s="1"/>
  <c r="E829" i="2"/>
  <c r="G829" i="2" s="1"/>
  <c r="A831" i="2"/>
  <c r="B830" i="2"/>
  <c r="D830" i="2" s="1"/>
  <c r="C830" i="2"/>
  <c r="F830" i="2" s="1"/>
  <c r="J829" i="2" l="1"/>
  <c r="I829" i="2" s="1"/>
  <c r="E830" i="2"/>
  <c r="G830" i="2" s="1"/>
  <c r="A832" i="2"/>
  <c r="C831" i="2"/>
  <c r="F831" i="2" s="1"/>
  <c r="B831" i="2"/>
  <c r="D831" i="2" s="1"/>
  <c r="K829" i="2" l="1"/>
  <c r="M829" i="2" s="1"/>
  <c r="J830" i="2"/>
  <c r="I830" i="2" s="1"/>
  <c r="E831" i="2"/>
  <c r="C832" i="2"/>
  <c r="F832" i="2" s="1"/>
  <c r="A833" i="2"/>
  <c r="B832" i="2"/>
  <c r="D832" i="2" s="1"/>
  <c r="K830" i="2" l="1"/>
  <c r="M830" i="2" s="1"/>
  <c r="J831" i="2"/>
  <c r="I831" i="2" s="1"/>
  <c r="G831" i="2"/>
  <c r="E832" i="2"/>
  <c r="J832" i="2" s="1"/>
  <c r="B833" i="2"/>
  <c r="D833" i="2" s="1"/>
  <c r="C833" i="2"/>
  <c r="F833" i="2" s="1"/>
  <c r="A834" i="2"/>
  <c r="I832" i="2" l="1"/>
  <c r="K831" i="2"/>
  <c r="M831" i="2" s="1"/>
  <c r="G832" i="2"/>
  <c r="E833" i="2"/>
  <c r="G833" i="2" s="1"/>
  <c r="B834" i="2"/>
  <c r="D834" i="2" s="1"/>
  <c r="C834" i="2"/>
  <c r="F834" i="2" s="1"/>
  <c r="A835" i="2"/>
  <c r="K832" i="2" l="1"/>
  <c r="M832" i="2" s="1"/>
  <c r="J833" i="2"/>
  <c r="I833" i="2" s="1"/>
  <c r="E834" i="2"/>
  <c r="J834" i="2" s="1"/>
  <c r="A836" i="2"/>
  <c r="B835" i="2"/>
  <c r="D835" i="2" s="1"/>
  <c r="C835" i="2"/>
  <c r="F835" i="2" s="1"/>
  <c r="I834" i="2" l="1"/>
  <c r="K833" i="2"/>
  <c r="M833" i="2" s="1"/>
  <c r="E835" i="2"/>
  <c r="G835" i="2" s="1"/>
  <c r="G834" i="2"/>
  <c r="A837" i="2"/>
  <c r="B836" i="2"/>
  <c r="D836" i="2" s="1"/>
  <c r="C836" i="2"/>
  <c r="F836" i="2" s="1"/>
  <c r="K834" i="2" l="1"/>
  <c r="M834" i="2" s="1"/>
  <c r="J835" i="2"/>
  <c r="I835" i="2" s="1"/>
  <c r="E836" i="2"/>
  <c r="G836" i="2" s="1"/>
  <c r="C837" i="2"/>
  <c r="F837" i="2" s="1"/>
  <c r="B837" i="2"/>
  <c r="D837" i="2" s="1"/>
  <c r="A838" i="2"/>
  <c r="K835" i="2" l="1"/>
  <c r="M835" i="2" s="1"/>
  <c r="E837" i="2"/>
  <c r="J837" i="2" s="1"/>
  <c r="J836" i="2"/>
  <c r="I836" i="2" s="1"/>
  <c r="B838" i="2"/>
  <c r="D838" i="2" s="1"/>
  <c r="A839" i="2"/>
  <c r="C838" i="2"/>
  <c r="F838" i="2" s="1"/>
  <c r="G837" i="2" l="1"/>
  <c r="I837" i="2"/>
  <c r="K836" i="2"/>
  <c r="M836" i="2" s="1"/>
  <c r="E838" i="2"/>
  <c r="G838" i="2" s="1"/>
  <c r="B839" i="2"/>
  <c r="D839" i="2" s="1"/>
  <c r="A840" i="2"/>
  <c r="C839" i="2"/>
  <c r="F839" i="2" s="1"/>
  <c r="K837" i="2" l="1"/>
  <c r="M837" i="2" s="1"/>
  <c r="J838" i="2"/>
  <c r="I838" i="2" s="1"/>
  <c r="E839" i="2"/>
  <c r="G839" i="2" s="1"/>
  <c r="B840" i="2"/>
  <c r="D840" i="2" s="1"/>
  <c r="C840" i="2"/>
  <c r="F840" i="2" s="1"/>
  <c r="A841" i="2"/>
  <c r="K838" i="2" l="1"/>
  <c r="M838" i="2" s="1"/>
  <c r="J839" i="2"/>
  <c r="I839" i="2" s="1"/>
  <c r="E840" i="2"/>
  <c r="B841" i="2"/>
  <c r="D841" i="2" s="1"/>
  <c r="A842" i="2"/>
  <c r="C841" i="2"/>
  <c r="F841" i="2" s="1"/>
  <c r="K839" i="2" l="1"/>
  <c r="M839" i="2" s="1"/>
  <c r="G840" i="2"/>
  <c r="J840" i="2"/>
  <c r="I840" i="2" s="1"/>
  <c r="E841" i="2"/>
  <c r="G841" i="2" s="1"/>
  <c r="A843" i="2"/>
  <c r="B842" i="2"/>
  <c r="D842" i="2" s="1"/>
  <c r="C842" i="2"/>
  <c r="F842" i="2" s="1"/>
  <c r="K840" i="2" l="1"/>
  <c r="M840" i="2" s="1"/>
  <c r="E842" i="2"/>
  <c r="G842" i="2" s="1"/>
  <c r="J841" i="2"/>
  <c r="I841" i="2" s="1"/>
  <c r="C843" i="2"/>
  <c r="F843" i="2" s="1"/>
  <c r="A844" i="2"/>
  <c r="B843" i="2"/>
  <c r="D843" i="2" s="1"/>
  <c r="J842" i="2" l="1"/>
  <c r="I842" i="2" s="1"/>
  <c r="E843" i="2"/>
  <c r="J843" i="2" s="1"/>
  <c r="K841" i="2"/>
  <c r="A845" i="2"/>
  <c r="C844" i="2"/>
  <c r="F844" i="2" s="1"/>
  <c r="B844" i="2"/>
  <c r="D844" i="2" s="1"/>
  <c r="K842" i="2" l="1"/>
  <c r="M842" i="2" s="1"/>
  <c r="M841" i="2"/>
  <c r="G843" i="2"/>
  <c r="I843" i="2"/>
  <c r="E844" i="2"/>
  <c r="G844" i="2" s="1"/>
  <c r="C845" i="2"/>
  <c r="F845" i="2" s="1"/>
  <c r="B845" i="2"/>
  <c r="D845" i="2" s="1"/>
  <c r="A846" i="2"/>
  <c r="K843" i="2" l="1"/>
  <c r="M843" i="2" s="1"/>
  <c r="J844" i="2"/>
  <c r="I844" i="2" s="1"/>
  <c r="E845" i="2"/>
  <c r="G845" i="2" s="1"/>
  <c r="B846" i="2"/>
  <c r="D846" i="2" s="1"/>
  <c r="A847" i="2"/>
  <c r="C846" i="2"/>
  <c r="F846" i="2" s="1"/>
  <c r="K844" i="2" l="1"/>
  <c r="M844" i="2" s="1"/>
  <c r="J845" i="2"/>
  <c r="I845" i="2" s="1"/>
  <c r="E846" i="2"/>
  <c r="G846" i="2" s="1"/>
  <c r="C847" i="2"/>
  <c r="F847" i="2" s="1"/>
  <c r="A848" i="2"/>
  <c r="B847" i="2"/>
  <c r="D847" i="2" s="1"/>
  <c r="K845" i="2" l="1"/>
  <c r="M845" i="2" s="1"/>
  <c r="J846" i="2"/>
  <c r="I846" i="2" s="1"/>
  <c r="E847" i="2"/>
  <c r="G847" i="2" s="1"/>
  <c r="A849" i="2"/>
  <c r="B848" i="2"/>
  <c r="D848" i="2" s="1"/>
  <c r="C848" i="2"/>
  <c r="F848" i="2" s="1"/>
  <c r="K846" i="2" l="1"/>
  <c r="M846" i="2" s="1"/>
  <c r="E848" i="2"/>
  <c r="G848" i="2" s="1"/>
  <c r="J847" i="2"/>
  <c r="I847" i="2" s="1"/>
  <c r="A850" i="2"/>
  <c r="C849" i="2"/>
  <c r="F849" i="2" s="1"/>
  <c r="B849" i="2"/>
  <c r="D849" i="2" s="1"/>
  <c r="J848" i="2" l="1"/>
  <c r="I848" i="2" s="1"/>
  <c r="K847" i="2"/>
  <c r="E849" i="2"/>
  <c r="A851" i="2"/>
  <c r="B850" i="2"/>
  <c r="D850" i="2" s="1"/>
  <c r="C850" i="2"/>
  <c r="F850" i="2" s="1"/>
  <c r="K848" i="2" l="1"/>
  <c r="M848" i="2" s="1"/>
  <c r="M847" i="2"/>
  <c r="J849" i="2"/>
  <c r="I849" i="2" s="1"/>
  <c r="G849" i="2"/>
  <c r="E850" i="2"/>
  <c r="G850" i="2" s="1"/>
  <c r="A852" i="2"/>
  <c r="B851" i="2"/>
  <c r="D851" i="2" s="1"/>
  <c r="C851" i="2"/>
  <c r="F851" i="2" s="1"/>
  <c r="E851" i="2" l="1"/>
  <c r="G851" i="2" s="1"/>
  <c r="K849" i="2"/>
  <c r="M849" i="2" s="1"/>
  <c r="J850" i="2"/>
  <c r="A853" i="2"/>
  <c r="B852" i="2"/>
  <c r="D852" i="2" s="1"/>
  <c r="C852" i="2"/>
  <c r="F852" i="2" s="1"/>
  <c r="J851" i="2" l="1"/>
  <c r="E852" i="2"/>
  <c r="G852" i="2" s="1"/>
  <c r="I850" i="2"/>
  <c r="K850" i="2"/>
  <c r="A854" i="2"/>
  <c r="B853" i="2"/>
  <c r="D853" i="2" s="1"/>
  <c r="C853" i="2"/>
  <c r="F853" i="2" s="1"/>
  <c r="K851" i="2" l="1"/>
  <c r="M851" i="2" s="1"/>
  <c r="M850" i="2"/>
  <c r="I851" i="2"/>
  <c r="J852" i="2"/>
  <c r="E853" i="2"/>
  <c r="G853" i="2" s="1"/>
  <c r="C854" i="2"/>
  <c r="F854" i="2" s="1"/>
  <c r="A855" i="2"/>
  <c r="B854" i="2"/>
  <c r="D854" i="2" s="1"/>
  <c r="I852" i="2" l="1"/>
  <c r="K852" i="2"/>
  <c r="M852" i="2" s="1"/>
  <c r="E854" i="2"/>
  <c r="G854" i="2" s="1"/>
  <c r="J853" i="2"/>
  <c r="A856" i="2"/>
  <c r="C855" i="2"/>
  <c r="F855" i="2" s="1"/>
  <c r="B855" i="2"/>
  <c r="D855" i="2" s="1"/>
  <c r="I853" i="2" l="1"/>
  <c r="J854" i="2"/>
  <c r="E855" i="2"/>
  <c r="J855" i="2" s="1"/>
  <c r="K853" i="2"/>
  <c r="A857" i="2"/>
  <c r="B856" i="2"/>
  <c r="D856" i="2" s="1"/>
  <c r="C856" i="2"/>
  <c r="F856" i="2" s="1"/>
  <c r="I854" i="2" l="1"/>
  <c r="I855" i="2" s="1"/>
  <c r="K854" i="2"/>
  <c r="M854" i="2" s="1"/>
  <c r="M853" i="2"/>
  <c r="G855" i="2"/>
  <c r="K855" i="2"/>
  <c r="M855" i="2" s="1"/>
  <c r="E856" i="2"/>
  <c r="J856" i="2" s="1"/>
  <c r="A858" i="2"/>
  <c r="B857" i="2"/>
  <c r="D857" i="2" s="1"/>
  <c r="C857" i="2"/>
  <c r="F857" i="2" s="1"/>
  <c r="I856" i="2" l="1"/>
  <c r="G856" i="2"/>
  <c r="K856" i="2"/>
  <c r="M856" i="2" s="1"/>
  <c r="E857" i="2"/>
  <c r="J857" i="2" s="1"/>
  <c r="I857" i="2" s="1"/>
  <c r="B858" i="2"/>
  <c r="D858" i="2" s="1"/>
  <c r="A859" i="2"/>
  <c r="C858" i="2"/>
  <c r="F858" i="2" s="1"/>
  <c r="G857" i="2" l="1"/>
  <c r="E858" i="2"/>
  <c r="J858" i="2" s="1"/>
  <c r="I858" i="2" s="1"/>
  <c r="K857" i="2"/>
  <c r="M857" i="2" s="1"/>
  <c r="C859" i="2"/>
  <c r="F859" i="2" s="1"/>
  <c r="A860" i="2"/>
  <c r="B859" i="2"/>
  <c r="D859" i="2" s="1"/>
  <c r="K858" i="2" l="1"/>
  <c r="M858" i="2" s="1"/>
  <c r="G858" i="2"/>
  <c r="E859" i="2"/>
  <c r="G859" i="2" s="1"/>
  <c r="B860" i="2"/>
  <c r="D860" i="2" s="1"/>
  <c r="C860" i="2"/>
  <c r="F860" i="2" s="1"/>
  <c r="A861" i="2"/>
  <c r="J859" i="2" l="1"/>
  <c r="I859" i="2" s="1"/>
  <c r="E860" i="2"/>
  <c r="J860" i="2" s="1"/>
  <c r="C861" i="2"/>
  <c r="F861" i="2" s="1"/>
  <c r="A862" i="2"/>
  <c r="B861" i="2"/>
  <c r="D861" i="2" s="1"/>
  <c r="I860" i="2" l="1"/>
  <c r="E861" i="2"/>
  <c r="G861" i="2" s="1"/>
  <c r="K859" i="2"/>
  <c r="M859" i="2" s="1"/>
  <c r="G860" i="2"/>
  <c r="B862" i="2"/>
  <c r="D862" i="2" s="1"/>
  <c r="C862" i="2"/>
  <c r="F862" i="2" s="1"/>
  <c r="A863" i="2"/>
  <c r="K860" i="2" l="1"/>
  <c r="M860" i="2" s="1"/>
  <c r="J861" i="2"/>
  <c r="I861" i="2" s="1"/>
  <c r="E862" i="2"/>
  <c r="J862" i="2" s="1"/>
  <c r="A864" i="2"/>
  <c r="B863" i="2"/>
  <c r="D863" i="2" s="1"/>
  <c r="C863" i="2"/>
  <c r="F863" i="2" s="1"/>
  <c r="K861" i="2" l="1"/>
  <c r="M861" i="2" s="1"/>
  <c r="I862" i="2"/>
  <c r="G862" i="2"/>
  <c r="E863" i="2"/>
  <c r="G863" i="2" s="1"/>
  <c r="A865" i="2"/>
  <c r="B864" i="2"/>
  <c r="D864" i="2" s="1"/>
  <c r="C864" i="2"/>
  <c r="F864" i="2" s="1"/>
  <c r="K862" i="2" l="1"/>
  <c r="M862" i="2" s="1"/>
  <c r="J863" i="2"/>
  <c r="I863" i="2" s="1"/>
  <c r="E864" i="2"/>
  <c r="G864" i="2" s="1"/>
  <c r="A866" i="2"/>
  <c r="B865" i="2"/>
  <c r="D865" i="2" s="1"/>
  <c r="C865" i="2"/>
  <c r="F865" i="2" s="1"/>
  <c r="K863" i="2" l="1"/>
  <c r="M863" i="2" s="1"/>
  <c r="J864" i="2"/>
  <c r="I864" i="2" s="1"/>
  <c r="E865" i="2"/>
  <c r="G865" i="2" s="1"/>
  <c r="A867" i="2"/>
  <c r="C866" i="2"/>
  <c r="F866" i="2" s="1"/>
  <c r="B866" i="2"/>
  <c r="D866" i="2" s="1"/>
  <c r="J865" i="2" l="1"/>
  <c r="I865" i="2" s="1"/>
  <c r="E866" i="2"/>
  <c r="G866" i="2" s="1"/>
  <c r="K864" i="2"/>
  <c r="A868" i="2"/>
  <c r="B867" i="2"/>
  <c r="D867" i="2" s="1"/>
  <c r="C867" i="2"/>
  <c r="F867" i="2" s="1"/>
  <c r="K865" i="2" l="1"/>
  <c r="M865" i="2" s="1"/>
  <c r="M864" i="2"/>
  <c r="J866" i="2"/>
  <c r="I866" i="2" s="1"/>
  <c r="E867" i="2"/>
  <c r="J867" i="2" s="1"/>
  <c r="A869" i="2"/>
  <c r="C868" i="2"/>
  <c r="F868" i="2" s="1"/>
  <c r="B868" i="2"/>
  <c r="D868" i="2" s="1"/>
  <c r="K866" i="2" l="1"/>
  <c r="M866" i="2" s="1"/>
  <c r="G867" i="2"/>
  <c r="I867" i="2"/>
  <c r="E868" i="2"/>
  <c r="G868" i="2" s="1"/>
  <c r="A870" i="2"/>
  <c r="B869" i="2"/>
  <c r="D869" i="2" s="1"/>
  <c r="C869" i="2"/>
  <c r="F869" i="2" s="1"/>
  <c r="K867" i="2" l="1"/>
  <c r="M867" i="2" s="1"/>
  <c r="J868" i="2"/>
  <c r="I868" i="2" s="1"/>
  <c r="E869" i="2"/>
  <c r="J869" i="2" s="1"/>
  <c r="B870" i="2"/>
  <c r="D870" i="2" s="1"/>
  <c r="A871" i="2"/>
  <c r="C870" i="2"/>
  <c r="F870" i="2" s="1"/>
  <c r="I869" i="2" l="1"/>
  <c r="K868" i="2"/>
  <c r="M868" i="2" s="1"/>
  <c r="G869" i="2"/>
  <c r="E870" i="2"/>
  <c r="J870" i="2" s="1"/>
  <c r="A872" i="2"/>
  <c r="B871" i="2"/>
  <c r="D871" i="2" s="1"/>
  <c r="C871" i="2"/>
  <c r="F871" i="2" s="1"/>
  <c r="K869" i="2" l="1"/>
  <c r="M869" i="2" s="1"/>
  <c r="I870" i="2"/>
  <c r="G870" i="2"/>
  <c r="E871" i="2"/>
  <c r="J871" i="2" s="1"/>
  <c r="I871" i="2" s="1"/>
  <c r="A873" i="2"/>
  <c r="B872" i="2"/>
  <c r="D872" i="2" s="1"/>
  <c r="C872" i="2"/>
  <c r="F872" i="2" s="1"/>
  <c r="K870" i="2" l="1"/>
  <c r="M870" i="2" s="1"/>
  <c r="G871" i="2"/>
  <c r="E872" i="2"/>
  <c r="J872" i="2" s="1"/>
  <c r="I872" i="2" s="1"/>
  <c r="A874" i="2"/>
  <c r="B873" i="2"/>
  <c r="D873" i="2" s="1"/>
  <c r="C873" i="2"/>
  <c r="F873" i="2" s="1"/>
  <c r="K871" i="2" l="1"/>
  <c r="M871" i="2" s="1"/>
  <c r="G872" i="2"/>
  <c r="E873" i="2"/>
  <c r="G873" i="2" s="1"/>
  <c r="A875" i="2"/>
  <c r="B874" i="2"/>
  <c r="D874" i="2" s="1"/>
  <c r="C874" i="2"/>
  <c r="F874" i="2" s="1"/>
  <c r="K872" i="2" l="1"/>
  <c r="M872" i="2" s="1"/>
  <c r="J873" i="2"/>
  <c r="I873" i="2" s="1"/>
  <c r="E874" i="2"/>
  <c r="J874" i="2" s="1"/>
  <c r="C875" i="2"/>
  <c r="F875" i="2" s="1"/>
  <c r="A876" i="2"/>
  <c r="B875" i="2"/>
  <c r="D875" i="2" s="1"/>
  <c r="I874" i="2" l="1"/>
  <c r="G874" i="2"/>
  <c r="E875" i="2"/>
  <c r="J875" i="2" s="1"/>
  <c r="K873" i="2"/>
  <c r="B876" i="2"/>
  <c r="D876" i="2" s="1"/>
  <c r="C876" i="2"/>
  <c r="F876" i="2" s="1"/>
  <c r="A877" i="2"/>
  <c r="I875" i="2" l="1"/>
  <c r="K874" i="2"/>
  <c r="M874" i="2" s="1"/>
  <c r="M873" i="2"/>
  <c r="G875" i="2"/>
  <c r="E876" i="2"/>
  <c r="J876" i="2" s="1"/>
  <c r="I876" i="2" s="1"/>
  <c r="B877" i="2"/>
  <c r="D877" i="2" s="1"/>
  <c r="C877" i="2"/>
  <c r="F877" i="2" s="1"/>
  <c r="A878" i="2"/>
  <c r="K875" i="2" l="1"/>
  <c r="M875" i="2" s="1"/>
  <c r="G876" i="2"/>
  <c r="E877" i="2"/>
  <c r="J877" i="2" s="1"/>
  <c r="I877" i="2" s="1"/>
  <c r="B878" i="2"/>
  <c r="D878" i="2" s="1"/>
  <c r="A879" i="2"/>
  <c r="C878" i="2"/>
  <c r="F878" i="2" s="1"/>
  <c r="K876" i="2" l="1"/>
  <c r="M876" i="2" s="1"/>
  <c r="G877" i="2"/>
  <c r="E878" i="2"/>
  <c r="J878" i="2" s="1"/>
  <c r="I878" i="2" s="1"/>
  <c r="A880" i="2"/>
  <c r="B879" i="2"/>
  <c r="D879" i="2" s="1"/>
  <c r="C879" i="2"/>
  <c r="F879" i="2" s="1"/>
  <c r="K877" i="2" l="1"/>
  <c r="M877" i="2" s="1"/>
  <c r="G878" i="2"/>
  <c r="E879" i="2"/>
  <c r="G879" i="2" s="1"/>
  <c r="A881" i="2"/>
  <c r="B880" i="2"/>
  <c r="D880" i="2" s="1"/>
  <c r="C880" i="2"/>
  <c r="F880" i="2" s="1"/>
  <c r="K878" i="2" l="1"/>
  <c r="M878" i="2" s="1"/>
  <c r="J879" i="2"/>
  <c r="I879" i="2" s="1"/>
  <c r="E880" i="2"/>
  <c r="G880" i="2" s="1"/>
  <c r="B881" i="2"/>
  <c r="D881" i="2" s="1"/>
  <c r="A882" i="2"/>
  <c r="C881" i="2"/>
  <c r="F881" i="2" s="1"/>
  <c r="J880" i="2" l="1"/>
  <c r="I880" i="2" s="1"/>
  <c r="E881" i="2"/>
  <c r="G881" i="2" s="1"/>
  <c r="K879" i="2"/>
  <c r="B882" i="2"/>
  <c r="D882" i="2" s="1"/>
  <c r="C882" i="2"/>
  <c r="F882" i="2" s="1"/>
  <c r="A883" i="2"/>
  <c r="J881" i="2" l="1"/>
  <c r="I881" i="2" s="1"/>
  <c r="K880" i="2"/>
  <c r="M880" i="2" s="1"/>
  <c r="M879" i="2"/>
  <c r="E882" i="2"/>
  <c r="G882" i="2" s="1"/>
  <c r="C883" i="2"/>
  <c r="F883" i="2" s="1"/>
  <c r="A884" i="2"/>
  <c r="B883" i="2"/>
  <c r="D883" i="2" s="1"/>
  <c r="K881" i="2" l="1"/>
  <c r="M881" i="2" s="1"/>
  <c r="J882" i="2"/>
  <c r="I882" i="2" s="1"/>
  <c r="E883" i="2"/>
  <c r="G883" i="2" s="1"/>
  <c r="B884" i="2"/>
  <c r="D884" i="2" s="1"/>
  <c r="C884" i="2"/>
  <c r="F884" i="2" s="1"/>
  <c r="A885" i="2"/>
  <c r="K882" i="2" l="1"/>
  <c r="M882" i="2" s="1"/>
  <c r="J883" i="2"/>
  <c r="I883" i="2" s="1"/>
  <c r="E884" i="2"/>
  <c r="G884" i="2" s="1"/>
  <c r="A886" i="2"/>
  <c r="B885" i="2"/>
  <c r="D885" i="2" s="1"/>
  <c r="C885" i="2"/>
  <c r="F885" i="2" s="1"/>
  <c r="K883" i="2" l="1"/>
  <c r="M883" i="2" s="1"/>
  <c r="J884" i="2"/>
  <c r="I884" i="2" s="1"/>
  <c r="E885" i="2"/>
  <c r="J885" i="2" s="1"/>
  <c r="B886" i="2"/>
  <c r="D886" i="2" s="1"/>
  <c r="A887" i="2"/>
  <c r="C886" i="2"/>
  <c r="F886" i="2" s="1"/>
  <c r="E886" i="2" l="1"/>
  <c r="G886" i="2" s="1"/>
  <c r="I885" i="2"/>
  <c r="K884" i="2"/>
  <c r="M884" i="2" s="1"/>
  <c r="G885" i="2"/>
  <c r="B887" i="2"/>
  <c r="D887" i="2" s="1"/>
  <c r="C887" i="2"/>
  <c r="F887" i="2" s="1"/>
  <c r="A888" i="2"/>
  <c r="K885" i="2" l="1"/>
  <c r="M885" i="2" s="1"/>
  <c r="J886" i="2"/>
  <c r="I886" i="2" s="1"/>
  <c r="E887" i="2"/>
  <c r="G887" i="2" s="1"/>
  <c r="C888" i="2"/>
  <c r="F888" i="2" s="1"/>
  <c r="A889" i="2"/>
  <c r="B888" i="2"/>
  <c r="D888" i="2" s="1"/>
  <c r="K886" i="2" l="1"/>
  <c r="M886" i="2" s="1"/>
  <c r="J887" i="2"/>
  <c r="I887" i="2" s="1"/>
  <c r="E888" i="2"/>
  <c r="J888" i="2" s="1"/>
  <c r="A890" i="2"/>
  <c r="B889" i="2"/>
  <c r="D889" i="2" s="1"/>
  <c r="C889" i="2"/>
  <c r="F889" i="2" s="1"/>
  <c r="I888" i="2" l="1"/>
  <c r="K887" i="2"/>
  <c r="M887" i="2" s="1"/>
  <c r="G888" i="2"/>
  <c r="E889" i="2"/>
  <c r="J889" i="2" s="1"/>
  <c r="I889" i="2" s="1"/>
  <c r="C890" i="2"/>
  <c r="F890" i="2" s="1"/>
  <c r="A891" i="2"/>
  <c r="B890" i="2"/>
  <c r="D890" i="2" s="1"/>
  <c r="K888" i="2" l="1"/>
  <c r="M888" i="2" s="1"/>
  <c r="G889" i="2"/>
  <c r="E890" i="2"/>
  <c r="G890" i="2" s="1"/>
  <c r="A892" i="2"/>
  <c r="B891" i="2"/>
  <c r="D891" i="2" s="1"/>
  <c r="C891" i="2"/>
  <c r="F891" i="2" s="1"/>
  <c r="K889" i="2" l="1"/>
  <c r="M889" i="2" s="1"/>
  <c r="J890" i="2"/>
  <c r="I890" i="2" s="1"/>
  <c r="E891" i="2"/>
  <c r="J891" i="2" s="1"/>
  <c r="C892" i="2"/>
  <c r="F892" i="2" s="1"/>
  <c r="A893" i="2"/>
  <c r="B892" i="2"/>
  <c r="D892" i="2" s="1"/>
  <c r="I891" i="2" l="1"/>
  <c r="K890" i="2"/>
  <c r="M890" i="2" s="1"/>
  <c r="G891" i="2"/>
  <c r="E892" i="2"/>
  <c r="G892" i="2" s="1"/>
  <c r="C893" i="2"/>
  <c r="F893" i="2" s="1"/>
  <c r="A894" i="2"/>
  <c r="B893" i="2"/>
  <c r="D893" i="2" s="1"/>
  <c r="K891" i="2" l="1"/>
  <c r="M891" i="2" s="1"/>
  <c r="J892" i="2"/>
  <c r="I892" i="2" s="1"/>
  <c r="E893" i="2"/>
  <c r="G893" i="2" s="1"/>
  <c r="B894" i="2"/>
  <c r="D894" i="2" s="1"/>
  <c r="A895" i="2"/>
  <c r="C894" i="2"/>
  <c r="F894" i="2" s="1"/>
  <c r="K892" i="2" l="1"/>
  <c r="M892" i="2" s="1"/>
  <c r="E894" i="2"/>
  <c r="J894" i="2" s="1"/>
  <c r="J893" i="2"/>
  <c r="I893" i="2" s="1"/>
  <c r="A896" i="2"/>
  <c r="B895" i="2"/>
  <c r="D895" i="2" s="1"/>
  <c r="C895" i="2"/>
  <c r="F895" i="2" s="1"/>
  <c r="I894" i="2" l="1"/>
  <c r="G894" i="2"/>
  <c r="K893" i="2"/>
  <c r="M893" i="2" s="1"/>
  <c r="E895" i="2"/>
  <c r="J895" i="2" s="1"/>
  <c r="I895" i="2" s="1"/>
  <c r="A897" i="2"/>
  <c r="B896" i="2"/>
  <c r="D896" i="2" s="1"/>
  <c r="C896" i="2"/>
  <c r="F896" i="2" s="1"/>
  <c r="K894" i="2" l="1"/>
  <c r="M894" i="2" s="1"/>
  <c r="G895" i="2"/>
  <c r="K895" i="2"/>
  <c r="M895" i="2" s="1"/>
  <c r="E896" i="2"/>
  <c r="G896" i="2" s="1"/>
  <c r="A898" i="2"/>
  <c r="B897" i="2"/>
  <c r="D897" i="2" s="1"/>
  <c r="C897" i="2"/>
  <c r="F897" i="2" s="1"/>
  <c r="J896" i="2" l="1"/>
  <c r="I896" i="2" s="1"/>
  <c r="E897" i="2"/>
  <c r="G897" i="2" s="1"/>
  <c r="A899" i="2"/>
  <c r="B898" i="2"/>
  <c r="D898" i="2" s="1"/>
  <c r="C898" i="2"/>
  <c r="F898" i="2" s="1"/>
  <c r="K896" i="2" l="1"/>
  <c r="M896" i="2" s="1"/>
  <c r="J897" i="2"/>
  <c r="I897" i="2" s="1"/>
  <c r="E898" i="2"/>
  <c r="J898" i="2" s="1"/>
  <c r="A900" i="2"/>
  <c r="B899" i="2"/>
  <c r="D899" i="2" s="1"/>
  <c r="C899" i="2"/>
  <c r="F899" i="2" s="1"/>
  <c r="I898" i="2" l="1"/>
  <c r="K897" i="2"/>
  <c r="M897" i="2" s="1"/>
  <c r="E899" i="2"/>
  <c r="J899" i="2" s="1"/>
  <c r="G898" i="2"/>
  <c r="K898" i="2"/>
  <c r="M898" i="2" s="1"/>
  <c r="A901" i="2"/>
  <c r="B900" i="2"/>
  <c r="D900" i="2" s="1"/>
  <c r="C900" i="2"/>
  <c r="F900" i="2" s="1"/>
  <c r="I899" i="2" l="1"/>
  <c r="G899" i="2"/>
  <c r="K899" i="2"/>
  <c r="M899" i="2" s="1"/>
  <c r="E900" i="2"/>
  <c r="J900" i="2" s="1"/>
  <c r="C901" i="2"/>
  <c r="F901" i="2" s="1"/>
  <c r="A902" i="2"/>
  <c r="B901" i="2"/>
  <c r="D901" i="2" s="1"/>
  <c r="G900" i="2" l="1"/>
  <c r="I900" i="2"/>
  <c r="K900" i="2"/>
  <c r="M900" i="2" s="1"/>
  <c r="E901" i="2"/>
  <c r="G901" i="2" s="1"/>
  <c r="A903" i="2"/>
  <c r="B902" i="2"/>
  <c r="D902" i="2" s="1"/>
  <c r="C902" i="2"/>
  <c r="F902" i="2" s="1"/>
  <c r="E902" i="2" l="1"/>
  <c r="J902" i="2" s="1"/>
  <c r="J901" i="2"/>
  <c r="I901" i="2" s="1"/>
  <c r="B903" i="2"/>
  <c r="D903" i="2" s="1"/>
  <c r="C903" i="2"/>
  <c r="F903" i="2" s="1"/>
  <c r="A904" i="2"/>
  <c r="I902" i="2" l="1"/>
  <c r="G902" i="2"/>
  <c r="E903" i="2"/>
  <c r="J903" i="2" s="1"/>
  <c r="I903" i="2" s="1"/>
  <c r="K901" i="2"/>
  <c r="B904" i="2"/>
  <c r="D904" i="2" s="1"/>
  <c r="C904" i="2"/>
  <c r="F904" i="2" s="1"/>
  <c r="A905" i="2"/>
  <c r="G903" i="2" l="1"/>
  <c r="K902" i="2"/>
  <c r="M902" i="2" s="1"/>
  <c r="M901" i="2"/>
  <c r="E904" i="2"/>
  <c r="C905" i="2"/>
  <c r="F905" i="2" s="1"/>
  <c r="A906" i="2"/>
  <c r="B905" i="2"/>
  <c r="D905" i="2" s="1"/>
  <c r="K903" i="2" l="1"/>
  <c r="M903" i="2" s="1"/>
  <c r="G904" i="2"/>
  <c r="J904" i="2"/>
  <c r="I904" i="2" s="1"/>
  <c r="E905" i="2"/>
  <c r="G905" i="2" s="1"/>
  <c r="C906" i="2"/>
  <c r="F906" i="2" s="1"/>
  <c r="A907" i="2"/>
  <c r="B906" i="2"/>
  <c r="D906" i="2" s="1"/>
  <c r="K904" i="2" l="1"/>
  <c r="M904" i="2" s="1"/>
  <c r="J905" i="2"/>
  <c r="I905" i="2" s="1"/>
  <c r="E906" i="2"/>
  <c r="G906" i="2" s="1"/>
  <c r="A908" i="2"/>
  <c r="B907" i="2"/>
  <c r="D907" i="2" s="1"/>
  <c r="C907" i="2"/>
  <c r="F907" i="2" s="1"/>
  <c r="K905" i="2" l="1"/>
  <c r="M905" i="2" s="1"/>
  <c r="J906" i="2"/>
  <c r="I906" i="2" s="1"/>
  <c r="E907" i="2"/>
  <c r="G907" i="2" s="1"/>
  <c r="B908" i="2"/>
  <c r="D908" i="2" s="1"/>
  <c r="C908" i="2"/>
  <c r="F908" i="2" s="1"/>
  <c r="A909" i="2"/>
  <c r="K906" i="2" l="1"/>
  <c r="M906" i="2" s="1"/>
  <c r="J907" i="2"/>
  <c r="I907" i="2" s="1"/>
  <c r="E908" i="2"/>
  <c r="J908" i="2" s="1"/>
  <c r="C909" i="2"/>
  <c r="F909" i="2" s="1"/>
  <c r="A910" i="2"/>
  <c r="B909" i="2"/>
  <c r="D909" i="2" s="1"/>
  <c r="K907" i="2" l="1"/>
  <c r="M907" i="2" s="1"/>
  <c r="I908" i="2"/>
  <c r="G908" i="2"/>
  <c r="E909" i="2"/>
  <c r="G909" i="2" s="1"/>
  <c r="B910" i="2"/>
  <c r="D910" i="2" s="1"/>
  <c r="A911" i="2"/>
  <c r="C910" i="2"/>
  <c r="F910" i="2" s="1"/>
  <c r="K908" i="2" l="1"/>
  <c r="M908" i="2" s="1"/>
  <c r="J909" i="2"/>
  <c r="I909" i="2" s="1"/>
  <c r="E910" i="2"/>
  <c r="G910" i="2" s="1"/>
  <c r="C911" i="2"/>
  <c r="F911" i="2" s="1"/>
  <c r="A912" i="2"/>
  <c r="B911" i="2"/>
  <c r="D911" i="2" s="1"/>
  <c r="J910" i="2" l="1"/>
  <c r="I910" i="2" s="1"/>
  <c r="K909" i="2"/>
  <c r="M909" i="2" s="1"/>
  <c r="E911" i="2"/>
  <c r="G911" i="2" s="1"/>
  <c r="A913" i="2"/>
  <c r="B912" i="2"/>
  <c r="D912" i="2" s="1"/>
  <c r="C912" i="2"/>
  <c r="F912" i="2" s="1"/>
  <c r="K910" i="2" l="1"/>
  <c r="M910" i="2" s="1"/>
  <c r="J911" i="2"/>
  <c r="I911" i="2" s="1"/>
  <c r="E912" i="2"/>
  <c r="G912" i="2" s="1"/>
  <c r="B913" i="2"/>
  <c r="D913" i="2" s="1"/>
  <c r="C913" i="2"/>
  <c r="F913" i="2" s="1"/>
  <c r="A914" i="2"/>
  <c r="K911" i="2" l="1"/>
  <c r="M911" i="2" s="1"/>
  <c r="J912" i="2"/>
  <c r="I912" i="2" s="1"/>
  <c r="E913" i="2"/>
  <c r="J913" i="2" s="1"/>
  <c r="A915" i="2"/>
  <c r="B914" i="2"/>
  <c r="D914" i="2" s="1"/>
  <c r="C914" i="2"/>
  <c r="F914" i="2" s="1"/>
  <c r="I913" i="2" l="1"/>
  <c r="K912" i="2"/>
  <c r="M912" i="2" s="1"/>
  <c r="G913" i="2"/>
  <c r="E914" i="2"/>
  <c r="G914" i="2" s="1"/>
  <c r="A916" i="2"/>
  <c r="B915" i="2"/>
  <c r="D915" i="2" s="1"/>
  <c r="C915" i="2"/>
  <c r="F915" i="2" s="1"/>
  <c r="J914" i="2" l="1"/>
  <c r="I914" i="2" s="1"/>
  <c r="K913" i="2"/>
  <c r="M913" i="2" s="1"/>
  <c r="E915" i="2"/>
  <c r="J915" i="2" s="1"/>
  <c r="C916" i="2"/>
  <c r="F916" i="2" s="1"/>
  <c r="A917" i="2"/>
  <c r="B916" i="2"/>
  <c r="D916" i="2" s="1"/>
  <c r="I915" i="2" l="1"/>
  <c r="K914" i="2"/>
  <c r="M914" i="2" s="1"/>
  <c r="G915" i="2"/>
  <c r="E916" i="2"/>
  <c r="G916" i="2" s="1"/>
  <c r="K915" i="2"/>
  <c r="M915" i="2" s="1"/>
  <c r="C917" i="2"/>
  <c r="F917" i="2" s="1"/>
  <c r="B917" i="2"/>
  <c r="D917" i="2" s="1"/>
  <c r="A918" i="2"/>
  <c r="E917" i="2" l="1"/>
  <c r="J917" i="2" s="1"/>
  <c r="J916" i="2"/>
  <c r="I916" i="2" s="1"/>
  <c r="A919" i="2"/>
  <c r="B918" i="2"/>
  <c r="D918" i="2" s="1"/>
  <c r="C918" i="2"/>
  <c r="F918" i="2" s="1"/>
  <c r="G917" i="2" l="1"/>
  <c r="K916" i="2"/>
  <c r="E918" i="2"/>
  <c r="J918" i="2" s="1"/>
  <c r="I917" i="2"/>
  <c r="B919" i="2"/>
  <c r="D919" i="2" s="1"/>
  <c r="A920" i="2"/>
  <c r="C919" i="2"/>
  <c r="F919" i="2" s="1"/>
  <c r="I918" i="2" l="1"/>
  <c r="G918" i="2"/>
  <c r="K917" i="2"/>
  <c r="M917" i="2" s="1"/>
  <c r="M916" i="2"/>
  <c r="E919" i="2"/>
  <c r="J919" i="2" s="1"/>
  <c r="B920" i="2"/>
  <c r="D920" i="2" s="1"/>
  <c r="C920" i="2"/>
  <c r="F920" i="2" s="1"/>
  <c r="A921" i="2"/>
  <c r="I919" i="2" l="1"/>
  <c r="K918" i="2"/>
  <c r="M918" i="2" s="1"/>
  <c r="G919" i="2"/>
  <c r="E920" i="2"/>
  <c r="J920" i="2" s="1"/>
  <c r="A922" i="2"/>
  <c r="B921" i="2"/>
  <c r="D921" i="2" s="1"/>
  <c r="C921" i="2"/>
  <c r="F921" i="2" s="1"/>
  <c r="I920" i="2" l="1"/>
  <c r="K919" i="2"/>
  <c r="M919" i="2" s="1"/>
  <c r="G920" i="2"/>
  <c r="E921" i="2"/>
  <c r="A923" i="2"/>
  <c r="B922" i="2"/>
  <c r="D922" i="2" s="1"/>
  <c r="C922" i="2"/>
  <c r="F922" i="2" s="1"/>
  <c r="K920" i="2" l="1"/>
  <c r="M920" i="2" s="1"/>
  <c r="E922" i="2"/>
  <c r="G922" i="2" s="1"/>
  <c r="J921" i="2"/>
  <c r="I921" i="2" s="1"/>
  <c r="G921" i="2"/>
  <c r="C923" i="2"/>
  <c r="F923" i="2" s="1"/>
  <c r="A924" i="2"/>
  <c r="B923" i="2"/>
  <c r="D923" i="2" s="1"/>
  <c r="J922" i="2" l="1"/>
  <c r="I922" i="2" s="1"/>
  <c r="K921" i="2"/>
  <c r="M921" i="2" s="1"/>
  <c r="E923" i="2"/>
  <c r="J923" i="2" s="1"/>
  <c r="A925" i="2"/>
  <c r="B924" i="2"/>
  <c r="D924" i="2" s="1"/>
  <c r="C924" i="2"/>
  <c r="F924" i="2" s="1"/>
  <c r="I923" i="2" l="1"/>
  <c r="K922" i="2"/>
  <c r="M922" i="2" s="1"/>
  <c r="G923" i="2"/>
  <c r="E924" i="2"/>
  <c r="G924" i="2" s="1"/>
  <c r="A926" i="2"/>
  <c r="B925" i="2"/>
  <c r="D925" i="2" s="1"/>
  <c r="C925" i="2"/>
  <c r="F925" i="2" s="1"/>
  <c r="K923" i="2" l="1"/>
  <c r="M923" i="2" s="1"/>
  <c r="J924" i="2"/>
  <c r="I924" i="2" s="1"/>
  <c r="E925" i="2"/>
  <c r="G925" i="2" s="1"/>
  <c r="B926" i="2"/>
  <c r="D926" i="2" s="1"/>
  <c r="C926" i="2"/>
  <c r="F926" i="2" s="1"/>
  <c r="A927" i="2"/>
  <c r="K924" i="2" l="1"/>
  <c r="M924" i="2" s="1"/>
  <c r="J925" i="2"/>
  <c r="I925" i="2" s="1"/>
  <c r="E926" i="2"/>
  <c r="G926" i="2" s="1"/>
  <c r="A928" i="2"/>
  <c r="B927" i="2"/>
  <c r="D927" i="2" s="1"/>
  <c r="C927" i="2"/>
  <c r="F927" i="2" s="1"/>
  <c r="K925" i="2" l="1"/>
  <c r="M925" i="2" s="1"/>
  <c r="J926" i="2"/>
  <c r="I926" i="2" s="1"/>
  <c r="E927" i="2"/>
  <c r="G927" i="2" s="1"/>
  <c r="A929" i="2"/>
  <c r="C928" i="2"/>
  <c r="F928" i="2" s="1"/>
  <c r="B928" i="2"/>
  <c r="D928" i="2" s="1"/>
  <c r="K926" i="2" l="1"/>
  <c r="M926" i="2" s="1"/>
  <c r="J927" i="2"/>
  <c r="I927" i="2" s="1"/>
  <c r="E928" i="2"/>
  <c r="G928" i="2" s="1"/>
  <c r="B929" i="2"/>
  <c r="D929" i="2" s="1"/>
  <c r="C929" i="2"/>
  <c r="F929" i="2" s="1"/>
  <c r="A930" i="2"/>
  <c r="K927" i="2" l="1"/>
  <c r="M927" i="2" s="1"/>
  <c r="J928" i="2"/>
  <c r="I928" i="2" s="1"/>
  <c r="E929" i="2"/>
  <c r="J929" i="2" s="1"/>
  <c r="A931" i="2"/>
  <c r="B930" i="2"/>
  <c r="D930" i="2" s="1"/>
  <c r="C930" i="2"/>
  <c r="F930" i="2" s="1"/>
  <c r="K928" i="2" l="1"/>
  <c r="M928" i="2" s="1"/>
  <c r="G929" i="2"/>
  <c r="I929" i="2"/>
  <c r="E930" i="2"/>
  <c r="J930" i="2" s="1"/>
  <c r="A932" i="2"/>
  <c r="C931" i="2"/>
  <c r="F931" i="2" s="1"/>
  <c r="B931" i="2"/>
  <c r="D931" i="2" s="1"/>
  <c r="I930" i="2" l="1"/>
  <c r="K929" i="2"/>
  <c r="M929" i="2" s="1"/>
  <c r="G930" i="2"/>
  <c r="E931" i="2"/>
  <c r="J931" i="2" s="1"/>
  <c r="B932" i="2"/>
  <c r="D932" i="2" s="1"/>
  <c r="A933" i="2"/>
  <c r="C932" i="2"/>
  <c r="F932" i="2" s="1"/>
  <c r="K930" i="2" l="1"/>
  <c r="M930" i="2" s="1"/>
  <c r="E932" i="2"/>
  <c r="G932" i="2" s="1"/>
  <c r="G931" i="2"/>
  <c r="I931" i="2"/>
  <c r="C933" i="2"/>
  <c r="F933" i="2" s="1"/>
  <c r="A934" i="2"/>
  <c r="B933" i="2"/>
  <c r="D933" i="2" s="1"/>
  <c r="K931" i="2" l="1"/>
  <c r="M931" i="2" s="1"/>
  <c r="J932" i="2"/>
  <c r="I932" i="2" s="1"/>
  <c r="E933" i="2"/>
  <c r="G933" i="2" s="1"/>
  <c r="B934" i="2"/>
  <c r="D934" i="2" s="1"/>
  <c r="A935" i="2"/>
  <c r="C934" i="2"/>
  <c r="F934" i="2" s="1"/>
  <c r="K932" i="2" l="1"/>
  <c r="M932" i="2" s="1"/>
  <c r="J933" i="2"/>
  <c r="I933" i="2" s="1"/>
  <c r="E934" i="2"/>
  <c r="J934" i="2" s="1"/>
  <c r="C935" i="2"/>
  <c r="F935" i="2" s="1"/>
  <c r="B935" i="2"/>
  <c r="D935" i="2" s="1"/>
  <c r="A936" i="2"/>
  <c r="I934" i="2" l="1"/>
  <c r="K933" i="2"/>
  <c r="M933" i="2" s="1"/>
  <c r="G934" i="2"/>
  <c r="E935" i="2"/>
  <c r="J935" i="2" s="1"/>
  <c r="I935" i="2" s="1"/>
  <c r="B936" i="2"/>
  <c r="D936" i="2" s="1"/>
  <c r="C936" i="2"/>
  <c r="F936" i="2" s="1"/>
  <c r="A937" i="2"/>
  <c r="K934" i="2" l="1"/>
  <c r="M934" i="2" s="1"/>
  <c r="E936" i="2"/>
  <c r="G936" i="2" s="1"/>
  <c r="G935" i="2"/>
  <c r="K935" i="2"/>
  <c r="M935" i="2" s="1"/>
  <c r="B937" i="2"/>
  <c r="D937" i="2" s="1"/>
  <c r="C937" i="2"/>
  <c r="F937" i="2" s="1"/>
  <c r="A938" i="2"/>
  <c r="J936" i="2" l="1"/>
  <c r="I936" i="2" s="1"/>
  <c r="E937" i="2"/>
  <c r="G937" i="2" s="1"/>
  <c r="A939" i="2"/>
  <c r="B938" i="2"/>
  <c r="D938" i="2" s="1"/>
  <c r="C938" i="2"/>
  <c r="F938" i="2" s="1"/>
  <c r="K936" i="2" l="1"/>
  <c r="M936" i="2" s="1"/>
  <c r="J937" i="2"/>
  <c r="I937" i="2" s="1"/>
  <c r="E938" i="2"/>
  <c r="J938" i="2" s="1"/>
  <c r="K937" i="2"/>
  <c r="M937" i="2" s="1"/>
  <c r="B939" i="2"/>
  <c r="D939" i="2" s="1"/>
  <c r="C939" i="2"/>
  <c r="F939" i="2" s="1"/>
  <c r="A940" i="2"/>
  <c r="I938" i="2" l="1"/>
  <c r="G938" i="2"/>
  <c r="E939" i="2"/>
  <c r="G939" i="2" s="1"/>
  <c r="K938" i="2"/>
  <c r="M938" i="2" s="1"/>
  <c r="A941" i="2"/>
  <c r="C940" i="2"/>
  <c r="F940" i="2" s="1"/>
  <c r="B940" i="2"/>
  <c r="D940" i="2" s="1"/>
  <c r="J939" i="2" l="1"/>
  <c r="I939" i="2" s="1"/>
  <c r="E940" i="2"/>
  <c r="G940" i="2" s="1"/>
  <c r="A942" i="2"/>
  <c r="C941" i="2"/>
  <c r="F941" i="2" s="1"/>
  <c r="B941" i="2"/>
  <c r="D941" i="2" s="1"/>
  <c r="E941" i="2" l="1"/>
  <c r="G941" i="2" s="1"/>
  <c r="K939" i="2"/>
  <c r="M939" i="2" s="1"/>
  <c r="J940" i="2"/>
  <c r="I940" i="2" s="1"/>
  <c r="B942" i="2"/>
  <c r="D942" i="2" s="1"/>
  <c r="A943" i="2"/>
  <c r="C942" i="2"/>
  <c r="F942" i="2" s="1"/>
  <c r="J941" i="2" l="1"/>
  <c r="I941" i="2" s="1"/>
  <c r="K940" i="2"/>
  <c r="M940" i="2" s="1"/>
  <c r="E942" i="2"/>
  <c r="G942" i="2" s="1"/>
  <c r="C943" i="2"/>
  <c r="F943" i="2" s="1"/>
  <c r="A944" i="2"/>
  <c r="B943" i="2"/>
  <c r="D943" i="2" s="1"/>
  <c r="J942" i="2" l="1"/>
  <c r="I942" i="2" s="1"/>
  <c r="K941" i="2"/>
  <c r="M941" i="2" s="1"/>
  <c r="E943" i="2"/>
  <c r="G943" i="2" s="1"/>
  <c r="A945" i="2"/>
  <c r="C944" i="2"/>
  <c r="F944" i="2" s="1"/>
  <c r="B944" i="2"/>
  <c r="D944" i="2" s="1"/>
  <c r="K942" i="2" l="1"/>
  <c r="M942" i="2" s="1"/>
  <c r="J943" i="2"/>
  <c r="I943" i="2" s="1"/>
  <c r="E944" i="2"/>
  <c r="J944" i="2" s="1"/>
  <c r="C945" i="2"/>
  <c r="F945" i="2" s="1"/>
  <c r="A946" i="2"/>
  <c r="B945" i="2"/>
  <c r="D945" i="2" s="1"/>
  <c r="K943" i="2" l="1"/>
  <c r="M943" i="2" s="1"/>
  <c r="I944" i="2"/>
  <c r="G944" i="2"/>
  <c r="K944" i="2"/>
  <c r="M944" i="2" s="1"/>
  <c r="E945" i="2"/>
  <c r="A947" i="2"/>
  <c r="C946" i="2"/>
  <c r="F946" i="2" s="1"/>
  <c r="B946" i="2"/>
  <c r="D946" i="2" s="1"/>
  <c r="E946" i="2" l="1"/>
  <c r="J946" i="2" s="1"/>
  <c r="J945" i="2"/>
  <c r="I945" i="2" s="1"/>
  <c r="G945" i="2"/>
  <c r="B947" i="2"/>
  <c r="D947" i="2" s="1"/>
  <c r="A948" i="2"/>
  <c r="C947" i="2"/>
  <c r="F947" i="2" s="1"/>
  <c r="I946" i="2" l="1"/>
  <c r="G946" i="2"/>
  <c r="E947" i="2"/>
  <c r="G947" i="2" s="1"/>
  <c r="K945" i="2"/>
  <c r="B948" i="2"/>
  <c r="D948" i="2" s="1"/>
  <c r="A949" i="2"/>
  <c r="C948" i="2"/>
  <c r="F948" i="2" s="1"/>
  <c r="J947" i="2" l="1"/>
  <c r="I947" i="2" s="1"/>
  <c r="K946" i="2"/>
  <c r="M945" i="2"/>
  <c r="E948" i="2"/>
  <c r="G948" i="2" s="1"/>
  <c r="C949" i="2"/>
  <c r="F949" i="2" s="1"/>
  <c r="B949" i="2"/>
  <c r="D949" i="2" s="1"/>
  <c r="A950" i="2"/>
  <c r="J948" i="2" l="1"/>
  <c r="I948" i="2" s="1"/>
  <c r="M946" i="2"/>
  <c r="K947" i="2"/>
  <c r="M947" i="2" s="1"/>
  <c r="E949" i="2"/>
  <c r="J949" i="2" s="1"/>
  <c r="A951" i="2"/>
  <c r="B950" i="2"/>
  <c r="D950" i="2" s="1"/>
  <c r="C950" i="2"/>
  <c r="F950" i="2" s="1"/>
  <c r="K948" i="2" l="1"/>
  <c r="M948" i="2" s="1"/>
  <c r="G949" i="2"/>
  <c r="I949" i="2"/>
  <c r="E950" i="2"/>
  <c r="J950" i="2" s="1"/>
  <c r="C951" i="2"/>
  <c r="F951" i="2" s="1"/>
  <c r="B951" i="2"/>
  <c r="D951" i="2" s="1"/>
  <c r="A952" i="2"/>
  <c r="K949" i="2" l="1"/>
  <c r="M949" i="2" s="1"/>
  <c r="G950" i="2"/>
  <c r="I950" i="2"/>
  <c r="E951" i="2"/>
  <c r="G951" i="2" s="1"/>
  <c r="B952" i="2"/>
  <c r="D952" i="2" s="1"/>
  <c r="C952" i="2"/>
  <c r="F952" i="2" s="1"/>
  <c r="A953" i="2"/>
  <c r="K950" i="2" l="1"/>
  <c r="M950" i="2" s="1"/>
  <c r="J951" i="2"/>
  <c r="I951" i="2" s="1"/>
  <c r="E952" i="2"/>
  <c r="G952" i="2" s="1"/>
  <c r="B953" i="2"/>
  <c r="D953" i="2" s="1"/>
  <c r="C953" i="2"/>
  <c r="F953" i="2" s="1"/>
  <c r="A954" i="2"/>
  <c r="K951" i="2" l="1"/>
  <c r="M951" i="2" s="1"/>
  <c r="J952" i="2"/>
  <c r="I952" i="2" s="1"/>
  <c r="E953" i="2"/>
  <c r="G953" i="2" s="1"/>
  <c r="A955" i="2"/>
  <c r="C954" i="2"/>
  <c r="F954" i="2" s="1"/>
  <c r="B954" i="2"/>
  <c r="D954" i="2" s="1"/>
  <c r="K952" i="2" l="1"/>
  <c r="M952" i="2" s="1"/>
  <c r="J953" i="2"/>
  <c r="I953" i="2" s="1"/>
  <c r="E954" i="2"/>
  <c r="G954" i="2" s="1"/>
  <c r="B955" i="2"/>
  <c r="D955" i="2" s="1"/>
  <c r="C955" i="2"/>
  <c r="F955" i="2" s="1"/>
  <c r="A956" i="2"/>
  <c r="K953" i="2" l="1"/>
  <c r="M953" i="2" s="1"/>
  <c r="J954" i="2"/>
  <c r="I954" i="2" s="1"/>
  <c r="E955" i="2"/>
  <c r="J955" i="2" s="1"/>
  <c r="B956" i="2"/>
  <c r="D956" i="2" s="1"/>
  <c r="A957" i="2"/>
  <c r="C956" i="2"/>
  <c r="F956" i="2" s="1"/>
  <c r="I955" i="2" l="1"/>
  <c r="G955" i="2"/>
  <c r="K954" i="2"/>
  <c r="M954" i="2" s="1"/>
  <c r="E956" i="2"/>
  <c r="J956" i="2" s="1"/>
  <c r="A958" i="2"/>
  <c r="B957" i="2"/>
  <c r="D957" i="2" s="1"/>
  <c r="C957" i="2"/>
  <c r="F957" i="2" s="1"/>
  <c r="I956" i="2" l="1"/>
  <c r="K955" i="2"/>
  <c r="M955" i="2" s="1"/>
  <c r="G956" i="2"/>
  <c r="K956" i="2"/>
  <c r="M956" i="2" s="1"/>
  <c r="E957" i="2"/>
  <c r="G957" i="2" s="1"/>
  <c r="A959" i="2"/>
  <c r="B958" i="2"/>
  <c r="D958" i="2" s="1"/>
  <c r="C958" i="2"/>
  <c r="F958" i="2" s="1"/>
  <c r="J957" i="2" l="1"/>
  <c r="I957" i="2" s="1"/>
  <c r="E958" i="2"/>
  <c r="J958" i="2" s="1"/>
  <c r="B959" i="2"/>
  <c r="D959" i="2" s="1"/>
  <c r="C959" i="2"/>
  <c r="F959" i="2" s="1"/>
  <c r="A960" i="2"/>
  <c r="K957" i="2" l="1"/>
  <c r="M957" i="2" s="1"/>
  <c r="I958" i="2"/>
  <c r="G958" i="2"/>
  <c r="E959" i="2"/>
  <c r="J959" i="2" s="1"/>
  <c r="I959" i="2" s="1"/>
  <c r="B960" i="2"/>
  <c r="D960" i="2" s="1"/>
  <c r="A961" i="2"/>
  <c r="C960" i="2"/>
  <c r="F960" i="2" s="1"/>
  <c r="K958" i="2" l="1"/>
  <c r="M958" i="2" s="1"/>
  <c r="G959" i="2"/>
  <c r="E960" i="2"/>
  <c r="C961" i="2"/>
  <c r="F961" i="2" s="1"/>
  <c r="A962" i="2"/>
  <c r="B961" i="2"/>
  <c r="D961" i="2" s="1"/>
  <c r="K959" i="2" l="1"/>
  <c r="M959" i="2" s="1"/>
  <c r="J960" i="2"/>
  <c r="I960" i="2" s="1"/>
  <c r="E961" i="2"/>
  <c r="G961" i="2" s="1"/>
  <c r="G960" i="2"/>
  <c r="C962" i="2"/>
  <c r="F962" i="2" s="1"/>
  <c r="B962" i="2"/>
  <c r="D962" i="2" s="1"/>
  <c r="A963" i="2"/>
  <c r="J961" i="2" l="1"/>
  <c r="I961" i="2" s="1"/>
  <c r="K960" i="2"/>
  <c r="M960" i="2" s="1"/>
  <c r="E962" i="2"/>
  <c r="J962" i="2" s="1"/>
  <c r="B963" i="2"/>
  <c r="D963" i="2" s="1"/>
  <c r="A964" i="2"/>
  <c r="C963" i="2"/>
  <c r="F963" i="2" s="1"/>
  <c r="K961" i="2" l="1"/>
  <c r="M961" i="2" s="1"/>
  <c r="G962" i="2"/>
  <c r="I962" i="2"/>
  <c r="E963" i="2"/>
  <c r="G963" i="2" s="1"/>
  <c r="C964" i="2"/>
  <c r="F964" i="2" s="1"/>
  <c r="A965" i="2"/>
  <c r="B964" i="2"/>
  <c r="D964" i="2" s="1"/>
  <c r="K962" i="2" l="1"/>
  <c r="M962" i="2" s="1"/>
  <c r="J963" i="2"/>
  <c r="I963" i="2" s="1"/>
  <c r="E964" i="2"/>
  <c r="J964" i="2" s="1"/>
  <c r="C965" i="2"/>
  <c r="F965" i="2" s="1"/>
  <c r="B965" i="2"/>
  <c r="D965" i="2" s="1"/>
  <c r="A966" i="2"/>
  <c r="I964" i="2" l="1"/>
  <c r="G964" i="2"/>
  <c r="E965" i="2"/>
  <c r="G965" i="2" s="1"/>
  <c r="K963" i="2"/>
  <c r="B966" i="2"/>
  <c r="D966" i="2" s="1"/>
  <c r="A967" i="2"/>
  <c r="C966" i="2"/>
  <c r="F966" i="2" s="1"/>
  <c r="K964" i="2" l="1"/>
  <c r="M964" i="2" s="1"/>
  <c r="M963" i="2"/>
  <c r="J965" i="2"/>
  <c r="I965" i="2" s="1"/>
  <c r="E966" i="2"/>
  <c r="J966" i="2" s="1"/>
  <c r="C967" i="2"/>
  <c r="F967" i="2" s="1"/>
  <c r="B967" i="2"/>
  <c r="D967" i="2" s="1"/>
  <c r="A968" i="2"/>
  <c r="I966" i="2" l="1"/>
  <c r="K965" i="2"/>
  <c r="M965" i="2" s="1"/>
  <c r="G966" i="2"/>
  <c r="E967" i="2"/>
  <c r="G967" i="2" s="1"/>
  <c r="B968" i="2"/>
  <c r="D968" i="2" s="1"/>
  <c r="C968" i="2"/>
  <c r="F968" i="2" s="1"/>
  <c r="A969" i="2"/>
  <c r="K966" i="2" l="1"/>
  <c r="M966" i="2" s="1"/>
  <c r="J967" i="2"/>
  <c r="I967" i="2" s="1"/>
  <c r="E968" i="2"/>
  <c r="J968" i="2" s="1"/>
  <c r="A970" i="2"/>
  <c r="C969" i="2"/>
  <c r="F969" i="2" s="1"/>
  <c r="B969" i="2"/>
  <c r="D969" i="2" s="1"/>
  <c r="I968" i="2" l="1"/>
  <c r="K967" i="2"/>
  <c r="M967" i="2" s="1"/>
  <c r="G968" i="2"/>
  <c r="E969" i="2"/>
  <c r="G969" i="2" s="1"/>
  <c r="B970" i="2"/>
  <c r="D970" i="2" s="1"/>
  <c r="A971" i="2"/>
  <c r="C970" i="2"/>
  <c r="F970" i="2" s="1"/>
  <c r="K968" i="2" l="1"/>
  <c r="M968" i="2" s="1"/>
  <c r="J969" i="2"/>
  <c r="I969" i="2" s="1"/>
  <c r="E970" i="2"/>
  <c r="G970" i="2" s="1"/>
  <c r="B971" i="2"/>
  <c r="D971" i="2" s="1"/>
  <c r="C971" i="2"/>
  <c r="F971" i="2" s="1"/>
  <c r="A972" i="2"/>
  <c r="K969" i="2" l="1"/>
  <c r="M969" i="2" s="1"/>
  <c r="J970" i="2"/>
  <c r="I970" i="2" s="1"/>
  <c r="E971" i="2"/>
  <c r="J971" i="2" s="1"/>
  <c r="A973" i="2"/>
  <c r="C972" i="2"/>
  <c r="F972" i="2" s="1"/>
  <c r="B972" i="2"/>
  <c r="D972" i="2" s="1"/>
  <c r="I971" i="2" l="1"/>
  <c r="G971" i="2"/>
  <c r="K970" i="2"/>
  <c r="E972" i="2"/>
  <c r="J972" i="2" s="1"/>
  <c r="I972" i="2" s="1"/>
  <c r="A974" i="2"/>
  <c r="B973" i="2"/>
  <c r="D973" i="2" s="1"/>
  <c r="C973" i="2"/>
  <c r="F973" i="2" s="1"/>
  <c r="K971" i="2" l="1"/>
  <c r="M971" i="2" s="1"/>
  <c r="M970" i="2"/>
  <c r="G972" i="2"/>
  <c r="E973" i="2"/>
  <c r="J973" i="2" s="1"/>
  <c r="I973" i="2" s="1"/>
  <c r="B974" i="2"/>
  <c r="D974" i="2" s="1"/>
  <c r="C974" i="2"/>
  <c r="F974" i="2" s="1"/>
  <c r="A975" i="2"/>
  <c r="K972" i="2" l="1"/>
  <c r="M972" i="2" s="1"/>
  <c r="E974" i="2"/>
  <c r="J974" i="2" s="1"/>
  <c r="I974" i="2" s="1"/>
  <c r="G973" i="2"/>
  <c r="K973" i="2"/>
  <c r="M973" i="2" s="1"/>
  <c r="A976" i="2"/>
  <c r="B975" i="2"/>
  <c r="D975" i="2" s="1"/>
  <c r="C975" i="2"/>
  <c r="F975" i="2" s="1"/>
  <c r="G974" i="2" l="1"/>
  <c r="E975" i="2"/>
  <c r="J975" i="2" s="1"/>
  <c r="I975" i="2" s="1"/>
  <c r="K974" i="2"/>
  <c r="M974" i="2" s="1"/>
  <c r="B976" i="2"/>
  <c r="D976" i="2" s="1"/>
  <c r="A977" i="2"/>
  <c r="C976" i="2"/>
  <c r="F976" i="2" s="1"/>
  <c r="G975" i="2" l="1"/>
  <c r="K975" i="2"/>
  <c r="M975" i="2" s="1"/>
  <c r="E976" i="2"/>
  <c r="G976" i="2" s="1"/>
  <c r="C977" i="2"/>
  <c r="F977" i="2" s="1"/>
  <c r="A978" i="2"/>
  <c r="B977" i="2"/>
  <c r="D977" i="2" s="1"/>
  <c r="J976" i="2" l="1"/>
  <c r="I976" i="2" s="1"/>
  <c r="E977" i="2"/>
  <c r="J977" i="2" s="1"/>
  <c r="A979" i="2"/>
  <c r="C978" i="2"/>
  <c r="F978" i="2" s="1"/>
  <c r="B978" i="2"/>
  <c r="D978" i="2" s="1"/>
  <c r="I977" i="2" l="1"/>
  <c r="K976" i="2"/>
  <c r="M976" i="2" s="1"/>
  <c r="G977" i="2"/>
  <c r="K977" i="2"/>
  <c r="M977" i="2" s="1"/>
  <c r="E978" i="2"/>
  <c r="G978" i="2" s="1"/>
  <c r="B979" i="2"/>
  <c r="D979" i="2" s="1"/>
  <c r="A980" i="2"/>
  <c r="C979" i="2"/>
  <c r="F979" i="2" s="1"/>
  <c r="J978" i="2" l="1"/>
  <c r="I978" i="2" s="1"/>
  <c r="E979" i="2"/>
  <c r="J979" i="2" s="1"/>
  <c r="A981" i="2"/>
  <c r="C980" i="2"/>
  <c r="F980" i="2" s="1"/>
  <c r="B980" i="2"/>
  <c r="D980" i="2" s="1"/>
  <c r="I979" i="2" l="1"/>
  <c r="K978" i="2"/>
  <c r="M978" i="2" s="1"/>
  <c r="G979" i="2"/>
  <c r="E980" i="2"/>
  <c r="J980" i="2" s="1"/>
  <c r="I980" i="2" s="1"/>
  <c r="B981" i="2"/>
  <c r="D981" i="2" s="1"/>
  <c r="C981" i="2"/>
  <c r="F981" i="2" s="1"/>
  <c r="A982" i="2"/>
  <c r="K979" i="2" l="1"/>
  <c r="M979" i="2" s="1"/>
  <c r="G980" i="2"/>
  <c r="E981" i="2"/>
  <c r="J981" i="2" s="1"/>
  <c r="I981" i="2" s="1"/>
  <c r="K980" i="2"/>
  <c r="M980" i="2" s="1"/>
  <c r="B982" i="2"/>
  <c r="D982" i="2" s="1"/>
  <c r="C982" i="2"/>
  <c r="F982" i="2" s="1"/>
  <c r="A983" i="2"/>
  <c r="G981" i="2" l="1"/>
  <c r="K981" i="2"/>
  <c r="M981" i="2" s="1"/>
  <c r="E982" i="2"/>
  <c r="G982" i="2" s="1"/>
  <c r="C983" i="2"/>
  <c r="F983" i="2" s="1"/>
  <c r="A984" i="2"/>
  <c r="B983" i="2"/>
  <c r="D983" i="2" s="1"/>
  <c r="J982" i="2" l="1"/>
  <c r="I982" i="2" s="1"/>
  <c r="E983" i="2"/>
  <c r="G983" i="2" s="1"/>
  <c r="C984" i="2"/>
  <c r="F984" i="2" s="1"/>
  <c r="B984" i="2"/>
  <c r="D984" i="2" s="1"/>
  <c r="A985" i="2"/>
  <c r="K982" i="2" l="1"/>
  <c r="M982" i="2" s="1"/>
  <c r="E984" i="2"/>
  <c r="G984" i="2" s="1"/>
  <c r="J983" i="2"/>
  <c r="A986" i="2"/>
  <c r="C985" i="2"/>
  <c r="F985" i="2" s="1"/>
  <c r="B985" i="2"/>
  <c r="D985" i="2" s="1"/>
  <c r="J984" i="2" l="1"/>
  <c r="E985" i="2"/>
  <c r="J985" i="2" s="1"/>
  <c r="I983" i="2"/>
  <c r="K983" i="2"/>
  <c r="B986" i="2"/>
  <c r="D986" i="2" s="1"/>
  <c r="C986" i="2"/>
  <c r="F986" i="2" s="1"/>
  <c r="A987" i="2"/>
  <c r="I984" i="2" l="1"/>
  <c r="I985" i="2" s="1"/>
  <c r="K984" i="2"/>
  <c r="M984" i="2" s="1"/>
  <c r="M983" i="2"/>
  <c r="G985" i="2"/>
  <c r="K985" i="2"/>
  <c r="M985" i="2" s="1"/>
  <c r="E986" i="2"/>
  <c r="J986" i="2" s="1"/>
  <c r="B987" i="2"/>
  <c r="D987" i="2" s="1"/>
  <c r="C987" i="2"/>
  <c r="F987" i="2" s="1"/>
  <c r="A988" i="2"/>
  <c r="I986" i="2" l="1"/>
  <c r="G986" i="2"/>
  <c r="K986" i="2"/>
  <c r="M986" i="2" s="1"/>
  <c r="E987" i="2"/>
  <c r="G987" i="2" s="1"/>
  <c r="A989" i="2"/>
  <c r="B988" i="2"/>
  <c r="D988" i="2" s="1"/>
  <c r="C988" i="2"/>
  <c r="F988" i="2" s="1"/>
  <c r="E988" i="2" l="1"/>
  <c r="G988" i="2" s="1"/>
  <c r="J987" i="2"/>
  <c r="I987" i="2" s="1"/>
  <c r="A990" i="2"/>
  <c r="C989" i="2"/>
  <c r="F989" i="2" s="1"/>
  <c r="B989" i="2"/>
  <c r="D989" i="2" s="1"/>
  <c r="J988" i="2" l="1"/>
  <c r="I988" i="2" s="1"/>
  <c r="E989" i="2"/>
  <c r="G989" i="2" s="1"/>
  <c r="K987" i="2"/>
  <c r="B990" i="2"/>
  <c r="D990" i="2" s="1"/>
  <c r="A991" i="2"/>
  <c r="C990" i="2"/>
  <c r="F990" i="2" s="1"/>
  <c r="K988" i="2" l="1"/>
  <c r="M988" i="2" s="1"/>
  <c r="M987" i="2"/>
  <c r="J989" i="2"/>
  <c r="I989" i="2" s="1"/>
  <c r="E990" i="2"/>
  <c r="J990" i="2" s="1"/>
  <c r="A992" i="2"/>
  <c r="B991" i="2"/>
  <c r="D991" i="2" s="1"/>
  <c r="C991" i="2"/>
  <c r="F991" i="2" s="1"/>
  <c r="I990" i="2" l="1"/>
  <c r="K989" i="2"/>
  <c r="M989" i="2" s="1"/>
  <c r="G990" i="2"/>
  <c r="E991" i="2"/>
  <c r="G991" i="2" s="1"/>
  <c r="A993" i="2"/>
  <c r="B992" i="2"/>
  <c r="D992" i="2" s="1"/>
  <c r="C992" i="2"/>
  <c r="F992" i="2" s="1"/>
  <c r="K990" i="2" l="1"/>
  <c r="M990" i="2" s="1"/>
  <c r="J991" i="2"/>
  <c r="I991" i="2" s="1"/>
  <c r="E992" i="2"/>
  <c r="J992" i="2" s="1"/>
  <c r="B993" i="2"/>
  <c r="D993" i="2" s="1"/>
  <c r="C993" i="2"/>
  <c r="F993" i="2" s="1"/>
  <c r="A994" i="2"/>
  <c r="K991" i="2" l="1"/>
  <c r="M991" i="2" s="1"/>
  <c r="G992" i="2"/>
  <c r="I992" i="2"/>
  <c r="E993" i="2"/>
  <c r="G993" i="2" s="1"/>
  <c r="C994" i="2"/>
  <c r="F994" i="2" s="1"/>
  <c r="A995" i="2"/>
  <c r="B994" i="2"/>
  <c r="D994" i="2" s="1"/>
  <c r="K992" i="2" l="1"/>
  <c r="M992" i="2" s="1"/>
  <c r="J993" i="2"/>
  <c r="I993" i="2" s="1"/>
  <c r="E994" i="2"/>
  <c r="G994" i="2" s="1"/>
  <c r="A996" i="2"/>
  <c r="C995" i="2"/>
  <c r="F995" i="2" s="1"/>
  <c r="B995" i="2"/>
  <c r="D995" i="2" s="1"/>
  <c r="K993" i="2" l="1"/>
  <c r="M993" i="2" s="1"/>
  <c r="J994" i="2"/>
  <c r="I994" i="2" s="1"/>
  <c r="E995" i="2"/>
  <c r="G995" i="2" s="1"/>
  <c r="B996" i="2"/>
  <c r="D996" i="2" s="1"/>
  <c r="A997" i="2"/>
  <c r="C996" i="2"/>
  <c r="F996" i="2" s="1"/>
  <c r="K994" i="2" l="1"/>
  <c r="M994" i="2" s="1"/>
  <c r="J995" i="2"/>
  <c r="I995" i="2" s="1"/>
  <c r="E996" i="2"/>
  <c r="G996" i="2" s="1"/>
  <c r="A998" i="2"/>
  <c r="B997" i="2"/>
  <c r="D997" i="2" s="1"/>
  <c r="C997" i="2"/>
  <c r="F997" i="2" s="1"/>
  <c r="K995" i="2" l="1"/>
  <c r="M995" i="2" s="1"/>
  <c r="J996" i="2"/>
  <c r="I996" i="2" s="1"/>
  <c r="E997" i="2"/>
  <c r="G997" i="2" s="1"/>
  <c r="A999" i="2"/>
  <c r="C998" i="2"/>
  <c r="F998" i="2" s="1"/>
  <c r="B998" i="2"/>
  <c r="D998" i="2" s="1"/>
  <c r="K996" i="2" l="1"/>
  <c r="M996" i="2" s="1"/>
  <c r="J997" i="2"/>
  <c r="I997" i="2" s="1"/>
  <c r="E998" i="2"/>
  <c r="J998" i="2" s="1"/>
  <c r="B999" i="2"/>
  <c r="D999" i="2" s="1"/>
  <c r="C999" i="2"/>
  <c r="F999" i="2" s="1"/>
  <c r="A1000" i="2"/>
  <c r="K997" i="2" l="1"/>
  <c r="M997" i="2" s="1"/>
  <c r="I998" i="2"/>
  <c r="G998" i="2"/>
  <c r="K998" i="2"/>
  <c r="M998" i="2" s="1"/>
  <c r="E999" i="2"/>
  <c r="G999" i="2" s="1"/>
  <c r="C1000" i="2"/>
  <c r="F1000" i="2" s="1"/>
  <c r="A1001" i="2"/>
  <c r="B1000" i="2"/>
  <c r="D1000" i="2" s="1"/>
  <c r="J999" i="2" l="1"/>
  <c r="I999" i="2" s="1"/>
  <c r="E1000" i="2"/>
  <c r="G1000" i="2" s="1"/>
  <c r="A1002" i="2"/>
  <c r="C1001" i="2"/>
  <c r="F1001" i="2" s="1"/>
  <c r="B1001" i="2"/>
  <c r="D1001" i="2" s="1"/>
  <c r="K999" i="2" l="1"/>
  <c r="M999" i="2" s="1"/>
  <c r="J1000" i="2"/>
  <c r="I1000" i="2" s="1"/>
  <c r="E1001" i="2"/>
  <c r="G1001" i="2" s="1"/>
  <c r="B1002" i="2"/>
  <c r="D1002" i="2" s="1"/>
  <c r="C1002" i="2"/>
  <c r="F1002" i="2" s="1"/>
  <c r="A1003" i="2"/>
  <c r="K1000" i="2" l="1"/>
  <c r="M1000" i="2" s="1"/>
  <c r="E1002" i="2"/>
  <c r="J1002" i="2" s="1"/>
  <c r="J1001" i="2"/>
  <c r="I1001" i="2" s="1"/>
  <c r="B1003" i="2"/>
  <c r="D1003" i="2" s="1"/>
  <c r="A1004" i="2"/>
  <c r="C1003" i="2"/>
  <c r="F1003" i="2" s="1"/>
  <c r="I1002" i="2" l="1"/>
  <c r="G1002" i="2"/>
  <c r="E1003" i="2"/>
  <c r="G1003" i="2" s="1"/>
  <c r="K1001" i="2"/>
  <c r="A1005" i="2"/>
  <c r="C1004" i="2"/>
  <c r="F1004" i="2" s="1"/>
  <c r="B1004" i="2"/>
  <c r="D1004" i="2" s="1"/>
  <c r="J1003" i="2" l="1"/>
  <c r="I1003" i="2" s="1"/>
  <c r="K1002" i="2"/>
  <c r="M1002" i="2" s="1"/>
  <c r="M1001" i="2"/>
  <c r="E1004" i="2"/>
  <c r="G1004" i="2" s="1"/>
  <c r="A1006" i="2"/>
  <c r="B1005" i="2"/>
  <c r="D1005" i="2" s="1"/>
  <c r="C1005" i="2"/>
  <c r="F1005" i="2" s="1"/>
  <c r="K1003" i="2" l="1"/>
  <c r="M1003" i="2" s="1"/>
  <c r="J1004" i="2"/>
  <c r="I1004" i="2" s="1"/>
  <c r="E1005" i="2"/>
  <c r="G1005" i="2" s="1"/>
  <c r="B1006" i="2"/>
  <c r="D1006" i="2" s="1"/>
  <c r="C1006" i="2"/>
  <c r="F1006" i="2" s="1"/>
  <c r="A1007" i="2"/>
  <c r="K1004" i="2" l="1"/>
  <c r="M1004" i="2" s="1"/>
  <c r="J1005" i="2"/>
  <c r="I1005" i="2" s="1"/>
  <c r="E1006" i="2"/>
  <c r="J1006" i="2" s="1"/>
  <c r="A1008" i="2"/>
  <c r="C1007" i="2"/>
  <c r="F1007" i="2" s="1"/>
  <c r="B1007" i="2"/>
  <c r="D1007" i="2" s="1"/>
  <c r="I1006" i="2" l="1"/>
  <c r="G1006" i="2"/>
  <c r="K1005" i="2"/>
  <c r="M1005" i="2" s="1"/>
  <c r="E1007" i="2"/>
  <c r="G1007" i="2" s="1"/>
  <c r="A1009" i="2"/>
  <c r="C1008" i="2"/>
  <c r="F1008" i="2" s="1"/>
  <c r="B1008" i="2"/>
  <c r="D1008" i="2" s="1"/>
  <c r="K1006" i="2" l="1"/>
  <c r="M1006" i="2" s="1"/>
  <c r="J1007" i="2"/>
  <c r="I1007" i="2" s="1"/>
  <c r="E1008" i="2"/>
  <c r="G1008" i="2" s="1"/>
  <c r="B1009" i="2"/>
  <c r="D1009" i="2" s="1"/>
  <c r="C1009" i="2"/>
  <c r="F1009" i="2" s="1"/>
  <c r="A1010" i="2"/>
  <c r="K1007" i="2" l="1"/>
  <c r="M1007" i="2" s="1"/>
  <c r="E1009" i="2"/>
  <c r="J1009" i="2" s="1"/>
  <c r="J1008" i="2"/>
  <c r="I1008" i="2" s="1"/>
  <c r="A1011" i="2"/>
  <c r="B1010" i="2"/>
  <c r="D1010" i="2" s="1"/>
  <c r="C1010" i="2"/>
  <c r="F1010" i="2" s="1"/>
  <c r="I1009" i="2" l="1"/>
  <c r="G1009" i="2"/>
  <c r="E1010" i="2"/>
  <c r="G1010" i="2" s="1"/>
  <c r="K1008" i="2"/>
  <c r="A1012" i="2"/>
  <c r="B1011" i="2"/>
  <c r="D1011" i="2" s="1"/>
  <c r="C1011" i="2"/>
  <c r="F1011" i="2" s="1"/>
  <c r="K1009" i="2" l="1"/>
  <c r="M1009" i="2" s="1"/>
  <c r="M1008" i="2"/>
  <c r="J1010" i="2"/>
  <c r="I1010" i="2" s="1"/>
  <c r="E1011" i="2"/>
  <c r="G1011" i="2" s="1"/>
  <c r="A1013" i="2"/>
  <c r="B1012" i="2"/>
  <c r="D1012" i="2" s="1"/>
  <c r="C1012" i="2"/>
  <c r="F1012" i="2" s="1"/>
  <c r="K1010" i="2" l="1"/>
  <c r="M1010" i="2" s="1"/>
  <c r="J1011" i="2"/>
  <c r="I1011" i="2" s="1"/>
  <c r="E1012" i="2"/>
  <c r="G1012" i="2" s="1"/>
  <c r="A1014" i="2"/>
  <c r="C1013" i="2"/>
  <c r="F1013" i="2" s="1"/>
  <c r="B1013" i="2"/>
  <c r="D1013" i="2" s="1"/>
  <c r="K1011" i="2" l="1"/>
  <c r="M1011" i="2" s="1"/>
  <c r="J1012" i="2"/>
  <c r="I1012" i="2" s="1"/>
  <c r="E1013" i="2"/>
  <c r="G1013" i="2" s="1"/>
  <c r="A1015" i="2"/>
  <c r="C1014" i="2"/>
  <c r="F1014" i="2" s="1"/>
  <c r="B1014" i="2"/>
  <c r="D1014" i="2" s="1"/>
  <c r="K1012" i="2" l="1"/>
  <c r="M1012" i="2" s="1"/>
  <c r="J1013" i="2"/>
  <c r="I1013" i="2" s="1"/>
  <c r="E1014" i="2"/>
  <c r="J1014" i="2" s="1"/>
  <c r="B1015" i="2"/>
  <c r="D1015" i="2" s="1"/>
  <c r="C1015" i="2"/>
  <c r="F1015" i="2" s="1"/>
  <c r="A1016" i="2"/>
  <c r="I1014" i="2" l="1"/>
  <c r="G1014" i="2"/>
  <c r="K1013" i="2"/>
  <c r="E1015" i="2"/>
  <c r="C1016" i="2"/>
  <c r="F1016" i="2" s="1"/>
  <c r="A1017" i="2"/>
  <c r="B1016" i="2"/>
  <c r="D1016" i="2" s="1"/>
  <c r="K1014" i="2" l="1"/>
  <c r="M1014" i="2" s="1"/>
  <c r="M1013" i="2"/>
  <c r="J1015" i="2"/>
  <c r="I1015" i="2" s="1"/>
  <c r="G1015" i="2"/>
  <c r="E1016" i="2"/>
  <c r="G1016" i="2" s="1"/>
  <c r="A1018" i="2"/>
  <c r="B1017" i="2"/>
  <c r="D1017" i="2" s="1"/>
  <c r="C1017" i="2"/>
  <c r="F1017" i="2" s="1"/>
  <c r="K1015" i="2" l="1"/>
  <c r="M1015" i="2" s="1"/>
  <c r="J1016" i="2"/>
  <c r="I1016" i="2" s="1"/>
  <c r="E1017" i="2"/>
  <c r="J1017" i="2" s="1"/>
  <c r="B1018" i="2"/>
  <c r="D1018" i="2" s="1"/>
  <c r="C1018" i="2"/>
  <c r="F1018" i="2" s="1"/>
  <c r="A1019" i="2"/>
  <c r="I1017" i="2" l="1"/>
  <c r="G1017" i="2"/>
  <c r="K1016" i="2"/>
  <c r="E1018" i="2"/>
  <c r="J1018" i="2" s="1"/>
  <c r="B1019" i="2"/>
  <c r="D1019" i="2" s="1"/>
  <c r="C1019" i="2"/>
  <c r="F1019" i="2" s="1"/>
  <c r="A1020" i="2"/>
  <c r="I1018" i="2" l="1"/>
  <c r="K1017" i="2"/>
  <c r="M1017" i="2" s="1"/>
  <c r="M1016" i="2"/>
  <c r="G1018" i="2"/>
  <c r="K1018" i="2"/>
  <c r="M1018" i="2" s="1"/>
  <c r="E1019" i="2"/>
  <c r="G1019" i="2" s="1"/>
  <c r="A1021" i="2"/>
  <c r="B1020" i="2"/>
  <c r="D1020" i="2" s="1"/>
  <c r="C1020" i="2"/>
  <c r="F1020" i="2" s="1"/>
  <c r="J1019" i="2" l="1"/>
  <c r="I1019" i="2" s="1"/>
  <c r="E1020" i="2"/>
  <c r="G1020" i="2" s="1"/>
  <c r="A1022" i="2"/>
  <c r="B1021" i="2"/>
  <c r="D1021" i="2" s="1"/>
  <c r="C1021" i="2"/>
  <c r="F1021" i="2" s="1"/>
  <c r="K1019" i="2" l="1"/>
  <c r="M1019" i="2" s="1"/>
  <c r="J1020" i="2"/>
  <c r="I1020" i="2" s="1"/>
  <c r="E1021" i="2"/>
  <c r="J1021" i="2" s="1"/>
  <c r="B1022" i="2"/>
  <c r="D1022" i="2" s="1"/>
  <c r="C1022" i="2"/>
  <c r="F1022" i="2" s="1"/>
  <c r="A1023" i="2"/>
  <c r="K1020" i="2" l="1"/>
  <c r="M1020" i="2" s="1"/>
  <c r="I1021" i="2"/>
  <c r="G1021" i="2"/>
  <c r="E1022" i="2"/>
  <c r="J1022" i="2" s="1"/>
  <c r="K1021" i="2"/>
  <c r="M1021" i="2" s="1"/>
  <c r="A1024" i="2"/>
  <c r="B1023" i="2"/>
  <c r="D1023" i="2" s="1"/>
  <c r="C1023" i="2"/>
  <c r="F1023" i="2" s="1"/>
  <c r="I1022" i="2" l="1"/>
  <c r="G1022" i="2"/>
  <c r="K1022" i="2"/>
  <c r="M1022" i="2" s="1"/>
  <c r="E1023" i="2"/>
  <c r="G1023" i="2" s="1"/>
  <c r="A1025" i="2"/>
  <c r="B1024" i="2"/>
  <c r="D1024" i="2" s="1"/>
  <c r="C1024" i="2"/>
  <c r="F1024" i="2" s="1"/>
  <c r="J1023" i="2" l="1"/>
  <c r="I1023" i="2" s="1"/>
  <c r="E1024" i="2"/>
  <c r="G1024" i="2" s="1"/>
  <c r="K1023" i="2"/>
  <c r="M1023" i="2" s="1"/>
  <c r="B1025" i="2"/>
  <c r="D1025" i="2" s="1"/>
  <c r="C1025" i="2"/>
  <c r="F1025" i="2" s="1"/>
  <c r="A1026" i="2"/>
  <c r="J1024" i="2" l="1"/>
  <c r="I1024" i="2" s="1"/>
  <c r="E1025" i="2"/>
  <c r="G1025" i="2" s="1"/>
  <c r="K1024" i="2"/>
  <c r="M1024" i="2" s="1"/>
  <c r="A1027" i="2"/>
  <c r="C1026" i="2"/>
  <c r="F1026" i="2" s="1"/>
  <c r="B1026" i="2"/>
  <c r="D1026" i="2" s="1"/>
  <c r="J1025" i="2" l="1"/>
  <c r="I1025" i="2" s="1"/>
  <c r="E1026" i="2"/>
  <c r="G1026" i="2" s="1"/>
  <c r="A1028" i="2"/>
  <c r="C1027" i="2"/>
  <c r="F1027" i="2" s="1"/>
  <c r="B1027" i="2"/>
  <c r="D1027" i="2" s="1"/>
  <c r="K1025" i="2" l="1"/>
  <c r="M1025" i="2" s="1"/>
  <c r="J1026" i="2"/>
  <c r="I1026" i="2" s="1"/>
  <c r="E1027" i="2"/>
  <c r="B1028" i="2"/>
  <c r="D1028" i="2" s="1"/>
  <c r="C1028" i="2"/>
  <c r="F1028" i="2" s="1"/>
  <c r="A1029" i="2"/>
  <c r="K1026" i="2" l="1"/>
  <c r="M1026" i="2" s="1"/>
  <c r="J1027" i="2"/>
  <c r="I1027" i="2" s="1"/>
  <c r="E1028" i="2"/>
  <c r="J1028" i="2" s="1"/>
  <c r="G1027" i="2"/>
  <c r="A1030" i="2"/>
  <c r="B1029" i="2"/>
  <c r="D1029" i="2" s="1"/>
  <c r="C1029" i="2"/>
  <c r="F1029" i="2" s="1"/>
  <c r="I1028" i="2" l="1"/>
  <c r="G1028" i="2"/>
  <c r="E1029" i="2"/>
  <c r="G1029" i="2" s="1"/>
  <c r="K1027" i="2"/>
  <c r="A1031" i="2"/>
  <c r="C1030" i="2"/>
  <c r="F1030" i="2" s="1"/>
  <c r="B1030" i="2"/>
  <c r="D1030" i="2" s="1"/>
  <c r="K1028" i="2" l="1"/>
  <c r="M1028" i="2" s="1"/>
  <c r="M1027" i="2"/>
  <c r="J1029" i="2"/>
  <c r="I1029" i="2" s="1"/>
  <c r="E1030" i="2"/>
  <c r="G1030" i="2" s="1"/>
  <c r="B1031" i="2"/>
  <c r="D1031" i="2" s="1"/>
  <c r="C1031" i="2"/>
  <c r="F1031" i="2" s="1"/>
  <c r="A1032" i="2"/>
  <c r="K1029" i="2" l="1"/>
  <c r="M1029" i="2" s="1"/>
  <c r="J1030" i="2"/>
  <c r="I1030" i="2" s="1"/>
  <c r="E1031" i="2"/>
  <c r="J1031" i="2" s="1"/>
  <c r="C1032" i="2"/>
  <c r="F1032" i="2" s="1"/>
  <c r="A1033" i="2"/>
  <c r="B1032" i="2"/>
  <c r="D1032" i="2" s="1"/>
  <c r="I1031" i="2" l="1"/>
  <c r="K1030" i="2"/>
  <c r="M1030" i="2" s="1"/>
  <c r="G1031" i="2"/>
  <c r="E1032" i="2"/>
  <c r="G1032" i="2" s="1"/>
  <c r="A1034" i="2"/>
  <c r="C1033" i="2"/>
  <c r="F1033" i="2" s="1"/>
  <c r="B1033" i="2"/>
  <c r="D1033" i="2" s="1"/>
  <c r="K1031" i="2" l="1"/>
  <c r="M1031" i="2" s="1"/>
  <c r="J1032" i="2"/>
  <c r="I1032" i="2" s="1"/>
  <c r="E1033" i="2"/>
  <c r="B1034" i="2"/>
  <c r="D1034" i="2" s="1"/>
  <c r="C1034" i="2"/>
  <c r="F1034" i="2" s="1"/>
  <c r="A1035" i="2"/>
  <c r="E1034" i="2" l="1"/>
  <c r="J1034" i="2" s="1"/>
  <c r="K1032" i="2"/>
  <c r="M1032" i="2" s="1"/>
  <c r="J1033" i="2"/>
  <c r="I1033" i="2" s="1"/>
  <c r="G1033" i="2"/>
  <c r="B1035" i="2"/>
  <c r="D1035" i="2" s="1"/>
  <c r="C1035" i="2"/>
  <c r="F1035" i="2" s="1"/>
  <c r="A1036" i="2"/>
  <c r="I1034" i="2" l="1"/>
  <c r="G1034" i="2"/>
  <c r="E1035" i="2"/>
  <c r="J1035" i="2" s="1"/>
  <c r="K1033" i="2"/>
  <c r="A1037" i="2"/>
  <c r="B1036" i="2"/>
  <c r="D1036" i="2" s="1"/>
  <c r="C1036" i="2"/>
  <c r="F1036" i="2" s="1"/>
  <c r="I1035" i="2" l="1"/>
  <c r="G1035" i="2"/>
  <c r="M1033" i="2"/>
  <c r="K1034" i="2"/>
  <c r="E1036" i="2"/>
  <c r="G1036" i="2" s="1"/>
  <c r="A1038" i="2"/>
  <c r="B1037" i="2"/>
  <c r="D1037" i="2" s="1"/>
  <c r="C1037" i="2"/>
  <c r="F1037" i="2" s="1"/>
  <c r="E1037" i="2" l="1"/>
  <c r="G1037" i="2" s="1"/>
  <c r="J1036" i="2"/>
  <c r="I1036" i="2" s="1"/>
  <c r="M1034" i="2"/>
  <c r="K1035" i="2"/>
  <c r="M1035" i="2" s="1"/>
  <c r="B1038" i="2"/>
  <c r="D1038" i="2" s="1"/>
  <c r="C1038" i="2"/>
  <c r="F1038" i="2" s="1"/>
  <c r="A1039" i="2"/>
  <c r="J1037" i="2" l="1"/>
  <c r="I1037" i="2" s="1"/>
  <c r="E1038" i="2"/>
  <c r="G1038" i="2" s="1"/>
  <c r="K1036" i="2"/>
  <c r="B1039" i="2"/>
  <c r="D1039" i="2" s="1"/>
  <c r="C1039" i="2"/>
  <c r="F1039" i="2" s="1"/>
  <c r="A1040" i="2"/>
  <c r="J1038" i="2" l="1"/>
  <c r="I1038" i="2" s="1"/>
  <c r="E1039" i="2"/>
  <c r="G1039" i="2" s="1"/>
  <c r="M1036" i="2"/>
  <c r="K1037" i="2"/>
  <c r="A1041" i="2"/>
  <c r="C1040" i="2"/>
  <c r="F1040" i="2" s="1"/>
  <c r="B1040" i="2"/>
  <c r="D1040" i="2" s="1"/>
  <c r="J1039" i="2" l="1"/>
  <c r="I1039" i="2" s="1"/>
  <c r="E1040" i="2"/>
  <c r="G1040" i="2" s="1"/>
  <c r="M1037" i="2"/>
  <c r="K1038" i="2"/>
  <c r="B1041" i="2"/>
  <c r="D1041" i="2" s="1"/>
  <c r="C1041" i="2"/>
  <c r="F1041" i="2" s="1"/>
  <c r="A1042" i="2"/>
  <c r="J1040" i="2" l="1"/>
  <c r="I1040" i="2" s="1"/>
  <c r="E1041" i="2"/>
  <c r="J1041" i="2" s="1"/>
  <c r="I1041" i="2" s="1"/>
  <c r="M1038" i="2"/>
  <c r="K1039" i="2"/>
  <c r="A1043" i="2"/>
  <c r="B1042" i="2"/>
  <c r="D1042" i="2" s="1"/>
  <c r="C1042" i="2"/>
  <c r="F1042" i="2" s="1"/>
  <c r="G1041" i="2" l="1"/>
  <c r="M1039" i="2"/>
  <c r="K1040" i="2"/>
  <c r="E1042" i="2"/>
  <c r="J1042" i="2" s="1"/>
  <c r="I1042" i="2" s="1"/>
  <c r="A1044" i="2"/>
  <c r="C1043" i="2"/>
  <c r="F1043" i="2" s="1"/>
  <c r="B1043" i="2"/>
  <c r="D1043" i="2" s="1"/>
  <c r="E1043" i="2" l="1"/>
  <c r="J1043" i="2" s="1"/>
  <c r="I1043" i="2" s="1"/>
  <c r="G1042" i="2"/>
  <c r="M1040" i="2"/>
  <c r="K1041" i="2"/>
  <c r="B1044" i="2"/>
  <c r="D1044" i="2" s="1"/>
  <c r="C1044" i="2"/>
  <c r="F1044" i="2" s="1"/>
  <c r="A1045" i="2"/>
  <c r="M1041" i="2" l="1"/>
  <c r="K1042" i="2"/>
  <c r="M1042" i="2" s="1"/>
  <c r="G1043" i="2"/>
  <c r="E1044" i="2"/>
  <c r="G1044" i="2" s="1"/>
  <c r="A1046" i="2"/>
  <c r="B1045" i="2"/>
  <c r="D1045" i="2" s="1"/>
  <c r="C1045" i="2"/>
  <c r="F1045" i="2" s="1"/>
  <c r="K1043" i="2" l="1"/>
  <c r="J1044" i="2"/>
  <c r="I1044" i="2" s="1"/>
  <c r="E1045" i="2"/>
  <c r="G1045" i="2" s="1"/>
  <c r="A1047" i="2"/>
  <c r="B1046" i="2"/>
  <c r="D1046" i="2" s="1"/>
  <c r="C1046" i="2"/>
  <c r="F1046" i="2" s="1"/>
  <c r="M1043" i="2" l="1"/>
  <c r="K1044" i="2"/>
  <c r="J1045" i="2"/>
  <c r="I1045" i="2" s="1"/>
  <c r="E1046" i="2"/>
  <c r="J1046" i="2" s="1"/>
  <c r="B1047" i="2"/>
  <c r="D1047" i="2" s="1"/>
  <c r="C1047" i="2"/>
  <c r="F1047" i="2" s="1"/>
  <c r="A1048" i="2"/>
  <c r="M1044" i="2" l="1"/>
  <c r="K1045" i="2"/>
  <c r="M1045" i="2" s="1"/>
  <c r="G1046" i="2"/>
  <c r="I1046" i="2"/>
  <c r="K1046" i="2"/>
  <c r="M1046" i="2" s="1"/>
  <c r="E1047" i="2"/>
  <c r="G1047" i="2" s="1"/>
  <c r="C1048" i="2"/>
  <c r="F1048" i="2" s="1"/>
  <c r="A1049" i="2"/>
  <c r="B1048" i="2"/>
  <c r="D1048" i="2" s="1"/>
  <c r="J1047" i="2" l="1"/>
  <c r="I1047" i="2" s="1"/>
  <c r="E1048" i="2"/>
  <c r="J1048" i="2" s="1"/>
  <c r="B1049" i="2"/>
  <c r="D1049" i="2" s="1"/>
  <c r="A1050" i="2"/>
  <c r="C1049" i="2"/>
  <c r="F1049" i="2" s="1"/>
  <c r="K1047" i="2" l="1"/>
  <c r="K1048" i="2" s="1"/>
  <c r="M1048" i="2" s="1"/>
  <c r="G1048" i="2"/>
  <c r="I1048" i="2"/>
  <c r="E1049" i="2"/>
  <c r="G1049" i="2" s="1"/>
  <c r="B1050" i="2"/>
  <c r="D1050" i="2" s="1"/>
  <c r="A1051" i="2"/>
  <c r="C1050" i="2"/>
  <c r="F1050" i="2" s="1"/>
  <c r="M1047" i="2" l="1"/>
  <c r="J1049" i="2"/>
  <c r="I1049" i="2" s="1"/>
  <c r="E1050" i="2"/>
  <c r="J1050" i="2" s="1"/>
  <c r="B1051" i="2"/>
  <c r="D1051" i="2" s="1"/>
  <c r="C1051" i="2"/>
  <c r="F1051" i="2" s="1"/>
  <c r="A1052" i="2"/>
  <c r="I1050" i="2" l="1"/>
  <c r="K1049" i="2"/>
  <c r="G1050" i="2"/>
  <c r="E1051" i="2"/>
  <c r="G1051" i="2" s="1"/>
  <c r="A1053" i="2"/>
  <c r="C1052" i="2"/>
  <c r="F1052" i="2" s="1"/>
  <c r="B1052" i="2"/>
  <c r="D1052" i="2" s="1"/>
  <c r="M1049" i="2" l="1"/>
  <c r="K1050" i="2"/>
  <c r="M1050" i="2" s="1"/>
  <c r="J1051" i="2"/>
  <c r="I1051" i="2" s="1"/>
  <c r="E1052" i="2"/>
  <c r="G1052" i="2" s="1"/>
  <c r="A1054" i="2"/>
  <c r="C1053" i="2"/>
  <c r="F1053" i="2" s="1"/>
  <c r="B1053" i="2"/>
  <c r="D1053" i="2" s="1"/>
  <c r="K1051" i="2" l="1"/>
  <c r="J1052" i="2"/>
  <c r="I1052" i="2" s="1"/>
  <c r="E1053" i="2"/>
  <c r="J1053" i="2" s="1"/>
  <c r="B1054" i="2"/>
  <c r="D1054" i="2" s="1"/>
  <c r="A1055" i="2"/>
  <c r="C1054" i="2"/>
  <c r="F1054" i="2" s="1"/>
  <c r="I1053" i="2" l="1"/>
  <c r="M1051" i="2"/>
  <c r="K1052" i="2"/>
  <c r="M1052" i="2" s="1"/>
  <c r="G1053" i="2"/>
  <c r="E1054" i="2"/>
  <c r="J1054" i="2" s="1"/>
  <c r="K1053" i="2"/>
  <c r="M1053" i="2" s="1"/>
  <c r="A1056" i="2"/>
  <c r="C1055" i="2"/>
  <c r="F1055" i="2" s="1"/>
  <c r="B1055" i="2"/>
  <c r="D1055" i="2" s="1"/>
  <c r="I1054" i="2" l="1"/>
  <c r="G1054" i="2"/>
  <c r="K1054" i="2"/>
  <c r="E1055" i="2"/>
  <c r="G1055" i="2" s="1"/>
  <c r="A1057" i="2"/>
  <c r="B1056" i="2"/>
  <c r="D1056" i="2" s="1"/>
  <c r="C1056" i="2"/>
  <c r="F1056" i="2" s="1"/>
  <c r="M1054" i="2" l="1"/>
  <c r="J1055" i="2"/>
  <c r="I1055" i="2" s="1"/>
  <c r="E1056" i="2"/>
  <c r="J1056" i="2" s="1"/>
  <c r="B1057" i="2"/>
  <c r="D1057" i="2" s="1"/>
  <c r="A1058" i="2"/>
  <c r="C1057" i="2"/>
  <c r="F1057" i="2" s="1"/>
  <c r="K1055" i="2" l="1"/>
  <c r="M1055" i="2" s="1"/>
  <c r="I1056" i="2"/>
  <c r="G1056" i="2"/>
  <c r="E1057" i="2"/>
  <c r="J1057" i="2" s="1"/>
  <c r="I1057" i="2" s="1"/>
  <c r="K1056" i="2"/>
  <c r="M1056" i="2" s="1"/>
  <c r="A1059" i="2"/>
  <c r="B1058" i="2"/>
  <c r="D1058" i="2" s="1"/>
  <c r="C1058" i="2"/>
  <c r="F1058" i="2" s="1"/>
  <c r="G1057" i="2" l="1"/>
  <c r="E1058" i="2"/>
  <c r="J1058" i="2" s="1"/>
  <c r="I1058" i="2" s="1"/>
  <c r="K1057" i="2"/>
  <c r="M1057" i="2" s="1"/>
  <c r="A1060" i="2"/>
  <c r="C1059" i="2"/>
  <c r="F1059" i="2" s="1"/>
  <c r="B1059" i="2"/>
  <c r="D1059" i="2" s="1"/>
  <c r="G1058" i="2" l="1"/>
  <c r="K1058" i="2"/>
  <c r="M1058" i="2" s="1"/>
  <c r="E1059" i="2"/>
  <c r="B1060" i="2"/>
  <c r="D1060" i="2" s="1"/>
  <c r="A1061" i="2"/>
  <c r="C1060" i="2"/>
  <c r="F1060" i="2" s="1"/>
  <c r="G1059" i="2" l="1"/>
  <c r="J1059" i="2"/>
  <c r="I1059" i="2" s="1"/>
  <c r="E1060" i="2"/>
  <c r="J1060" i="2" s="1"/>
  <c r="A1062" i="2"/>
  <c r="C1061" i="2"/>
  <c r="F1061" i="2" s="1"/>
  <c r="B1061" i="2"/>
  <c r="D1061" i="2" s="1"/>
  <c r="I1060" i="2" l="1"/>
  <c r="K1059" i="2"/>
  <c r="M1059" i="2" s="1"/>
  <c r="G1060" i="2"/>
  <c r="E1061" i="2"/>
  <c r="G1061" i="2" s="1"/>
  <c r="K1060" i="2"/>
  <c r="M1060" i="2" s="1"/>
  <c r="A1063" i="2"/>
  <c r="C1062" i="2"/>
  <c r="F1062" i="2" s="1"/>
  <c r="B1062" i="2"/>
  <c r="D1062" i="2" s="1"/>
  <c r="J1061" i="2" l="1"/>
  <c r="I1061" i="2" s="1"/>
  <c r="E1062" i="2"/>
  <c r="J1062" i="2" s="1"/>
  <c r="C1063" i="2"/>
  <c r="F1063" i="2" s="1"/>
  <c r="B1063" i="2"/>
  <c r="D1063" i="2" s="1"/>
  <c r="A1064" i="2"/>
  <c r="K1061" i="2" l="1"/>
  <c r="M1061" i="2" s="1"/>
  <c r="G1062" i="2"/>
  <c r="I1062" i="2"/>
  <c r="E1063" i="2"/>
  <c r="J1063" i="2" s="1"/>
  <c r="I1063" i="2" s="1"/>
  <c r="C1064" i="2"/>
  <c r="F1064" i="2" s="1"/>
  <c r="B1064" i="2"/>
  <c r="D1064" i="2" s="1"/>
  <c r="A1065" i="2"/>
  <c r="K1062" i="2" l="1"/>
  <c r="M1062" i="2" s="1"/>
  <c r="G1063" i="2"/>
  <c r="K1063" i="2"/>
  <c r="M1063" i="2" s="1"/>
  <c r="E1064" i="2"/>
  <c r="G1064" i="2" s="1"/>
  <c r="B1065" i="2"/>
  <c r="D1065" i="2" s="1"/>
  <c r="C1065" i="2"/>
  <c r="F1065" i="2" s="1"/>
  <c r="A1066" i="2"/>
  <c r="J1064" i="2" l="1"/>
  <c r="I1064" i="2" s="1"/>
  <c r="E1065" i="2"/>
  <c r="G1065" i="2" s="1"/>
  <c r="A1067" i="2"/>
  <c r="B1066" i="2"/>
  <c r="D1066" i="2" s="1"/>
  <c r="C1066" i="2"/>
  <c r="F1066" i="2" s="1"/>
  <c r="K1064" i="2" l="1"/>
  <c r="M1064" i="2" s="1"/>
  <c r="J1065" i="2"/>
  <c r="I1065" i="2" s="1"/>
  <c r="E1066" i="2"/>
  <c r="G1066" i="2" s="1"/>
  <c r="B1067" i="2"/>
  <c r="D1067" i="2" s="1"/>
  <c r="A1068" i="2"/>
  <c r="C1067" i="2"/>
  <c r="F1067" i="2" s="1"/>
  <c r="K1065" i="2" l="1"/>
  <c r="M1065" i="2" s="1"/>
  <c r="J1066" i="2"/>
  <c r="I1066" i="2" s="1"/>
  <c r="E1067" i="2"/>
  <c r="J1067" i="2" s="1"/>
  <c r="I1067" i="2" s="1"/>
  <c r="A1069" i="2"/>
  <c r="B1068" i="2"/>
  <c r="D1068" i="2" s="1"/>
  <c r="C1068" i="2"/>
  <c r="F1068" i="2" s="1"/>
  <c r="K1066" i="2" l="1"/>
  <c r="M1066" i="2" s="1"/>
  <c r="G1067" i="2"/>
  <c r="E1068" i="2"/>
  <c r="G1068" i="2" s="1"/>
  <c r="A1070" i="2"/>
  <c r="C1069" i="2"/>
  <c r="F1069" i="2" s="1"/>
  <c r="B1069" i="2"/>
  <c r="D1069" i="2" s="1"/>
  <c r="K1067" i="2" l="1"/>
  <c r="M1067" i="2" s="1"/>
  <c r="J1068" i="2"/>
  <c r="I1068" i="2" s="1"/>
  <c r="E1069" i="2"/>
  <c r="G1069" i="2" s="1"/>
  <c r="B1070" i="2"/>
  <c r="D1070" i="2" s="1"/>
  <c r="C1070" i="2"/>
  <c r="F1070" i="2" s="1"/>
  <c r="A1071" i="2"/>
  <c r="K1068" i="2" l="1"/>
  <c r="M1068" i="2" s="1"/>
  <c r="J1069" i="2"/>
  <c r="I1069" i="2" s="1"/>
  <c r="E1070" i="2"/>
  <c r="G1070" i="2" s="1"/>
  <c r="K1069" i="2"/>
  <c r="M1069" i="2" s="1"/>
  <c r="B1071" i="2"/>
  <c r="D1071" i="2" s="1"/>
  <c r="A1072" i="2"/>
  <c r="C1071" i="2"/>
  <c r="F1071" i="2" s="1"/>
  <c r="J1070" i="2" l="1"/>
  <c r="I1070" i="2" s="1"/>
  <c r="E1071" i="2"/>
  <c r="G1071" i="2" s="1"/>
  <c r="A1073" i="2"/>
  <c r="B1072" i="2"/>
  <c r="D1072" i="2" s="1"/>
  <c r="C1072" i="2"/>
  <c r="F1072" i="2" s="1"/>
  <c r="K1070" i="2" l="1"/>
  <c r="M1070" i="2" s="1"/>
  <c r="J1071" i="2"/>
  <c r="I1071" i="2" s="1"/>
  <c r="E1072" i="2"/>
  <c r="B1073" i="2"/>
  <c r="D1073" i="2" s="1"/>
  <c r="A1074" i="2"/>
  <c r="C1073" i="2"/>
  <c r="F1073" i="2" s="1"/>
  <c r="K1071" i="2" l="1"/>
  <c r="M1071" i="2" s="1"/>
  <c r="G1072" i="2"/>
  <c r="J1072" i="2"/>
  <c r="I1072" i="2" s="1"/>
  <c r="E1073" i="2"/>
  <c r="G1073" i="2" s="1"/>
  <c r="C1074" i="2"/>
  <c r="F1074" i="2" s="1"/>
  <c r="B1074" i="2"/>
  <c r="D1074" i="2" s="1"/>
  <c r="A1075" i="2"/>
  <c r="K1072" i="2" l="1"/>
  <c r="M1072" i="2" s="1"/>
  <c r="J1073" i="2"/>
  <c r="I1073" i="2" s="1"/>
  <c r="E1074" i="2"/>
  <c r="G1074" i="2" s="1"/>
  <c r="B1075" i="2"/>
  <c r="D1075" i="2" s="1"/>
  <c r="A1076" i="2"/>
  <c r="C1075" i="2"/>
  <c r="F1075" i="2" s="1"/>
  <c r="K1073" i="2" l="1"/>
  <c r="M1073" i="2" s="1"/>
  <c r="J1074" i="2"/>
  <c r="I1074" i="2" s="1"/>
  <c r="E1075" i="2"/>
  <c r="G1075" i="2" s="1"/>
  <c r="C1076" i="2"/>
  <c r="F1076" i="2" s="1"/>
  <c r="B1076" i="2"/>
  <c r="D1076" i="2" s="1"/>
  <c r="A1077" i="2"/>
  <c r="K1074" i="2" l="1"/>
  <c r="M1074" i="2" s="1"/>
  <c r="J1075" i="2"/>
  <c r="I1075" i="2" s="1"/>
  <c r="E1076" i="2"/>
  <c r="G1076" i="2" s="1"/>
  <c r="A1078" i="2"/>
  <c r="C1077" i="2"/>
  <c r="F1077" i="2" s="1"/>
  <c r="B1077" i="2"/>
  <c r="D1077" i="2" s="1"/>
  <c r="J1076" i="2" l="1"/>
  <c r="I1076" i="2" s="1"/>
  <c r="E1077" i="2"/>
  <c r="G1077" i="2" s="1"/>
  <c r="K1075" i="2"/>
  <c r="C1078" i="2"/>
  <c r="F1078" i="2" s="1"/>
  <c r="A1079" i="2"/>
  <c r="B1078" i="2"/>
  <c r="D1078" i="2" s="1"/>
  <c r="J1077" i="2" l="1"/>
  <c r="I1077" i="2" s="1"/>
  <c r="M1075" i="2"/>
  <c r="K1076" i="2"/>
  <c r="E1078" i="2"/>
  <c r="J1078" i="2" s="1"/>
  <c r="A1080" i="2"/>
  <c r="B1079" i="2"/>
  <c r="D1079" i="2" s="1"/>
  <c r="C1079" i="2"/>
  <c r="F1079" i="2" s="1"/>
  <c r="I1078" i="2" l="1"/>
  <c r="E1079" i="2"/>
  <c r="G1079" i="2" s="1"/>
  <c r="G1078" i="2"/>
  <c r="M1076" i="2"/>
  <c r="K1077" i="2"/>
  <c r="M1077" i="2" s="1"/>
  <c r="C1080" i="2"/>
  <c r="F1080" i="2" s="1"/>
  <c r="B1080" i="2"/>
  <c r="D1080" i="2" s="1"/>
  <c r="A1081" i="2"/>
  <c r="J1079" i="2" l="1"/>
  <c r="I1079" i="2" s="1"/>
  <c r="E1080" i="2"/>
  <c r="J1080" i="2" s="1"/>
  <c r="I1080" i="2" s="1"/>
  <c r="K1078" i="2"/>
  <c r="A1082" i="2"/>
  <c r="B1081" i="2"/>
  <c r="D1081" i="2" s="1"/>
  <c r="C1081" i="2"/>
  <c r="F1081" i="2" s="1"/>
  <c r="G1080" i="2" l="1"/>
  <c r="E1081" i="2"/>
  <c r="G1081" i="2" s="1"/>
  <c r="M1078" i="2"/>
  <c r="K1079" i="2"/>
  <c r="B1082" i="2"/>
  <c r="D1082" i="2" s="1"/>
  <c r="C1082" i="2"/>
  <c r="F1082" i="2" s="1"/>
  <c r="A1083" i="2"/>
  <c r="J1081" i="2" l="1"/>
  <c r="I1081" i="2" s="1"/>
  <c r="E1082" i="2"/>
  <c r="G1082" i="2" s="1"/>
  <c r="M1079" i="2"/>
  <c r="K1080" i="2"/>
  <c r="B1083" i="2"/>
  <c r="D1083" i="2" s="1"/>
  <c r="A1084" i="2"/>
  <c r="C1083" i="2"/>
  <c r="F1083" i="2" s="1"/>
  <c r="J1082" i="2" l="1"/>
  <c r="I1082" i="2" s="1"/>
  <c r="E1083" i="2"/>
  <c r="J1083" i="2" s="1"/>
  <c r="M1080" i="2"/>
  <c r="K1081" i="2"/>
  <c r="B1084" i="2"/>
  <c r="D1084" i="2" s="1"/>
  <c r="A1085" i="2"/>
  <c r="C1084" i="2"/>
  <c r="F1084" i="2" s="1"/>
  <c r="I1083" i="2" l="1"/>
  <c r="G1083" i="2"/>
  <c r="E1084" i="2"/>
  <c r="G1084" i="2" s="1"/>
  <c r="M1081" i="2"/>
  <c r="K1082" i="2"/>
  <c r="A1086" i="2"/>
  <c r="B1085" i="2"/>
  <c r="D1085" i="2" s="1"/>
  <c r="C1085" i="2"/>
  <c r="F1085" i="2" s="1"/>
  <c r="J1084" i="2" l="1"/>
  <c r="I1084" i="2" s="1"/>
  <c r="E1085" i="2"/>
  <c r="J1085" i="2" s="1"/>
  <c r="M1082" i="2"/>
  <c r="K1083" i="2"/>
  <c r="B1086" i="2"/>
  <c r="D1086" i="2" s="1"/>
  <c r="C1086" i="2"/>
  <c r="F1086" i="2" s="1"/>
  <c r="A1087" i="2"/>
  <c r="I1085" i="2" l="1"/>
  <c r="G1085" i="2"/>
  <c r="E1086" i="2"/>
  <c r="J1086" i="2" s="1"/>
  <c r="I1086" i="2" s="1"/>
  <c r="M1083" i="2"/>
  <c r="K1084" i="2"/>
  <c r="B1087" i="2"/>
  <c r="D1087" i="2" s="1"/>
  <c r="A1088" i="2"/>
  <c r="C1087" i="2"/>
  <c r="F1087" i="2" s="1"/>
  <c r="G1086" i="2" l="1"/>
  <c r="E1087" i="2"/>
  <c r="J1087" i="2" s="1"/>
  <c r="I1087" i="2" s="1"/>
  <c r="M1084" i="2"/>
  <c r="K1085" i="2"/>
  <c r="A1089" i="2"/>
  <c r="B1088" i="2"/>
  <c r="D1088" i="2" s="1"/>
  <c r="C1088" i="2"/>
  <c r="F1088" i="2" s="1"/>
  <c r="G1087" i="2" l="1"/>
  <c r="M1085" i="2"/>
  <c r="K1086" i="2"/>
  <c r="E1088" i="2"/>
  <c r="J1088" i="2" s="1"/>
  <c r="I1088" i="2" s="1"/>
  <c r="A1090" i="2"/>
  <c r="B1089" i="2"/>
  <c r="D1089" i="2" s="1"/>
  <c r="C1089" i="2"/>
  <c r="F1089" i="2" s="1"/>
  <c r="G1088" i="2" l="1"/>
  <c r="E1089" i="2"/>
  <c r="G1089" i="2" s="1"/>
  <c r="M1086" i="2"/>
  <c r="K1087" i="2"/>
  <c r="A1091" i="2"/>
  <c r="C1090" i="2"/>
  <c r="F1090" i="2" s="1"/>
  <c r="B1090" i="2"/>
  <c r="D1090" i="2" s="1"/>
  <c r="J1089" i="2" l="1"/>
  <c r="I1089" i="2" s="1"/>
  <c r="M1087" i="2"/>
  <c r="K1088" i="2"/>
  <c r="E1090" i="2"/>
  <c r="G1090" i="2" s="1"/>
  <c r="A1092" i="2"/>
  <c r="B1091" i="2"/>
  <c r="D1091" i="2" s="1"/>
  <c r="C1091" i="2"/>
  <c r="F1091" i="2" s="1"/>
  <c r="E1091" i="2" l="1"/>
  <c r="G1091" i="2" s="1"/>
  <c r="J1090" i="2"/>
  <c r="I1090" i="2" s="1"/>
  <c r="M1088" i="2"/>
  <c r="K1089" i="2"/>
  <c r="M1089" i="2" s="1"/>
  <c r="B1092" i="2"/>
  <c r="D1092" i="2" s="1"/>
  <c r="A1093" i="2"/>
  <c r="C1092" i="2"/>
  <c r="F1092" i="2" s="1"/>
  <c r="J1091" i="2" l="1"/>
  <c r="I1091" i="2" s="1"/>
  <c r="E1092" i="2"/>
  <c r="G1092" i="2" s="1"/>
  <c r="K1090" i="2"/>
  <c r="A1094" i="2"/>
  <c r="C1093" i="2"/>
  <c r="F1093" i="2" s="1"/>
  <c r="B1093" i="2"/>
  <c r="D1093" i="2" s="1"/>
  <c r="J1092" i="2" l="1"/>
  <c r="I1092" i="2" s="1"/>
  <c r="E1093" i="2"/>
  <c r="J1093" i="2" s="1"/>
  <c r="M1090" i="2"/>
  <c r="K1091" i="2"/>
  <c r="B1094" i="2"/>
  <c r="D1094" i="2" s="1"/>
  <c r="C1094" i="2"/>
  <c r="F1094" i="2" s="1"/>
  <c r="A1095" i="2"/>
  <c r="I1093" i="2" l="1"/>
  <c r="G1093" i="2"/>
  <c r="M1091" i="2"/>
  <c r="K1092" i="2"/>
  <c r="E1094" i="2"/>
  <c r="J1094" i="2" s="1"/>
  <c r="I1094" i="2" s="1"/>
  <c r="C1095" i="2"/>
  <c r="F1095" i="2" s="1"/>
  <c r="A1096" i="2"/>
  <c r="B1095" i="2"/>
  <c r="D1095" i="2" s="1"/>
  <c r="E1095" i="2" l="1"/>
  <c r="G1095" i="2" s="1"/>
  <c r="G1094" i="2"/>
  <c r="M1092" i="2"/>
  <c r="K1093" i="2"/>
  <c r="M1093" i="2" s="1"/>
  <c r="C1096" i="2"/>
  <c r="F1096" i="2" s="1"/>
  <c r="A1097" i="2"/>
  <c r="B1096" i="2"/>
  <c r="D1096" i="2" s="1"/>
  <c r="J1095" i="2" l="1"/>
  <c r="I1095" i="2" s="1"/>
  <c r="E1096" i="2"/>
  <c r="J1096" i="2" s="1"/>
  <c r="K1094" i="2"/>
  <c r="B1097" i="2"/>
  <c r="D1097" i="2" s="1"/>
  <c r="C1097" i="2"/>
  <c r="F1097" i="2" s="1"/>
  <c r="A1098" i="2"/>
  <c r="I1096" i="2" l="1"/>
  <c r="G1096" i="2"/>
  <c r="E1097" i="2"/>
  <c r="J1097" i="2" s="1"/>
  <c r="I1097" i="2" s="1"/>
  <c r="M1094" i="2"/>
  <c r="K1095" i="2"/>
  <c r="B1098" i="2"/>
  <c r="D1098" i="2" s="1"/>
  <c r="C1098" i="2"/>
  <c r="F1098" i="2" s="1"/>
  <c r="A1099" i="2"/>
  <c r="G1097" i="2" l="1"/>
  <c r="M1095" i="2"/>
  <c r="K1096" i="2"/>
  <c r="E1098" i="2"/>
  <c r="G1098" i="2" s="1"/>
  <c r="B1099" i="2"/>
  <c r="D1099" i="2" s="1"/>
  <c r="A1100" i="2"/>
  <c r="C1099" i="2"/>
  <c r="F1099" i="2" s="1"/>
  <c r="J1098" i="2" l="1"/>
  <c r="I1098" i="2" s="1"/>
  <c r="E1099" i="2"/>
  <c r="J1099" i="2" s="1"/>
  <c r="M1096" i="2"/>
  <c r="K1097" i="2"/>
  <c r="A1101" i="2"/>
  <c r="B1100" i="2"/>
  <c r="D1100" i="2" s="1"/>
  <c r="C1100" i="2"/>
  <c r="F1100" i="2" s="1"/>
  <c r="I1099" i="2" l="1"/>
  <c r="G1099" i="2"/>
  <c r="E1100" i="2"/>
  <c r="G1100" i="2" s="1"/>
  <c r="M1097" i="2"/>
  <c r="K1098" i="2"/>
  <c r="B1101" i="2"/>
  <c r="D1101" i="2" s="1"/>
  <c r="C1101" i="2"/>
  <c r="F1101" i="2" s="1"/>
  <c r="A1102" i="2"/>
  <c r="J1100" i="2" l="1"/>
  <c r="I1100" i="2" s="1"/>
  <c r="E1101" i="2"/>
  <c r="G1101" i="2" s="1"/>
  <c r="M1098" i="2"/>
  <c r="K1099" i="2"/>
  <c r="B1102" i="2"/>
  <c r="D1102" i="2" s="1"/>
  <c r="C1102" i="2"/>
  <c r="F1102" i="2" s="1"/>
  <c r="A1103" i="2"/>
  <c r="E1102" i="2" l="1"/>
  <c r="J1102" i="2" s="1"/>
  <c r="J1101" i="2"/>
  <c r="I1101" i="2" s="1"/>
  <c r="M1099" i="2"/>
  <c r="K1100" i="2"/>
  <c r="B1103" i="2"/>
  <c r="D1103" i="2" s="1"/>
  <c r="A1104" i="2"/>
  <c r="C1103" i="2"/>
  <c r="F1103" i="2" s="1"/>
  <c r="I1102" i="2" l="1"/>
  <c r="G1102" i="2"/>
  <c r="E1103" i="2"/>
  <c r="G1103" i="2" s="1"/>
  <c r="M1100" i="2"/>
  <c r="K1101" i="2"/>
  <c r="A1105" i="2"/>
  <c r="C1104" i="2"/>
  <c r="F1104" i="2" s="1"/>
  <c r="B1104" i="2"/>
  <c r="D1104" i="2" s="1"/>
  <c r="J1103" i="2" l="1"/>
  <c r="I1103" i="2" s="1"/>
  <c r="M1101" i="2"/>
  <c r="K1102" i="2"/>
  <c r="E1104" i="2"/>
  <c r="G1104" i="2" s="1"/>
  <c r="A1106" i="2"/>
  <c r="C1105" i="2"/>
  <c r="F1105" i="2" s="1"/>
  <c r="B1105" i="2"/>
  <c r="D1105" i="2" s="1"/>
  <c r="J1104" i="2" l="1"/>
  <c r="I1104" i="2" s="1"/>
  <c r="M1102" i="2"/>
  <c r="K1103" i="2"/>
  <c r="E1105" i="2"/>
  <c r="G1105" i="2" s="1"/>
  <c r="B1106" i="2"/>
  <c r="D1106" i="2" s="1"/>
  <c r="C1106" i="2"/>
  <c r="F1106" i="2" s="1"/>
  <c r="A1107" i="2"/>
  <c r="J1105" i="2" l="1"/>
  <c r="I1105" i="2" s="1"/>
  <c r="M1103" i="2"/>
  <c r="K1104" i="2"/>
  <c r="M1104" i="2" s="1"/>
  <c r="E1106" i="2"/>
  <c r="G1106" i="2" s="1"/>
  <c r="B1107" i="2"/>
  <c r="D1107" i="2" s="1"/>
  <c r="A1108" i="2"/>
  <c r="C1107" i="2"/>
  <c r="F1107" i="2" s="1"/>
  <c r="E1107" i="2" l="1"/>
  <c r="G1107" i="2" s="1"/>
  <c r="J1106" i="2"/>
  <c r="I1106" i="2" s="1"/>
  <c r="K1105" i="2"/>
  <c r="B1108" i="2"/>
  <c r="D1108" i="2" s="1"/>
  <c r="A1109" i="2"/>
  <c r="C1108" i="2"/>
  <c r="F1108" i="2" s="1"/>
  <c r="J1107" i="2" l="1"/>
  <c r="I1107" i="2" s="1"/>
  <c r="E1108" i="2"/>
  <c r="J1108" i="2" s="1"/>
  <c r="M1105" i="2"/>
  <c r="K1106" i="2"/>
  <c r="A1110" i="2"/>
  <c r="B1109" i="2"/>
  <c r="D1109" i="2" s="1"/>
  <c r="C1109" i="2"/>
  <c r="F1109" i="2" s="1"/>
  <c r="I1108" i="2" l="1"/>
  <c r="G1108" i="2"/>
  <c r="M1106" i="2"/>
  <c r="K1107" i="2"/>
  <c r="E1109" i="2"/>
  <c r="J1109" i="2" s="1"/>
  <c r="I1109" i="2" s="1"/>
  <c r="A1111" i="2"/>
  <c r="C1110" i="2"/>
  <c r="F1110" i="2" s="1"/>
  <c r="B1110" i="2"/>
  <c r="D1110" i="2" s="1"/>
  <c r="G1109" i="2" l="1"/>
  <c r="E1110" i="2"/>
  <c r="J1110" i="2" s="1"/>
  <c r="I1110" i="2" s="1"/>
  <c r="M1107" i="2"/>
  <c r="K1108" i="2"/>
  <c r="B1111" i="2"/>
  <c r="D1111" i="2" s="1"/>
  <c r="A1112" i="2"/>
  <c r="C1111" i="2"/>
  <c r="F1111" i="2" s="1"/>
  <c r="G1110" i="2" l="1"/>
  <c r="E1111" i="2"/>
  <c r="G1111" i="2" s="1"/>
  <c r="M1108" i="2"/>
  <c r="K1109" i="2"/>
  <c r="A1113" i="2"/>
  <c r="C1112" i="2"/>
  <c r="F1112" i="2" s="1"/>
  <c r="B1112" i="2"/>
  <c r="D1112" i="2" s="1"/>
  <c r="J1111" i="2" l="1"/>
  <c r="I1111" i="2" s="1"/>
  <c r="E1112" i="2"/>
  <c r="J1112" i="2" s="1"/>
  <c r="M1109" i="2"/>
  <c r="K1110" i="2"/>
  <c r="A1114" i="2"/>
  <c r="C1113" i="2"/>
  <c r="F1113" i="2" s="1"/>
  <c r="B1113" i="2"/>
  <c r="D1113" i="2" s="1"/>
  <c r="I1112" i="2" l="1"/>
  <c r="G1112" i="2"/>
  <c r="E1113" i="2"/>
  <c r="J1113" i="2" s="1"/>
  <c r="I1113" i="2" s="1"/>
  <c r="M1110" i="2"/>
  <c r="K1111" i="2"/>
  <c r="B1114" i="2"/>
  <c r="D1114" i="2" s="1"/>
  <c r="C1114" i="2"/>
  <c r="F1114" i="2" s="1"/>
  <c r="A1115" i="2"/>
  <c r="G1113" i="2" l="1"/>
  <c r="M1111" i="2"/>
  <c r="K1112" i="2"/>
  <c r="E1114" i="2"/>
  <c r="G1114" i="2" s="1"/>
  <c r="C1115" i="2"/>
  <c r="F1115" i="2" s="1"/>
  <c r="B1115" i="2"/>
  <c r="D1115" i="2" s="1"/>
  <c r="A1116" i="2"/>
  <c r="J1114" i="2" l="1"/>
  <c r="I1114" i="2" s="1"/>
  <c r="E1115" i="2"/>
  <c r="G1115" i="2" s="1"/>
  <c r="M1112" i="2"/>
  <c r="K1113" i="2"/>
  <c r="A1117" i="2"/>
  <c r="C1116" i="2"/>
  <c r="F1116" i="2" s="1"/>
  <c r="B1116" i="2"/>
  <c r="D1116" i="2" s="1"/>
  <c r="J1115" i="2" l="1"/>
  <c r="I1115" i="2" s="1"/>
  <c r="M1113" i="2"/>
  <c r="K1114" i="2"/>
  <c r="E1116" i="2"/>
  <c r="J1116" i="2" s="1"/>
  <c r="B1117" i="2"/>
  <c r="D1117" i="2" s="1"/>
  <c r="C1117" i="2"/>
  <c r="F1117" i="2" s="1"/>
  <c r="A1118" i="2"/>
  <c r="I1116" i="2" l="1"/>
  <c r="E1117" i="2"/>
  <c r="G1117" i="2" s="1"/>
  <c r="G1116" i="2"/>
  <c r="M1114" i="2"/>
  <c r="K1115" i="2"/>
  <c r="M1115" i="2" s="1"/>
  <c r="B1118" i="2"/>
  <c r="D1118" i="2" s="1"/>
  <c r="A1119" i="2"/>
  <c r="C1118" i="2"/>
  <c r="F1118" i="2" s="1"/>
  <c r="J1117" i="2" l="1"/>
  <c r="I1117" i="2" s="1"/>
  <c r="K1116" i="2"/>
  <c r="M1116" i="2" s="1"/>
  <c r="E1118" i="2"/>
  <c r="G1118" i="2" s="1"/>
  <c r="A1120" i="2"/>
  <c r="B1119" i="2"/>
  <c r="D1119" i="2" s="1"/>
  <c r="C1119" i="2"/>
  <c r="F1119" i="2" s="1"/>
  <c r="K1117" i="2" l="1"/>
  <c r="M1117" i="2" s="1"/>
  <c r="J1118" i="2"/>
  <c r="I1118" i="2" s="1"/>
  <c r="E1119" i="2"/>
  <c r="G1119" i="2" s="1"/>
  <c r="A1121" i="2"/>
  <c r="C1120" i="2"/>
  <c r="F1120" i="2" s="1"/>
  <c r="B1120" i="2"/>
  <c r="D1120" i="2" s="1"/>
  <c r="K1118" i="2" l="1"/>
  <c r="M1118" i="2" s="1"/>
  <c r="J1119" i="2"/>
  <c r="I1119" i="2" s="1"/>
  <c r="E1120" i="2"/>
  <c r="G1120" i="2" s="1"/>
  <c r="B1121" i="2"/>
  <c r="D1121" i="2" s="1"/>
  <c r="C1121" i="2"/>
  <c r="F1121" i="2" s="1"/>
  <c r="A1122" i="2"/>
  <c r="K1119" i="2" l="1"/>
  <c r="M1119" i="2" s="1"/>
  <c r="J1120" i="2"/>
  <c r="I1120" i="2" s="1"/>
  <c r="E1121" i="2"/>
  <c r="G1121" i="2" s="1"/>
  <c r="A1123" i="2"/>
  <c r="C1122" i="2"/>
  <c r="F1122" i="2" s="1"/>
  <c r="B1122" i="2"/>
  <c r="D1122" i="2" s="1"/>
  <c r="K1120" i="2" l="1"/>
  <c r="M1120" i="2" s="1"/>
  <c r="J1121" i="2"/>
  <c r="I1121" i="2" s="1"/>
  <c r="E1122" i="2"/>
  <c r="G1122" i="2" s="1"/>
  <c r="A1124" i="2"/>
  <c r="B1123" i="2"/>
  <c r="D1123" i="2" s="1"/>
  <c r="C1123" i="2"/>
  <c r="F1123" i="2" s="1"/>
  <c r="K1121" i="2" l="1"/>
  <c r="M1121" i="2" s="1"/>
  <c r="J1122" i="2"/>
  <c r="I1122" i="2" s="1"/>
  <c r="E1123" i="2"/>
  <c r="G1123" i="2" s="1"/>
  <c r="B1124" i="2"/>
  <c r="D1124" i="2" s="1"/>
  <c r="A1125" i="2"/>
  <c r="C1124" i="2"/>
  <c r="F1124" i="2" s="1"/>
  <c r="K1122" i="2" l="1"/>
  <c r="M1122" i="2" s="1"/>
  <c r="J1123" i="2"/>
  <c r="I1123" i="2" s="1"/>
  <c r="E1124" i="2"/>
  <c r="G1124" i="2" s="1"/>
  <c r="A1126" i="2"/>
  <c r="B1125" i="2"/>
  <c r="D1125" i="2" s="1"/>
  <c r="C1125" i="2"/>
  <c r="F1125" i="2" s="1"/>
  <c r="K1123" i="2" l="1"/>
  <c r="M1123" i="2" s="1"/>
  <c r="J1124" i="2"/>
  <c r="I1124" i="2" s="1"/>
  <c r="E1125" i="2"/>
  <c r="G1125" i="2" s="1"/>
  <c r="A1127" i="2"/>
  <c r="C1126" i="2"/>
  <c r="F1126" i="2" s="1"/>
  <c r="B1126" i="2"/>
  <c r="D1126" i="2" s="1"/>
  <c r="K1124" i="2" l="1"/>
  <c r="M1124" i="2" s="1"/>
  <c r="J1125" i="2"/>
  <c r="I1125" i="2" s="1"/>
  <c r="E1126" i="2"/>
  <c r="G1126" i="2" s="1"/>
  <c r="B1127" i="2"/>
  <c r="D1127" i="2" s="1"/>
  <c r="C1127" i="2"/>
  <c r="F1127" i="2" s="1"/>
  <c r="A1128" i="2"/>
  <c r="K1125" i="2" l="1"/>
  <c r="M1125" i="2" s="1"/>
  <c r="E1127" i="2"/>
  <c r="G1127" i="2" s="1"/>
  <c r="J1126" i="2"/>
  <c r="I1126" i="2" s="1"/>
  <c r="A1129" i="2"/>
  <c r="C1128" i="2"/>
  <c r="F1128" i="2" s="1"/>
  <c r="B1128" i="2"/>
  <c r="D1128" i="2" s="1"/>
  <c r="J1127" i="2" l="1"/>
  <c r="I1127" i="2" s="1"/>
  <c r="E1128" i="2"/>
  <c r="G1128" i="2" s="1"/>
  <c r="K1126" i="2"/>
  <c r="A1130" i="2"/>
  <c r="C1129" i="2"/>
  <c r="F1129" i="2" s="1"/>
  <c r="B1129" i="2"/>
  <c r="D1129" i="2" s="1"/>
  <c r="J1128" i="2" l="1"/>
  <c r="I1128" i="2" s="1"/>
  <c r="E1129" i="2"/>
  <c r="J1129" i="2" s="1"/>
  <c r="M1126" i="2"/>
  <c r="K1127" i="2"/>
  <c r="B1130" i="2"/>
  <c r="D1130" i="2" s="1"/>
  <c r="C1130" i="2"/>
  <c r="F1130" i="2" s="1"/>
  <c r="A1131" i="2"/>
  <c r="I1129" i="2" l="1"/>
  <c r="G1129" i="2"/>
  <c r="E1130" i="2"/>
  <c r="G1130" i="2" s="1"/>
  <c r="M1127" i="2"/>
  <c r="K1128" i="2"/>
  <c r="C1131" i="2"/>
  <c r="F1131" i="2" s="1"/>
  <c r="A1132" i="2"/>
  <c r="B1131" i="2"/>
  <c r="D1131" i="2" s="1"/>
  <c r="J1130" i="2" l="1"/>
  <c r="I1130" i="2" s="1"/>
  <c r="E1131" i="2"/>
  <c r="J1131" i="2" s="1"/>
  <c r="M1128" i="2"/>
  <c r="K1129" i="2"/>
  <c r="A1133" i="2"/>
  <c r="C1132" i="2"/>
  <c r="F1132" i="2" s="1"/>
  <c r="B1132" i="2"/>
  <c r="D1132" i="2" s="1"/>
  <c r="I1131" i="2" l="1"/>
  <c r="G1131" i="2"/>
  <c r="M1129" i="2"/>
  <c r="K1130" i="2"/>
  <c r="E1132" i="2"/>
  <c r="J1132" i="2" s="1"/>
  <c r="B1133" i="2"/>
  <c r="D1133" i="2" s="1"/>
  <c r="C1133" i="2"/>
  <c r="F1133" i="2" s="1"/>
  <c r="A1134" i="2"/>
  <c r="I1132" i="2" l="1"/>
  <c r="E1133" i="2"/>
  <c r="G1133" i="2" s="1"/>
  <c r="G1132" i="2"/>
  <c r="M1130" i="2"/>
  <c r="K1131" i="2"/>
  <c r="B1134" i="2"/>
  <c r="D1134" i="2" s="1"/>
  <c r="C1134" i="2"/>
  <c r="F1134" i="2" s="1"/>
  <c r="A1135" i="2"/>
  <c r="J1133" i="2" l="1"/>
  <c r="I1133" i="2" s="1"/>
  <c r="E1134" i="2"/>
  <c r="G1134" i="2" s="1"/>
  <c r="M1131" i="2"/>
  <c r="K1132" i="2"/>
  <c r="A1136" i="2"/>
  <c r="B1135" i="2"/>
  <c r="D1135" i="2" s="1"/>
  <c r="C1135" i="2"/>
  <c r="F1135" i="2" s="1"/>
  <c r="J1134" i="2" l="1"/>
  <c r="I1134" i="2" s="1"/>
  <c r="E1135" i="2"/>
  <c r="G1135" i="2" s="1"/>
  <c r="M1132" i="2"/>
  <c r="K1133" i="2"/>
  <c r="A1137" i="2"/>
  <c r="B1136" i="2"/>
  <c r="D1136" i="2" s="1"/>
  <c r="C1136" i="2"/>
  <c r="F1136" i="2" s="1"/>
  <c r="J1135" i="2" l="1"/>
  <c r="I1135" i="2" s="1"/>
  <c r="E1136" i="2"/>
  <c r="J1136" i="2" s="1"/>
  <c r="M1133" i="2"/>
  <c r="K1134" i="2"/>
  <c r="B1137" i="2"/>
  <c r="D1137" i="2" s="1"/>
  <c r="C1137" i="2"/>
  <c r="F1137" i="2" s="1"/>
  <c r="A1138" i="2"/>
  <c r="I1136" i="2" l="1"/>
  <c r="G1136" i="2"/>
  <c r="E1137" i="2"/>
  <c r="G1137" i="2" s="1"/>
  <c r="M1134" i="2"/>
  <c r="K1135" i="2"/>
  <c r="A1139" i="2"/>
  <c r="C1138" i="2"/>
  <c r="F1138" i="2" s="1"/>
  <c r="B1138" i="2"/>
  <c r="D1138" i="2" s="1"/>
  <c r="J1137" i="2" l="1"/>
  <c r="I1137" i="2" s="1"/>
  <c r="E1138" i="2"/>
  <c r="J1138" i="2" s="1"/>
  <c r="M1135" i="2"/>
  <c r="K1136" i="2"/>
  <c r="B1139" i="2"/>
  <c r="D1139" i="2" s="1"/>
  <c r="A1140" i="2"/>
  <c r="C1139" i="2"/>
  <c r="F1139" i="2" s="1"/>
  <c r="I1138" i="2" l="1"/>
  <c r="G1138" i="2"/>
  <c r="E1139" i="2"/>
  <c r="G1139" i="2" s="1"/>
  <c r="M1136" i="2"/>
  <c r="K1137" i="2"/>
  <c r="B1140" i="2"/>
  <c r="D1140" i="2" s="1"/>
  <c r="A1141" i="2"/>
  <c r="C1140" i="2"/>
  <c r="F1140" i="2" s="1"/>
  <c r="J1139" i="2" l="1"/>
  <c r="I1139" i="2" s="1"/>
  <c r="E1140" i="2"/>
  <c r="G1140" i="2" s="1"/>
  <c r="M1137" i="2"/>
  <c r="K1138" i="2"/>
  <c r="A1142" i="2"/>
  <c r="C1141" i="2"/>
  <c r="F1141" i="2" s="1"/>
  <c r="B1141" i="2"/>
  <c r="D1141" i="2" s="1"/>
  <c r="J1140" i="2" l="1"/>
  <c r="I1140" i="2" s="1"/>
  <c r="E1141" i="2"/>
  <c r="G1141" i="2" s="1"/>
  <c r="M1138" i="2"/>
  <c r="K1139" i="2"/>
  <c r="A1143" i="2"/>
  <c r="B1142" i="2"/>
  <c r="D1142" i="2" s="1"/>
  <c r="C1142" i="2"/>
  <c r="F1142" i="2" s="1"/>
  <c r="J1141" i="2" l="1"/>
  <c r="I1141" i="2" s="1"/>
  <c r="E1142" i="2"/>
  <c r="J1142" i="2" s="1"/>
  <c r="M1139" i="2"/>
  <c r="K1140" i="2"/>
  <c r="B1143" i="2"/>
  <c r="D1143" i="2" s="1"/>
  <c r="C1143" i="2"/>
  <c r="F1143" i="2" s="1"/>
  <c r="A1144" i="2"/>
  <c r="I1142" i="2" l="1"/>
  <c r="G1142" i="2"/>
  <c r="E1143" i="2"/>
  <c r="J1143" i="2" s="1"/>
  <c r="I1143" i="2" s="1"/>
  <c r="M1140" i="2"/>
  <c r="K1141" i="2"/>
  <c r="A1145" i="2"/>
  <c r="C1144" i="2"/>
  <c r="F1144" i="2" s="1"/>
  <c r="B1144" i="2"/>
  <c r="D1144" i="2" s="1"/>
  <c r="G1143" i="2" l="1"/>
  <c r="E1144" i="2"/>
  <c r="J1144" i="2" s="1"/>
  <c r="I1144" i="2" s="1"/>
  <c r="M1141" i="2"/>
  <c r="K1142" i="2"/>
  <c r="A1146" i="2"/>
  <c r="C1145" i="2"/>
  <c r="F1145" i="2" s="1"/>
  <c r="B1145" i="2"/>
  <c r="D1145" i="2" s="1"/>
  <c r="G1144" i="2" l="1"/>
  <c r="M1142" i="2"/>
  <c r="K1143" i="2"/>
  <c r="E1145" i="2"/>
  <c r="G1145" i="2" s="1"/>
  <c r="B1146" i="2"/>
  <c r="D1146" i="2" s="1"/>
  <c r="C1146" i="2"/>
  <c r="F1146" i="2" s="1"/>
  <c r="A1147" i="2"/>
  <c r="A321" i="3"/>
  <c r="J1145" i="2" l="1"/>
  <c r="I1145" i="2" s="1"/>
  <c r="E1146" i="2"/>
  <c r="G1146" i="2" s="1"/>
  <c r="M1143" i="2"/>
  <c r="K1144" i="2"/>
  <c r="C1147" i="2"/>
  <c r="F1147" i="2" s="1"/>
  <c r="B1147" i="2"/>
  <c r="D1147" i="2" s="1"/>
  <c r="A1148" i="2"/>
  <c r="J1146" i="2" l="1"/>
  <c r="I1146" i="2" s="1"/>
  <c r="E1147" i="2"/>
  <c r="G1147" i="2" s="1"/>
  <c r="M1144" i="2"/>
  <c r="K1145" i="2"/>
  <c r="A1149" i="2"/>
  <c r="C1148" i="2"/>
  <c r="F1148" i="2" s="1"/>
  <c r="B1148" i="2"/>
  <c r="D1148" i="2" s="1"/>
  <c r="J1147" i="2" l="1"/>
  <c r="I1147" i="2" s="1"/>
  <c r="M1145" i="2"/>
  <c r="K1146" i="2"/>
  <c r="E1148" i="2"/>
  <c r="J1148" i="2" s="1"/>
  <c r="I1148" i="2" s="1"/>
  <c r="B1149" i="2"/>
  <c r="D1149" i="2" s="1"/>
  <c r="C1149" i="2"/>
  <c r="F1149" i="2" s="1"/>
  <c r="A1150" i="2"/>
  <c r="G1148" i="2" l="1"/>
  <c r="E1149" i="2"/>
  <c r="J1149" i="2" s="1"/>
  <c r="I1149" i="2" s="1"/>
  <c r="M1146" i="2"/>
  <c r="K1147" i="2"/>
  <c r="B1150" i="2"/>
  <c r="D1150" i="2" s="1"/>
  <c r="A1151" i="2"/>
  <c r="C1150" i="2"/>
  <c r="F1150" i="2" s="1"/>
  <c r="G1149" i="2" l="1"/>
  <c r="E1150" i="2"/>
  <c r="J1150" i="2" s="1"/>
  <c r="I1150" i="2" s="1"/>
  <c r="M1147" i="2"/>
  <c r="K1148" i="2"/>
  <c r="A1152" i="2"/>
  <c r="B1151" i="2"/>
  <c r="D1151" i="2" s="1"/>
  <c r="C1151" i="2"/>
  <c r="F1151" i="2" s="1"/>
  <c r="G1150" i="2" l="1"/>
  <c r="M1148" i="2"/>
  <c r="K1149" i="2"/>
  <c r="E1151" i="2"/>
  <c r="G1151" i="2" s="1"/>
  <c r="A1153" i="2"/>
  <c r="B1152" i="2"/>
  <c r="D1152" i="2" s="1"/>
  <c r="C1152" i="2"/>
  <c r="F1152" i="2" s="1"/>
  <c r="J1151" i="2" l="1"/>
  <c r="I1151" i="2" s="1"/>
  <c r="E1152" i="2"/>
  <c r="J1152" i="2" s="1"/>
  <c r="M1149" i="2"/>
  <c r="K1150" i="2"/>
  <c r="B1153" i="2"/>
  <c r="D1153" i="2" s="1"/>
  <c r="A1154" i="2"/>
  <c r="C1153" i="2"/>
  <c r="F1153" i="2" s="1"/>
  <c r="I1152" i="2" l="1"/>
  <c r="G1152" i="2"/>
  <c r="M1150" i="2"/>
  <c r="K1151" i="2"/>
  <c r="E1153" i="2"/>
  <c r="J1153" i="2" s="1"/>
  <c r="I1153" i="2" s="1"/>
  <c r="B1154" i="2"/>
  <c r="D1154" i="2" s="1"/>
  <c r="C1154" i="2"/>
  <c r="F1154" i="2" s="1"/>
  <c r="A1155" i="2"/>
  <c r="G1153" i="2" l="1"/>
  <c r="E1154" i="2"/>
  <c r="G1154" i="2" s="1"/>
  <c r="M1151" i="2"/>
  <c r="K1152" i="2"/>
  <c r="A1156" i="2"/>
  <c r="B1155" i="2"/>
  <c r="D1155" i="2" s="1"/>
  <c r="C1155" i="2"/>
  <c r="F1155" i="2" s="1"/>
  <c r="J1154" i="2" l="1"/>
  <c r="I1154" i="2" s="1"/>
  <c r="E1155" i="2"/>
  <c r="G1155" i="2" s="1"/>
  <c r="M1152" i="2"/>
  <c r="K1153" i="2"/>
  <c r="B1156" i="2"/>
  <c r="D1156" i="2" s="1"/>
  <c r="C1156" i="2"/>
  <c r="F1156" i="2" s="1"/>
  <c r="A1157" i="2"/>
  <c r="J1155" i="2" l="1"/>
  <c r="I1155" i="2" s="1"/>
  <c r="E1156" i="2"/>
  <c r="G1156" i="2" s="1"/>
  <c r="M1153" i="2"/>
  <c r="K1154" i="2"/>
  <c r="A1158" i="2"/>
  <c r="B1157" i="2"/>
  <c r="D1157" i="2" s="1"/>
  <c r="C1157" i="2"/>
  <c r="F1157" i="2" s="1"/>
  <c r="J1156" i="2" l="1"/>
  <c r="I1156" i="2" s="1"/>
  <c r="M1154" i="2"/>
  <c r="K1155" i="2"/>
  <c r="E1157" i="2"/>
  <c r="J1157" i="2" s="1"/>
  <c r="I1157" i="2" s="1"/>
  <c r="B1158" i="2"/>
  <c r="D1158" i="2" s="1"/>
  <c r="A1159" i="2"/>
  <c r="C1158" i="2"/>
  <c r="F1158" i="2" s="1"/>
  <c r="G1157" i="2" l="1"/>
  <c r="M1155" i="2"/>
  <c r="K1156" i="2"/>
  <c r="E1158" i="2"/>
  <c r="G1158" i="2" s="1"/>
  <c r="B1159" i="2"/>
  <c r="D1159" i="2" s="1"/>
  <c r="A1160" i="2"/>
  <c r="C1159" i="2"/>
  <c r="F1159" i="2" s="1"/>
  <c r="J1158" i="2" l="1"/>
  <c r="I1158" i="2" s="1"/>
  <c r="M1156" i="2"/>
  <c r="K1157" i="2"/>
  <c r="M1157" i="2" s="1"/>
  <c r="E1159" i="2"/>
  <c r="G1159" i="2" s="1"/>
  <c r="C1160" i="2"/>
  <c r="F1160" i="2" s="1"/>
  <c r="B1160" i="2"/>
  <c r="D1160" i="2" s="1"/>
  <c r="A1161" i="2"/>
  <c r="J1159" i="2" l="1"/>
  <c r="I1159" i="2" s="1"/>
  <c r="E1160" i="2"/>
  <c r="J1160" i="2" s="1"/>
  <c r="K1158" i="2"/>
  <c r="A1162" i="2"/>
  <c r="C1161" i="2"/>
  <c r="F1161" i="2" s="1"/>
  <c r="B1161" i="2"/>
  <c r="D1161" i="2" s="1"/>
  <c r="I1160" i="2" l="1"/>
  <c r="G1160" i="2"/>
  <c r="E1161" i="2"/>
  <c r="G1161" i="2" s="1"/>
  <c r="M1158" i="2"/>
  <c r="K1159" i="2"/>
  <c r="B1162" i="2"/>
  <c r="D1162" i="2" s="1"/>
  <c r="C1162" i="2"/>
  <c r="F1162" i="2" s="1"/>
  <c r="A1163" i="2"/>
  <c r="J1161" i="2" l="1"/>
  <c r="I1161" i="2" s="1"/>
  <c r="M1159" i="2"/>
  <c r="K1160" i="2"/>
  <c r="E1162" i="2"/>
  <c r="J1162" i="2" s="1"/>
  <c r="I1162" i="2" s="1"/>
  <c r="C1163" i="2"/>
  <c r="F1163" i="2" s="1"/>
  <c r="A1164" i="2"/>
  <c r="B1163" i="2"/>
  <c r="D1163" i="2" s="1"/>
  <c r="G1162" i="2" l="1"/>
  <c r="E1163" i="2"/>
  <c r="J1163" i="2" s="1"/>
  <c r="I1163" i="2" s="1"/>
  <c r="M1160" i="2"/>
  <c r="K1161" i="2"/>
  <c r="B1164" i="2"/>
  <c r="D1164" i="2" s="1"/>
  <c r="C1164" i="2"/>
  <c r="F1164" i="2" s="1"/>
  <c r="A1165" i="2"/>
  <c r="G1163" i="2" l="1"/>
  <c r="M1161" i="2"/>
  <c r="K1162" i="2"/>
  <c r="E1164" i="2"/>
  <c r="J1164" i="2" s="1"/>
  <c r="I1164" i="2" s="1"/>
  <c r="C1165" i="2"/>
  <c r="F1165" i="2" s="1"/>
  <c r="A1166" i="2"/>
  <c r="B1165" i="2"/>
  <c r="D1165" i="2" s="1"/>
  <c r="G1164" i="2" l="1"/>
  <c r="M1162" i="2"/>
  <c r="K1163" i="2"/>
  <c r="E1165" i="2"/>
  <c r="J1165" i="2" s="1"/>
  <c r="I1165" i="2" s="1"/>
  <c r="B1166" i="2"/>
  <c r="D1166" i="2" s="1"/>
  <c r="A1167" i="2"/>
  <c r="C1166" i="2"/>
  <c r="F1166" i="2" s="1"/>
  <c r="E1166" i="2" l="1"/>
  <c r="J1166" i="2" s="1"/>
  <c r="I1166" i="2" s="1"/>
  <c r="G1165" i="2"/>
  <c r="M1163" i="2"/>
  <c r="K1164" i="2"/>
  <c r="M1164" i="2" s="1"/>
  <c r="A1168" i="2"/>
  <c r="B1167" i="2"/>
  <c r="D1167" i="2" s="1"/>
  <c r="C1167" i="2"/>
  <c r="F1167" i="2" s="1"/>
  <c r="G1166" i="2" l="1"/>
  <c r="E1167" i="2"/>
  <c r="J1167" i="2" s="1"/>
  <c r="I1167" i="2" s="1"/>
  <c r="K1165" i="2"/>
  <c r="A1169" i="2"/>
  <c r="C1168" i="2"/>
  <c r="F1168" i="2" s="1"/>
  <c r="B1168" i="2"/>
  <c r="D1168" i="2" s="1"/>
  <c r="G1167" i="2" l="1"/>
  <c r="E1168" i="2"/>
  <c r="J1168" i="2" s="1"/>
  <c r="I1168" i="2" s="1"/>
  <c r="M1165" i="2"/>
  <c r="K1166" i="2"/>
  <c r="B1169" i="2"/>
  <c r="D1169" i="2" s="1"/>
  <c r="C1169" i="2"/>
  <c r="F1169" i="2" s="1"/>
  <c r="A1170" i="2"/>
  <c r="M1166" i="2" l="1"/>
  <c r="G1168" i="2"/>
  <c r="E1169" i="2"/>
  <c r="G1169" i="2" s="1"/>
  <c r="K1167" i="2"/>
  <c r="A1171" i="2"/>
  <c r="C1170" i="2"/>
  <c r="F1170" i="2" s="1"/>
  <c r="B1170" i="2"/>
  <c r="D1170" i="2" s="1"/>
  <c r="J1169" i="2" l="1"/>
  <c r="I1169" i="2" s="1"/>
  <c r="E1170" i="2"/>
  <c r="G1170" i="2" s="1"/>
  <c r="M1167" i="2"/>
  <c r="K1168" i="2"/>
  <c r="A1172" i="2"/>
  <c r="C1171" i="2"/>
  <c r="F1171" i="2" s="1"/>
  <c r="B1171" i="2"/>
  <c r="D1171" i="2" s="1"/>
  <c r="J1170" i="2" l="1"/>
  <c r="I1170" i="2" s="1"/>
  <c r="M1168" i="2"/>
  <c r="K1169" i="2"/>
  <c r="E1171" i="2"/>
  <c r="J1171" i="2" s="1"/>
  <c r="I1171" i="2" s="1"/>
  <c r="C1172" i="2"/>
  <c r="F1172" i="2" s="1"/>
  <c r="A1173" i="2"/>
  <c r="B1172" i="2"/>
  <c r="D1172" i="2" s="1"/>
  <c r="G1171" i="2" l="1"/>
  <c r="M1169" i="2"/>
  <c r="K1170" i="2"/>
  <c r="E1172" i="2"/>
  <c r="G1172" i="2" s="1"/>
  <c r="A1174" i="2"/>
  <c r="B1173" i="2"/>
  <c r="D1173" i="2" s="1"/>
  <c r="C1173" i="2"/>
  <c r="F1173" i="2" s="1"/>
  <c r="J1172" i="2" l="1"/>
  <c r="I1172" i="2" s="1"/>
  <c r="M1170" i="2"/>
  <c r="K1171" i="2"/>
  <c r="E1173" i="2"/>
  <c r="G1173" i="2" s="1"/>
  <c r="B1174" i="2"/>
  <c r="D1174" i="2" s="1"/>
  <c r="C1174" i="2"/>
  <c r="F1174" i="2" s="1"/>
  <c r="A1175" i="2"/>
  <c r="M1171" i="2" l="1"/>
  <c r="E1174" i="2"/>
  <c r="J1174" i="2" s="1"/>
  <c r="J1173" i="2"/>
  <c r="I1173" i="2" s="1"/>
  <c r="K1172" i="2"/>
  <c r="C1175" i="2"/>
  <c r="F1175" i="2" s="1"/>
  <c r="B1175" i="2"/>
  <c r="D1175" i="2" s="1"/>
  <c r="A1176" i="2"/>
  <c r="I1174" i="2" l="1"/>
  <c r="G1174" i="2"/>
  <c r="E1175" i="2"/>
  <c r="J1175" i="2" s="1"/>
  <c r="I1175" i="2" s="1"/>
  <c r="M1172" i="2"/>
  <c r="K1173" i="2"/>
  <c r="C1176" i="2"/>
  <c r="F1176" i="2" s="1"/>
  <c r="B1176" i="2"/>
  <c r="D1176" i="2" s="1"/>
  <c r="A1177" i="2"/>
  <c r="G1175" i="2" l="1"/>
  <c r="M1173" i="2"/>
  <c r="K1174" i="2"/>
  <c r="E1176" i="2"/>
  <c r="J1176" i="2" s="1"/>
  <c r="I1176" i="2" s="1"/>
  <c r="B1177" i="2"/>
  <c r="D1177" i="2" s="1"/>
  <c r="A1178" i="2"/>
  <c r="C1177" i="2"/>
  <c r="F1177" i="2" s="1"/>
  <c r="G1176" i="2" l="1"/>
  <c r="M1174" i="2"/>
  <c r="K1175" i="2"/>
  <c r="E1177" i="2"/>
  <c r="J1177" i="2" s="1"/>
  <c r="I1177" i="2" s="1"/>
  <c r="A1179" i="2"/>
  <c r="B1178" i="2"/>
  <c r="D1178" i="2" s="1"/>
  <c r="C1178" i="2"/>
  <c r="F1178" i="2" s="1"/>
  <c r="M1175" i="2" l="1"/>
  <c r="G1177" i="2"/>
  <c r="E1178" i="2"/>
  <c r="J1178" i="2" s="1"/>
  <c r="I1178" i="2" s="1"/>
  <c r="K1176" i="2"/>
  <c r="C1179" i="2"/>
  <c r="F1179" i="2" s="1"/>
  <c r="A1180" i="2"/>
  <c r="B1179" i="2"/>
  <c r="D1179" i="2" s="1"/>
  <c r="G1178" i="2" l="1"/>
  <c r="M1176" i="2"/>
  <c r="K1177" i="2"/>
  <c r="E1179" i="2"/>
  <c r="J1179" i="2" s="1"/>
  <c r="I1179" i="2" s="1"/>
  <c r="B1180" i="2"/>
  <c r="D1180" i="2" s="1"/>
  <c r="C1180" i="2"/>
  <c r="F1180" i="2" s="1"/>
  <c r="A1181" i="2"/>
  <c r="G1179" i="2" l="1"/>
  <c r="E1180" i="2"/>
  <c r="G1180" i="2" s="1"/>
  <c r="M1177" i="2"/>
  <c r="K1178" i="2"/>
  <c r="C1181" i="2"/>
  <c r="F1181" i="2" s="1"/>
  <c r="A1182" i="2"/>
  <c r="B1181" i="2"/>
  <c r="D1181" i="2" s="1"/>
  <c r="J1180" i="2" l="1"/>
  <c r="I1180" i="2" s="1"/>
  <c r="M1178" i="2"/>
  <c r="K1179" i="2"/>
  <c r="E1181" i="2"/>
  <c r="J1181" i="2" s="1"/>
  <c r="B1182" i="2"/>
  <c r="D1182" i="2" s="1"/>
  <c r="A1183" i="2"/>
  <c r="C1182" i="2"/>
  <c r="F1182" i="2" s="1"/>
  <c r="I1181" i="2" l="1"/>
  <c r="E1182" i="2"/>
  <c r="J1182" i="2" s="1"/>
  <c r="G1181" i="2"/>
  <c r="M1179" i="2"/>
  <c r="K1180" i="2"/>
  <c r="M1180" i="2" s="1"/>
  <c r="A1184" i="2"/>
  <c r="B1183" i="2"/>
  <c r="D1183" i="2" s="1"/>
  <c r="C1183" i="2"/>
  <c r="F1183" i="2" s="1"/>
  <c r="I1182" i="2" l="1"/>
  <c r="G1182" i="2"/>
  <c r="E1183" i="2"/>
  <c r="G1183" i="2" s="1"/>
  <c r="K1181" i="2"/>
  <c r="A1185" i="2"/>
  <c r="B1184" i="2"/>
  <c r="D1184" i="2" s="1"/>
  <c r="C1184" i="2"/>
  <c r="F1184" i="2" s="1"/>
  <c r="J1183" i="2" l="1"/>
  <c r="I1183" i="2" s="1"/>
  <c r="E1184" i="2"/>
  <c r="G1184" i="2" s="1"/>
  <c r="M1181" i="2"/>
  <c r="K1182" i="2"/>
  <c r="A1186" i="2"/>
  <c r="B1185" i="2"/>
  <c r="D1185" i="2" s="1"/>
  <c r="C1185" i="2"/>
  <c r="F1185" i="2" s="1"/>
  <c r="J1184" i="2" l="1"/>
  <c r="I1184" i="2" s="1"/>
  <c r="E1185" i="2"/>
  <c r="G1185" i="2" s="1"/>
  <c r="M1182" i="2"/>
  <c r="K1183" i="2"/>
  <c r="B1186" i="2"/>
  <c r="D1186" i="2" s="1"/>
  <c r="A1187" i="2"/>
  <c r="C1186" i="2"/>
  <c r="F1186" i="2" s="1"/>
  <c r="J1185" i="2" l="1"/>
  <c r="I1185" i="2" s="1"/>
  <c r="E1186" i="2"/>
  <c r="G1186" i="2" s="1"/>
  <c r="M1183" i="2"/>
  <c r="K1184" i="2"/>
  <c r="A1188" i="2"/>
  <c r="C1187" i="2"/>
  <c r="F1187" i="2" s="1"/>
  <c r="B1187" i="2"/>
  <c r="D1187" i="2" s="1"/>
  <c r="J1186" i="2" l="1"/>
  <c r="I1186" i="2" s="1"/>
  <c r="M1184" i="2"/>
  <c r="K1185" i="2"/>
  <c r="E1187" i="2"/>
  <c r="C1188" i="2"/>
  <c r="F1188" i="2" s="1"/>
  <c r="A1189" i="2"/>
  <c r="B1188" i="2"/>
  <c r="D1188" i="2" s="1"/>
  <c r="E1188" i="2" l="1"/>
  <c r="J1188" i="2" s="1"/>
  <c r="G1187" i="2"/>
  <c r="J1187" i="2"/>
  <c r="I1187" i="2" s="1"/>
  <c r="M1185" i="2"/>
  <c r="K1186" i="2"/>
  <c r="M1186" i="2" s="1"/>
  <c r="A1190" i="2"/>
  <c r="B1189" i="2"/>
  <c r="D1189" i="2" s="1"/>
  <c r="C1189" i="2"/>
  <c r="F1189" i="2" s="1"/>
  <c r="I1188" i="2" l="1"/>
  <c r="G1188" i="2"/>
  <c r="E1189" i="2"/>
  <c r="G1189" i="2" s="1"/>
  <c r="K1187" i="2"/>
  <c r="B1190" i="2"/>
  <c r="D1190" i="2" s="1"/>
  <c r="A1191" i="2"/>
  <c r="C1190" i="2"/>
  <c r="F1190" i="2" s="1"/>
  <c r="J1189" i="2" l="1"/>
  <c r="I1189" i="2" s="1"/>
  <c r="M1187" i="2"/>
  <c r="K1188" i="2"/>
  <c r="E1190" i="2"/>
  <c r="G1190" i="2" s="1"/>
  <c r="C1191" i="2"/>
  <c r="F1191" i="2" s="1"/>
  <c r="B1191" i="2"/>
  <c r="D1191" i="2" s="1"/>
  <c r="A1192" i="2"/>
  <c r="J1190" i="2" l="1"/>
  <c r="I1190" i="2" s="1"/>
  <c r="M1188" i="2"/>
  <c r="K1189" i="2"/>
  <c r="E1191" i="2"/>
  <c r="J1191" i="2" s="1"/>
  <c r="A1193" i="2"/>
  <c r="C1192" i="2"/>
  <c r="F1192" i="2" s="1"/>
  <c r="B1192" i="2"/>
  <c r="D1192" i="2" s="1"/>
  <c r="I1191" i="2" l="1"/>
  <c r="G1191" i="2"/>
  <c r="E1192" i="2"/>
  <c r="J1192" i="2" s="1"/>
  <c r="M1189" i="2"/>
  <c r="K1190" i="2"/>
  <c r="C1193" i="2"/>
  <c r="F1193" i="2" s="1"/>
  <c r="A1194" i="2"/>
  <c r="B1193" i="2"/>
  <c r="D1193" i="2" s="1"/>
  <c r="I1192" i="2" l="1"/>
  <c r="G1192" i="2"/>
  <c r="E1193" i="2"/>
  <c r="J1193" i="2" s="1"/>
  <c r="I1193" i="2" s="1"/>
  <c r="M1190" i="2"/>
  <c r="K1191" i="2"/>
  <c r="A1195" i="2"/>
  <c r="B1194" i="2"/>
  <c r="D1194" i="2" s="1"/>
  <c r="C1194" i="2"/>
  <c r="F1194" i="2" s="1"/>
  <c r="G1193" i="2" l="1"/>
  <c r="E1194" i="2"/>
  <c r="G1194" i="2" s="1"/>
  <c r="M1191" i="2"/>
  <c r="K1192" i="2"/>
  <c r="C1195" i="2"/>
  <c r="F1195" i="2" s="1"/>
  <c r="A1196" i="2"/>
  <c r="B1195" i="2"/>
  <c r="D1195" i="2" s="1"/>
  <c r="J1194" i="2" l="1"/>
  <c r="I1194" i="2" s="1"/>
  <c r="M1192" i="2"/>
  <c r="K1193" i="2"/>
  <c r="E1195" i="2"/>
  <c r="J1195" i="2" s="1"/>
  <c r="I1195" i="2" s="1"/>
  <c r="A1197" i="2"/>
  <c r="B1196" i="2"/>
  <c r="D1196" i="2" s="1"/>
  <c r="C1196" i="2"/>
  <c r="F1196" i="2" s="1"/>
  <c r="G1195" i="2" l="1"/>
  <c r="M1193" i="2"/>
  <c r="K1194" i="2"/>
  <c r="E1196" i="2"/>
  <c r="J1196" i="2" s="1"/>
  <c r="I1196" i="2" s="1"/>
  <c r="C1197" i="2"/>
  <c r="F1197" i="2" s="1"/>
  <c r="B1197" i="2"/>
  <c r="D1197" i="2" s="1"/>
  <c r="A1198" i="2"/>
  <c r="E1197" i="2" l="1"/>
  <c r="J1197" i="2" s="1"/>
  <c r="I1197" i="2" s="1"/>
  <c r="G1196" i="2"/>
  <c r="M1194" i="2"/>
  <c r="K1195" i="2"/>
  <c r="B1198" i="2"/>
  <c r="D1198" i="2" s="1"/>
  <c r="C1198" i="2"/>
  <c r="F1198" i="2" s="1"/>
  <c r="A1199" i="2"/>
  <c r="G1197" i="2" l="1"/>
  <c r="E1198" i="2"/>
  <c r="G1198" i="2" s="1"/>
  <c r="M1195" i="2"/>
  <c r="K1196" i="2"/>
  <c r="B1199" i="2"/>
  <c r="D1199" i="2" s="1"/>
  <c r="A1200" i="2"/>
  <c r="C1199" i="2"/>
  <c r="F1199" i="2" s="1"/>
  <c r="J1198" i="2" l="1"/>
  <c r="I1198" i="2" s="1"/>
  <c r="E1199" i="2"/>
  <c r="G1199" i="2" s="1"/>
  <c r="M1196" i="2"/>
  <c r="K1197" i="2"/>
  <c r="A1201" i="2"/>
  <c r="C1200" i="2"/>
  <c r="F1200" i="2" s="1"/>
  <c r="B1200" i="2"/>
  <c r="D1200" i="2" s="1"/>
  <c r="J1199" i="2" l="1"/>
  <c r="I1199" i="2" s="1"/>
  <c r="E1200" i="2"/>
  <c r="G1200" i="2" s="1"/>
  <c r="M1197" i="2"/>
  <c r="K1198" i="2"/>
  <c r="B1201" i="2"/>
  <c r="D1201" i="2" s="1"/>
  <c r="C1201" i="2"/>
  <c r="F1201" i="2" s="1"/>
  <c r="A1202" i="2"/>
  <c r="J1200" i="2" l="1"/>
  <c r="I1200" i="2" s="1"/>
  <c r="E1201" i="2"/>
  <c r="G1201" i="2" s="1"/>
  <c r="M1198" i="2"/>
  <c r="K1199" i="2"/>
  <c r="C1202" i="2"/>
  <c r="F1202" i="2" s="1"/>
  <c r="B1202" i="2"/>
  <c r="D1202" i="2" s="1"/>
  <c r="A1203" i="2"/>
  <c r="J1201" i="2" l="1"/>
  <c r="I1201" i="2" s="1"/>
  <c r="M1199" i="2"/>
  <c r="K1200" i="2"/>
  <c r="E1202" i="2"/>
  <c r="G1202" i="2" s="1"/>
  <c r="B1203" i="2"/>
  <c r="D1203" i="2" s="1"/>
  <c r="A1204" i="2"/>
  <c r="C1203" i="2"/>
  <c r="F1203" i="2" s="1"/>
  <c r="J1202" i="2" l="1"/>
  <c r="I1202" i="2" s="1"/>
  <c r="E1203" i="2"/>
  <c r="G1203" i="2" s="1"/>
  <c r="M1200" i="2"/>
  <c r="K1201" i="2"/>
  <c r="C1204" i="2"/>
  <c r="F1204" i="2" s="1"/>
  <c r="A1205" i="2"/>
  <c r="B1204" i="2"/>
  <c r="D1204" i="2" s="1"/>
  <c r="J1203" i="2" l="1"/>
  <c r="I1203" i="2" s="1"/>
  <c r="M1201" i="2"/>
  <c r="K1202" i="2"/>
  <c r="E1204" i="2"/>
  <c r="G1204" i="2" s="1"/>
  <c r="B1205" i="2"/>
  <c r="D1205" i="2" s="1"/>
  <c r="A1206" i="2"/>
  <c r="C1205" i="2"/>
  <c r="F1205" i="2" s="1"/>
  <c r="J1204" i="2" l="1"/>
  <c r="I1204" i="2" s="1"/>
  <c r="M1202" i="2"/>
  <c r="K1203" i="2"/>
  <c r="E1205" i="2"/>
  <c r="G1205" i="2" s="1"/>
  <c r="C1206" i="2"/>
  <c r="F1206" i="2" s="1"/>
  <c r="A1207" i="2"/>
  <c r="B1206" i="2"/>
  <c r="D1206" i="2" s="1"/>
  <c r="J1205" i="2" l="1"/>
  <c r="I1205" i="2" s="1"/>
  <c r="E1206" i="2"/>
  <c r="J1206" i="2" s="1"/>
  <c r="I1206" i="2" s="1"/>
  <c r="M1203" i="2"/>
  <c r="K1204" i="2"/>
  <c r="B1207" i="2"/>
  <c r="D1207" i="2" s="1"/>
  <c r="C1207" i="2"/>
  <c r="F1207" i="2" s="1"/>
  <c r="A1208" i="2"/>
  <c r="G1206" i="2" l="1"/>
  <c r="M1204" i="2"/>
  <c r="K1205" i="2"/>
  <c r="E1207" i="2"/>
  <c r="J1207" i="2" s="1"/>
  <c r="I1207" i="2" s="1"/>
  <c r="B1208" i="2"/>
  <c r="D1208" i="2" s="1"/>
  <c r="C1208" i="2"/>
  <c r="F1208" i="2" s="1"/>
  <c r="A1209" i="2"/>
  <c r="G1207" i="2" l="1"/>
  <c r="E1208" i="2"/>
  <c r="J1208" i="2" s="1"/>
  <c r="I1208" i="2" s="1"/>
  <c r="M1205" i="2"/>
  <c r="K1206" i="2"/>
  <c r="C1209" i="2"/>
  <c r="F1209" i="2" s="1"/>
  <c r="A1210" i="2"/>
  <c r="B1209" i="2"/>
  <c r="D1209" i="2" s="1"/>
  <c r="G1208" i="2" l="1"/>
  <c r="E1209" i="2"/>
  <c r="J1209" i="2" s="1"/>
  <c r="I1209" i="2" s="1"/>
  <c r="M1206" i="2"/>
  <c r="K1207" i="2"/>
  <c r="A1211" i="2"/>
  <c r="C1210" i="2"/>
  <c r="F1210" i="2" s="1"/>
  <c r="B1210" i="2"/>
  <c r="D1210" i="2" s="1"/>
  <c r="G1209" i="2" l="1"/>
  <c r="E1210" i="2"/>
  <c r="J1210" i="2" s="1"/>
  <c r="I1210" i="2" s="1"/>
  <c r="M1207" i="2"/>
  <c r="K1208" i="2"/>
  <c r="C1211" i="2"/>
  <c r="F1211" i="2" s="1"/>
  <c r="B1211" i="2"/>
  <c r="D1211" i="2" s="1"/>
  <c r="A1212" i="2"/>
  <c r="G1210" i="2" l="1"/>
  <c r="E1211" i="2"/>
  <c r="J1211" i="2" s="1"/>
  <c r="I1211" i="2" s="1"/>
  <c r="M1208" i="2"/>
  <c r="K1209" i="2"/>
  <c r="B1212" i="2"/>
  <c r="D1212" i="2" s="1"/>
  <c r="C1212" i="2"/>
  <c r="F1212" i="2" s="1"/>
  <c r="A1213" i="2"/>
  <c r="G1211" i="2" l="1"/>
  <c r="M1209" i="2"/>
  <c r="K1210" i="2"/>
  <c r="E1212" i="2"/>
  <c r="G1212" i="2" s="1"/>
  <c r="C1213" i="2"/>
  <c r="F1213" i="2" s="1"/>
  <c r="A1214" i="2"/>
  <c r="B1213" i="2"/>
  <c r="D1213" i="2" s="1"/>
  <c r="J1212" i="2" l="1"/>
  <c r="I1212" i="2" s="1"/>
  <c r="M1210" i="2"/>
  <c r="K1211" i="2"/>
  <c r="E1213" i="2"/>
  <c r="G1213" i="2" s="1"/>
  <c r="B1214" i="2"/>
  <c r="D1214" i="2" s="1"/>
  <c r="A1215" i="2"/>
  <c r="C1214" i="2"/>
  <c r="F1214" i="2" s="1"/>
  <c r="J1213" i="2" l="1"/>
  <c r="I1213" i="2" s="1"/>
  <c r="M1211" i="2"/>
  <c r="K1212" i="2"/>
  <c r="E1214" i="2"/>
  <c r="J1214" i="2" s="1"/>
  <c r="A1216" i="2"/>
  <c r="B1215" i="2"/>
  <c r="D1215" i="2" s="1"/>
  <c r="C1215" i="2"/>
  <c r="F1215" i="2" s="1"/>
  <c r="I1214" i="2" l="1"/>
  <c r="G1214" i="2"/>
  <c r="E1215" i="2"/>
  <c r="J1215" i="2" s="1"/>
  <c r="I1215" i="2" s="1"/>
  <c r="M1212" i="2"/>
  <c r="K1213" i="2"/>
  <c r="A1217" i="2"/>
  <c r="B1216" i="2"/>
  <c r="D1216" i="2" s="1"/>
  <c r="C1216" i="2"/>
  <c r="F1216" i="2" s="1"/>
  <c r="G1215" i="2" l="1"/>
  <c r="M1213" i="2"/>
  <c r="K1214" i="2"/>
  <c r="E1216" i="2"/>
  <c r="G1216" i="2" s="1"/>
  <c r="C1217" i="2"/>
  <c r="F1217" i="2" s="1"/>
  <c r="A1218" i="2"/>
  <c r="B1217" i="2"/>
  <c r="D1217" i="2" s="1"/>
  <c r="J1216" i="2" l="1"/>
  <c r="I1216" i="2" s="1"/>
  <c r="M1214" i="2"/>
  <c r="K1215" i="2"/>
  <c r="E1217" i="2"/>
  <c r="J1217" i="2" s="1"/>
  <c r="I1217" i="2" s="1"/>
  <c r="C1218" i="2"/>
  <c r="F1218" i="2" s="1"/>
  <c r="A1219" i="2"/>
  <c r="B1218" i="2"/>
  <c r="D1218" i="2" s="1"/>
  <c r="G1217" i="2" l="1"/>
  <c r="E1218" i="2"/>
  <c r="G1218" i="2" s="1"/>
  <c r="M1215" i="2"/>
  <c r="K1216" i="2"/>
  <c r="A1220" i="2"/>
  <c r="B1219" i="2"/>
  <c r="D1219" i="2" s="1"/>
  <c r="C1219" i="2"/>
  <c r="F1219" i="2" s="1"/>
  <c r="J1218" i="2" l="1"/>
  <c r="I1218" i="2" s="1"/>
  <c r="M1216" i="2"/>
  <c r="K1217" i="2"/>
  <c r="E1219" i="2"/>
  <c r="G1219" i="2" s="1"/>
  <c r="B1220" i="2"/>
  <c r="D1220" i="2" s="1"/>
  <c r="C1220" i="2"/>
  <c r="F1220" i="2" s="1"/>
  <c r="A1221" i="2"/>
  <c r="E1220" i="2" l="1"/>
  <c r="G1220" i="2" s="1"/>
  <c r="J1219" i="2"/>
  <c r="I1219" i="2" s="1"/>
  <c r="M1217" i="2"/>
  <c r="K1218" i="2"/>
  <c r="A1222" i="2"/>
  <c r="B1221" i="2"/>
  <c r="D1221" i="2" s="1"/>
  <c r="C1221" i="2"/>
  <c r="F1221" i="2" s="1"/>
  <c r="J1220" i="2" l="1"/>
  <c r="I1220" i="2" s="1"/>
  <c r="E1221" i="2"/>
  <c r="J1221" i="2" s="1"/>
  <c r="M1218" i="2"/>
  <c r="K1219" i="2"/>
  <c r="A1223" i="2"/>
  <c r="C1222" i="2"/>
  <c r="F1222" i="2" s="1"/>
  <c r="B1222" i="2"/>
  <c r="D1222" i="2" s="1"/>
  <c r="I1221" i="2" l="1"/>
  <c r="G1221" i="2"/>
  <c r="M1219" i="2"/>
  <c r="K1220" i="2"/>
  <c r="E1222" i="2"/>
  <c r="J1222" i="2" s="1"/>
  <c r="I1222" i="2" s="1"/>
  <c r="A1224" i="2"/>
  <c r="C1223" i="2"/>
  <c r="F1223" i="2" s="1"/>
  <c r="B1223" i="2"/>
  <c r="D1223" i="2" s="1"/>
  <c r="G1222" i="2" l="1"/>
  <c r="M1220" i="2"/>
  <c r="K1221" i="2"/>
  <c r="E1223" i="2"/>
  <c r="J1223" i="2" s="1"/>
  <c r="I1223" i="2" s="1"/>
  <c r="C1224" i="2"/>
  <c r="F1224" i="2" s="1"/>
  <c r="B1224" i="2"/>
  <c r="D1224" i="2" s="1"/>
  <c r="A1225" i="2"/>
  <c r="G1223" i="2" l="1"/>
  <c r="E1224" i="2"/>
  <c r="J1224" i="2" s="1"/>
  <c r="I1224" i="2" s="1"/>
  <c r="M1221" i="2"/>
  <c r="K1222" i="2"/>
  <c r="B1225" i="2"/>
  <c r="D1225" i="2" s="1"/>
  <c r="C1225" i="2"/>
  <c r="F1225" i="2" s="1"/>
  <c r="A1226" i="2"/>
  <c r="G1224" i="2" l="1"/>
  <c r="E1225" i="2"/>
  <c r="J1225" i="2" s="1"/>
  <c r="I1225" i="2" s="1"/>
  <c r="M1222" i="2"/>
  <c r="K1223" i="2"/>
  <c r="C1226" i="2"/>
  <c r="F1226" i="2" s="1"/>
  <c r="B1226" i="2"/>
  <c r="D1226" i="2" s="1"/>
  <c r="A1227" i="2"/>
  <c r="G1225" i="2" l="1"/>
  <c r="M1223" i="2"/>
  <c r="K1224" i="2"/>
  <c r="E1226" i="2"/>
  <c r="G1226" i="2" s="1"/>
  <c r="A1228" i="2"/>
  <c r="C1227" i="2"/>
  <c r="F1227" i="2" s="1"/>
  <c r="B1227" i="2"/>
  <c r="D1227" i="2" s="1"/>
  <c r="J1226" i="2" l="1"/>
  <c r="I1226" i="2" s="1"/>
  <c r="M1224" i="2"/>
  <c r="K1225" i="2"/>
  <c r="M1225" i="2" s="1"/>
  <c r="E1227" i="2"/>
  <c r="G1227" i="2" s="1"/>
  <c r="B1228" i="2"/>
  <c r="D1228" i="2" s="1"/>
  <c r="C1228" i="2"/>
  <c r="F1228" i="2" s="1"/>
  <c r="A1229" i="2"/>
  <c r="J1227" i="2" l="1"/>
  <c r="I1227" i="2" s="1"/>
  <c r="E1228" i="2"/>
  <c r="G1228" i="2" s="1"/>
  <c r="K1226" i="2"/>
  <c r="B1229" i="2"/>
  <c r="D1229" i="2" s="1"/>
  <c r="A1230" i="2"/>
  <c r="C1229" i="2"/>
  <c r="F1229" i="2" s="1"/>
  <c r="J1228" i="2" l="1"/>
  <c r="I1228" i="2" s="1"/>
  <c r="E1229" i="2"/>
  <c r="G1229" i="2" s="1"/>
  <c r="M1226" i="2"/>
  <c r="K1227" i="2"/>
  <c r="A1231" i="2"/>
  <c r="C1230" i="2"/>
  <c r="F1230" i="2" s="1"/>
  <c r="B1230" i="2"/>
  <c r="D1230" i="2" s="1"/>
  <c r="J1229" i="2" l="1"/>
  <c r="I1229" i="2" s="1"/>
  <c r="M1227" i="2"/>
  <c r="K1228" i="2"/>
  <c r="E1230" i="2"/>
  <c r="G1230" i="2" s="1"/>
  <c r="A1232" i="2"/>
  <c r="B1231" i="2"/>
  <c r="D1231" i="2" s="1"/>
  <c r="C1231" i="2"/>
  <c r="F1231" i="2" s="1"/>
  <c r="J1230" i="2" l="1"/>
  <c r="I1230" i="2" s="1"/>
  <c r="E1231" i="2"/>
  <c r="J1231" i="2" s="1"/>
  <c r="M1228" i="2"/>
  <c r="K1229" i="2"/>
  <c r="A1233" i="2"/>
  <c r="B1232" i="2"/>
  <c r="D1232" i="2" s="1"/>
  <c r="C1232" i="2"/>
  <c r="F1232" i="2" s="1"/>
  <c r="I1231" i="2" l="1"/>
  <c r="M1229" i="2"/>
  <c r="G1231" i="2"/>
  <c r="E1232" i="2"/>
  <c r="G1232" i="2" s="1"/>
  <c r="K1230" i="2"/>
  <c r="C1233" i="2"/>
  <c r="F1233" i="2" s="1"/>
  <c r="A1234" i="2"/>
  <c r="B1233" i="2"/>
  <c r="D1233" i="2" s="1"/>
  <c r="J1232" i="2" l="1"/>
  <c r="I1232" i="2" s="1"/>
  <c r="E1233" i="2"/>
  <c r="J1233" i="2" s="1"/>
  <c r="I1233" i="2" s="1"/>
  <c r="M1230" i="2"/>
  <c r="K1231" i="2"/>
  <c r="M1231" i="2" s="1"/>
  <c r="A1235" i="2"/>
  <c r="B1234" i="2"/>
  <c r="D1234" i="2" s="1"/>
  <c r="C1234" i="2"/>
  <c r="F1234" i="2" s="1"/>
  <c r="G1233" i="2" l="1"/>
  <c r="E1234" i="2"/>
  <c r="G1234" i="2" s="1"/>
  <c r="K1232" i="2"/>
  <c r="A1236" i="2"/>
  <c r="C1235" i="2"/>
  <c r="F1235" i="2" s="1"/>
  <c r="B1235" i="2"/>
  <c r="D1235" i="2" s="1"/>
  <c r="J1234" i="2" l="1"/>
  <c r="I1234" i="2" s="1"/>
  <c r="E1235" i="2"/>
  <c r="J1235" i="2" s="1"/>
  <c r="M1232" i="2"/>
  <c r="K1233" i="2"/>
  <c r="C1236" i="2"/>
  <c r="F1236" i="2" s="1"/>
  <c r="A1237" i="2"/>
  <c r="B1236" i="2"/>
  <c r="D1236" i="2" s="1"/>
  <c r="I1235" i="2" l="1"/>
  <c r="G1235" i="2"/>
  <c r="E1236" i="2"/>
  <c r="J1236" i="2" s="1"/>
  <c r="I1236" i="2" s="1"/>
  <c r="M1233" i="2"/>
  <c r="K1234" i="2"/>
  <c r="A1238" i="2"/>
  <c r="C1237" i="2"/>
  <c r="F1237" i="2" s="1"/>
  <c r="B1237" i="2"/>
  <c r="D1237" i="2" s="1"/>
  <c r="G1236" i="2" l="1"/>
  <c r="M1234" i="2"/>
  <c r="K1235" i="2"/>
  <c r="E1237" i="2"/>
  <c r="J1237" i="2" s="1"/>
  <c r="I1237" i="2" s="1"/>
  <c r="C1238" i="2"/>
  <c r="F1238" i="2" s="1"/>
  <c r="B1238" i="2"/>
  <c r="D1238" i="2" s="1"/>
  <c r="A1239" i="2"/>
  <c r="G1237" i="2" l="1"/>
  <c r="E1238" i="2"/>
  <c r="J1238" i="2" s="1"/>
  <c r="I1238" i="2" s="1"/>
  <c r="M1235" i="2"/>
  <c r="K1236" i="2"/>
  <c r="M1236" i="2" s="1"/>
  <c r="B1239" i="2"/>
  <c r="D1239" i="2" s="1"/>
  <c r="C1239" i="2"/>
  <c r="F1239" i="2" s="1"/>
  <c r="A1240" i="2"/>
  <c r="G1238" i="2" l="1"/>
  <c r="E1239" i="2"/>
  <c r="G1239" i="2" s="1"/>
  <c r="K1237" i="2"/>
  <c r="B1240" i="2"/>
  <c r="D1240" i="2" s="1"/>
  <c r="C1240" i="2"/>
  <c r="F1240" i="2" s="1"/>
  <c r="A1241" i="2"/>
  <c r="J1239" i="2" l="1"/>
  <c r="I1239" i="2" s="1"/>
  <c r="E1240" i="2"/>
  <c r="G1240" i="2" s="1"/>
  <c r="M1237" i="2"/>
  <c r="K1238" i="2"/>
  <c r="B1241" i="2"/>
  <c r="D1241" i="2" s="1"/>
  <c r="A1242" i="2"/>
  <c r="C1241" i="2"/>
  <c r="F1241" i="2" s="1"/>
  <c r="J1240" i="2" l="1"/>
  <c r="I1240" i="2" s="1"/>
  <c r="E1241" i="2"/>
  <c r="J1241" i="2" s="1"/>
  <c r="I1241" i="2" s="1"/>
  <c r="M1238" i="2"/>
  <c r="K1239" i="2"/>
  <c r="A1243" i="2"/>
  <c r="C1242" i="2"/>
  <c r="F1242" i="2" s="1"/>
  <c r="B1242" i="2"/>
  <c r="D1242" i="2" s="1"/>
  <c r="G1241" i="2" l="1"/>
  <c r="E1242" i="2"/>
  <c r="J1242" i="2" s="1"/>
  <c r="I1242" i="2" s="1"/>
  <c r="M1239" i="2"/>
  <c r="K1240" i="2"/>
  <c r="A1244" i="2"/>
  <c r="C1243" i="2"/>
  <c r="F1243" i="2" s="1"/>
  <c r="B1243" i="2"/>
  <c r="D1243" i="2" s="1"/>
  <c r="G1242" i="2" l="1"/>
  <c r="M1240" i="2"/>
  <c r="K1241" i="2"/>
  <c r="E1243" i="2"/>
  <c r="G1243" i="2" s="1"/>
  <c r="B1244" i="2"/>
  <c r="D1244" i="2" s="1"/>
  <c r="C1244" i="2"/>
  <c r="F1244" i="2" s="1"/>
  <c r="A1245" i="2"/>
  <c r="J1243" i="2" l="1"/>
  <c r="I1243" i="2" s="1"/>
  <c r="E1244" i="2"/>
  <c r="G1244" i="2" s="1"/>
  <c r="M1241" i="2"/>
  <c r="K1242" i="2"/>
  <c r="M1242" i="2" s="1"/>
  <c r="C1245" i="2"/>
  <c r="F1245" i="2" s="1"/>
  <c r="B1245" i="2"/>
  <c r="D1245" i="2" s="1"/>
  <c r="A1246" i="2"/>
  <c r="J1244" i="2" l="1"/>
  <c r="I1244" i="2" s="1"/>
  <c r="K1243" i="2"/>
  <c r="E1245" i="2"/>
  <c r="G1245" i="2" s="1"/>
  <c r="A1247" i="2"/>
  <c r="B1246" i="2"/>
  <c r="D1246" i="2" s="1"/>
  <c r="C1246" i="2"/>
  <c r="F1246" i="2" s="1"/>
  <c r="E1246" i="2" l="1"/>
  <c r="J1246" i="2" s="1"/>
  <c r="J1245" i="2"/>
  <c r="I1245" i="2" s="1"/>
  <c r="M1243" i="2"/>
  <c r="K1244" i="2"/>
  <c r="B1247" i="2"/>
  <c r="D1247" i="2" s="1"/>
  <c r="A1248" i="2"/>
  <c r="C1247" i="2"/>
  <c r="F1247" i="2" s="1"/>
  <c r="I1246" i="2" l="1"/>
  <c r="G1246" i="2"/>
  <c r="E1247" i="2"/>
  <c r="J1247" i="2" s="1"/>
  <c r="I1247" i="2" s="1"/>
  <c r="M1244" i="2"/>
  <c r="K1245" i="2"/>
  <c r="B1248" i="2"/>
  <c r="D1248" i="2" s="1"/>
  <c r="A1249" i="2"/>
  <c r="C1248" i="2"/>
  <c r="F1248" i="2" s="1"/>
  <c r="G1247" i="2" l="1"/>
  <c r="E1248" i="2"/>
  <c r="J1248" i="2" s="1"/>
  <c r="I1248" i="2" s="1"/>
  <c r="M1245" i="2"/>
  <c r="K1246" i="2"/>
  <c r="B1249" i="2"/>
  <c r="D1249" i="2" s="1"/>
  <c r="A1250" i="2"/>
  <c r="C1249" i="2"/>
  <c r="F1249" i="2" s="1"/>
  <c r="G1248" i="2" l="1"/>
  <c r="E1249" i="2"/>
  <c r="J1249" i="2" s="1"/>
  <c r="I1249" i="2" s="1"/>
  <c r="M1246" i="2"/>
  <c r="K1247" i="2"/>
  <c r="B1250" i="2"/>
  <c r="D1250" i="2" s="1"/>
  <c r="C1250" i="2"/>
  <c r="F1250" i="2" s="1"/>
  <c r="A1251" i="2"/>
  <c r="G1249" i="2" l="1"/>
  <c r="E1250" i="2"/>
  <c r="J1250" i="2" s="1"/>
  <c r="I1250" i="2" s="1"/>
  <c r="M1247" i="2"/>
  <c r="K1248" i="2"/>
  <c r="A1252" i="2"/>
  <c r="B1251" i="2"/>
  <c r="D1251" i="2" s="1"/>
  <c r="C1251" i="2"/>
  <c r="F1251" i="2" s="1"/>
  <c r="G1250" i="2" l="1"/>
  <c r="E1251" i="2"/>
  <c r="J1251" i="2" s="1"/>
  <c r="I1251" i="2" s="1"/>
  <c r="M1248" i="2"/>
  <c r="K1249" i="2"/>
  <c r="B1252" i="2"/>
  <c r="D1252" i="2" s="1"/>
  <c r="A1253" i="2"/>
  <c r="C1252" i="2"/>
  <c r="F1252" i="2" s="1"/>
  <c r="G1251" i="2" l="1"/>
  <c r="M1249" i="2"/>
  <c r="K1250" i="2"/>
  <c r="E1252" i="2"/>
  <c r="J1252" i="2" s="1"/>
  <c r="I1252" i="2" s="1"/>
  <c r="B1253" i="2"/>
  <c r="D1253" i="2" s="1"/>
  <c r="C1253" i="2"/>
  <c r="F1253" i="2" s="1"/>
  <c r="A1254" i="2"/>
  <c r="G1252" i="2" l="1"/>
  <c r="E1253" i="2"/>
  <c r="J1253" i="2" s="1"/>
  <c r="I1253" i="2" s="1"/>
  <c r="M1250" i="2"/>
  <c r="K1251" i="2"/>
  <c r="B1254" i="2"/>
  <c r="D1254" i="2" s="1"/>
  <c r="A1255" i="2"/>
  <c r="C1254" i="2"/>
  <c r="F1254" i="2" s="1"/>
  <c r="G1253" i="2" l="1"/>
  <c r="E1254" i="2"/>
  <c r="G1254" i="2" s="1"/>
  <c r="M1251" i="2"/>
  <c r="K1252" i="2"/>
  <c r="B1255" i="2"/>
  <c r="D1255" i="2" s="1"/>
  <c r="C1255" i="2"/>
  <c r="F1255" i="2" s="1"/>
  <c r="A1256" i="2"/>
  <c r="J1254" i="2" l="1"/>
  <c r="I1254" i="2" s="1"/>
  <c r="E1255" i="2"/>
  <c r="J1255" i="2" s="1"/>
  <c r="M1252" i="2"/>
  <c r="K1253" i="2"/>
  <c r="B1256" i="2"/>
  <c r="D1256" i="2" s="1"/>
  <c r="C1256" i="2"/>
  <c r="F1256" i="2" s="1"/>
  <c r="A1257" i="2"/>
  <c r="I1255" i="2" l="1"/>
  <c r="G1255" i="2"/>
  <c r="M1253" i="2"/>
  <c r="K1254" i="2"/>
  <c r="E1256" i="2"/>
  <c r="J1256" i="2" s="1"/>
  <c r="I1256" i="2" s="1"/>
  <c r="C1257" i="2"/>
  <c r="F1257" i="2" s="1"/>
  <c r="A1258" i="2"/>
  <c r="B1257" i="2"/>
  <c r="D1257" i="2" s="1"/>
  <c r="G1256" i="2" l="1"/>
  <c r="M1254" i="2"/>
  <c r="K1255" i="2"/>
  <c r="E1257" i="2"/>
  <c r="G1257" i="2" s="1"/>
  <c r="B1258" i="2"/>
  <c r="D1258" i="2" s="1"/>
  <c r="C1258" i="2"/>
  <c r="F1258" i="2" s="1"/>
  <c r="A1259" i="2"/>
  <c r="J1257" i="2" l="1"/>
  <c r="I1257" i="2" s="1"/>
  <c r="M1255" i="2"/>
  <c r="K1256" i="2"/>
  <c r="E1258" i="2"/>
  <c r="J1258" i="2" s="1"/>
  <c r="B1259" i="2"/>
  <c r="D1259" i="2" s="1"/>
  <c r="A1260" i="2"/>
  <c r="C1259" i="2"/>
  <c r="F1259" i="2" s="1"/>
  <c r="I1258" i="2" l="1"/>
  <c r="E1259" i="2"/>
  <c r="J1259" i="2" s="1"/>
  <c r="G1258" i="2"/>
  <c r="M1256" i="2"/>
  <c r="K1257" i="2"/>
  <c r="B1260" i="2"/>
  <c r="D1260" i="2" s="1"/>
  <c r="A1261" i="2"/>
  <c r="C1260" i="2"/>
  <c r="F1260" i="2" s="1"/>
  <c r="I1259" i="2" l="1"/>
  <c r="G1259" i="2"/>
  <c r="E1260" i="2"/>
  <c r="G1260" i="2" s="1"/>
  <c r="M1257" i="2"/>
  <c r="K1258" i="2"/>
  <c r="C1261" i="2"/>
  <c r="F1261" i="2" s="1"/>
  <c r="B1261" i="2"/>
  <c r="D1261" i="2" s="1"/>
  <c r="A1262" i="2"/>
  <c r="J1260" i="2" l="1"/>
  <c r="I1260" i="2" s="1"/>
  <c r="E1261" i="2"/>
  <c r="G1261" i="2" s="1"/>
  <c r="M1258" i="2"/>
  <c r="K1259" i="2"/>
  <c r="A1263" i="2"/>
  <c r="B1262" i="2"/>
  <c r="D1262" i="2" s="1"/>
  <c r="C1262" i="2"/>
  <c r="F1262" i="2" s="1"/>
  <c r="J1261" i="2" l="1"/>
  <c r="I1261" i="2" s="1"/>
  <c r="M1259" i="2"/>
  <c r="K1260" i="2"/>
  <c r="E1262" i="2"/>
  <c r="G1262" i="2" s="1"/>
  <c r="A1264" i="2"/>
  <c r="B1263" i="2"/>
  <c r="D1263" i="2" s="1"/>
  <c r="C1263" i="2"/>
  <c r="F1263" i="2" s="1"/>
  <c r="J1262" i="2" l="1"/>
  <c r="I1262" i="2" s="1"/>
  <c r="M1260" i="2"/>
  <c r="K1261" i="2"/>
  <c r="M1261" i="2" s="1"/>
  <c r="E1263" i="2"/>
  <c r="G1263" i="2" s="1"/>
  <c r="A1265" i="2"/>
  <c r="C1264" i="2"/>
  <c r="F1264" i="2" s="1"/>
  <c r="B1264" i="2"/>
  <c r="D1264" i="2" s="1"/>
  <c r="J1263" i="2" l="1"/>
  <c r="I1263" i="2" s="1"/>
  <c r="E1264" i="2"/>
  <c r="J1264" i="2" s="1"/>
  <c r="K1262" i="2"/>
  <c r="A1266" i="2"/>
  <c r="C1265" i="2"/>
  <c r="F1265" i="2" s="1"/>
  <c r="B1265" i="2"/>
  <c r="D1265" i="2" s="1"/>
  <c r="I1264" i="2" l="1"/>
  <c r="G1264" i="2"/>
  <c r="M1262" i="2"/>
  <c r="E1265" i="2"/>
  <c r="G1265" i="2" s="1"/>
  <c r="K1263" i="2"/>
  <c r="B1266" i="2"/>
  <c r="D1266" i="2" s="1"/>
  <c r="A1267" i="2"/>
  <c r="C1266" i="2"/>
  <c r="F1266" i="2" s="1"/>
  <c r="J1265" i="2" l="1"/>
  <c r="I1265" i="2" s="1"/>
  <c r="E1266" i="2"/>
  <c r="G1266" i="2" s="1"/>
  <c r="M1263" i="2"/>
  <c r="K1264" i="2"/>
  <c r="C1267" i="2"/>
  <c r="F1267" i="2" s="1"/>
  <c r="A1268" i="2"/>
  <c r="B1267" i="2"/>
  <c r="D1267" i="2" s="1"/>
  <c r="J1266" i="2" l="1"/>
  <c r="I1266" i="2" s="1"/>
  <c r="M1264" i="2"/>
  <c r="K1265" i="2"/>
  <c r="E1267" i="2"/>
  <c r="G1267" i="2" s="1"/>
  <c r="A1269" i="2"/>
  <c r="B1268" i="2"/>
  <c r="D1268" i="2" s="1"/>
  <c r="C1268" i="2"/>
  <c r="F1268" i="2" s="1"/>
  <c r="J1267" i="2" l="1"/>
  <c r="I1267" i="2" s="1"/>
  <c r="M1265" i="2"/>
  <c r="K1266" i="2"/>
  <c r="E1268" i="2"/>
  <c r="G1268" i="2" s="1"/>
  <c r="B1269" i="2"/>
  <c r="D1269" i="2" s="1"/>
  <c r="C1269" i="2"/>
  <c r="F1269" i="2" s="1"/>
  <c r="A1270" i="2"/>
  <c r="E1269" i="2" l="1"/>
  <c r="G1269" i="2" s="1"/>
  <c r="J1268" i="2"/>
  <c r="I1268" i="2" s="1"/>
  <c r="M1266" i="2"/>
  <c r="K1267" i="2"/>
  <c r="A1271" i="2"/>
  <c r="B1270" i="2"/>
  <c r="D1270" i="2" s="1"/>
  <c r="C1270" i="2"/>
  <c r="F1270" i="2" s="1"/>
  <c r="J1269" i="2" l="1"/>
  <c r="I1269" i="2" s="1"/>
  <c r="E1270" i="2"/>
  <c r="J1270" i="2" s="1"/>
  <c r="I1270" i="2" s="1"/>
  <c r="M1267" i="2"/>
  <c r="K1268" i="2"/>
  <c r="B1271" i="2"/>
  <c r="D1271" i="2" s="1"/>
  <c r="A1272" i="2"/>
  <c r="C1271" i="2"/>
  <c r="F1271" i="2" s="1"/>
  <c r="G1270" i="2" l="1"/>
  <c r="E1271" i="2"/>
  <c r="G1271" i="2" s="1"/>
  <c r="M1268" i="2"/>
  <c r="K1269" i="2"/>
  <c r="A1273" i="2"/>
  <c r="B1272" i="2"/>
  <c r="D1272" i="2" s="1"/>
  <c r="C1272" i="2"/>
  <c r="F1272" i="2" s="1"/>
  <c r="J1271" i="2" l="1"/>
  <c r="I1271" i="2" s="1"/>
  <c r="E1272" i="2"/>
  <c r="J1272" i="2" s="1"/>
  <c r="M1269" i="2"/>
  <c r="K1270" i="2"/>
  <c r="B1273" i="2"/>
  <c r="D1273" i="2" s="1"/>
  <c r="A1274" i="2"/>
  <c r="C1273" i="2"/>
  <c r="F1273" i="2" s="1"/>
  <c r="I1272" i="2" l="1"/>
  <c r="G1272" i="2"/>
  <c r="E1273" i="2"/>
  <c r="G1273" i="2" s="1"/>
  <c r="M1270" i="2"/>
  <c r="K1271" i="2"/>
  <c r="B1274" i="2"/>
  <c r="D1274" i="2" s="1"/>
  <c r="C1274" i="2"/>
  <c r="F1274" i="2" s="1"/>
  <c r="A1275" i="2"/>
  <c r="J1273" i="2" l="1"/>
  <c r="I1273" i="2" s="1"/>
  <c r="E1274" i="2"/>
  <c r="G1274" i="2" s="1"/>
  <c r="M1271" i="2"/>
  <c r="K1272" i="2"/>
  <c r="B1275" i="2"/>
  <c r="D1275" i="2" s="1"/>
  <c r="A1276" i="2"/>
  <c r="C1275" i="2"/>
  <c r="F1275" i="2" s="1"/>
  <c r="J1274" i="2" l="1"/>
  <c r="I1274" i="2" s="1"/>
  <c r="E1275" i="2"/>
  <c r="J1275" i="2" s="1"/>
  <c r="M1272" i="2"/>
  <c r="K1273" i="2"/>
  <c r="C1276" i="2"/>
  <c r="F1276" i="2" s="1"/>
  <c r="B1276" i="2"/>
  <c r="D1276" i="2" s="1"/>
  <c r="A1277" i="2"/>
  <c r="I1275" i="2" l="1"/>
  <c r="G1275" i="2"/>
  <c r="M1273" i="2"/>
  <c r="K1274" i="2"/>
  <c r="E1276" i="2"/>
  <c r="G1276" i="2" s="1"/>
  <c r="B1277" i="2"/>
  <c r="D1277" i="2" s="1"/>
  <c r="C1277" i="2"/>
  <c r="F1277" i="2" s="1"/>
  <c r="A1278" i="2"/>
  <c r="J1276" i="2" l="1"/>
  <c r="I1276" i="2" s="1"/>
  <c r="E1277" i="2"/>
  <c r="J1277" i="2" s="1"/>
  <c r="M1274" i="2"/>
  <c r="K1275" i="2"/>
  <c r="A1279" i="2"/>
  <c r="C1278" i="2"/>
  <c r="F1278" i="2" s="1"/>
  <c r="B1278" i="2"/>
  <c r="D1278" i="2" s="1"/>
  <c r="I1277" i="2" l="1"/>
  <c r="G1277" i="2"/>
  <c r="E1278" i="2"/>
  <c r="G1278" i="2" s="1"/>
  <c r="M1275" i="2"/>
  <c r="K1276" i="2"/>
  <c r="B1279" i="2"/>
  <c r="D1279" i="2" s="1"/>
  <c r="A1280" i="2"/>
  <c r="C1279" i="2"/>
  <c r="F1279" i="2" s="1"/>
  <c r="J1278" i="2" l="1"/>
  <c r="I1278" i="2" s="1"/>
  <c r="E1279" i="2"/>
  <c r="J1279" i="2" s="1"/>
  <c r="I1279" i="2" s="1"/>
  <c r="M1276" i="2"/>
  <c r="K1277" i="2"/>
  <c r="A1281" i="2"/>
  <c r="C1280" i="2"/>
  <c r="F1280" i="2" s="1"/>
  <c r="B1280" i="2"/>
  <c r="D1280" i="2" s="1"/>
  <c r="G1279" i="2" l="1"/>
  <c r="E1280" i="2"/>
  <c r="G1280" i="2" s="1"/>
  <c r="M1277" i="2"/>
  <c r="K1278" i="2"/>
  <c r="B1281" i="2"/>
  <c r="D1281" i="2" s="1"/>
  <c r="C1281" i="2"/>
  <c r="F1281" i="2" s="1"/>
  <c r="A1282" i="2"/>
  <c r="J1280" i="2" l="1"/>
  <c r="I1280" i="2" s="1"/>
  <c r="E1281" i="2"/>
  <c r="J1281" i="2" s="1"/>
  <c r="I1281" i="2" s="1"/>
  <c r="M1278" i="2"/>
  <c r="K1279" i="2"/>
  <c r="B1282" i="2"/>
  <c r="D1282" i="2" s="1"/>
  <c r="A1283" i="2"/>
  <c r="C1282" i="2"/>
  <c r="F1282" i="2" s="1"/>
  <c r="G1281" i="2" l="1"/>
  <c r="E1282" i="2"/>
  <c r="J1282" i="2" s="1"/>
  <c r="I1282" i="2" s="1"/>
  <c r="M1279" i="2"/>
  <c r="K1280" i="2"/>
  <c r="B1283" i="2"/>
  <c r="D1283" i="2" s="1"/>
  <c r="A1284" i="2"/>
  <c r="C1283" i="2"/>
  <c r="F1283" i="2" s="1"/>
  <c r="G1282" i="2" l="1"/>
  <c r="M1280" i="2"/>
  <c r="K1281" i="2"/>
  <c r="E1283" i="2"/>
  <c r="G1283" i="2" s="1"/>
  <c r="B1284" i="2"/>
  <c r="D1284" i="2" s="1"/>
  <c r="C1284" i="2"/>
  <c r="F1284" i="2" s="1"/>
  <c r="A1285" i="2"/>
  <c r="J1283" i="2" l="1"/>
  <c r="I1283" i="2" s="1"/>
  <c r="E1284" i="2"/>
  <c r="J1284" i="2" s="1"/>
  <c r="I1284" i="2" s="1"/>
  <c r="M1281" i="2"/>
  <c r="K1282" i="2"/>
  <c r="C1285" i="2"/>
  <c r="F1285" i="2" s="1"/>
  <c r="A1286" i="2"/>
  <c r="B1285" i="2"/>
  <c r="D1285" i="2" s="1"/>
  <c r="G1284" i="2" l="1"/>
  <c r="E1285" i="2"/>
  <c r="J1285" i="2" s="1"/>
  <c r="I1285" i="2" s="1"/>
  <c r="M1282" i="2"/>
  <c r="K1283" i="2"/>
  <c r="C1286" i="2"/>
  <c r="F1286" i="2" s="1"/>
  <c r="A1287" i="2"/>
  <c r="B1286" i="2"/>
  <c r="D1286" i="2" s="1"/>
  <c r="G1285" i="2" l="1"/>
  <c r="E1286" i="2"/>
  <c r="G1286" i="2" s="1"/>
  <c r="M1283" i="2"/>
  <c r="K1284" i="2"/>
  <c r="C1287" i="2"/>
  <c r="F1287" i="2" s="1"/>
  <c r="A1288" i="2"/>
  <c r="B1287" i="2"/>
  <c r="D1287" i="2" s="1"/>
  <c r="J1286" i="2" l="1"/>
  <c r="I1286" i="2" s="1"/>
  <c r="E1287" i="2"/>
  <c r="G1287" i="2" s="1"/>
  <c r="M1284" i="2"/>
  <c r="K1285" i="2"/>
  <c r="B1288" i="2"/>
  <c r="D1288" i="2" s="1"/>
  <c r="A1289" i="2"/>
  <c r="A1290" i="2" s="1"/>
  <c r="C1288" i="2"/>
  <c r="F1288" i="2" s="1"/>
  <c r="J1287" i="2" l="1"/>
  <c r="I1287" i="2" s="1"/>
  <c r="M1285" i="2"/>
  <c r="K1286" i="2"/>
  <c r="E1288" i="2"/>
  <c r="G1288" i="2" s="1"/>
  <c r="B1290" i="2"/>
  <c r="A1291" i="2"/>
  <c r="C1290" i="2"/>
  <c r="B1289" i="2"/>
  <c r="D1289" i="2" s="1"/>
  <c r="C1289" i="2"/>
  <c r="F1289" i="2" s="1"/>
  <c r="F1290" i="2" l="1"/>
  <c r="E1290" i="2"/>
  <c r="J1290" i="2" s="1"/>
  <c r="J1288" i="2"/>
  <c r="I1288" i="2" s="1"/>
  <c r="E1289" i="2"/>
  <c r="G1289" i="2" s="1"/>
  <c r="M1286" i="2"/>
  <c r="K1287" i="2"/>
  <c r="B1291" i="2"/>
  <c r="E1291" i="2" s="1"/>
  <c r="C1291" i="2"/>
  <c r="F1291" i="2" s="1"/>
  <c r="A322" i="3"/>
  <c r="D1290" i="2"/>
  <c r="A289" i="2"/>
  <c r="G1290" i="2" l="1"/>
  <c r="J1289" i="2"/>
  <c r="I1289" i="2" s="1"/>
  <c r="I1290" i="2" s="1"/>
  <c r="M1287" i="2"/>
  <c r="K1288" i="2"/>
  <c r="J1291" i="2"/>
  <c r="G1291" i="2"/>
  <c r="D1291" i="2"/>
  <c r="I1291" i="2" l="1"/>
  <c r="I1292" i="2" s="1"/>
  <c r="I288" i="2" s="1"/>
  <c r="M1288" i="2"/>
  <c r="K1289" i="2"/>
  <c r="R88" i="4" l="1"/>
  <c r="M306" i="2"/>
  <c r="L267" i="2"/>
  <c r="K269" i="2"/>
  <c r="M1289" i="2"/>
  <c r="K1290" i="2"/>
  <c r="M1290" i="2" l="1"/>
  <c r="K1291" i="2"/>
  <c r="I287" i="2"/>
  <c r="K1292" i="2"/>
  <c r="K153" i="2" l="1"/>
  <c r="L153" i="2" s="1"/>
  <c r="K156" i="2"/>
  <c r="L156" i="2" s="1"/>
  <c r="K154" i="2"/>
  <c r="L154" i="2" s="1"/>
  <c r="K155" i="2"/>
  <c r="L155" i="2" s="1"/>
  <c r="K157" i="2"/>
  <c r="L157" i="2" s="1"/>
  <c r="K152" i="2"/>
  <c r="L152" i="2" s="1"/>
  <c r="K62" i="2"/>
  <c r="L62" i="2" s="1"/>
  <c r="V98" i="2"/>
  <c r="M1291" i="2"/>
  <c r="V66" i="2"/>
  <c r="V67" i="2"/>
  <c r="V65" i="2"/>
  <c r="V63" i="2"/>
  <c r="V95" i="2"/>
  <c r="V71" i="2"/>
  <c r="V93" i="2"/>
  <c r="U71" i="2"/>
  <c r="W66" i="2"/>
  <c r="W65" i="2"/>
  <c r="T48" i="2"/>
  <c r="AK43" i="2" s="1"/>
  <c r="AK44" i="2" s="1"/>
  <c r="U73" i="2"/>
  <c r="W63" i="2"/>
  <c r="X48" i="2"/>
  <c r="AO43" i="2" s="1"/>
  <c r="V97" i="2"/>
  <c r="X291" i="2"/>
  <c r="BI291" i="2" s="1"/>
  <c r="U72" i="2"/>
  <c r="V73" i="2"/>
  <c r="W67" i="2"/>
  <c r="V72" i="2"/>
  <c r="V94" i="2"/>
  <c r="V96" i="2"/>
  <c r="R6" i="2"/>
  <c r="O109" i="4" a="1"/>
  <c r="O107" i="4" a="1"/>
  <c r="O105" i="4" a="1"/>
  <c r="P106" i="4" a="1"/>
  <c r="O101" i="4" a="1"/>
  <c r="N134" i="4" a="1"/>
  <c r="O109" i="4" l="1"/>
  <c r="D116" i="4"/>
  <c r="O107" i="4"/>
  <c r="O105" i="4"/>
  <c r="P106" i="4"/>
  <c r="O101" i="4"/>
  <c r="AO44" i="2"/>
  <c r="AO46" i="2" s="1"/>
  <c r="AK46" i="2"/>
  <c r="AK45" i="2"/>
  <c r="AK50" i="2" s="1"/>
  <c r="N134" i="4"/>
  <c r="N133" i="4" s="1"/>
  <c r="P137" i="4"/>
  <c r="D141" i="4"/>
  <c r="O116" i="4"/>
  <c r="P110" i="4" a="1"/>
  <c r="N109" i="4" a="1"/>
  <c r="P108" i="4" a="1"/>
  <c r="N107" i="4" a="1"/>
  <c r="P114" i="4" a="1"/>
  <c r="P102" i="4" a="1"/>
  <c r="N105" i="4" a="1"/>
  <c r="N101" i="4" a="1"/>
  <c r="O141" i="4"/>
  <c r="N109" i="4" l="1"/>
  <c r="P110" i="4"/>
  <c r="N105" i="4"/>
  <c r="P108" i="4"/>
  <c r="N107" i="4"/>
  <c r="P114" i="4"/>
  <c r="AO45" i="2"/>
  <c r="AO50" i="2" s="1"/>
  <c r="N101" i="4"/>
  <c r="P102" i="4"/>
  <c r="B2" i="7" l="1"/>
  <c r="E35" i="2" l="1"/>
  <c r="E5" i="7"/>
  <c r="B5" i="7"/>
  <c r="C43" i="2"/>
  <c r="P37" i="2" s="1"/>
  <c r="C44" i="2"/>
  <c r="AJ24" i="2"/>
  <c r="C42" i="2"/>
  <c r="U35" i="2"/>
  <c r="K222" i="4"/>
  <c r="E7" i="2"/>
  <c r="V35" i="2"/>
  <c r="W35" i="2" s="1"/>
  <c r="Z265" i="2"/>
  <c r="H4" i="2" l="1"/>
  <c r="C39" i="2"/>
  <c r="AB287" i="2"/>
  <c r="B77" i="4" s="1"/>
  <c r="A156" i="4"/>
  <c r="M7" i="2"/>
  <c r="I222" i="4"/>
  <c r="S222" i="4" s="1"/>
  <c r="B160" i="4"/>
  <c r="N37" i="2"/>
  <c r="G73" i="4"/>
  <c r="Q73" i="4" s="1"/>
  <c r="N160" i="4"/>
  <c r="N77" i="4" a="1"/>
  <c r="D53" i="4" l="1"/>
  <c r="D54" i="4" s="1"/>
  <c r="C40" i="2"/>
  <c r="C41" i="2"/>
  <c r="N36" i="2" s="1"/>
  <c r="AP291" i="2"/>
  <c r="B78" i="4"/>
  <c r="D78" i="4" s="1"/>
  <c r="B73" i="4"/>
  <c r="D73" i="4" s="1"/>
  <c r="BR329" i="2"/>
  <c r="BX332" i="2"/>
  <c r="B79" i="4"/>
  <c r="D79" i="4" s="1"/>
  <c r="BF291" i="2"/>
  <c r="BR332" i="2"/>
  <c r="BQ330" i="2"/>
  <c r="D65" i="4"/>
  <c r="BR330" i="2"/>
  <c r="F73" i="4"/>
  <c r="B130" i="4"/>
  <c r="B76" i="4"/>
  <c r="BX331" i="2"/>
  <c r="BQ331" i="2"/>
  <c r="BX329" i="2"/>
  <c r="F74" i="4"/>
  <c r="F79" i="4"/>
  <c r="AI291" i="2"/>
  <c r="AW291" i="2"/>
  <c r="F78" i="4"/>
  <c r="BQ332" i="2"/>
  <c r="B74" i="4"/>
  <c r="D74" i="4" s="1"/>
  <c r="BR331" i="2"/>
  <c r="M99" i="13"/>
  <c r="BX330" i="2"/>
  <c r="D320" i="4"/>
  <c r="B75" i="4"/>
  <c r="BQ329" i="2"/>
  <c r="AC291" i="2"/>
  <c r="U274" i="2"/>
  <c r="U275" i="2" s="1"/>
  <c r="U276" i="2" s="1"/>
  <c r="N77" i="4"/>
  <c r="D77" i="4"/>
  <c r="AB49" i="2"/>
  <c r="G161" i="4"/>
  <c r="S161" i="4" s="1"/>
  <c r="E159" i="4"/>
  <c r="D156" i="4"/>
  <c r="N76" i="4" a="1"/>
  <c r="O77" i="4" a="1"/>
  <c r="O129" i="4" a="1"/>
  <c r="N75" i="4" a="1"/>
  <c r="O320" i="4"/>
  <c r="N124" i="4" l="1"/>
  <c r="O124" i="4"/>
  <c r="P125" i="4"/>
  <c r="C53" i="4"/>
  <c r="C54" i="4" s="1"/>
  <c r="N76" i="4"/>
  <c r="D76" i="4"/>
  <c r="N75" i="4"/>
  <c r="D75" i="4"/>
  <c r="O129" i="4"/>
  <c r="S36" i="2"/>
  <c r="AH18" i="2"/>
  <c r="AK18" i="2" s="1"/>
  <c r="AH17" i="2"/>
  <c r="AK17" i="2" s="1"/>
  <c r="S35" i="2"/>
  <c r="AH23" i="2"/>
  <c r="AI23" i="2" s="1"/>
  <c r="AJ23" i="2" s="1"/>
  <c r="AK23" i="2" s="1"/>
  <c r="X32" i="2"/>
  <c r="T35" i="2" s="1"/>
  <c r="S274" i="2"/>
  <c r="S275" i="2" s="1"/>
  <c r="O77" i="4"/>
  <c r="P274" i="2"/>
  <c r="O274" i="2" s="1"/>
  <c r="P36" i="2"/>
  <c r="Q36" i="2" s="1"/>
  <c r="A73" i="4" s="1"/>
  <c r="C45" i="2"/>
  <c r="G42" i="2" s="1"/>
  <c r="D160" i="4"/>
  <c r="G159" i="4"/>
  <c r="Q159" i="4" s="1"/>
  <c r="D159" i="4"/>
  <c r="N156" i="4"/>
  <c r="F159" i="4"/>
  <c r="O156" i="4"/>
  <c r="G160" i="4"/>
  <c r="Q160" i="4" s="1"/>
  <c r="F160" i="4"/>
  <c r="O36" i="2"/>
  <c r="O37" i="2" s="1"/>
  <c r="O160" i="4"/>
  <c r="O159" i="4"/>
  <c r="T160" i="4"/>
  <c r="T159" i="4"/>
  <c r="O76" i="4" a="1"/>
  <c r="P54" i="4"/>
  <c r="N73" i="4"/>
  <c r="O75" i="4" a="1"/>
  <c r="O76" i="4" l="1"/>
  <c r="O75" i="4"/>
  <c r="P275" i="2"/>
  <c r="O275" i="2" s="1"/>
  <c r="Q37" i="2"/>
  <c r="C73" i="4" s="1"/>
  <c r="AG269" i="2"/>
  <c r="AF269" i="2" s="1"/>
  <c r="N55" i="4"/>
  <c r="T274" i="2"/>
  <c r="V274" i="2"/>
  <c r="R274" i="2"/>
  <c r="Q269" i="2" s="1"/>
  <c r="O53" i="4"/>
  <c r="O73" i="4"/>
  <c r="N54" i="4" l="1"/>
  <c r="AJ269" i="2"/>
  <c r="AI269" i="2"/>
  <c r="E73" i="4"/>
  <c r="AM273" i="2"/>
  <c r="AM268" i="2"/>
  <c r="AK268" i="2" s="1"/>
  <c r="Q270" i="2"/>
  <c r="C78" i="4"/>
  <c r="F75" i="4"/>
  <c r="G78" i="4"/>
  <c r="A78" i="4"/>
  <c r="T275" i="2"/>
  <c r="V275" i="2"/>
  <c r="R275" i="2"/>
  <c r="T75" i="4" a="1"/>
  <c r="T73" i="4"/>
  <c r="BF269" i="2" l="1"/>
  <c r="T75" i="4"/>
  <c r="E78" i="4"/>
  <c r="R269" i="2"/>
  <c r="S292" i="2"/>
  <c r="U292" i="2"/>
  <c r="P292" i="2"/>
  <c r="R270" i="2" l="1"/>
  <c r="O30" i="1" l="1"/>
  <c r="C43" i="1" s="1"/>
  <c r="O27" i="1"/>
  <c r="C42" i="1" s="1"/>
  <c r="E31" i="1"/>
  <c r="D34" i="1" s="1"/>
  <c r="O25" i="1"/>
  <c r="E2" i="2" s="1"/>
  <c r="E32" i="1"/>
  <c r="G302" i="4" s="1"/>
  <c r="O24" i="1"/>
  <c r="E4" i="2" s="1"/>
  <c r="E19" i="1"/>
  <c r="O29" i="1"/>
  <c r="B43" i="1" s="1"/>
  <c r="E18" i="1"/>
  <c r="G300" i="4" s="1"/>
  <c r="U300" i="4" s="1"/>
  <c r="E23" i="1"/>
  <c r="O32" i="1"/>
  <c r="O26" i="1"/>
  <c r="B42" i="1" s="1"/>
  <c r="O28" i="1"/>
  <c r="E17" i="1"/>
  <c r="E20" i="1"/>
  <c r="E21" i="1"/>
  <c r="M42" i="1"/>
  <c r="M43" i="1"/>
  <c r="G301" i="4" l="1"/>
  <c r="U301" i="4" s="1"/>
  <c r="D33" i="1"/>
  <c r="G303" i="4" s="1"/>
  <c r="U303" i="4" s="1"/>
  <c r="U302" i="4"/>
  <c r="D24" i="1"/>
  <c r="R164" i="4"/>
  <c r="P164" i="4"/>
  <c r="M164" i="4"/>
  <c r="U306" i="4"/>
  <c r="C28" i="2"/>
  <c r="O31" i="1"/>
  <c r="D38" i="1"/>
  <c r="F33" i="1"/>
  <c r="B41" i="1"/>
  <c r="D179" i="1"/>
  <c r="G297" i="4"/>
  <c r="U297" i="4" s="1"/>
  <c r="B3" i="15"/>
  <c r="F16" i="1"/>
  <c r="D42" i="1"/>
  <c r="D43" i="1"/>
  <c r="D180" i="1"/>
  <c r="C39" i="1"/>
  <c r="D29" i="2"/>
  <c r="D30" i="2"/>
  <c r="C30" i="2" s="1"/>
  <c r="G271" i="4"/>
  <c r="H164" i="4"/>
  <c r="N164" i="4" s="1"/>
  <c r="C29" i="2"/>
  <c r="G304" i="4"/>
  <c r="U304" i="4" s="1"/>
  <c r="C41" i="1"/>
  <c r="O164" i="4"/>
  <c r="C33" i="2" l="1"/>
  <c r="C267" i="4" s="1"/>
  <c r="G267" i="4" s="1"/>
  <c r="N267" i="4" s="1"/>
  <c r="D39" i="1"/>
  <c r="G168" i="4"/>
  <c r="E271" i="4"/>
  <c r="G298" i="4"/>
  <c r="U298" i="4" s="1"/>
  <c r="B5" i="15"/>
  <c r="G270" i="4"/>
  <c r="S271" i="4"/>
  <c r="I271" i="4"/>
  <c r="Q271" i="4" s="1"/>
  <c r="A168" i="4" l="1"/>
  <c r="Q272" i="4"/>
  <c r="I166" i="4"/>
  <c r="P166" i="4" s="1"/>
  <c r="B273" i="4"/>
  <c r="N272" i="4"/>
  <c r="U87" i="2"/>
  <c r="U88" i="2" s="1"/>
  <c r="U90" i="2" s="1"/>
  <c r="M272" i="4"/>
  <c r="F168" i="4"/>
  <c r="R272" i="4"/>
  <c r="Q170" i="4"/>
  <c r="P170" i="4"/>
  <c r="S170" i="4"/>
  <c r="M166" i="4"/>
  <c r="F167" i="4"/>
  <c r="G272" i="4"/>
  <c r="S272" i="4" s="1"/>
  <c r="C168" i="4"/>
  <c r="M170" i="4"/>
  <c r="O272" i="4"/>
  <c r="R43" i="2"/>
  <c r="O145" i="4" s="1"/>
  <c r="T169" i="4"/>
  <c r="P273" i="4"/>
  <c r="O166" i="4"/>
  <c r="N170" i="4"/>
  <c r="O170" i="4"/>
  <c r="P272" i="4"/>
  <c r="T170" i="4"/>
  <c r="P150" i="4" l="1"/>
  <c r="R154" i="4"/>
  <c r="S151" i="4"/>
  <c r="Q151" i="4"/>
  <c r="M146" i="4"/>
  <c r="M154" i="4"/>
  <c r="N150" i="4"/>
  <c r="N151" i="4"/>
  <c r="N145" i="4"/>
  <c r="S154" i="4"/>
  <c r="N148" i="4"/>
  <c r="R151" i="4"/>
  <c r="O151" i="4"/>
  <c r="P145" i="4"/>
  <c r="Q154" i="4"/>
  <c r="N147" i="4"/>
  <c r="M145" i="4"/>
  <c r="N149" i="4"/>
  <c r="R144" i="4"/>
  <c r="M151" i="4"/>
  <c r="P154" i="4"/>
  <c r="M299" i="2" l="1"/>
  <c r="M301" i="2"/>
  <c r="U55" i="2"/>
  <c r="V55" i="2"/>
  <c r="M295" i="2"/>
  <c r="W55" i="2"/>
  <c r="M293" i="2"/>
  <c r="M296" i="2"/>
  <c r="M302" i="2"/>
  <c r="M297" i="2"/>
  <c r="L288" i="2"/>
  <c r="Q6" i="2" s="1"/>
  <c r="W64" i="2"/>
  <c r="O103" i="4" a="1"/>
  <c r="O103" i="4" l="1"/>
  <c r="V64" i="2"/>
  <c r="N103" i="4" a="1"/>
  <c r="N103" i="4" l="1"/>
  <c r="M303" i="2"/>
  <c r="T55" i="2"/>
  <c r="AK59" i="2" s="1"/>
  <c r="AK56" i="2" s="1"/>
  <c r="X55" i="2"/>
  <c r="AO59" i="2" s="1"/>
  <c r="AO56" i="2" s="1"/>
  <c r="M304" i="2"/>
  <c r="M294" i="2"/>
  <c r="V48" i="2"/>
  <c r="AM43" i="2" s="1"/>
  <c r="S48" i="2"/>
  <c r="M286" i="2"/>
  <c r="L286" i="2"/>
  <c r="M292" i="2"/>
  <c r="N286" i="2"/>
  <c r="U48" i="2"/>
  <c r="AL43" i="2" s="1"/>
  <c r="W48" i="2"/>
  <c r="AN43" i="2" s="1"/>
  <c r="M298" i="2"/>
  <c r="M300" i="2"/>
  <c r="S55" i="2"/>
  <c r="M305" i="2"/>
  <c r="O150" i="4" a="1"/>
  <c r="N146" i="4" a="1"/>
  <c r="P104" i="4" a="1"/>
  <c r="N91" i="4" l="1"/>
  <c r="O150" i="4"/>
  <c r="N146" i="4"/>
  <c r="AJ43" i="2"/>
  <c r="AJ59" i="2" s="1"/>
  <c r="AJ56" i="2" s="1"/>
  <c r="N89" i="4"/>
  <c r="P104" i="4"/>
  <c r="AN44" i="2"/>
  <c r="AN59" i="2"/>
  <c r="AN56" i="2" s="1"/>
  <c r="AL44" i="2"/>
  <c r="AL59" i="2"/>
  <c r="AL56" i="2" s="1"/>
  <c r="AM44" i="2"/>
  <c r="AM59" i="2"/>
  <c r="AM56" i="2" s="1"/>
  <c r="AO57" i="2"/>
  <c r="AO52" i="2" s="1"/>
  <c r="AO51" i="2" s="1"/>
  <c r="AO58" i="2"/>
  <c r="AK58" i="2"/>
  <c r="AK57" i="2"/>
  <c r="AK52" i="2" s="1"/>
  <c r="AK51" i="2" s="1"/>
  <c r="AJ44" i="2" l="1"/>
  <c r="AJ46" i="2" s="1"/>
  <c r="AJ58" i="2"/>
  <c r="AJ57" i="2"/>
  <c r="AJ52" i="2" s="1"/>
  <c r="AL58" i="2"/>
  <c r="AL57" i="2"/>
  <c r="AL52" i="2" s="1"/>
  <c r="AM57" i="2"/>
  <c r="AM52" i="2" s="1"/>
  <c r="AM58" i="2"/>
  <c r="AM46" i="2"/>
  <c r="AM45" i="2"/>
  <c r="AM50" i="2" s="1"/>
  <c r="AL46" i="2"/>
  <c r="AL45" i="2"/>
  <c r="AL50" i="2" s="1"/>
  <c r="AN57" i="2"/>
  <c r="AN52" i="2" s="1"/>
  <c r="AN58" i="2"/>
  <c r="AN45" i="2"/>
  <c r="AN50" i="2" s="1"/>
  <c r="AN46" i="2"/>
  <c r="AB286" i="2"/>
  <c r="L99" i="13" s="1"/>
  <c r="AJ45" i="2" l="1"/>
  <c r="AL51" i="2"/>
  <c r="AM51" i="2"/>
  <c r="AN51" i="2"/>
  <c r="D130" i="4"/>
  <c r="F320" i="4"/>
  <c r="B210" i="4"/>
  <c r="AB291" i="2"/>
  <c r="O146" i="4" a="1"/>
  <c r="O147" i="4" a="1"/>
  <c r="P320" i="4"/>
  <c r="P129" i="4" a="1"/>
  <c r="O147" i="4" l="1"/>
  <c r="O146" i="4"/>
  <c r="AJ50" i="2"/>
  <c r="AJ51" i="2" s="1"/>
  <c r="P129" i="4"/>
  <c r="P151" i="4" a="1"/>
  <c r="O149" i="4" a="1"/>
  <c r="O148" i="4" a="1"/>
  <c r="O148" i="4" l="1"/>
  <c r="O149" i="4"/>
  <c r="P151" i="4"/>
  <c r="BO291" i="2"/>
  <c r="G50" i="2"/>
  <c r="G52" i="2" s="1"/>
  <c r="B57" i="4" l="1"/>
  <c r="C54" i="2"/>
  <c r="BP324" i="2"/>
  <c r="BR291" i="2"/>
  <c r="BQ291" i="2"/>
  <c r="BX325" i="2"/>
  <c r="BX291" i="2"/>
  <c r="P121" i="4"/>
  <c r="CA291" i="2"/>
  <c r="BX326" i="2"/>
  <c r="P122" i="4"/>
  <c r="BO295" i="2"/>
  <c r="M267" i="2"/>
  <c r="K264" i="2"/>
  <c r="Q3" i="2" s="1"/>
  <c r="O57" i="4"/>
  <c r="F13" i="2" l="1"/>
  <c r="D13" i="2" s="1"/>
  <c r="BQ295" i="2"/>
  <c r="CA295" i="2"/>
  <c r="BZ295" i="2"/>
  <c r="BV295" i="2"/>
  <c r="BX295" i="2"/>
  <c r="BR295" i="2"/>
  <c r="BW295" i="2"/>
  <c r="BU295" i="2"/>
  <c r="BP295" i="2"/>
  <c r="BO299" i="2"/>
  <c r="BN295" i="2"/>
  <c r="M81" i="4"/>
  <c r="BU324" i="2"/>
  <c r="BR324" i="2"/>
  <c r="O81" i="4" s="1"/>
  <c r="BQ324" i="2"/>
  <c r="N81" i="4" s="1"/>
  <c r="P81" i="4"/>
  <c r="BW324" i="2" l="1"/>
  <c r="BY324" i="2"/>
  <c r="BX324" i="2" s="1"/>
  <c r="BV324" i="2"/>
  <c r="CA324" i="2"/>
  <c r="BZ324" i="2"/>
  <c r="BP299" i="2"/>
  <c r="BX299" i="2"/>
  <c r="BU299" i="2"/>
  <c r="BR299" i="2"/>
  <c r="BQ299" i="2"/>
  <c r="BW299" i="2"/>
  <c r="BZ299" i="2"/>
  <c r="CA299" i="2"/>
  <c r="BV299" i="2"/>
  <c r="BN299" i="2"/>
  <c r="BO303" i="2"/>
  <c r="C50" i="2" l="1"/>
  <c r="Z270" i="2"/>
  <c r="E13" i="2"/>
  <c r="AI34" i="2"/>
  <c r="C48" i="2"/>
  <c r="K223" i="4"/>
  <c r="U39" i="2"/>
  <c r="V39" i="2" s="1"/>
  <c r="C49" i="2"/>
  <c r="M3" i="2"/>
  <c r="BN303" i="2"/>
  <c r="BV303" i="2"/>
  <c r="BR303" i="2"/>
  <c r="BQ303" i="2"/>
  <c r="BZ303" i="2"/>
  <c r="BX303" i="2"/>
  <c r="BU303" i="2"/>
  <c r="BP303" i="2"/>
  <c r="CA303" i="2"/>
  <c r="BW303" i="2"/>
  <c r="BO307" i="2"/>
  <c r="I223" i="4" l="1"/>
  <c r="S223" i="4" s="1"/>
  <c r="P39" i="2"/>
  <c r="G21" i="2"/>
  <c r="G22" i="2" s="1"/>
  <c r="B56" i="4"/>
  <c r="U277" i="2"/>
  <c r="G79" i="13"/>
  <c r="B84" i="13" s="1"/>
  <c r="C51" i="2"/>
  <c r="G74" i="4"/>
  <c r="Q74" i="4" s="1"/>
  <c r="N39" i="2"/>
  <c r="BQ307" i="2"/>
  <c r="BV307" i="2"/>
  <c r="CA307" i="2"/>
  <c r="BN307" i="2"/>
  <c r="BR307" i="2"/>
  <c r="BU307" i="2"/>
  <c r="BP307" i="2"/>
  <c r="BW307" i="2"/>
  <c r="BZ307" i="2"/>
  <c r="BX307" i="2"/>
  <c r="BO308" i="2"/>
  <c r="C52" i="2" l="1"/>
  <c r="C46" i="2" s="1"/>
  <c r="C53" i="2"/>
  <c r="U278" i="2"/>
  <c r="Q9" i="2"/>
  <c r="G211" i="4"/>
  <c r="N211" i="4" s="1"/>
  <c r="C210" i="4"/>
  <c r="G200" i="4"/>
  <c r="S200" i="4" s="1"/>
  <c r="C99" i="13"/>
  <c r="J99" i="13" s="1"/>
  <c r="BW308" i="2"/>
  <c r="CA308" i="2"/>
  <c r="BZ308" i="2"/>
  <c r="BX308" i="2"/>
  <c r="BR308" i="2"/>
  <c r="BN308" i="2"/>
  <c r="BP308" i="2"/>
  <c r="BV308" i="2"/>
  <c r="BU308" i="2"/>
  <c r="BQ308" i="2"/>
  <c r="BO310" i="2"/>
  <c r="O210" i="4" a="1"/>
  <c r="J91" i="13" l="1"/>
  <c r="J101" i="13"/>
  <c r="C7" i="15"/>
  <c r="P8" i="2"/>
  <c r="B24" i="7"/>
  <c r="B26" i="7" s="1"/>
  <c r="C26" i="7" s="1"/>
  <c r="S37" i="2"/>
  <c r="P38" i="2"/>
  <c r="Q38" i="2" s="1"/>
  <c r="N38" i="2"/>
  <c r="O38" i="2" s="1"/>
  <c r="O39" i="2" s="1"/>
  <c r="A55" i="4"/>
  <c r="S38" i="2"/>
  <c r="S276" i="2"/>
  <c r="S277" i="2" s="1"/>
  <c r="S278" i="2" s="1"/>
  <c r="P276" i="2"/>
  <c r="O210" i="4"/>
  <c r="E99" i="13"/>
  <c r="E124" i="13" s="1"/>
  <c r="I99" i="13"/>
  <c r="H99" i="13"/>
  <c r="F99" i="13"/>
  <c r="G99" i="13"/>
  <c r="N40" i="2"/>
  <c r="S39" i="2"/>
  <c r="P40" i="2"/>
  <c r="C47" i="2"/>
  <c r="G43" i="2" s="1"/>
  <c r="M5" i="2"/>
  <c r="BW310" i="2"/>
  <c r="BP310" i="2"/>
  <c r="BX310" i="2"/>
  <c r="CA310" i="2"/>
  <c r="BQ310" i="2"/>
  <c r="BU310" i="2"/>
  <c r="BZ310" i="2"/>
  <c r="BN310" i="2"/>
  <c r="BR310" i="2"/>
  <c r="BV310" i="2"/>
  <c r="BO311" i="2"/>
  <c r="O55" i="4"/>
  <c r="D199" i="4" l="1"/>
  <c r="E126" i="13"/>
  <c r="E133" i="13"/>
  <c r="N43" i="2"/>
  <c r="U26" i="1" s="1"/>
  <c r="AG270" i="2"/>
  <c r="AS88" i="2" s="1"/>
  <c r="B85" i="13"/>
  <c r="B83" i="13" s="1"/>
  <c r="N56" i="4"/>
  <c r="P277" i="2"/>
  <c r="AG271" i="2" s="1"/>
  <c r="O276" i="2"/>
  <c r="Q39" i="2"/>
  <c r="A74" i="4"/>
  <c r="G44" i="2"/>
  <c r="G4" i="2"/>
  <c r="E101" i="13"/>
  <c r="E91" i="13"/>
  <c r="O40" i="2"/>
  <c r="G91" i="13"/>
  <c r="G101" i="13"/>
  <c r="F91" i="13"/>
  <c r="F101" i="13"/>
  <c r="B200" i="4" s="1"/>
  <c r="H91" i="13"/>
  <c r="H101" i="13"/>
  <c r="I101" i="13"/>
  <c r="I91" i="13"/>
  <c r="BZ311" i="2"/>
  <c r="BP311" i="2"/>
  <c r="BN311" i="2"/>
  <c r="BX311" i="2"/>
  <c r="CA311" i="2"/>
  <c r="BU311" i="2"/>
  <c r="BQ311" i="2"/>
  <c r="BV311" i="2"/>
  <c r="BW311" i="2"/>
  <c r="BR311" i="2"/>
  <c r="BO312" i="2"/>
  <c r="P199" i="4"/>
  <c r="N74" i="4"/>
  <c r="P215" i="4"/>
  <c r="B184" i="4" l="1"/>
  <c r="D13" i="9"/>
  <c r="D6" i="4"/>
  <c r="B226" i="4"/>
  <c r="D13" i="12"/>
  <c r="D13" i="10"/>
  <c r="D13" i="11"/>
  <c r="M9" i="2"/>
  <c r="T31" i="2" s="1"/>
  <c r="R25" i="1"/>
  <c r="D25" i="1"/>
  <c r="D26" i="1" s="1"/>
  <c r="G299" i="4" s="1"/>
  <c r="U299" i="4" s="1"/>
  <c r="AJ270" i="2"/>
  <c r="AT89" i="2"/>
  <c r="AF270" i="2"/>
  <c r="AS89" i="2"/>
  <c r="A85" i="13"/>
  <c r="AS87" i="2"/>
  <c r="AI270" i="2"/>
  <c r="P9" i="2"/>
  <c r="D30" i="1" s="1"/>
  <c r="G295" i="4" s="1"/>
  <c r="U295" i="4" s="1"/>
  <c r="G187" i="4"/>
  <c r="P187" i="4" s="1"/>
  <c r="G194" i="4"/>
  <c r="N194" i="4" s="1"/>
  <c r="A56" i="4"/>
  <c r="C74" i="4"/>
  <c r="V276" i="2"/>
  <c r="R276" i="2"/>
  <c r="S269" i="2" s="1"/>
  <c r="S270" i="2" s="1"/>
  <c r="T276" i="2"/>
  <c r="P278" i="2"/>
  <c r="D7" i="15" s="1"/>
  <c r="E7" i="15" s="1"/>
  <c r="O277" i="2"/>
  <c r="AJ271" i="2"/>
  <c r="AF271" i="2"/>
  <c r="AI271" i="2"/>
  <c r="A79" i="4"/>
  <c r="C79" i="4"/>
  <c r="G79" i="4"/>
  <c r="Q40" i="2"/>
  <c r="Q41" i="2" s="1"/>
  <c r="Q42" i="2" s="1"/>
  <c r="D240" i="4"/>
  <c r="F2" i="2"/>
  <c r="I4" i="2"/>
  <c r="G5" i="2"/>
  <c r="K46" i="2"/>
  <c r="BQ312" i="2"/>
  <c r="BN312" i="2"/>
  <c r="BV312" i="2"/>
  <c r="CA312" i="2"/>
  <c r="BX312" i="2"/>
  <c r="BZ312" i="2"/>
  <c r="BP312" i="2"/>
  <c r="BU312" i="2"/>
  <c r="BR312" i="2"/>
  <c r="BW312" i="2"/>
  <c r="BO313" i="2"/>
  <c r="P56" i="4"/>
  <c r="O184" i="4"/>
  <c r="P200" i="4"/>
  <c r="O74" i="4"/>
  <c r="P22" i="9" a="1"/>
  <c r="P220" i="4"/>
  <c r="P216" i="4"/>
  <c r="O19" i="10" a="1"/>
  <c r="O226" i="4"/>
  <c r="P13" i="11" a="1"/>
  <c r="P19" i="12" a="1"/>
  <c r="P13" i="11" l="1"/>
  <c r="O19" i="10"/>
  <c r="P19" i="12"/>
  <c r="P22" i="9"/>
  <c r="A8" i="15"/>
  <c r="B8" i="15" s="1"/>
  <c r="C8" i="15" s="1"/>
  <c r="BF270" i="2"/>
  <c r="AM269" i="2"/>
  <c r="AK269" i="2" s="1"/>
  <c r="AM271" i="2"/>
  <c r="AK271" i="2" s="1"/>
  <c r="BF271" i="2"/>
  <c r="E79" i="4"/>
  <c r="N57" i="4"/>
  <c r="V277" i="2"/>
  <c r="R277" i="2"/>
  <c r="T269" i="2" s="1"/>
  <c r="T270" i="2" s="1"/>
  <c r="Q292" i="2" s="1"/>
  <c r="T277" i="2"/>
  <c r="AM270" i="2"/>
  <c r="AK270" i="2" s="1"/>
  <c r="O278" i="2"/>
  <c r="AG272" i="2"/>
  <c r="AF2" i="2"/>
  <c r="AG2" i="2" s="1"/>
  <c r="AF33" i="2"/>
  <c r="AF8" i="2"/>
  <c r="AF18" i="2"/>
  <c r="AF12" i="2"/>
  <c r="AF25" i="2"/>
  <c r="AF32" i="2"/>
  <c r="AF20" i="2"/>
  <c r="AF23" i="2"/>
  <c r="AF7" i="2"/>
  <c r="AF26" i="2"/>
  <c r="AF11" i="2"/>
  <c r="AF6" i="2"/>
  <c r="AF4" i="2"/>
  <c r="AF21" i="2"/>
  <c r="AF19" i="2"/>
  <c r="AF22" i="2"/>
  <c r="AF24" i="2"/>
  <c r="AF13" i="2"/>
  <c r="AF3" i="2"/>
  <c r="AF10" i="2"/>
  <c r="AF14" i="2"/>
  <c r="AF9" i="2"/>
  <c r="AF15" i="2"/>
  <c r="AF16" i="2"/>
  <c r="AF34" i="2"/>
  <c r="AF5" i="2"/>
  <c r="AF28" i="2"/>
  <c r="AF17" i="2"/>
  <c r="AF30" i="2"/>
  <c r="AF29" i="2"/>
  <c r="AF27" i="2"/>
  <c r="AF31" i="2"/>
  <c r="E74" i="4"/>
  <c r="F77" i="4"/>
  <c r="F76" i="4"/>
  <c r="BP313" i="2"/>
  <c r="BZ313" i="2"/>
  <c r="BW313" i="2"/>
  <c r="BV313" i="2"/>
  <c r="BN313" i="2"/>
  <c r="BR313" i="2"/>
  <c r="BQ313" i="2"/>
  <c r="BX313" i="2"/>
  <c r="CA313" i="2"/>
  <c r="BU313" i="2"/>
  <c r="BO314" i="2"/>
  <c r="T76" i="4" a="1"/>
  <c r="T77" i="4" a="1"/>
  <c r="T74" i="4"/>
  <c r="O27" i="12" a="1"/>
  <c r="O19" i="12" a="1"/>
  <c r="P27" i="11" a="1"/>
  <c r="O22" i="9" a="1"/>
  <c r="P19" i="9" a="1"/>
  <c r="O16" i="11" a="1"/>
  <c r="P223" i="4"/>
  <c r="O13" i="10" a="1"/>
  <c r="Q15" i="9" a="1"/>
  <c r="P222" i="4"/>
  <c r="P15" i="9" a="1"/>
  <c r="O13" i="12" a="1"/>
  <c r="P13" i="12" a="1"/>
  <c r="P30" i="9" a="1"/>
  <c r="P16" i="12" a="1"/>
  <c r="P19" i="10" a="1"/>
  <c r="O19" i="11" a="1"/>
  <c r="O14" i="11" a="1"/>
  <c r="P13" i="10" a="1"/>
  <c r="O19" i="9" a="1"/>
  <c r="P14" i="11" a="1"/>
  <c r="P27" i="10" a="1"/>
  <c r="O13" i="11" a="1"/>
  <c r="O16" i="12" a="1"/>
  <c r="O27" i="11" a="1"/>
  <c r="O27" i="10" a="1"/>
  <c r="P19" i="11" a="1"/>
  <c r="O30" i="9" a="1"/>
  <c r="P16" i="11" a="1"/>
  <c r="P27" i="12" a="1"/>
  <c r="O27" i="12" l="1"/>
  <c r="O19" i="12"/>
  <c r="P27" i="12"/>
  <c r="P16" i="12"/>
  <c r="P19" i="9"/>
  <c r="P15" i="9"/>
  <c r="P30" i="9"/>
  <c r="O19" i="9"/>
  <c r="O30" i="9"/>
  <c r="P13" i="10"/>
  <c r="O22" i="9"/>
  <c r="Q15" i="9"/>
  <c r="P19" i="11"/>
  <c r="P27" i="11"/>
  <c r="P13" i="12"/>
  <c r="P14" i="12" s="1"/>
  <c r="O13" i="12"/>
  <c r="O14" i="12" s="1"/>
  <c r="P19" i="10"/>
  <c r="O13" i="10"/>
  <c r="O13" i="11"/>
  <c r="O14" i="11"/>
  <c r="P16" i="11"/>
  <c r="P27" i="10"/>
  <c r="P14" i="11"/>
  <c r="O19" i="11"/>
  <c r="O27" i="10"/>
  <c r="O16" i="11"/>
  <c r="O27" i="11"/>
  <c r="A9" i="15"/>
  <c r="B9" i="15" s="1"/>
  <c r="C9" i="15" s="1"/>
  <c r="O16" i="12"/>
  <c r="AG6" i="2"/>
  <c r="T76" i="4"/>
  <c r="T77" i="4"/>
  <c r="AG26" i="2"/>
  <c r="AG18" i="2"/>
  <c r="AG17" i="2"/>
  <c r="AG29" i="2"/>
  <c r="AG19" i="2"/>
  <c r="AG32" i="2"/>
  <c r="AG13" i="2"/>
  <c r="AG24" i="2"/>
  <c r="AG3" i="2"/>
  <c r="AG14" i="2"/>
  <c r="AG22" i="2"/>
  <c r="AG21" i="2"/>
  <c r="AG31" i="2"/>
  <c r="AG30" i="2"/>
  <c r="AG16" i="2"/>
  <c r="AG9" i="2"/>
  <c r="AG25" i="2"/>
  <c r="AG10" i="2"/>
  <c r="AG8" i="2"/>
  <c r="AG23" i="2"/>
  <c r="AG33" i="2"/>
  <c r="AF272" i="2"/>
  <c r="AJ272" i="2"/>
  <c r="AM272" i="2"/>
  <c r="AK272" i="2" s="1"/>
  <c r="AI272" i="2"/>
  <c r="AG4" i="2"/>
  <c r="AG20" i="2"/>
  <c r="AG27" i="2"/>
  <c r="T278" i="2"/>
  <c r="V278" i="2"/>
  <c r="R278" i="2"/>
  <c r="U269" i="2" s="1"/>
  <c r="AG11" i="2"/>
  <c r="AG7" i="2"/>
  <c r="AG12" i="2"/>
  <c r="AG28" i="2"/>
  <c r="AG5" i="2"/>
  <c r="AG34" i="2"/>
  <c r="AG15" i="2"/>
  <c r="BW314" i="2"/>
  <c r="BR314" i="2"/>
  <c r="CA314" i="2"/>
  <c r="BX314" i="2"/>
  <c r="BP314" i="2"/>
  <c r="BQ314" i="2"/>
  <c r="BV314" i="2"/>
  <c r="BZ314" i="2"/>
  <c r="BN314" i="2"/>
  <c r="BU314" i="2"/>
  <c r="BO315" i="2"/>
  <c r="A10" i="15" l="1"/>
  <c r="B10" i="15" s="1"/>
  <c r="C10" i="15" s="1"/>
  <c r="D10" i="15" s="1"/>
  <c r="AM277" i="2"/>
  <c r="AK277" i="2" s="1"/>
  <c r="E27" i="2"/>
  <c r="F27" i="2" s="1"/>
  <c r="G27" i="2" s="1"/>
  <c r="AM279" i="2"/>
  <c r="AK279" i="2" s="1"/>
  <c r="AM274" i="2"/>
  <c r="AK274" i="2" s="1"/>
  <c r="AM276" i="2"/>
  <c r="AK276" i="2" s="1"/>
  <c r="AM275" i="2"/>
  <c r="AK275" i="2" s="1"/>
  <c r="AM280" i="2"/>
  <c r="AK280" i="2" s="1"/>
  <c r="D9" i="15"/>
  <c r="AM278" i="2"/>
  <c r="AK278" i="2" s="1"/>
  <c r="D8" i="15"/>
  <c r="BF272" i="2"/>
  <c r="U270" i="2"/>
  <c r="W269" i="2"/>
  <c r="O292" i="2" s="1"/>
  <c r="BV315" i="2"/>
  <c r="BU315" i="2"/>
  <c r="BR315" i="2"/>
  <c r="BN315" i="2"/>
  <c r="BW315" i="2"/>
  <c r="BP315" i="2"/>
  <c r="BX315" i="2"/>
  <c r="CA315" i="2"/>
  <c r="BQ315" i="2"/>
  <c r="BZ315" i="2"/>
  <c r="BO316" i="2"/>
  <c r="A11" i="15" l="1"/>
  <c r="B11" i="15" s="1"/>
  <c r="A12" i="15" s="1"/>
  <c r="B12" i="15" s="1"/>
  <c r="A13" i="15" s="1"/>
  <c r="E10" i="15"/>
  <c r="AP268" i="2" a="1"/>
  <c r="AR270" i="2" s="1"/>
  <c r="E8" i="15"/>
  <c r="E9" i="15"/>
  <c r="AV292" i="2"/>
  <c r="BF292" i="2"/>
  <c r="R292" i="2"/>
  <c r="AA292" i="2"/>
  <c r="AQ292" i="2"/>
  <c r="V292" i="2"/>
  <c r="AW292" i="2"/>
  <c r="S293" i="2"/>
  <c r="AC292" i="2"/>
  <c r="P293" i="2"/>
  <c r="Z292" i="2"/>
  <c r="Y292" i="2"/>
  <c r="AB292" i="2"/>
  <c r="AP292" i="2"/>
  <c r="T292" i="2"/>
  <c r="O293" i="2"/>
  <c r="X284" i="2"/>
  <c r="X283" i="2"/>
  <c r="W292" i="2"/>
  <c r="X292" i="2" s="1"/>
  <c r="BI292" i="2" s="1"/>
  <c r="Q293" i="2"/>
  <c r="U293" i="2" s="1"/>
  <c r="BE292" i="2"/>
  <c r="AI292" i="2"/>
  <c r="AJ292" i="2"/>
  <c r="CA316" i="2"/>
  <c r="BV316" i="2"/>
  <c r="BR316" i="2"/>
  <c r="BW316" i="2"/>
  <c r="BP316" i="2"/>
  <c r="BN316" i="2"/>
  <c r="BZ316" i="2"/>
  <c r="BQ316" i="2"/>
  <c r="BU316" i="2"/>
  <c r="BX316" i="2"/>
  <c r="BO317" i="2"/>
  <c r="C11" i="15" l="1"/>
  <c r="D11" i="15" s="1"/>
  <c r="E11" i="15" s="1"/>
  <c r="AP17" i="2"/>
  <c r="AT273" i="2"/>
  <c r="AT275" i="2"/>
  <c r="AP271" i="2"/>
  <c r="AR274" i="2"/>
  <c r="AR271" i="2"/>
  <c r="AS275" i="2"/>
  <c r="AS270" i="2"/>
  <c r="AQ270" i="2"/>
  <c r="AQ277" i="2"/>
  <c r="AU272" i="2"/>
  <c r="AQ273" i="2"/>
  <c r="AR269" i="2"/>
  <c r="AQ269" i="2"/>
  <c r="AQ272" i="2"/>
  <c r="AP277" i="2"/>
  <c r="AT276" i="2"/>
  <c r="AP272" i="2"/>
  <c r="AS280" i="2"/>
  <c r="AQ279" i="2"/>
  <c r="AT279" i="2"/>
  <c r="AQ280" i="2"/>
  <c r="AU280" i="2"/>
  <c r="AU279" i="2"/>
  <c r="AU276" i="2"/>
  <c r="AP274" i="2"/>
  <c r="AS268" i="2"/>
  <c r="AS276" i="2"/>
  <c r="AR279" i="2"/>
  <c r="AS269" i="2"/>
  <c r="AT270" i="2"/>
  <c r="AU278" i="2"/>
  <c r="AR277" i="2"/>
  <c r="AP270" i="2"/>
  <c r="AP268" i="2"/>
  <c r="AS279" i="2"/>
  <c r="AT274" i="2"/>
  <c r="AU273" i="2"/>
  <c r="AS277" i="2"/>
  <c r="AQ274" i="2"/>
  <c r="AQ271" i="2"/>
  <c r="AU270" i="2"/>
  <c r="AP280" i="2"/>
  <c r="AO280" i="2" s="1"/>
  <c r="AR280" i="2"/>
  <c r="AP275" i="2"/>
  <c r="AU268" i="2"/>
  <c r="AP269" i="2"/>
  <c r="AO269" i="2" s="1"/>
  <c r="AQ276" i="2"/>
  <c r="AT277" i="2"/>
  <c r="AR268" i="2"/>
  <c r="AS271" i="2"/>
  <c r="AP276" i="2"/>
  <c r="AU277" i="2"/>
  <c r="AR275" i="2"/>
  <c r="AT272" i="2"/>
  <c r="AP278" i="2"/>
  <c r="AT271" i="2"/>
  <c r="AQ278" i="2"/>
  <c r="AS278" i="2"/>
  <c r="AP279" i="2"/>
  <c r="AR272" i="2"/>
  <c r="AR278" i="2"/>
  <c r="AS274" i="2"/>
  <c r="AU271" i="2"/>
  <c r="AT269" i="2"/>
  <c r="AU274" i="2"/>
  <c r="AT278" i="2"/>
  <c r="AS272" i="2"/>
  <c r="AP273" i="2"/>
  <c r="AR276" i="2"/>
  <c r="AR273" i="2"/>
  <c r="AT268" i="2"/>
  <c r="AT280" i="2"/>
  <c r="AU269" i="2"/>
  <c r="AS273" i="2"/>
  <c r="AU275" i="2"/>
  <c r="AQ275" i="2"/>
  <c r="AQ268" i="2"/>
  <c r="AZ292" i="2"/>
  <c r="O294" i="2"/>
  <c r="Q294" i="2"/>
  <c r="U294" i="2" s="1"/>
  <c r="AI293" i="2"/>
  <c r="R293" i="2"/>
  <c r="P294" i="2"/>
  <c r="BF293" i="2"/>
  <c r="AJ293" i="2"/>
  <c r="S294" i="2"/>
  <c r="AA293" i="2"/>
  <c r="Z293" i="2"/>
  <c r="T293" i="2"/>
  <c r="AW293" i="2"/>
  <c r="AV293" i="2"/>
  <c r="Y293" i="2"/>
  <c r="V293" i="2"/>
  <c r="AB293" i="2"/>
  <c r="BE293" i="2"/>
  <c r="AC293" i="2"/>
  <c r="W293" i="2"/>
  <c r="X293" i="2" s="1"/>
  <c r="BI293" i="2" s="1"/>
  <c r="AQ293" i="2"/>
  <c r="AP293" i="2"/>
  <c r="AP18" i="2"/>
  <c r="C12" i="15"/>
  <c r="D12" i="15" s="1"/>
  <c r="BW317" i="2"/>
  <c r="BZ317" i="2"/>
  <c r="BP317" i="2"/>
  <c r="BX317" i="2"/>
  <c r="BR317" i="2"/>
  <c r="BQ317" i="2"/>
  <c r="BV317" i="2"/>
  <c r="CA317" i="2"/>
  <c r="BN317" i="2"/>
  <c r="BU317" i="2"/>
  <c r="BO318" i="2"/>
  <c r="B13" i="15"/>
  <c r="A14" i="15" s="1"/>
  <c r="AW280" i="2" a="1"/>
  <c r="AW268" i="2" a="1"/>
  <c r="AW272" i="2" a="1"/>
  <c r="AW273" i="2" a="1"/>
  <c r="AW277" i="2" a="1"/>
  <c r="AW279" i="2" a="1"/>
  <c r="AW270" i="2" a="1"/>
  <c r="AW269" i="2" a="1"/>
  <c r="AW278" i="2" a="1"/>
  <c r="AW275" i="2" a="1"/>
  <c r="AW276" i="2" a="1"/>
  <c r="AW271" i="2" a="1"/>
  <c r="AW274" i="2" a="1"/>
  <c r="E12" i="15" l="1"/>
  <c r="AY279" i="2"/>
  <c r="F13" i="3" s="1"/>
  <c r="AY274" i="2"/>
  <c r="F8" i="3" s="1"/>
  <c r="AY272" i="2"/>
  <c r="F6" i="3" s="1"/>
  <c r="AY275" i="2"/>
  <c r="F9" i="3" s="1"/>
  <c r="AY271" i="2"/>
  <c r="F5" i="3" s="1"/>
  <c r="AY276" i="2"/>
  <c r="F10" i="3" s="1"/>
  <c r="AY280" i="2"/>
  <c r="F14" i="3" s="1"/>
  <c r="AY277" i="2"/>
  <c r="F11" i="3" s="1"/>
  <c r="AY278" i="2"/>
  <c r="F12" i="3" s="1"/>
  <c r="AW270" i="2"/>
  <c r="AW276" i="2"/>
  <c r="AW275" i="2"/>
  <c r="AY270" i="2"/>
  <c r="F4" i="3" s="1"/>
  <c r="AW269" i="2"/>
  <c r="AW268" i="2"/>
  <c r="AW278" i="2"/>
  <c r="AW279" i="2"/>
  <c r="AW272" i="2"/>
  <c r="AW280" i="2"/>
  <c r="AW274" i="2"/>
  <c r="AW271" i="2"/>
  <c r="AW277" i="2"/>
  <c r="AW273" i="2"/>
  <c r="AY273" i="2"/>
  <c r="F7" i="3" s="1"/>
  <c r="AY268" i="2"/>
  <c r="F2" i="3" s="1"/>
  <c r="AY269" i="2"/>
  <c r="F3" i="3" s="1"/>
  <c r="AO270" i="2"/>
  <c r="AO271" i="2" s="1"/>
  <c r="AO272" i="2" s="1"/>
  <c r="AO273" i="2" s="1"/>
  <c r="AO274" i="2" s="1"/>
  <c r="AO275" i="2" s="1"/>
  <c r="AO276" i="2" s="1"/>
  <c r="AZ293" i="2"/>
  <c r="P295" i="2"/>
  <c r="O295" i="2"/>
  <c r="AQ294" i="2"/>
  <c r="Z294" i="2"/>
  <c r="AJ294" i="2"/>
  <c r="W294" i="2"/>
  <c r="AI294" i="2"/>
  <c r="BE294" i="2"/>
  <c r="AA294" i="2"/>
  <c r="AW294" i="2"/>
  <c r="S295" i="2"/>
  <c r="Q295" i="2"/>
  <c r="U295" i="2" s="1"/>
  <c r="AV294" i="2"/>
  <c r="AB294" i="2"/>
  <c r="AP294" i="2"/>
  <c r="AC294" i="2"/>
  <c r="BF294" i="2"/>
  <c r="Y294" i="2"/>
  <c r="R294" i="2"/>
  <c r="V294" i="2"/>
  <c r="T294" i="2"/>
  <c r="BX318" i="2"/>
  <c r="BN318" i="2"/>
  <c r="BW318" i="2"/>
  <c r="CA318" i="2"/>
  <c r="BR318" i="2"/>
  <c r="BP318" i="2"/>
  <c r="BZ318" i="2"/>
  <c r="BV318" i="2"/>
  <c r="BQ318" i="2"/>
  <c r="BU318" i="2"/>
  <c r="BO319" i="2"/>
  <c r="B14" i="15"/>
  <c r="A15" i="15" s="1"/>
  <c r="AH19" i="2"/>
  <c r="AI19" i="2" s="1"/>
  <c r="AJ19" i="2" s="1"/>
  <c r="AK19" i="2" s="1"/>
  <c r="AP19" i="2"/>
  <c r="AM19" i="2"/>
  <c r="C13" i="15"/>
  <c r="D13" i="15" s="1"/>
  <c r="E13" i="15" s="1"/>
  <c r="AZ294" i="2" l="1"/>
  <c r="X294" i="2"/>
  <c r="BI294" i="2" s="1"/>
  <c r="AP295" i="2"/>
  <c r="AW295" i="2"/>
  <c r="S296" i="2"/>
  <c r="P296" i="2"/>
  <c r="AJ295" i="2"/>
  <c r="AV295" i="2"/>
  <c r="W295" i="2"/>
  <c r="AZ295" i="2" s="1"/>
  <c r="BF295" i="2"/>
  <c r="AQ295" i="2"/>
  <c r="AI295" i="2"/>
  <c r="V295" i="2"/>
  <c r="T295" i="2"/>
  <c r="AC295" i="2"/>
  <c r="R295" i="2"/>
  <c r="AB295" i="2"/>
  <c r="AX295" i="2" s="1"/>
  <c r="Z295" i="2"/>
  <c r="BC295" i="2" s="1"/>
  <c r="BD295" i="2" s="1"/>
  <c r="AA295" i="2"/>
  <c r="Q296" i="2"/>
  <c r="U296" i="2" s="1"/>
  <c r="O296" i="2"/>
  <c r="Y295" i="2"/>
  <c r="BE295" i="2"/>
  <c r="AO277" i="2"/>
  <c r="C14" i="15"/>
  <c r="D14" i="15" s="1"/>
  <c r="E14" i="15" s="1"/>
  <c r="AP20" i="2"/>
  <c r="AH20" i="2"/>
  <c r="B15" i="15"/>
  <c r="A16" i="15" s="1"/>
  <c r="CA319" i="2"/>
  <c r="BQ319" i="2"/>
  <c r="BX319" i="2"/>
  <c r="BW319" i="2"/>
  <c r="BP319" i="2"/>
  <c r="BZ319" i="2"/>
  <c r="BV319" i="2"/>
  <c r="BU319" i="2"/>
  <c r="BR319" i="2"/>
  <c r="BN319" i="2"/>
  <c r="BO320" i="2"/>
  <c r="Q297" i="2" l="1"/>
  <c r="U297" i="2" s="1"/>
  <c r="BF296" i="2"/>
  <c r="O297" i="2"/>
  <c r="AP296" i="2"/>
  <c r="Y296" i="2"/>
  <c r="AA296" i="2"/>
  <c r="V296" i="2"/>
  <c r="R296" i="2"/>
  <c r="AW296" i="2"/>
  <c r="Z296" i="2"/>
  <c r="T296" i="2"/>
  <c r="P297" i="2"/>
  <c r="W296" i="2"/>
  <c r="AI296" i="2"/>
  <c r="AJ296" i="2"/>
  <c r="AB296" i="2"/>
  <c r="AQ296" i="2"/>
  <c r="S297" i="2"/>
  <c r="AC296" i="2"/>
  <c r="BE296" i="2"/>
  <c r="AV296" i="2"/>
  <c r="X295" i="2"/>
  <c r="BI295" i="2" s="1"/>
  <c r="AO278" i="2"/>
  <c r="B16" i="15"/>
  <c r="A17" i="15" s="1"/>
  <c r="AH21" i="2"/>
  <c r="AP21" i="2"/>
  <c r="C15" i="15"/>
  <c r="D15" i="15" s="1"/>
  <c r="E15" i="15" s="1"/>
  <c r="AI20" i="2"/>
  <c r="AJ20" i="2" s="1"/>
  <c r="AK20" i="2" s="1"/>
  <c r="BW320" i="2"/>
  <c r="BP320" i="2"/>
  <c r="BX320" i="2"/>
  <c r="BV320" i="2"/>
  <c r="BZ320" i="2"/>
  <c r="CA320" i="2"/>
  <c r="BQ320" i="2"/>
  <c r="BU320" i="2"/>
  <c r="BN320" i="2"/>
  <c r="BR320" i="2"/>
  <c r="BO321" i="2"/>
  <c r="AZ296" i="2" l="1"/>
  <c r="X296" i="2"/>
  <c r="BI296" i="2" s="1"/>
  <c r="AJ297" i="2"/>
  <c r="Q298" i="2"/>
  <c r="U298" i="2" s="1"/>
  <c r="AP297" i="2"/>
  <c r="AC297" i="2"/>
  <c r="V297" i="2"/>
  <c r="AA297" i="2"/>
  <c r="R297" i="2"/>
  <c r="P298" i="2"/>
  <c r="W297" i="2"/>
  <c r="AI297" i="2"/>
  <c r="BF297" i="2"/>
  <c r="AV297" i="2"/>
  <c r="T297" i="2"/>
  <c r="AQ297" i="2"/>
  <c r="AW297" i="2"/>
  <c r="O298" i="2"/>
  <c r="S298" i="2"/>
  <c r="AB297" i="2"/>
  <c r="Z297" i="2"/>
  <c r="BE297" i="2"/>
  <c r="Y297" i="2"/>
  <c r="AO279" i="2"/>
  <c r="S220" i="4" s="1"/>
  <c r="CA321" i="2"/>
  <c r="BX321" i="2"/>
  <c r="BO322" i="2"/>
  <c r="BO323" i="2" s="1"/>
  <c r="BU321" i="2"/>
  <c r="BW321" i="2"/>
  <c r="BZ321" i="2"/>
  <c r="BR321" i="2"/>
  <c r="BP321" i="2"/>
  <c r="BQ321" i="2"/>
  <c r="BN321" i="2"/>
  <c r="BV321" i="2"/>
  <c r="B17" i="15"/>
  <c r="A18" i="15" s="1"/>
  <c r="AI21" i="2"/>
  <c r="AJ21" i="2" s="1"/>
  <c r="AK21" i="2" s="1"/>
  <c r="C16" i="15"/>
  <c r="D16" i="15" s="1"/>
  <c r="E16" i="15" s="1"/>
  <c r="AP22" i="2"/>
  <c r="AH22" i="2"/>
  <c r="S37" i="4" l="1"/>
  <c r="N14" i="4"/>
  <c r="A65" i="4"/>
  <c r="AO282" i="2"/>
  <c r="R64" i="4" s="1"/>
  <c r="W298" i="2"/>
  <c r="AA298" i="2"/>
  <c r="BF298" i="2"/>
  <c r="AQ298" i="2"/>
  <c r="S299" i="2"/>
  <c r="T298" i="2"/>
  <c r="AV298" i="2"/>
  <c r="P299" i="2"/>
  <c r="Q299" i="2"/>
  <c r="U299" i="2" s="1"/>
  <c r="AC298" i="2"/>
  <c r="R286" i="2"/>
  <c r="BE298" i="2"/>
  <c r="Y298" i="2"/>
  <c r="R298" i="2"/>
  <c r="AJ298" i="2"/>
  <c r="AB298" i="2"/>
  <c r="AI298" i="2"/>
  <c r="O299" i="2"/>
  <c r="Z298" i="2"/>
  <c r="AW298" i="2"/>
  <c r="V298" i="2"/>
  <c r="AP298" i="2"/>
  <c r="AZ297" i="2"/>
  <c r="X297" i="2"/>
  <c r="BI297" i="2" s="1"/>
  <c r="C65" i="4"/>
  <c r="B65" i="4"/>
  <c r="AI22" i="2"/>
  <c r="AJ22" i="2" s="1"/>
  <c r="AK22" i="2" s="1"/>
  <c r="B18" i="15"/>
  <c r="A19" i="15" s="1"/>
  <c r="CA322" i="2"/>
  <c r="BQ322" i="2"/>
  <c r="BR322" i="2"/>
  <c r="BW322" i="2"/>
  <c r="BP322" i="2"/>
  <c r="BV322" i="2"/>
  <c r="BU322" i="2"/>
  <c r="BN322" i="2"/>
  <c r="BN323" i="2" s="1"/>
  <c r="R82" i="4" s="1"/>
  <c r="BX322" i="2"/>
  <c r="BZ322" i="2"/>
  <c r="C17" i="15"/>
  <c r="D17" i="15" s="1"/>
  <c r="E17" i="15" s="1"/>
  <c r="AP23" i="2"/>
  <c r="O65" i="4" a="1"/>
  <c r="P37" i="4" a="1"/>
  <c r="R36" i="4" l="1"/>
  <c r="R13" i="4"/>
  <c r="R219" i="4"/>
  <c r="P37" i="4"/>
  <c r="AC299" i="2"/>
  <c r="BE299" i="2"/>
  <c r="S300" i="2"/>
  <c r="AP299" i="2"/>
  <c r="P300" i="2"/>
  <c r="O300" i="2"/>
  <c r="BF299" i="2"/>
  <c r="Y299" i="2"/>
  <c r="AJ299" i="2"/>
  <c r="W299" i="2"/>
  <c r="Z299" i="2"/>
  <c r="BC299" i="2" s="1"/>
  <c r="BD299" i="2" s="1"/>
  <c r="AA299" i="2"/>
  <c r="AW299" i="2"/>
  <c r="AV299" i="2"/>
  <c r="R299" i="2"/>
  <c r="AI299" i="2"/>
  <c r="V299" i="2"/>
  <c r="AB299" i="2"/>
  <c r="AX299" i="2" s="1"/>
  <c r="AQ299" i="2"/>
  <c r="T299" i="2"/>
  <c r="Q300" i="2"/>
  <c r="U300" i="2" s="1"/>
  <c r="AZ298" i="2"/>
  <c r="X298" i="2"/>
  <c r="BI298" i="2" s="1"/>
  <c r="O65" i="4"/>
  <c r="R65" i="4"/>
  <c r="Q65" i="4"/>
  <c r="M65" i="4"/>
  <c r="P65" i="4"/>
  <c r="N83" i="4"/>
  <c r="O83" i="4"/>
  <c r="S84" i="4"/>
  <c r="P84" i="4"/>
  <c r="B19" i="15"/>
  <c r="C19" i="15" s="1"/>
  <c r="D19" i="15" s="1"/>
  <c r="C18" i="15"/>
  <c r="D18" i="15" s="1"/>
  <c r="E18" i="15" s="1"/>
  <c r="AP24" i="2"/>
  <c r="N65" i="4" a="1"/>
  <c r="N65" i="4" l="1"/>
  <c r="AZ299" i="2"/>
  <c r="X299" i="2"/>
  <c r="BI299" i="2" s="1"/>
  <c r="AW300" i="2"/>
  <c r="O301" i="2"/>
  <c r="Q301" i="2"/>
  <c r="U301" i="2" s="1"/>
  <c r="AI300" i="2"/>
  <c r="W300" i="2"/>
  <c r="AP300" i="2"/>
  <c r="AC300" i="2"/>
  <c r="Z300" i="2"/>
  <c r="AJ300" i="2"/>
  <c r="AB300" i="2"/>
  <c r="BF300" i="2"/>
  <c r="R300" i="2"/>
  <c r="AQ300" i="2"/>
  <c r="V300" i="2"/>
  <c r="BE300" i="2"/>
  <c r="Y300" i="2"/>
  <c r="AA300" i="2"/>
  <c r="T300" i="2"/>
  <c r="S301" i="2"/>
  <c r="P301" i="2"/>
  <c r="AV300" i="2"/>
  <c r="A20" i="15"/>
  <c r="B20" i="15" s="1"/>
  <c r="C20" i="15" s="1"/>
  <c r="D20" i="15" s="1"/>
  <c r="E20" i="15" s="1"/>
  <c r="E19" i="15"/>
  <c r="X300" i="2" l="1"/>
  <c r="BI300" i="2" s="1"/>
  <c r="AZ300" i="2"/>
  <c r="BE301" i="2"/>
  <c r="AI301" i="2"/>
  <c r="AB301" i="2"/>
  <c r="AW301" i="2"/>
  <c r="S302" i="2"/>
  <c r="AA301" i="2"/>
  <c r="P302" i="2"/>
  <c r="Z301" i="2"/>
  <c r="Y301" i="2"/>
  <c r="R301" i="2"/>
  <c r="AV301" i="2"/>
  <c r="Q302" i="2"/>
  <c r="U302" i="2" s="1"/>
  <c r="AQ301" i="2"/>
  <c r="AP301" i="2"/>
  <c r="T301" i="2"/>
  <c r="AC301" i="2"/>
  <c r="O302" i="2"/>
  <c r="W301" i="2"/>
  <c r="BF301" i="2"/>
  <c r="V301" i="2"/>
  <c r="AJ301" i="2"/>
  <c r="A21" i="15"/>
  <c r="AA302" i="2" l="1"/>
  <c r="R302" i="2"/>
  <c r="AV302" i="2"/>
  <c r="AB302" i="2"/>
  <c r="W302" i="2"/>
  <c r="AZ302" i="2" s="1"/>
  <c r="T302" i="2"/>
  <c r="Z302" i="2"/>
  <c r="BE302" i="2"/>
  <c r="V302" i="2"/>
  <c r="AW302" i="2"/>
  <c r="BF302" i="2"/>
  <c r="Q303" i="2"/>
  <c r="U303" i="2" s="1"/>
  <c r="AQ302" i="2"/>
  <c r="AJ302" i="2"/>
  <c r="O303" i="2"/>
  <c r="AC302" i="2"/>
  <c r="S303" i="2"/>
  <c r="P303" i="2"/>
  <c r="Y302" i="2"/>
  <c r="AI302" i="2"/>
  <c r="AP302" i="2"/>
  <c r="AZ301" i="2"/>
  <c r="X301" i="2"/>
  <c r="BI301" i="2" s="1"/>
  <c r="B21" i="15"/>
  <c r="C21" i="15" s="1"/>
  <c r="D21" i="15" s="1"/>
  <c r="E21" i="15" s="1"/>
  <c r="X302" i="2" l="1"/>
  <c r="BI302" i="2" s="1"/>
  <c r="BE303" i="2"/>
  <c r="AC303" i="2"/>
  <c r="T303" i="2"/>
  <c r="AJ303" i="2"/>
  <c r="AA303" i="2"/>
  <c r="P304" i="2"/>
  <c r="AI303" i="2"/>
  <c r="W303" i="2"/>
  <c r="Z303" i="2"/>
  <c r="BC303" i="2" s="1"/>
  <c r="BD303" i="2" s="1"/>
  <c r="O304" i="2"/>
  <c r="AV303" i="2"/>
  <c r="AQ303" i="2"/>
  <c r="R303" i="2"/>
  <c r="AW303" i="2"/>
  <c r="AB303" i="2"/>
  <c r="Q304" i="2"/>
  <c r="U304" i="2" s="1"/>
  <c r="S304" i="2"/>
  <c r="V303" i="2"/>
  <c r="AP303" i="2"/>
  <c r="Y303" i="2"/>
  <c r="BF303" i="2"/>
  <c r="A22" i="15"/>
  <c r="BF304" i="2" l="1"/>
  <c r="BE304" i="2"/>
  <c r="AQ304" i="2"/>
  <c r="V304" i="2"/>
  <c r="AI304" i="2"/>
  <c r="AA304" i="2"/>
  <c r="P305" i="2"/>
  <c r="Q305" i="2"/>
  <c r="U305" i="2" s="1"/>
  <c r="AJ304" i="2"/>
  <c r="AB304" i="2"/>
  <c r="AW304" i="2"/>
  <c r="AC304" i="2"/>
  <c r="S305" i="2"/>
  <c r="AV304" i="2"/>
  <c r="R304" i="2"/>
  <c r="O305" i="2"/>
  <c r="Z304" i="2"/>
  <c r="AP304" i="2"/>
  <c r="W304" i="2"/>
  <c r="AZ304" i="2" s="1"/>
  <c r="Y304" i="2"/>
  <c r="T304" i="2"/>
  <c r="X303" i="2"/>
  <c r="BI303" i="2" s="1"/>
  <c r="AZ303" i="2"/>
  <c r="B22" i="15"/>
  <c r="C22" i="15" s="1"/>
  <c r="D22" i="15" s="1"/>
  <c r="E22" i="15" s="1"/>
  <c r="X304" i="2" l="1"/>
  <c r="BI304" i="2" s="1"/>
  <c r="AI305" i="2"/>
  <c r="AJ305" i="2"/>
  <c r="O306" i="2"/>
  <c r="Z305" i="2"/>
  <c r="AW305" i="2"/>
  <c r="BE305" i="2"/>
  <c r="T305" i="2"/>
  <c r="P306" i="2"/>
  <c r="AC305" i="2"/>
  <c r="V305" i="2"/>
  <c r="AA305" i="2"/>
  <c r="AV305" i="2"/>
  <c r="AP305" i="2"/>
  <c r="BF305" i="2"/>
  <c r="AB305" i="2"/>
  <c r="Q306" i="2"/>
  <c r="U306" i="2" s="1"/>
  <c r="AQ305" i="2"/>
  <c r="R305" i="2"/>
  <c r="S306" i="2"/>
  <c r="Y305" i="2"/>
  <c r="W305" i="2"/>
  <c r="X305" i="2" s="1"/>
  <c r="BI305" i="2" s="1"/>
  <c r="A23" i="15"/>
  <c r="B23" i="15" s="1"/>
  <c r="C23" i="15" s="1"/>
  <c r="D23" i="15" s="1"/>
  <c r="E23" i="15" s="1"/>
  <c r="AQ306" i="2" l="1"/>
  <c r="Y306" i="2"/>
  <c r="R306" i="2"/>
  <c r="P307" i="2"/>
  <c r="AP306" i="2"/>
  <c r="S307" i="2"/>
  <c r="AI306" i="2"/>
  <c r="AW306" i="2"/>
  <c r="AJ306" i="2"/>
  <c r="W306" i="2"/>
  <c r="O307" i="2"/>
  <c r="Z306" i="2"/>
  <c r="BE306" i="2"/>
  <c r="AA306" i="2"/>
  <c r="V306" i="2"/>
  <c r="Q307" i="2"/>
  <c r="U307" i="2" s="1"/>
  <c r="BF306" i="2"/>
  <c r="T306" i="2"/>
  <c r="AV306" i="2"/>
  <c r="AC306" i="2"/>
  <c r="AB306" i="2"/>
  <c r="AZ305" i="2"/>
  <c r="A24" i="15"/>
  <c r="X306" i="2" l="1"/>
  <c r="BI306" i="2" s="1"/>
  <c r="AZ306" i="2"/>
  <c r="AB307" i="2"/>
  <c r="AV307" i="2"/>
  <c r="AQ307" i="2"/>
  <c r="O308" i="2"/>
  <c r="Q308" i="2"/>
  <c r="U308" i="2" s="1"/>
  <c r="AJ307" i="2"/>
  <c r="AW307" i="2"/>
  <c r="AC307" i="2"/>
  <c r="AA307" i="2"/>
  <c r="AI307" i="2"/>
  <c r="Y307" i="2"/>
  <c r="W307" i="2"/>
  <c r="X307" i="2" s="1"/>
  <c r="BI307" i="2" s="1"/>
  <c r="T307" i="2"/>
  <c r="BE307" i="2"/>
  <c r="BF307" i="2"/>
  <c r="S308" i="2"/>
  <c r="AP307" i="2"/>
  <c r="Z307" i="2"/>
  <c r="BC307" i="2" s="1"/>
  <c r="BD307" i="2" s="1"/>
  <c r="V307" i="2"/>
  <c r="R307" i="2"/>
  <c r="P308" i="2"/>
  <c r="B24" i="15"/>
  <c r="C24" i="15" s="1"/>
  <c r="D24" i="15" s="1"/>
  <c r="E24" i="15" s="1"/>
  <c r="AZ307" i="2" l="1"/>
  <c r="V308" i="2"/>
  <c r="AV308" i="2"/>
  <c r="AA308" i="2"/>
  <c r="BF308" i="2"/>
  <c r="Y308" i="2"/>
  <c r="T308" i="2"/>
  <c r="Q309" i="2"/>
  <c r="U309" i="2" s="1"/>
  <c r="O309" i="2"/>
  <c r="AW308" i="2"/>
  <c r="AQ308" i="2"/>
  <c r="AP308" i="2"/>
  <c r="R308" i="2"/>
  <c r="AB308" i="2"/>
  <c r="AX308" i="2" s="1"/>
  <c r="Z308" i="2"/>
  <c r="BC308" i="2" s="1"/>
  <c r="BD308" i="2" s="1"/>
  <c r="AC308" i="2"/>
  <c r="AI308" i="2"/>
  <c r="P309" i="2"/>
  <c r="S309" i="2"/>
  <c r="AJ308" i="2"/>
  <c r="BE308" i="2"/>
  <c r="W308" i="2"/>
  <c r="AZ308" i="2" s="1"/>
  <c r="A25" i="15"/>
  <c r="B25" i="15" s="1"/>
  <c r="C25" i="15" s="1"/>
  <c r="D25" i="15" s="1"/>
  <c r="E25" i="15" s="1"/>
  <c r="X308" i="2" l="1"/>
  <c r="BI308" i="2" s="1"/>
  <c r="P310" i="2"/>
  <c r="AB309" i="2"/>
  <c r="V309" i="2"/>
  <c r="BE309" i="2"/>
  <c r="AI309" i="2"/>
  <c r="Q310" i="2"/>
  <c r="U310" i="2" s="1"/>
  <c r="AA309" i="2"/>
  <c r="O310" i="2"/>
  <c r="BF309" i="2"/>
  <c r="AW309" i="2"/>
  <c r="AC309" i="2"/>
  <c r="AQ309" i="2"/>
  <c r="W309" i="2"/>
  <c r="X309" i="2" s="1"/>
  <c r="BI309" i="2" s="1"/>
  <c r="Z309" i="2"/>
  <c r="AP309" i="2"/>
  <c r="T309" i="2"/>
  <c r="Y309" i="2"/>
  <c r="R309" i="2"/>
  <c r="AJ309" i="2"/>
  <c r="AV309" i="2"/>
  <c r="S310" i="2"/>
  <c r="A26" i="15"/>
  <c r="AZ309" i="2" l="1"/>
  <c r="Y310" i="2"/>
  <c r="AJ310" i="2"/>
  <c r="R310" i="2"/>
  <c r="AA310" i="2"/>
  <c r="Q311" i="2"/>
  <c r="U311" i="2" s="1"/>
  <c r="AC310" i="2"/>
  <c r="T310" i="2"/>
  <c r="Z310" i="2"/>
  <c r="BC310" i="2" s="1"/>
  <c r="BD310" i="2" s="1"/>
  <c r="O311" i="2"/>
  <c r="V310" i="2"/>
  <c r="AP310" i="2"/>
  <c r="AV310" i="2"/>
  <c r="AI310" i="2"/>
  <c r="AQ310" i="2"/>
  <c r="AB310" i="2"/>
  <c r="AX310" i="2" s="1"/>
  <c r="W310" i="2"/>
  <c r="AW310" i="2"/>
  <c r="P311" i="2"/>
  <c r="BE310" i="2"/>
  <c r="BF310" i="2"/>
  <c r="S311" i="2"/>
  <c r="B26" i="15"/>
  <c r="C26" i="15" s="1"/>
  <c r="D26" i="15" s="1"/>
  <c r="E26" i="15" s="1"/>
  <c r="AZ310" i="2" l="1"/>
  <c r="X310" i="2"/>
  <c r="BI310" i="2" s="1"/>
  <c r="V311" i="2"/>
  <c r="AQ311" i="2"/>
  <c r="Y311" i="2"/>
  <c r="Q312" i="2"/>
  <c r="U312" i="2" s="1"/>
  <c r="Z311" i="2"/>
  <c r="P312" i="2"/>
  <c r="S312" i="2"/>
  <c r="AA311" i="2"/>
  <c r="AI311" i="2"/>
  <c r="AJ311" i="2"/>
  <c r="R311" i="2"/>
  <c r="AP311" i="2"/>
  <c r="BE311" i="2"/>
  <c r="AB311" i="2"/>
  <c r="AW311" i="2"/>
  <c r="AC311" i="2"/>
  <c r="O312" i="2"/>
  <c r="T311" i="2"/>
  <c r="W311" i="2"/>
  <c r="X311" i="2" s="1"/>
  <c r="BI311" i="2" s="1"/>
  <c r="AV311" i="2"/>
  <c r="BF311" i="2"/>
  <c r="A27" i="15"/>
  <c r="AZ311" i="2" l="1"/>
  <c r="AI312" i="2"/>
  <c r="Y312" i="2"/>
  <c r="Z312" i="2"/>
  <c r="AC312" i="2"/>
  <c r="S313" i="2"/>
  <c r="AV312" i="2"/>
  <c r="BF312" i="2"/>
  <c r="P313" i="2"/>
  <c r="T312" i="2"/>
  <c r="BE312" i="2"/>
  <c r="AP312" i="2"/>
  <c r="Q313" i="2"/>
  <c r="U313" i="2" s="1"/>
  <c r="V312" i="2"/>
  <c r="W312" i="2"/>
  <c r="AZ312" i="2" s="1"/>
  <c r="AJ312" i="2"/>
  <c r="R312" i="2"/>
  <c r="AB312" i="2"/>
  <c r="AA312" i="2"/>
  <c r="AW312" i="2"/>
  <c r="AQ312" i="2"/>
  <c r="O313" i="2"/>
  <c r="B27" i="15"/>
  <c r="C27" i="15" s="1"/>
  <c r="D27" i="15" s="1"/>
  <c r="E27" i="15" s="1"/>
  <c r="X312" i="2" l="1"/>
  <c r="BI312" i="2" s="1"/>
  <c r="AP313" i="2"/>
  <c r="Z313" i="2"/>
  <c r="O314" i="2"/>
  <c r="AV313" i="2"/>
  <c r="AJ313" i="2"/>
  <c r="S314" i="2"/>
  <c r="AB313" i="2"/>
  <c r="AC313" i="2"/>
  <c r="AW313" i="2"/>
  <c r="T313" i="2"/>
  <c r="AI313" i="2"/>
  <c r="W313" i="2"/>
  <c r="AZ313" i="2" s="1"/>
  <c r="BE313" i="2"/>
  <c r="AA313" i="2"/>
  <c r="AQ313" i="2"/>
  <c r="Q314" i="2"/>
  <c r="U314" i="2" s="1"/>
  <c r="BF313" i="2"/>
  <c r="V313" i="2"/>
  <c r="P314" i="2"/>
  <c r="R313" i="2"/>
  <c r="Y313" i="2"/>
  <c r="A28" i="15"/>
  <c r="B28" i="15" s="1"/>
  <c r="C28" i="15" s="1"/>
  <c r="D28" i="15" s="1"/>
  <c r="E28" i="15" s="1"/>
  <c r="X313" i="2" l="1"/>
  <c r="BI313" i="2" s="1"/>
  <c r="P315" i="2"/>
  <c r="S315" i="2"/>
  <c r="Z314" i="2"/>
  <c r="AJ314" i="2"/>
  <c r="AQ314" i="2"/>
  <c r="BE314" i="2"/>
  <c r="AA314" i="2"/>
  <c r="AB314" i="2"/>
  <c r="AC314" i="2"/>
  <c r="AV314" i="2"/>
  <c r="AW314" i="2"/>
  <c r="AP314" i="2"/>
  <c r="T314" i="2"/>
  <c r="Y314" i="2"/>
  <c r="AI314" i="2"/>
  <c r="W314" i="2"/>
  <c r="Q315" i="2"/>
  <c r="U315" i="2" s="1"/>
  <c r="R314" i="2"/>
  <c r="O315" i="2"/>
  <c r="V314" i="2"/>
  <c r="BF314" i="2"/>
  <c r="A29" i="15"/>
  <c r="AZ314" i="2" l="1"/>
  <c r="X314" i="2"/>
  <c r="BI314" i="2" s="1"/>
  <c r="AV315" i="2"/>
  <c r="AA315" i="2"/>
  <c r="AI315" i="2"/>
  <c r="R315" i="2"/>
  <c r="P316" i="2"/>
  <c r="O316" i="2"/>
  <c r="AQ315" i="2"/>
  <c r="S316" i="2"/>
  <c r="Z315" i="2"/>
  <c r="AW315" i="2"/>
  <c r="Q316" i="2"/>
  <c r="U316" i="2" s="1"/>
  <c r="AB315" i="2"/>
  <c r="W315" i="2"/>
  <c r="AZ315" i="2" s="1"/>
  <c r="Y315" i="2"/>
  <c r="AP315" i="2"/>
  <c r="AJ315" i="2"/>
  <c r="T315" i="2"/>
  <c r="V315" i="2"/>
  <c r="BF315" i="2"/>
  <c r="BE315" i="2"/>
  <c r="AC315" i="2"/>
  <c r="B29" i="15"/>
  <c r="C29" i="15" s="1"/>
  <c r="D29" i="15" s="1"/>
  <c r="E29" i="15" s="1"/>
  <c r="X315" i="2" l="1"/>
  <c r="BI315" i="2" s="1"/>
  <c r="AJ316" i="2"/>
  <c r="Y316" i="2"/>
  <c r="BF316" i="2"/>
  <c r="P317" i="2"/>
  <c r="AC316" i="2"/>
  <c r="AQ316" i="2"/>
  <c r="V316" i="2"/>
  <c r="AI316" i="2"/>
  <c r="O317" i="2"/>
  <c r="Q317" i="2"/>
  <c r="U317" i="2" s="1"/>
  <c r="R316" i="2"/>
  <c r="W316" i="2"/>
  <c r="AW316" i="2"/>
  <c r="AB316" i="2"/>
  <c r="T316" i="2"/>
  <c r="AV316" i="2"/>
  <c r="BE316" i="2"/>
  <c r="AA316" i="2"/>
  <c r="S317" i="2"/>
  <c r="AP316" i="2"/>
  <c r="Z316" i="2"/>
  <c r="A30" i="15"/>
  <c r="B30" i="15" s="1"/>
  <c r="C30" i="15" s="1"/>
  <c r="D30" i="15" s="1"/>
  <c r="E30" i="15" s="1"/>
  <c r="X316" i="2" l="1"/>
  <c r="BI316" i="2" s="1"/>
  <c r="AZ316" i="2"/>
  <c r="T317" i="2"/>
  <c r="O318" i="2"/>
  <c r="Y317" i="2"/>
  <c r="S318" i="2"/>
  <c r="AQ317" i="2"/>
  <c r="AJ317" i="2"/>
  <c r="AW317" i="2"/>
  <c r="R317" i="2"/>
  <c r="V317" i="2"/>
  <c r="AV317" i="2"/>
  <c r="Z317" i="2"/>
  <c r="AA317" i="2"/>
  <c r="AI317" i="2"/>
  <c r="AC317" i="2"/>
  <c r="AP317" i="2"/>
  <c r="P318" i="2"/>
  <c r="Q318" i="2"/>
  <c r="U318" i="2" s="1"/>
  <c r="AB317" i="2"/>
  <c r="BF317" i="2"/>
  <c r="BE317" i="2"/>
  <c r="W317" i="2"/>
  <c r="X317" i="2" s="1"/>
  <c r="BI317" i="2" s="1"/>
  <c r="A31" i="15"/>
  <c r="AZ317" i="2" l="1"/>
  <c r="O319" i="2"/>
  <c r="BF318" i="2"/>
  <c r="P319" i="2"/>
  <c r="T318" i="2"/>
  <c r="Y318" i="2"/>
  <c r="AP318" i="2"/>
  <c r="AQ318" i="2"/>
  <c r="AJ318" i="2"/>
  <c r="AW318" i="2"/>
  <c r="AC318" i="2"/>
  <c r="Q319" i="2"/>
  <c r="U319" i="2" s="1"/>
  <c r="S319" i="2"/>
  <c r="BE318" i="2"/>
  <c r="W318" i="2"/>
  <c r="V318" i="2"/>
  <c r="R318" i="2"/>
  <c r="AA318" i="2"/>
  <c r="AI318" i="2"/>
  <c r="AB318" i="2"/>
  <c r="Z318" i="2"/>
  <c r="AV318" i="2"/>
  <c r="B31" i="15"/>
  <c r="C31" i="15" s="1"/>
  <c r="D31" i="15" s="1"/>
  <c r="E31" i="15" s="1"/>
  <c r="X318" i="2" l="1"/>
  <c r="BI318" i="2" s="1"/>
  <c r="AZ318" i="2"/>
  <c r="AW319" i="2"/>
  <c r="AA319" i="2"/>
  <c r="R319" i="2"/>
  <c r="AQ319" i="2"/>
  <c r="AP319" i="2"/>
  <c r="P320" i="2"/>
  <c r="Z319" i="2"/>
  <c r="T319" i="2"/>
  <c r="O320" i="2"/>
  <c r="AB319" i="2"/>
  <c r="W319" i="2"/>
  <c r="AC319" i="2"/>
  <c r="Q320" i="2"/>
  <c r="U320" i="2" s="1"/>
  <c r="AV319" i="2"/>
  <c r="Y319" i="2"/>
  <c r="AI319" i="2"/>
  <c r="AJ319" i="2"/>
  <c r="S320" i="2"/>
  <c r="BE319" i="2"/>
  <c r="V319" i="2"/>
  <c r="BF319" i="2"/>
  <c r="A32" i="15"/>
  <c r="B32" i="15" s="1"/>
  <c r="C32" i="15" s="1"/>
  <c r="D32" i="15" s="1"/>
  <c r="E32" i="15" s="1"/>
  <c r="AZ319" i="2" l="1"/>
  <c r="X319" i="2"/>
  <c r="BI319" i="2" s="1"/>
  <c r="P321" i="2"/>
  <c r="V320" i="2"/>
  <c r="AB320" i="2"/>
  <c r="AW320" i="2"/>
  <c r="AA320" i="2"/>
  <c r="AV320" i="2"/>
  <c r="AJ320" i="2"/>
  <c r="Z320" i="2"/>
  <c r="O321" i="2"/>
  <c r="W320" i="2"/>
  <c r="X320" i="2" s="1"/>
  <c r="BI320" i="2" s="1"/>
  <c r="BF320" i="2"/>
  <c r="T320" i="2"/>
  <c r="Y320" i="2"/>
  <c r="S321" i="2"/>
  <c r="BE320" i="2"/>
  <c r="AP320" i="2"/>
  <c r="AI320" i="2"/>
  <c r="AQ320" i="2"/>
  <c r="Q321" i="2"/>
  <c r="U321" i="2" s="1"/>
  <c r="R320" i="2"/>
  <c r="AC320" i="2"/>
  <c r="A33" i="15"/>
  <c r="B33" i="15" s="1"/>
  <c r="C33" i="15" s="1"/>
  <c r="D33" i="15" s="1"/>
  <c r="E33" i="15" s="1"/>
  <c r="AZ320" i="2" l="1"/>
  <c r="AI321" i="2"/>
  <c r="R321" i="2"/>
  <c r="BF321" i="2"/>
  <c r="Y321" i="2"/>
  <c r="AJ321" i="2"/>
  <c r="T321" i="2"/>
  <c r="W321" i="2"/>
  <c r="AP321" i="2"/>
  <c r="Z321" i="2"/>
  <c r="AW321" i="2"/>
  <c r="V321" i="2"/>
  <c r="Q322" i="2"/>
  <c r="U322" i="2" s="1"/>
  <c r="AQ321" i="2"/>
  <c r="P322" i="2"/>
  <c r="AV321" i="2"/>
  <c r="AB321" i="2"/>
  <c r="AA321" i="2"/>
  <c r="BE321" i="2"/>
  <c r="O322" i="2"/>
  <c r="AC321" i="2"/>
  <c r="S322" i="2"/>
  <c r="A34" i="15"/>
  <c r="B34" i="15" s="1"/>
  <c r="C34" i="15" s="1"/>
  <c r="D34" i="15" s="1"/>
  <c r="E34" i="15" s="1"/>
  <c r="X321" i="2" l="1"/>
  <c r="BI321" i="2" s="1"/>
  <c r="AZ321" i="2"/>
  <c r="T322" i="2"/>
  <c r="S323" i="2"/>
  <c r="Z322" i="2"/>
  <c r="AA322" i="2"/>
  <c r="BF322" i="2"/>
  <c r="AP322" i="2"/>
  <c r="AJ322" i="2"/>
  <c r="AQ322" i="2"/>
  <c r="V322" i="2"/>
  <c r="Q323" i="2"/>
  <c r="U323" i="2" s="1"/>
  <c r="AV322" i="2"/>
  <c r="W322" i="2"/>
  <c r="X322" i="2" s="1"/>
  <c r="BI322" i="2" s="1"/>
  <c r="Y322" i="2"/>
  <c r="AW322" i="2"/>
  <c r="AI322" i="2"/>
  <c r="AC322" i="2"/>
  <c r="O323" i="2"/>
  <c r="BE322" i="2"/>
  <c r="R322" i="2"/>
  <c r="AB322" i="2"/>
  <c r="P323" i="2"/>
  <c r="A35" i="15"/>
  <c r="AZ322" i="2" l="1"/>
  <c r="V323" i="2"/>
  <c r="R323" i="2"/>
  <c r="AJ323" i="2"/>
  <c r="Y323" i="2"/>
  <c r="AW323" i="2"/>
  <c r="S324" i="2"/>
  <c r="P324" i="2"/>
  <c r="O324" i="2"/>
  <c r="AP323" i="2"/>
  <c r="T323" i="2"/>
  <c r="AV323" i="2"/>
  <c r="AC323" i="2"/>
  <c r="W323" i="2"/>
  <c r="AI323" i="2"/>
  <c r="AB323" i="2"/>
  <c r="BF323" i="2"/>
  <c r="Z323" i="2"/>
  <c r="Q324" i="2"/>
  <c r="U324" i="2" s="1"/>
  <c r="AA323" i="2"/>
  <c r="BE323" i="2"/>
  <c r="AQ323" i="2"/>
  <c r="B35" i="15"/>
  <c r="C35" i="15" s="1"/>
  <c r="D35" i="15" s="1"/>
  <c r="E35" i="15" s="1"/>
  <c r="X323" i="2" l="1"/>
  <c r="BI323" i="2" s="1"/>
  <c r="AZ323" i="2"/>
  <c r="T324" i="2"/>
  <c r="Q325" i="2"/>
  <c r="AA324" i="2"/>
  <c r="P325" i="2"/>
  <c r="BE324" i="2"/>
  <c r="AB324" i="2"/>
  <c r="AQ324" i="2"/>
  <c r="V324" i="2"/>
  <c r="AC324" i="2"/>
  <c r="R324" i="2"/>
  <c r="AW324" i="2"/>
  <c r="AV324" i="2"/>
  <c r="W324" i="2"/>
  <c r="AZ324" i="2" s="1"/>
  <c r="AI324" i="2"/>
  <c r="U325" i="2"/>
  <c r="S325" i="2"/>
  <c r="O325" i="2"/>
  <c r="Z324" i="2"/>
  <c r="AP324" i="2"/>
  <c r="Y324" i="2"/>
  <c r="BF324" i="2"/>
  <c r="AJ324" i="2"/>
  <c r="A36" i="15"/>
  <c r="B36" i="15" s="1"/>
  <c r="C36" i="15" s="1"/>
  <c r="D36" i="15" s="1"/>
  <c r="E36" i="15" s="1"/>
  <c r="X324" i="2" l="1"/>
  <c r="BI324" i="2" s="1"/>
  <c r="W325" i="2"/>
  <c r="X325" i="2" s="1"/>
  <c r="BI325" i="2" s="1"/>
  <c r="S326" i="2"/>
  <c r="AI325" i="2"/>
  <c r="BE325" i="2"/>
  <c r="V325" i="2"/>
  <c r="Z325" i="2"/>
  <c r="AJ325" i="2"/>
  <c r="AA325" i="2"/>
  <c r="Y325" i="2"/>
  <c r="R325" i="2"/>
  <c r="AW325" i="2"/>
  <c r="AC325" i="2"/>
  <c r="O326" i="2"/>
  <c r="BF325" i="2"/>
  <c r="Q326" i="2"/>
  <c r="U326" i="2" s="1"/>
  <c r="AV325" i="2"/>
  <c r="AP325" i="2"/>
  <c r="AB325" i="2"/>
  <c r="P326" i="2"/>
  <c r="T325" i="2"/>
  <c r="AQ325" i="2"/>
  <c r="A37" i="15"/>
  <c r="AZ325" i="2" l="1"/>
  <c r="AB326" i="2"/>
  <c r="R326" i="2"/>
  <c r="O327" i="2"/>
  <c r="Z326" i="2"/>
  <c r="AP326" i="2"/>
  <c r="P327" i="2"/>
  <c r="S327" i="2"/>
  <c r="T326" i="2"/>
  <c r="AC326" i="2"/>
  <c r="W326" i="2"/>
  <c r="BF326" i="2"/>
  <c r="AQ326" i="2"/>
  <c r="AV326" i="2"/>
  <c r="V326" i="2"/>
  <c r="AI326" i="2"/>
  <c r="AJ326" i="2"/>
  <c r="AA326" i="2"/>
  <c r="Q327" i="2"/>
  <c r="U327" i="2" s="1"/>
  <c r="AW326" i="2"/>
  <c r="BE326" i="2"/>
  <c r="Y326" i="2"/>
  <c r="B37" i="15"/>
  <c r="C37" i="15" s="1"/>
  <c r="D37" i="15" s="1"/>
  <c r="E37" i="15" s="1"/>
  <c r="X326" i="2" l="1"/>
  <c r="BI326" i="2" s="1"/>
  <c r="AZ326" i="2"/>
  <c r="T327" i="2"/>
  <c r="Y327" i="2"/>
  <c r="AJ327" i="2"/>
  <c r="AI327" i="2"/>
  <c r="AV327" i="2"/>
  <c r="R327" i="2"/>
  <c r="Q328" i="2"/>
  <c r="U328" i="2" s="1"/>
  <c r="W327" i="2"/>
  <c r="X327" i="2" s="1"/>
  <c r="BI327" i="2" s="1"/>
  <c r="BF327" i="2"/>
  <c r="AP327" i="2"/>
  <c r="AW327" i="2"/>
  <c r="S328" i="2"/>
  <c r="AQ327" i="2"/>
  <c r="AC327" i="2"/>
  <c r="P328" i="2"/>
  <c r="V327" i="2"/>
  <c r="AB327" i="2"/>
  <c r="Z327" i="2"/>
  <c r="BE327" i="2"/>
  <c r="O328" i="2"/>
  <c r="AA327" i="2"/>
  <c r="A38" i="15"/>
  <c r="AZ327" i="2" l="1"/>
  <c r="AJ328" i="2"/>
  <c r="AV328" i="2"/>
  <c r="AW328" i="2"/>
  <c r="R328" i="2"/>
  <c r="T328" i="2"/>
  <c r="AP328" i="2"/>
  <c r="AB328" i="2"/>
  <c r="AA328" i="2"/>
  <c r="Y328" i="2"/>
  <c r="AI328" i="2"/>
  <c r="S329" i="2"/>
  <c r="AC328" i="2"/>
  <c r="O329" i="2"/>
  <c r="BF328" i="2"/>
  <c r="W328" i="2"/>
  <c r="X328" i="2" s="1"/>
  <c r="BI328" i="2" s="1"/>
  <c r="V328" i="2"/>
  <c r="P329" i="2"/>
  <c r="Q329" i="2"/>
  <c r="U329" i="2" s="1"/>
  <c r="BE328" i="2"/>
  <c r="Z328" i="2"/>
  <c r="AQ328" i="2"/>
  <c r="B38" i="15"/>
  <c r="C38" i="15" s="1"/>
  <c r="D38" i="15" s="1"/>
  <c r="E38" i="15" s="1"/>
  <c r="AZ328" i="2" l="1"/>
  <c r="Y329" i="2"/>
  <c r="AA329" i="2"/>
  <c r="Z329" i="2"/>
  <c r="W329" i="2"/>
  <c r="X329" i="2" s="1"/>
  <c r="BI329" i="2" s="1"/>
  <c r="AV329" i="2"/>
  <c r="AI329" i="2"/>
  <c r="AP329" i="2"/>
  <c r="BF329" i="2"/>
  <c r="Q330" i="2"/>
  <c r="U330" i="2" s="1"/>
  <c r="V329" i="2"/>
  <c r="AB329" i="2"/>
  <c r="AZ329" i="2"/>
  <c r="R329" i="2"/>
  <c r="O330" i="2"/>
  <c r="P330" i="2"/>
  <c r="S330" i="2"/>
  <c r="T329" i="2"/>
  <c r="AW329" i="2"/>
  <c r="BE329" i="2"/>
  <c r="AQ329" i="2"/>
  <c r="AC329" i="2"/>
  <c r="AJ329" i="2"/>
  <c r="A39" i="15"/>
  <c r="AJ330" i="2" l="1"/>
  <c r="Y330" i="2"/>
  <c r="T330" i="2"/>
  <c r="O331" i="2"/>
  <c r="AP330" i="2"/>
  <c r="AB330" i="2"/>
  <c r="AW330" i="2"/>
  <c r="P331" i="2"/>
  <c r="AC330" i="2"/>
  <c r="W330" i="2"/>
  <c r="AZ330" i="2" s="1"/>
  <c r="Z330" i="2"/>
  <c r="AV330" i="2"/>
  <c r="Q331" i="2"/>
  <c r="U331" i="2" s="1"/>
  <c r="AQ330" i="2"/>
  <c r="R330" i="2"/>
  <c r="AI330" i="2"/>
  <c r="BF330" i="2"/>
  <c r="AA330" i="2"/>
  <c r="S331" i="2"/>
  <c r="V330" i="2"/>
  <c r="BE330" i="2"/>
  <c r="B39" i="15"/>
  <c r="C39" i="15" s="1"/>
  <c r="D39" i="15" s="1"/>
  <c r="E39" i="15" s="1"/>
  <c r="X330" i="2" l="1"/>
  <c r="BI330" i="2" s="1"/>
  <c r="AB331" i="2"/>
  <c r="P332" i="2"/>
  <c r="AW331" i="2"/>
  <c r="AI331" i="2"/>
  <c r="AJ331" i="2"/>
  <c r="Q332" i="2"/>
  <c r="U332" i="2" s="1"/>
  <c r="AV331" i="2"/>
  <c r="S332" i="2"/>
  <c r="T331" i="2"/>
  <c r="BE331" i="2"/>
  <c r="AQ331" i="2"/>
  <c r="AP331" i="2"/>
  <c r="BF331" i="2"/>
  <c r="R331" i="2"/>
  <c r="O332" i="2"/>
  <c r="Y331" i="2"/>
  <c r="V331" i="2"/>
  <c r="AC331" i="2"/>
  <c r="AA331" i="2"/>
  <c r="Z331" i="2"/>
  <c r="W331" i="2"/>
  <c r="AZ331" i="2" s="1"/>
  <c r="A40" i="15"/>
  <c r="B40" i="15" s="1"/>
  <c r="C40" i="15" s="1"/>
  <c r="D40" i="15" s="1"/>
  <c r="E40" i="15" s="1"/>
  <c r="X331" i="2" l="1"/>
  <c r="BI331" i="2" s="1"/>
  <c r="V332" i="2"/>
  <c r="AV332" i="2"/>
  <c r="P333" i="2"/>
  <c r="AQ332" i="2"/>
  <c r="AJ332" i="2"/>
  <c r="Z332" i="2"/>
  <c r="AP332" i="2"/>
  <c r="AA332" i="2"/>
  <c r="T332" i="2"/>
  <c r="AC332" i="2"/>
  <c r="W332" i="2"/>
  <c r="AW332" i="2"/>
  <c r="O333" i="2"/>
  <c r="Y332" i="2"/>
  <c r="R332" i="2"/>
  <c r="BF332" i="2"/>
  <c r="BE332" i="2"/>
  <c r="S333" i="2"/>
  <c r="AB332" i="2"/>
  <c r="AI332" i="2"/>
  <c r="Q333" i="2"/>
  <c r="U333" i="2" s="1"/>
  <c r="A41" i="15"/>
  <c r="AZ332" i="2" l="1"/>
  <c r="X332" i="2"/>
  <c r="BI332" i="2" s="1"/>
  <c r="Q334" i="2"/>
  <c r="U334" i="2" s="1"/>
  <c r="S334" i="2"/>
  <c r="R333" i="2"/>
  <c r="AV333" i="2"/>
  <c r="AQ333" i="2"/>
  <c r="AI333" i="2"/>
  <c r="O334" i="2"/>
  <c r="AP333" i="2"/>
  <c r="Z333" i="2"/>
  <c r="AA333" i="2"/>
  <c r="BE333" i="2"/>
  <c r="AB333" i="2"/>
  <c r="W333" i="2"/>
  <c r="X333" i="2" s="1"/>
  <c r="BI333" i="2" s="1"/>
  <c r="Y333" i="2"/>
  <c r="BF333" i="2"/>
  <c r="V333" i="2"/>
  <c r="AJ333" i="2"/>
  <c r="T333" i="2"/>
  <c r="AC333" i="2"/>
  <c r="P334" i="2"/>
  <c r="AW333" i="2"/>
  <c r="B41" i="15"/>
  <c r="C41" i="15" s="1"/>
  <c r="D41" i="15" s="1"/>
  <c r="E41" i="15" s="1"/>
  <c r="AZ333" i="2" l="1"/>
  <c r="BF334" i="2"/>
  <c r="AQ334" i="2"/>
  <c r="AP334" i="2"/>
  <c r="W334" i="2"/>
  <c r="BE334" i="2"/>
  <c r="AC334" i="2"/>
  <c r="Z334" i="2"/>
  <c r="AW334" i="2"/>
  <c r="O335" i="2"/>
  <c r="R334" i="2"/>
  <c r="Q335" i="2"/>
  <c r="U335" i="2" s="1"/>
  <c r="V334" i="2"/>
  <c r="T334" i="2"/>
  <c r="AV334" i="2"/>
  <c r="AB334" i="2"/>
  <c r="AI334" i="2"/>
  <c r="Y334" i="2"/>
  <c r="AA334" i="2"/>
  <c r="P335" i="2"/>
  <c r="AJ334" i="2"/>
  <c r="S335" i="2"/>
  <c r="A42" i="15"/>
  <c r="AZ334" i="2" l="1"/>
  <c r="X334" i="2"/>
  <c r="BI334" i="2" s="1"/>
  <c r="P336" i="2"/>
  <c r="AV335" i="2"/>
  <c r="T335" i="2"/>
  <c r="AJ335" i="2"/>
  <c r="AW335" i="2"/>
  <c r="AA335" i="2"/>
  <c r="O336" i="2"/>
  <c r="AI335" i="2"/>
  <c r="Q336" i="2"/>
  <c r="U336" i="2" s="1"/>
  <c r="V335" i="2"/>
  <c r="AQ335" i="2"/>
  <c r="S336" i="2"/>
  <c r="BE335" i="2"/>
  <c r="R335" i="2"/>
  <c r="Y335" i="2"/>
  <c r="AC335" i="2"/>
  <c r="AB335" i="2"/>
  <c r="BF335" i="2"/>
  <c r="Z335" i="2"/>
  <c r="W335" i="2"/>
  <c r="AZ335" i="2" s="1"/>
  <c r="AP335" i="2"/>
  <c r="B42" i="15"/>
  <c r="C42" i="15" s="1"/>
  <c r="D42" i="15" s="1"/>
  <c r="E42" i="15" s="1"/>
  <c r="X335" i="2" l="1"/>
  <c r="BI335" i="2" s="1"/>
  <c r="AC336" i="2"/>
  <c r="AB336" i="2"/>
  <c r="AP336" i="2"/>
  <c r="AA336" i="2"/>
  <c r="P337" i="2"/>
  <c r="S337" i="2"/>
  <c r="T336" i="2"/>
  <c r="R336" i="2"/>
  <c r="V336" i="2"/>
  <c r="BE336" i="2"/>
  <c r="W336" i="2"/>
  <c r="O337" i="2"/>
  <c r="Y336" i="2"/>
  <c r="BF336" i="2"/>
  <c r="AW336" i="2"/>
  <c r="Q337" i="2"/>
  <c r="U337" i="2" s="1"/>
  <c r="AI336" i="2"/>
  <c r="Z336" i="2"/>
  <c r="AV336" i="2"/>
  <c r="AJ336" i="2"/>
  <c r="AQ336" i="2"/>
  <c r="A43" i="15"/>
  <c r="B43" i="15" s="1"/>
  <c r="C43" i="15" s="1"/>
  <c r="D43" i="15" s="1"/>
  <c r="E43" i="15" s="1"/>
  <c r="AZ336" i="2" l="1"/>
  <c r="X336" i="2"/>
  <c r="BI336" i="2" s="1"/>
  <c r="AC337" i="2"/>
  <c r="R337" i="2"/>
  <c r="AP337" i="2"/>
  <c r="V337" i="2"/>
  <c r="T337" i="2"/>
  <c r="Q338" i="2"/>
  <c r="U338" i="2" s="1"/>
  <c r="AA337" i="2"/>
  <c r="AB337" i="2"/>
  <c r="BE337" i="2"/>
  <c r="BF337" i="2"/>
  <c r="AW337" i="2"/>
  <c r="S338" i="2"/>
  <c r="Y337" i="2"/>
  <c r="P338" i="2"/>
  <c r="O338" i="2"/>
  <c r="AV337" i="2"/>
  <c r="Z337" i="2"/>
  <c r="AQ337" i="2"/>
  <c r="W337" i="2"/>
  <c r="X337" i="2" s="1"/>
  <c r="BI337" i="2" s="1"/>
  <c r="AI337" i="2"/>
  <c r="AJ337" i="2"/>
  <c r="A44" i="15"/>
  <c r="AZ337" i="2" l="1"/>
  <c r="Q339" i="2"/>
  <c r="U339" i="2" s="1"/>
  <c r="AJ338" i="2"/>
  <c r="AV338" i="2"/>
  <c r="W338" i="2"/>
  <c r="X338" i="2" s="1"/>
  <c r="BI338" i="2" s="1"/>
  <c r="BE338" i="2"/>
  <c r="AW338" i="2"/>
  <c r="R338" i="2"/>
  <c r="AP338" i="2"/>
  <c r="V338" i="2"/>
  <c r="BF338" i="2"/>
  <c r="P339" i="2"/>
  <c r="O339" i="2"/>
  <c r="T338" i="2"/>
  <c r="S339" i="2"/>
  <c r="Z338" i="2"/>
  <c r="AI338" i="2"/>
  <c r="AC338" i="2"/>
  <c r="AQ338" i="2"/>
  <c r="AB338" i="2"/>
  <c r="Y338" i="2"/>
  <c r="AA338" i="2"/>
  <c r="B44" i="15"/>
  <c r="C44" i="15" s="1"/>
  <c r="D44" i="15" s="1"/>
  <c r="E44" i="15" s="1"/>
  <c r="AZ338" i="2" l="1"/>
  <c r="W339" i="2"/>
  <c r="AI339" i="2"/>
  <c r="AV339" i="2"/>
  <c r="AA339" i="2"/>
  <c r="BE339" i="2"/>
  <c r="AB339" i="2"/>
  <c r="AJ339" i="2"/>
  <c r="BF339" i="2"/>
  <c r="S340" i="2"/>
  <c r="O340" i="2"/>
  <c r="AC339" i="2"/>
  <c r="AQ339" i="2"/>
  <c r="AW339" i="2"/>
  <c r="T339" i="2"/>
  <c r="Q340" i="2"/>
  <c r="U340" i="2" s="1"/>
  <c r="Z339" i="2"/>
  <c r="AP339" i="2"/>
  <c r="R339" i="2"/>
  <c r="P340" i="2"/>
  <c r="V339" i="2"/>
  <c r="Y339" i="2"/>
  <c r="A45" i="15"/>
  <c r="X339" i="2" l="1"/>
  <c r="BI339" i="2" s="1"/>
  <c r="AZ339" i="2"/>
  <c r="S341" i="2"/>
  <c r="P341" i="2"/>
  <c r="AC340" i="2"/>
  <c r="O341" i="2"/>
  <c r="T340" i="2"/>
  <c r="AW340" i="2"/>
  <c r="V340" i="2"/>
  <c r="AI340" i="2"/>
  <c r="AQ340" i="2"/>
  <c r="Z340" i="2"/>
  <c r="BF340" i="2"/>
  <c r="AP340" i="2"/>
  <c r="AB340" i="2"/>
  <c r="R340" i="2"/>
  <c r="W340" i="2"/>
  <c r="X340" i="2" s="1"/>
  <c r="BI340" i="2" s="1"/>
  <c r="AV340" i="2"/>
  <c r="AA340" i="2"/>
  <c r="Q341" i="2"/>
  <c r="U341" i="2" s="1"/>
  <c r="AJ340" i="2"/>
  <c r="BE340" i="2"/>
  <c r="Y340" i="2"/>
  <c r="B45" i="15"/>
  <c r="C45" i="15" s="1"/>
  <c r="D45" i="15" s="1"/>
  <c r="E45" i="15" s="1"/>
  <c r="AZ340" i="2" l="1"/>
  <c r="W341" i="2"/>
  <c r="BE341" i="2"/>
  <c r="AW341" i="2"/>
  <c r="S342" i="2"/>
  <c r="V341" i="2"/>
  <c r="P342" i="2"/>
  <c r="T341" i="2"/>
  <c r="AC341" i="2"/>
  <c r="AQ341" i="2"/>
  <c r="AA341" i="2"/>
  <c r="BF341" i="2"/>
  <c r="O342" i="2"/>
  <c r="AV341" i="2"/>
  <c r="AI341" i="2"/>
  <c r="AP341" i="2"/>
  <c r="AB341" i="2"/>
  <c r="AJ341" i="2"/>
  <c r="Z341" i="2"/>
  <c r="Q342" i="2"/>
  <c r="U342" i="2" s="1"/>
  <c r="R341" i="2"/>
  <c r="Y341" i="2"/>
  <c r="A46" i="15"/>
  <c r="X341" i="2" l="1"/>
  <c r="BI341" i="2" s="1"/>
  <c r="AZ341" i="2"/>
  <c r="AW342" i="2"/>
  <c r="AV342" i="2"/>
  <c r="T342" i="2"/>
  <c r="W342" i="2"/>
  <c r="V342" i="2"/>
  <c r="P343" i="2"/>
  <c r="AQ342" i="2"/>
  <c r="AP342" i="2"/>
  <c r="AI342" i="2"/>
  <c r="R342" i="2"/>
  <c r="S343" i="2"/>
  <c r="AB342" i="2"/>
  <c r="AJ342" i="2"/>
  <c r="BE342" i="2"/>
  <c r="AA342" i="2"/>
  <c r="BF342" i="2"/>
  <c r="AC342" i="2"/>
  <c r="O343" i="2"/>
  <c r="Q343" i="2"/>
  <c r="U343" i="2" s="1"/>
  <c r="Y342" i="2"/>
  <c r="Z342" i="2"/>
  <c r="B46" i="15"/>
  <c r="C46" i="15" s="1"/>
  <c r="D46" i="15" s="1"/>
  <c r="E46" i="15" s="1"/>
  <c r="AZ342" i="2" l="1"/>
  <c r="X342" i="2"/>
  <c r="BI342" i="2" s="1"/>
  <c r="AW343" i="2"/>
  <c r="BE343" i="2"/>
  <c r="S344" i="2"/>
  <c r="Z343" i="2"/>
  <c r="P344" i="2"/>
  <c r="AI343" i="2"/>
  <c r="W343" i="2"/>
  <c r="AZ343" i="2" s="1"/>
  <c r="AQ343" i="2"/>
  <c r="AP343" i="2"/>
  <c r="Y343" i="2"/>
  <c r="AA343" i="2"/>
  <c r="BF343" i="2"/>
  <c r="Q344" i="2"/>
  <c r="U344" i="2" s="1"/>
  <c r="AB343" i="2"/>
  <c r="AC343" i="2"/>
  <c r="T343" i="2"/>
  <c r="O344" i="2"/>
  <c r="R343" i="2"/>
  <c r="V343" i="2"/>
  <c r="AJ343" i="2"/>
  <c r="AV343" i="2"/>
  <c r="A47" i="15"/>
  <c r="B47" i="15" s="1"/>
  <c r="C47" i="15" s="1"/>
  <c r="D47" i="15" s="1"/>
  <c r="E47" i="15" s="1"/>
  <c r="X343" i="2" l="1"/>
  <c r="BI343" i="2" s="1"/>
  <c r="AB344" i="2"/>
  <c r="AI344" i="2"/>
  <c r="BE344" i="2"/>
  <c r="W344" i="2"/>
  <c r="AZ344" i="2" s="1"/>
  <c r="Q345" i="2"/>
  <c r="U345" i="2" s="1"/>
  <c r="AA344" i="2"/>
  <c r="O345" i="2"/>
  <c r="AW344" i="2"/>
  <c r="V344" i="2"/>
  <c r="Z344" i="2"/>
  <c r="Y344" i="2"/>
  <c r="BF344" i="2"/>
  <c r="AP344" i="2"/>
  <c r="T344" i="2"/>
  <c r="AJ344" i="2"/>
  <c r="S345" i="2"/>
  <c r="AV344" i="2"/>
  <c r="R344" i="2"/>
  <c r="P345" i="2"/>
  <c r="AC344" i="2"/>
  <c r="AQ344" i="2"/>
  <c r="A48" i="15"/>
  <c r="X344" i="2" l="1"/>
  <c r="BI344" i="2" s="1"/>
  <c r="AI345" i="2"/>
  <c r="Q346" i="2"/>
  <c r="U346" i="2" s="1"/>
  <c r="AW345" i="2"/>
  <c r="AV345" i="2"/>
  <c r="Y345" i="2"/>
  <c r="W345" i="2"/>
  <c r="X345" i="2" s="1"/>
  <c r="BI345" i="2" s="1"/>
  <c r="P346" i="2"/>
  <c r="Z345" i="2"/>
  <c r="T345" i="2"/>
  <c r="AQ345" i="2"/>
  <c r="O346" i="2"/>
  <c r="AJ345" i="2"/>
  <c r="R345" i="2"/>
  <c r="BE345" i="2"/>
  <c r="AC345" i="2"/>
  <c r="V345" i="2"/>
  <c r="AA345" i="2"/>
  <c r="AP345" i="2"/>
  <c r="S346" i="2"/>
  <c r="AB345" i="2"/>
  <c r="BF345" i="2"/>
  <c r="B48" i="15"/>
  <c r="C48" i="15" s="1"/>
  <c r="D48" i="15" s="1"/>
  <c r="E48" i="15" s="1"/>
  <c r="AZ345" i="2" l="1"/>
  <c r="AW346" i="2"/>
  <c r="W346" i="2"/>
  <c r="R346" i="2"/>
  <c r="AI346" i="2"/>
  <c r="AC346" i="2"/>
  <c r="P347" i="2"/>
  <c r="BE346" i="2"/>
  <c r="T346" i="2"/>
  <c r="AA346" i="2"/>
  <c r="O347" i="2"/>
  <c r="AP346" i="2"/>
  <c r="V346" i="2"/>
  <c r="AB346" i="2"/>
  <c r="BF346" i="2"/>
  <c r="Z346" i="2"/>
  <c r="S347" i="2"/>
  <c r="AQ346" i="2"/>
  <c r="AJ346" i="2"/>
  <c r="AV346" i="2"/>
  <c r="Q347" i="2"/>
  <c r="U347" i="2" s="1"/>
  <c r="Y346" i="2"/>
  <c r="A49" i="15"/>
  <c r="X346" i="2" l="1"/>
  <c r="BI346" i="2" s="1"/>
  <c r="AZ346" i="2"/>
  <c r="BE347" i="2"/>
  <c r="AV347" i="2"/>
  <c r="AC347" i="2"/>
  <c r="P348" i="2"/>
  <c r="Y347" i="2"/>
  <c r="AA347" i="2"/>
  <c r="AI347" i="2"/>
  <c r="V347" i="2"/>
  <c r="R347" i="2"/>
  <c r="W347" i="2"/>
  <c r="AP347" i="2"/>
  <c r="O348" i="2"/>
  <c r="AQ347" i="2"/>
  <c r="S348" i="2"/>
  <c r="Q348" i="2"/>
  <c r="U348" i="2" s="1"/>
  <c r="AW347" i="2"/>
  <c r="AB347" i="2"/>
  <c r="AJ347" i="2"/>
  <c r="T347" i="2"/>
  <c r="BF347" i="2"/>
  <c r="Z347" i="2"/>
  <c r="B49" i="15"/>
  <c r="C49" i="15" s="1"/>
  <c r="D49" i="15" s="1"/>
  <c r="E49" i="15" s="1"/>
  <c r="X347" i="2" l="1"/>
  <c r="BI347" i="2" s="1"/>
  <c r="AZ347" i="2"/>
  <c r="Y348" i="2"/>
  <c r="AQ348" i="2"/>
  <c r="P349" i="2"/>
  <c r="AI348" i="2"/>
  <c r="BE348" i="2"/>
  <c r="AC348" i="2"/>
  <c r="AJ348" i="2"/>
  <c r="V348" i="2"/>
  <c r="AW348" i="2"/>
  <c r="AP348" i="2"/>
  <c r="AV348" i="2"/>
  <c r="O349" i="2"/>
  <c r="S349" i="2"/>
  <c r="Z348" i="2"/>
  <c r="R348" i="2"/>
  <c r="BF348" i="2"/>
  <c r="AA348" i="2"/>
  <c r="Q349" i="2"/>
  <c r="U349" i="2" s="1"/>
  <c r="T348" i="2"/>
  <c r="AB348" i="2"/>
  <c r="W348" i="2"/>
  <c r="AZ348" i="2" s="1"/>
  <c r="A50" i="15"/>
  <c r="X348" i="2" l="1"/>
  <c r="BI348" i="2" s="1"/>
  <c r="AI349" i="2"/>
  <c r="AB349" i="2"/>
  <c r="Q350" i="2"/>
  <c r="U350" i="2" s="1"/>
  <c r="AV349" i="2"/>
  <c r="AW349" i="2"/>
  <c r="Y349" i="2"/>
  <c r="P350" i="2"/>
  <c r="S350" i="2"/>
  <c r="T349" i="2"/>
  <c r="O350" i="2"/>
  <c r="BF349" i="2"/>
  <c r="W349" i="2"/>
  <c r="X349" i="2" s="1"/>
  <c r="BI349" i="2" s="1"/>
  <c r="R349" i="2"/>
  <c r="BE349" i="2"/>
  <c r="AQ349" i="2"/>
  <c r="AJ349" i="2"/>
  <c r="Z349" i="2"/>
  <c r="AA349" i="2"/>
  <c r="AC349" i="2"/>
  <c r="V349" i="2"/>
  <c r="AP349" i="2"/>
  <c r="B50" i="15"/>
  <c r="C50" i="15" s="1"/>
  <c r="D50" i="15" s="1"/>
  <c r="E50" i="15" s="1"/>
  <c r="AZ349" i="2" l="1"/>
  <c r="T350" i="2"/>
  <c r="R350" i="2"/>
  <c r="O351" i="2"/>
  <c r="Q351" i="2"/>
  <c r="U351" i="2" s="1"/>
  <c r="AB350" i="2"/>
  <c r="V350" i="2"/>
  <c r="Z350" i="2"/>
  <c r="P351" i="2"/>
  <c r="AW350" i="2"/>
  <c r="AQ350" i="2"/>
  <c r="AA350" i="2"/>
  <c r="W350" i="2"/>
  <c r="Y350" i="2"/>
  <c r="AJ350" i="2"/>
  <c r="BF350" i="2"/>
  <c r="AV350" i="2"/>
  <c r="AI350" i="2"/>
  <c r="S351" i="2"/>
  <c r="AC350" i="2"/>
  <c r="AP350" i="2"/>
  <c r="BE350" i="2"/>
  <c r="A51" i="15"/>
  <c r="B51" i="15" s="1"/>
  <c r="C51" i="15" s="1"/>
  <c r="D51" i="15" s="1"/>
  <c r="E51" i="15" s="1"/>
  <c r="X350" i="2" l="1"/>
  <c r="BI350" i="2" s="1"/>
  <c r="AZ350" i="2"/>
  <c r="AI351" i="2"/>
  <c r="AJ351" i="2"/>
  <c r="P352" i="2"/>
  <c r="AC351" i="2"/>
  <c r="BF351" i="2"/>
  <c r="R351" i="2"/>
  <c r="W351" i="2"/>
  <c r="S352" i="2"/>
  <c r="Q352" i="2"/>
  <c r="U352" i="2" s="1"/>
  <c r="BE351" i="2"/>
  <c r="AW351" i="2"/>
  <c r="AB351" i="2"/>
  <c r="V351" i="2"/>
  <c r="T351" i="2"/>
  <c r="AV351" i="2"/>
  <c r="Z351" i="2"/>
  <c r="Y351" i="2"/>
  <c r="AP351" i="2"/>
  <c r="AQ351" i="2"/>
  <c r="O352" i="2"/>
  <c r="AA351" i="2"/>
  <c r="A52" i="15"/>
  <c r="B52" i="15" s="1"/>
  <c r="C52" i="15" s="1"/>
  <c r="D52" i="15" s="1"/>
  <c r="E52" i="15" s="1"/>
  <c r="X351" i="2" l="1"/>
  <c r="BI351" i="2" s="1"/>
  <c r="AZ351" i="2"/>
  <c r="AP352" i="2"/>
  <c r="BE352" i="2"/>
  <c r="AA352" i="2"/>
  <c r="AV352" i="2"/>
  <c r="Z352" i="2"/>
  <c r="AI352" i="2"/>
  <c r="R352" i="2"/>
  <c r="AJ352" i="2"/>
  <c r="AB352" i="2"/>
  <c r="V352" i="2"/>
  <c r="T352" i="2"/>
  <c r="AQ352" i="2"/>
  <c r="AW352" i="2"/>
  <c r="Y352" i="2"/>
  <c r="O353" i="2"/>
  <c r="W352" i="2"/>
  <c r="P353" i="2"/>
  <c r="BF352" i="2"/>
  <c r="AC352" i="2"/>
  <c r="Q353" i="2"/>
  <c r="U353" i="2" s="1"/>
  <c r="S353" i="2"/>
  <c r="A53" i="15"/>
  <c r="B53" i="15" s="1"/>
  <c r="C53" i="15" s="1"/>
  <c r="D53" i="15" s="1"/>
  <c r="E53" i="15" s="1"/>
  <c r="AZ352" i="2" l="1"/>
  <c r="X352" i="2"/>
  <c r="BI352" i="2" s="1"/>
  <c r="BF353" i="2"/>
  <c r="AC353" i="2"/>
  <c r="R353" i="2"/>
  <c r="AA353" i="2"/>
  <c r="AQ353" i="2"/>
  <c r="O354" i="2"/>
  <c r="V353" i="2"/>
  <c r="W353" i="2"/>
  <c r="X353" i="2" s="1"/>
  <c r="BI353" i="2" s="1"/>
  <c r="Q354" i="2"/>
  <c r="U354" i="2" s="1"/>
  <c r="S354" i="2"/>
  <c r="AI353" i="2"/>
  <c r="AP353" i="2"/>
  <c r="AB353" i="2"/>
  <c r="AV353" i="2"/>
  <c r="P354" i="2"/>
  <c r="AJ353" i="2"/>
  <c r="BE353" i="2"/>
  <c r="AW353" i="2"/>
  <c r="Z353" i="2"/>
  <c r="T353" i="2"/>
  <c r="Y353" i="2"/>
  <c r="A54" i="15"/>
  <c r="B54" i="15" s="1"/>
  <c r="C54" i="15" s="1"/>
  <c r="D54" i="15" s="1"/>
  <c r="E54" i="15" s="1"/>
  <c r="AZ353" i="2" l="1"/>
  <c r="R354" i="2"/>
  <c r="AI354" i="2"/>
  <c r="AJ354" i="2"/>
  <c r="AP354" i="2"/>
  <c r="AV354" i="2"/>
  <c r="T354" i="2"/>
  <c r="V354" i="2"/>
  <c r="AA354" i="2"/>
  <c r="P355" i="2"/>
  <c r="Y354" i="2"/>
  <c r="O355" i="2"/>
  <c r="AB354" i="2"/>
  <c r="W354" i="2"/>
  <c r="X354" i="2" s="1"/>
  <c r="BI354" i="2" s="1"/>
  <c r="AW354" i="2"/>
  <c r="BE354" i="2"/>
  <c r="S355" i="2"/>
  <c r="AC354" i="2"/>
  <c r="AQ354" i="2"/>
  <c r="Z354" i="2"/>
  <c r="BF354" i="2"/>
  <c r="Q355" i="2"/>
  <c r="U355" i="2" s="1"/>
  <c r="A55" i="15"/>
  <c r="AZ354" i="2" l="1"/>
  <c r="BF355" i="2"/>
  <c r="P356" i="2"/>
  <c r="T355" i="2"/>
  <c r="O356" i="2"/>
  <c r="AJ355" i="2"/>
  <c r="S356" i="2"/>
  <c r="Z355" i="2"/>
  <c r="AC355" i="2"/>
  <c r="AV355" i="2"/>
  <c r="AA355" i="2"/>
  <c r="AI355" i="2"/>
  <c r="V355" i="2"/>
  <c r="Q356" i="2"/>
  <c r="U356" i="2" s="1"/>
  <c r="AP355" i="2"/>
  <c r="BE355" i="2"/>
  <c r="AQ355" i="2"/>
  <c r="Y355" i="2"/>
  <c r="R355" i="2"/>
  <c r="W355" i="2"/>
  <c r="X355" i="2" s="1"/>
  <c r="BI355" i="2" s="1"/>
  <c r="AW355" i="2"/>
  <c r="AB355" i="2"/>
  <c r="B55" i="15"/>
  <c r="C55" i="15" s="1"/>
  <c r="D55" i="15" s="1"/>
  <c r="E55" i="15" s="1"/>
  <c r="AZ355" i="2" l="1"/>
  <c r="Q357" i="2"/>
  <c r="U357" i="2" s="1"/>
  <c r="AQ356" i="2"/>
  <c r="AI356" i="2"/>
  <c r="Y356" i="2"/>
  <c r="AW356" i="2"/>
  <c r="R356" i="2"/>
  <c r="AV356" i="2"/>
  <c r="S357" i="2"/>
  <c r="Z356" i="2"/>
  <c r="V356" i="2"/>
  <c r="W356" i="2"/>
  <c r="P357" i="2"/>
  <c r="AC356" i="2"/>
  <c r="O357" i="2"/>
  <c r="BE356" i="2"/>
  <c r="T356" i="2"/>
  <c r="AP356" i="2"/>
  <c r="BF356" i="2"/>
  <c r="AB356" i="2"/>
  <c r="AJ356" i="2"/>
  <c r="AA356" i="2"/>
  <c r="A56" i="15"/>
  <c r="AZ356" i="2" l="1"/>
  <c r="X356" i="2"/>
  <c r="BI356" i="2" s="1"/>
  <c r="Z357" i="2"/>
  <c r="BE357" i="2"/>
  <c r="AC357" i="2"/>
  <c r="S358" i="2"/>
  <c r="Y357" i="2"/>
  <c r="AQ357" i="2"/>
  <c r="AB357" i="2"/>
  <c r="P358" i="2"/>
  <c r="AI357" i="2"/>
  <c r="BF357" i="2"/>
  <c r="V357" i="2"/>
  <c r="AP357" i="2"/>
  <c r="T357" i="2"/>
  <c r="AJ357" i="2"/>
  <c r="W357" i="2"/>
  <c r="X357" i="2" s="1"/>
  <c r="BI357" i="2" s="1"/>
  <c r="Q358" i="2"/>
  <c r="U358" i="2" s="1"/>
  <c r="O358" i="2"/>
  <c r="R357" i="2"/>
  <c r="AV357" i="2"/>
  <c r="AW357" i="2"/>
  <c r="AA357" i="2"/>
  <c r="B56" i="15"/>
  <c r="C56" i="15" s="1"/>
  <c r="D56" i="15" s="1"/>
  <c r="E56" i="15" s="1"/>
  <c r="AZ357" i="2" l="1"/>
  <c r="AJ358" i="2"/>
  <c r="Z358" i="2"/>
  <c r="AV358" i="2"/>
  <c r="BE358" i="2"/>
  <c r="O359" i="2"/>
  <c r="AB358" i="2"/>
  <c r="AA358" i="2"/>
  <c r="AC358" i="2"/>
  <c r="AI358" i="2"/>
  <c r="Q359" i="2"/>
  <c r="U359" i="2" s="1"/>
  <c r="V358" i="2"/>
  <c r="P359" i="2"/>
  <c r="Y358" i="2"/>
  <c r="R358" i="2"/>
  <c r="BF358" i="2"/>
  <c r="AQ358" i="2"/>
  <c r="AW358" i="2"/>
  <c r="S359" i="2"/>
  <c r="AP358" i="2"/>
  <c r="T358" i="2"/>
  <c r="W358" i="2"/>
  <c r="X358" i="2" s="1"/>
  <c r="BI358" i="2" s="1"/>
  <c r="A57" i="15"/>
  <c r="AZ358" i="2" l="1"/>
  <c r="Y359" i="2"/>
  <c r="W359" i="2"/>
  <c r="AZ359" i="2" s="1"/>
  <c r="AJ359" i="2"/>
  <c r="BE359" i="2"/>
  <c r="AP359" i="2"/>
  <c r="T359" i="2"/>
  <c r="Z359" i="2"/>
  <c r="AV359" i="2"/>
  <c r="R359" i="2"/>
  <c r="AB359" i="2"/>
  <c r="S360" i="2"/>
  <c r="AC359" i="2"/>
  <c r="P360" i="2"/>
  <c r="BF359" i="2"/>
  <c r="Q360" i="2"/>
  <c r="U360" i="2" s="1"/>
  <c r="AA359" i="2"/>
  <c r="V359" i="2"/>
  <c r="AW359" i="2"/>
  <c r="AI359" i="2"/>
  <c r="AQ359" i="2"/>
  <c r="O360" i="2"/>
  <c r="B57" i="15"/>
  <c r="C57" i="15" s="1"/>
  <c r="D57" i="15" s="1"/>
  <c r="E57" i="15" s="1"/>
  <c r="X359" i="2" l="1"/>
  <c r="BI359" i="2" s="1"/>
  <c r="S361" i="2"/>
  <c r="Q361" i="2"/>
  <c r="U361" i="2" s="1"/>
  <c r="BE360" i="2"/>
  <c r="O361" i="2"/>
  <c r="R360" i="2"/>
  <c r="AJ360" i="2"/>
  <c r="V360" i="2"/>
  <c r="P361" i="2"/>
  <c r="AB360" i="2"/>
  <c r="AC360" i="2"/>
  <c r="AI360" i="2"/>
  <c r="W360" i="2"/>
  <c r="X360" i="2" s="1"/>
  <c r="BI360" i="2" s="1"/>
  <c r="Z360" i="2"/>
  <c r="T360" i="2"/>
  <c r="AQ360" i="2"/>
  <c r="Y360" i="2"/>
  <c r="AV360" i="2"/>
  <c r="AW360" i="2"/>
  <c r="BF360" i="2"/>
  <c r="AP360" i="2"/>
  <c r="AA360" i="2"/>
  <c r="A58" i="15"/>
  <c r="B58" i="15" s="1"/>
  <c r="C58" i="15" s="1"/>
  <c r="D58" i="15" s="1"/>
  <c r="E58" i="15" s="1"/>
  <c r="AZ360" i="2" l="1"/>
  <c r="BF361" i="2"/>
  <c r="S362" i="2"/>
  <c r="P362" i="2"/>
  <c r="AA361" i="2"/>
  <c r="AC361" i="2"/>
  <c r="O362" i="2"/>
  <c r="BE361" i="2"/>
  <c r="AB361" i="2"/>
  <c r="T361" i="2"/>
  <c r="AQ361" i="2"/>
  <c r="AI361" i="2"/>
  <c r="AW361" i="2"/>
  <c r="Z361" i="2"/>
  <c r="AJ361" i="2"/>
  <c r="Q362" i="2"/>
  <c r="U362" i="2" s="1"/>
  <c r="AP361" i="2"/>
  <c r="Y361" i="2"/>
  <c r="V361" i="2"/>
  <c r="W361" i="2"/>
  <c r="X361" i="2" s="1"/>
  <c r="BI361" i="2" s="1"/>
  <c r="AV361" i="2"/>
  <c r="R361" i="2"/>
  <c r="A59" i="15"/>
  <c r="B59" i="15" s="1"/>
  <c r="C59" i="15" s="1"/>
  <c r="D59" i="15" s="1"/>
  <c r="E59" i="15" s="1"/>
  <c r="AZ361" i="2" l="1"/>
  <c r="W362" i="2"/>
  <c r="AP362" i="2"/>
  <c r="Q363" i="2"/>
  <c r="U363" i="2" s="1"/>
  <c r="AI362" i="2"/>
  <c r="V362" i="2"/>
  <c r="BF362" i="2"/>
  <c r="AB362" i="2"/>
  <c r="O363" i="2"/>
  <c r="Y362" i="2"/>
  <c r="AQ362" i="2"/>
  <c r="S363" i="2"/>
  <c r="Z362" i="2"/>
  <c r="AC362" i="2"/>
  <c r="P363" i="2"/>
  <c r="R362" i="2"/>
  <c r="T362" i="2"/>
  <c r="AV362" i="2"/>
  <c r="AW362" i="2"/>
  <c r="AA362" i="2"/>
  <c r="AJ362" i="2"/>
  <c r="BE362" i="2"/>
  <c r="A60" i="15"/>
  <c r="B60" i="15" s="1"/>
  <c r="C60" i="15" s="1"/>
  <c r="D60" i="15" s="1"/>
  <c r="E60" i="15" s="1"/>
  <c r="AZ362" i="2" l="1"/>
  <c r="X362" i="2"/>
  <c r="BI362" i="2" s="1"/>
  <c r="AV363" i="2"/>
  <c r="O364" i="2"/>
  <c r="AA363" i="2"/>
  <c r="S364" i="2"/>
  <c r="AJ363" i="2"/>
  <c r="Q364" i="2"/>
  <c r="U364" i="2" s="1"/>
  <c r="AQ363" i="2"/>
  <c r="BE363" i="2"/>
  <c r="Z363" i="2"/>
  <c r="AB363" i="2"/>
  <c r="BF363" i="2"/>
  <c r="AW363" i="2"/>
  <c r="Y363" i="2"/>
  <c r="AI363" i="2"/>
  <c r="AC363" i="2"/>
  <c r="V363" i="2"/>
  <c r="T363" i="2"/>
  <c r="W363" i="2"/>
  <c r="AP363" i="2"/>
  <c r="R363" i="2"/>
  <c r="P364" i="2"/>
  <c r="A61" i="15"/>
  <c r="B61" i="15" s="1"/>
  <c r="C61" i="15" s="1"/>
  <c r="D61" i="15" s="1"/>
  <c r="E61" i="15" s="1"/>
  <c r="X363" i="2" l="1"/>
  <c r="BI363" i="2" s="1"/>
  <c r="AZ363" i="2"/>
  <c r="Q365" i="2"/>
  <c r="O365" i="2"/>
  <c r="AI364" i="2"/>
  <c r="V364" i="2"/>
  <c r="BF364" i="2"/>
  <c r="AA364" i="2"/>
  <c r="S365" i="2"/>
  <c r="AC364" i="2"/>
  <c r="Z364" i="2"/>
  <c r="P365" i="2"/>
  <c r="AP364" i="2"/>
  <c r="T364" i="2"/>
  <c r="U365" i="2"/>
  <c r="R364" i="2"/>
  <c r="AV364" i="2"/>
  <c r="AB364" i="2"/>
  <c r="W364" i="2"/>
  <c r="X364" i="2" s="1"/>
  <c r="BI364" i="2" s="1"/>
  <c r="AW364" i="2"/>
  <c r="AJ364" i="2"/>
  <c r="Y364" i="2"/>
  <c r="BE364" i="2"/>
  <c r="AQ364" i="2"/>
  <c r="A62" i="15"/>
  <c r="B62" i="15" s="1"/>
  <c r="C62" i="15" s="1"/>
  <c r="D62" i="15" s="1"/>
  <c r="E62" i="15" s="1"/>
  <c r="AZ364" i="2" l="1"/>
  <c r="AQ365" i="2"/>
  <c r="BE365" i="2"/>
  <c r="Z365" i="2"/>
  <c r="W365" i="2"/>
  <c r="AI365" i="2"/>
  <c r="Y365" i="2"/>
  <c r="AV365" i="2"/>
  <c r="S366" i="2"/>
  <c r="AP365" i="2"/>
  <c r="U366" i="2"/>
  <c r="V365" i="2"/>
  <c r="AW365" i="2"/>
  <c r="O366" i="2"/>
  <c r="AJ365" i="2"/>
  <c r="R365" i="2"/>
  <c r="T365" i="2"/>
  <c r="AC365" i="2"/>
  <c r="Q366" i="2"/>
  <c r="P366" i="2"/>
  <c r="AA365" i="2"/>
  <c r="BF365" i="2"/>
  <c r="AB365" i="2"/>
  <c r="A63" i="15"/>
  <c r="B63" i="15" s="1"/>
  <c r="C63" i="15" s="1"/>
  <c r="D63" i="15" s="1"/>
  <c r="E63" i="15" s="1"/>
  <c r="X365" i="2" l="1"/>
  <c r="BI365" i="2" s="1"/>
  <c r="AZ365" i="2"/>
  <c r="AJ366" i="2"/>
  <c r="Z366" i="2"/>
  <c r="BF366" i="2"/>
  <c r="O367" i="2"/>
  <c r="AP366" i="2"/>
  <c r="S367" i="2"/>
  <c r="AW366" i="2"/>
  <c r="AA366" i="2"/>
  <c r="W366" i="2"/>
  <c r="X366" i="2" s="1"/>
  <c r="BI366" i="2" s="1"/>
  <c r="T366" i="2"/>
  <c r="R366" i="2"/>
  <c r="AI366" i="2"/>
  <c r="P367" i="2"/>
  <c r="Q367" i="2"/>
  <c r="U367" i="2" s="1"/>
  <c r="AQ366" i="2"/>
  <c r="AB366" i="2"/>
  <c r="AC366" i="2"/>
  <c r="V366" i="2"/>
  <c r="BE366" i="2"/>
  <c r="AV366" i="2"/>
  <c r="Y366" i="2"/>
  <c r="A64" i="15"/>
  <c r="B64" i="15" s="1"/>
  <c r="C64" i="15" s="1"/>
  <c r="D64" i="15" s="1"/>
  <c r="E64" i="15" s="1"/>
  <c r="AZ366" i="2" l="1"/>
  <c r="O368" i="2"/>
  <c r="Q368" i="2"/>
  <c r="U368" i="2" s="1"/>
  <c r="Y367" i="2"/>
  <c r="AP367" i="2"/>
  <c r="AQ367" i="2"/>
  <c r="BF367" i="2"/>
  <c r="S368" i="2"/>
  <c r="W367" i="2"/>
  <c r="P368" i="2"/>
  <c r="AV367" i="2"/>
  <c r="V367" i="2"/>
  <c r="AJ367" i="2"/>
  <c r="R367" i="2"/>
  <c r="AW367" i="2"/>
  <c r="AB367" i="2"/>
  <c r="AI367" i="2"/>
  <c r="AA367" i="2"/>
  <c r="BE367" i="2"/>
  <c r="T367" i="2"/>
  <c r="AC367" i="2"/>
  <c r="Z367" i="2"/>
  <c r="A65" i="15"/>
  <c r="B65" i="15" s="1"/>
  <c r="C65" i="15" s="1"/>
  <c r="D65" i="15" s="1"/>
  <c r="E65" i="15" s="1"/>
  <c r="X367" i="2" l="1"/>
  <c r="BI367" i="2" s="1"/>
  <c r="AZ367" i="2"/>
  <c r="AA368" i="2"/>
  <c r="W368" i="2"/>
  <c r="AZ368" i="2" s="1"/>
  <c r="AW368" i="2"/>
  <c r="Z368" i="2"/>
  <c r="AP368" i="2"/>
  <c r="AQ368" i="2"/>
  <c r="P369" i="2"/>
  <c r="O369" i="2"/>
  <c r="T368" i="2"/>
  <c r="BF368" i="2"/>
  <c r="X368" i="2"/>
  <c r="BI368" i="2" s="1"/>
  <c r="AI368" i="2"/>
  <c r="Q369" i="2"/>
  <c r="U369" i="2" s="1"/>
  <c r="R368" i="2"/>
  <c r="AC368" i="2"/>
  <c r="AV368" i="2"/>
  <c r="Y368" i="2"/>
  <c r="AB368" i="2"/>
  <c r="V368" i="2"/>
  <c r="AJ368" i="2"/>
  <c r="S369" i="2"/>
  <c r="BE368" i="2"/>
  <c r="A66" i="15"/>
  <c r="B66" i="15" s="1"/>
  <c r="C66" i="15" s="1"/>
  <c r="D66" i="15" s="1"/>
  <c r="E66" i="15" s="1"/>
  <c r="P370" i="2" l="1"/>
  <c r="AP369" i="2"/>
  <c r="AW369" i="2"/>
  <c r="Y369" i="2"/>
  <c r="Q370" i="2"/>
  <c r="U370" i="2" s="1"/>
  <c r="AA369" i="2"/>
  <c r="AC369" i="2"/>
  <c r="AI369" i="2"/>
  <c r="BF369" i="2"/>
  <c r="R369" i="2"/>
  <c r="V369" i="2"/>
  <c r="AV369" i="2"/>
  <c r="W369" i="2"/>
  <c r="AQ369" i="2"/>
  <c r="S370" i="2"/>
  <c r="BE369" i="2"/>
  <c r="AJ369" i="2"/>
  <c r="O370" i="2"/>
  <c r="AB369" i="2"/>
  <c r="Z369" i="2"/>
  <c r="T369" i="2"/>
  <c r="A67" i="15"/>
  <c r="B67" i="15" s="1"/>
  <c r="C67" i="15" s="1"/>
  <c r="D67" i="15" s="1"/>
  <c r="E67" i="15" s="1"/>
  <c r="AZ369" i="2" l="1"/>
  <c r="X369" i="2"/>
  <c r="BI369" i="2" s="1"/>
  <c r="AQ370" i="2"/>
  <c r="S371" i="2"/>
  <c r="R370" i="2"/>
  <c r="W370" i="2"/>
  <c r="AZ370" i="2" s="1"/>
  <c r="AP370" i="2"/>
  <c r="Q371" i="2"/>
  <c r="U371" i="2" s="1"/>
  <c r="O371" i="2"/>
  <c r="BF370" i="2"/>
  <c r="BE370" i="2"/>
  <c r="Y370" i="2"/>
  <c r="P371" i="2"/>
  <c r="Z370" i="2"/>
  <c r="AB370" i="2"/>
  <c r="T370" i="2"/>
  <c r="AC370" i="2"/>
  <c r="V370" i="2"/>
  <c r="AW370" i="2"/>
  <c r="AA370" i="2"/>
  <c r="AV370" i="2"/>
  <c r="AJ370" i="2"/>
  <c r="AI370" i="2"/>
  <c r="A68" i="15"/>
  <c r="B68" i="15" s="1"/>
  <c r="C68" i="15" s="1"/>
  <c r="D68" i="15" s="1"/>
  <c r="E68" i="15" s="1"/>
  <c r="X370" i="2" l="1"/>
  <c r="BI370" i="2" s="1"/>
  <c r="AA371" i="2"/>
  <c r="V371" i="2"/>
  <c r="Q372" i="2"/>
  <c r="U372" i="2" s="1"/>
  <c r="AB371" i="2"/>
  <c r="AJ371" i="2"/>
  <c r="AV371" i="2"/>
  <c r="AP371" i="2"/>
  <c r="T371" i="2"/>
  <c r="BE371" i="2"/>
  <c r="P372" i="2"/>
  <c r="AC371" i="2"/>
  <c r="S372" i="2"/>
  <c r="Z371" i="2"/>
  <c r="AI371" i="2"/>
  <c r="Y371" i="2"/>
  <c r="O372" i="2"/>
  <c r="BF371" i="2"/>
  <c r="W371" i="2"/>
  <c r="AZ371" i="2" s="1"/>
  <c r="AQ371" i="2"/>
  <c r="R371" i="2"/>
  <c r="AW371" i="2"/>
  <c r="A69" i="15"/>
  <c r="B69" i="15" s="1"/>
  <c r="C69" i="15" s="1"/>
  <c r="D69" i="15" s="1"/>
  <c r="E69" i="15" s="1"/>
  <c r="X371" i="2" l="1"/>
  <c r="BI371" i="2" s="1"/>
  <c r="AW372" i="2"/>
  <c r="AP372" i="2"/>
  <c r="AB372" i="2"/>
  <c r="V372" i="2"/>
  <c r="AQ372" i="2"/>
  <c r="AJ372" i="2"/>
  <c r="AI372" i="2"/>
  <c r="Q373" i="2"/>
  <c r="U373" i="2" s="1"/>
  <c r="BE372" i="2"/>
  <c r="R372" i="2"/>
  <c r="Y372" i="2"/>
  <c r="S373" i="2"/>
  <c r="T372" i="2"/>
  <c r="AA372" i="2"/>
  <c r="AC372" i="2"/>
  <c r="BF372" i="2"/>
  <c r="P373" i="2"/>
  <c r="W372" i="2"/>
  <c r="Z372" i="2"/>
  <c r="O373" i="2"/>
  <c r="AV372" i="2"/>
  <c r="A70" i="15"/>
  <c r="B70" i="15" s="1"/>
  <c r="C70" i="15" s="1"/>
  <c r="D70" i="15" s="1"/>
  <c r="E70" i="15" s="1"/>
  <c r="X372" i="2" l="1"/>
  <c r="BI372" i="2" s="1"/>
  <c r="AZ372" i="2"/>
  <c r="AQ373" i="2"/>
  <c r="AP373" i="2"/>
  <c r="AB373" i="2"/>
  <c r="Z373" i="2"/>
  <c r="AV373" i="2"/>
  <c r="V373" i="2"/>
  <c r="AI373" i="2"/>
  <c r="Q374" i="2"/>
  <c r="U374" i="2" s="1"/>
  <c r="R373" i="2"/>
  <c r="Y373" i="2"/>
  <c r="BE373" i="2"/>
  <c r="AA373" i="2"/>
  <c r="S374" i="2"/>
  <c r="O374" i="2"/>
  <c r="BF373" i="2"/>
  <c r="T373" i="2"/>
  <c r="AC373" i="2"/>
  <c r="AW373" i="2"/>
  <c r="W373" i="2"/>
  <c r="P374" i="2"/>
  <c r="AJ373" i="2"/>
  <c r="A71" i="15"/>
  <c r="B71" i="15" s="1"/>
  <c r="C71" i="15" s="1"/>
  <c r="D71" i="15" s="1"/>
  <c r="E71" i="15" s="1"/>
  <c r="X373" i="2" l="1"/>
  <c r="BI373" i="2" s="1"/>
  <c r="AZ373" i="2"/>
  <c r="AC374" i="2"/>
  <c r="T374" i="2"/>
  <c r="R374" i="2"/>
  <c r="AV374" i="2"/>
  <c r="BF374" i="2"/>
  <c r="AB374" i="2"/>
  <c r="AW374" i="2"/>
  <c r="V374" i="2"/>
  <c r="Z374" i="2"/>
  <c r="AQ374" i="2"/>
  <c r="AJ374" i="2"/>
  <c r="BE374" i="2"/>
  <c r="Y374" i="2"/>
  <c r="P375" i="2"/>
  <c r="O375" i="2"/>
  <c r="AI374" i="2"/>
  <c r="W374" i="2"/>
  <c r="AP374" i="2"/>
  <c r="S375" i="2"/>
  <c r="AA374" i="2"/>
  <c r="Q375" i="2"/>
  <c r="U375" i="2" s="1"/>
  <c r="A72" i="15"/>
  <c r="B72" i="15" s="1"/>
  <c r="C72" i="15" s="1"/>
  <c r="D72" i="15" s="1"/>
  <c r="E72" i="15" s="1"/>
  <c r="AZ374" i="2" l="1"/>
  <c r="X374" i="2"/>
  <c r="BI374" i="2" s="1"/>
  <c r="AP375" i="2"/>
  <c r="BF375" i="2"/>
  <c r="AI375" i="2"/>
  <c r="W375" i="2"/>
  <c r="T375" i="2"/>
  <c r="BE375" i="2"/>
  <c r="Q376" i="2"/>
  <c r="U376" i="2" s="1"/>
  <c r="O376" i="2"/>
  <c r="Y375" i="2"/>
  <c r="AA375" i="2"/>
  <c r="AV375" i="2"/>
  <c r="AC375" i="2"/>
  <c r="R375" i="2"/>
  <c r="AW375" i="2"/>
  <c r="AB375" i="2"/>
  <c r="S376" i="2"/>
  <c r="Z375" i="2"/>
  <c r="AJ375" i="2"/>
  <c r="P376" i="2"/>
  <c r="V375" i="2"/>
  <c r="AQ375" i="2"/>
  <c r="A73" i="15"/>
  <c r="B73" i="15" s="1"/>
  <c r="C73" i="15" s="1"/>
  <c r="D73" i="15" s="1"/>
  <c r="E73" i="15" s="1"/>
  <c r="AZ375" i="2" l="1"/>
  <c r="X375" i="2"/>
  <c r="BI375" i="2" s="1"/>
  <c r="AQ376" i="2"/>
  <c r="AJ376" i="2"/>
  <c r="AP376" i="2"/>
  <c r="BF376" i="2"/>
  <c r="V376" i="2"/>
  <c r="AW376" i="2"/>
  <c r="R376" i="2"/>
  <c r="Q377" i="2"/>
  <c r="U377" i="2" s="1"/>
  <c r="BE376" i="2"/>
  <c r="O377" i="2"/>
  <c r="Y376" i="2"/>
  <c r="Z376" i="2"/>
  <c r="AB376" i="2"/>
  <c r="AA376" i="2"/>
  <c r="T376" i="2"/>
  <c r="W376" i="2"/>
  <c r="AZ376" i="2" s="1"/>
  <c r="AV376" i="2"/>
  <c r="P377" i="2"/>
  <c r="S377" i="2"/>
  <c r="AI376" i="2"/>
  <c r="AC376" i="2"/>
  <c r="A74" i="15"/>
  <c r="B74" i="15" s="1"/>
  <c r="C74" i="15" s="1"/>
  <c r="D74" i="15" s="1"/>
  <c r="E74" i="15" s="1"/>
  <c r="X376" i="2" l="1"/>
  <c r="BI376" i="2" s="1"/>
  <c r="Z377" i="2"/>
  <c r="Y377" i="2"/>
  <c r="V377" i="2"/>
  <c r="AB377" i="2"/>
  <c r="BE377" i="2"/>
  <c r="P378" i="2"/>
  <c r="S378" i="2"/>
  <c r="W377" i="2"/>
  <c r="AQ377" i="2"/>
  <c r="Q378" i="2"/>
  <c r="U378" i="2" s="1"/>
  <c r="AA377" i="2"/>
  <c r="AP377" i="2"/>
  <c r="BF377" i="2"/>
  <c r="AI377" i="2"/>
  <c r="O378" i="2"/>
  <c r="T377" i="2"/>
  <c r="AC377" i="2"/>
  <c r="R377" i="2"/>
  <c r="AV377" i="2"/>
  <c r="AJ377" i="2"/>
  <c r="AW377" i="2"/>
  <c r="A75" i="15"/>
  <c r="B75" i="15" s="1"/>
  <c r="C75" i="15" s="1"/>
  <c r="D75" i="15" s="1"/>
  <c r="E75" i="15" s="1"/>
  <c r="X377" i="2" l="1"/>
  <c r="BI377" i="2" s="1"/>
  <c r="AZ377" i="2"/>
  <c r="AA378" i="2"/>
  <c r="AV378" i="2"/>
  <c r="P379" i="2"/>
  <c r="Z378" i="2"/>
  <c r="AI378" i="2"/>
  <c r="O379" i="2"/>
  <c r="Y378" i="2"/>
  <c r="W378" i="2"/>
  <c r="S379" i="2"/>
  <c r="V378" i="2"/>
  <c r="BF378" i="2"/>
  <c r="AQ378" i="2"/>
  <c r="BE378" i="2"/>
  <c r="T378" i="2"/>
  <c r="AB378" i="2"/>
  <c r="AC378" i="2"/>
  <c r="AW378" i="2"/>
  <c r="AP378" i="2"/>
  <c r="Q379" i="2"/>
  <c r="U379" i="2" s="1"/>
  <c r="AJ378" i="2"/>
  <c r="R378" i="2"/>
  <c r="A76" i="15"/>
  <c r="B76" i="15" s="1"/>
  <c r="C76" i="15" s="1"/>
  <c r="D76" i="15" s="1"/>
  <c r="E76" i="15" s="1"/>
  <c r="X378" i="2" l="1"/>
  <c r="BI378" i="2" s="1"/>
  <c r="AZ378" i="2"/>
  <c r="AI379" i="2"/>
  <c r="S380" i="2"/>
  <c r="W379" i="2"/>
  <c r="T379" i="2"/>
  <c r="V379" i="2"/>
  <c r="BF379" i="2"/>
  <c r="AJ379" i="2"/>
  <c r="R379" i="2"/>
  <c r="Q380" i="2"/>
  <c r="U380" i="2" s="1"/>
  <c r="AB379" i="2"/>
  <c r="AA379" i="2"/>
  <c r="AP379" i="2"/>
  <c r="Y379" i="2"/>
  <c r="AC379" i="2"/>
  <c r="O380" i="2"/>
  <c r="P380" i="2"/>
  <c r="Z379" i="2"/>
  <c r="BE379" i="2"/>
  <c r="AV379" i="2"/>
  <c r="AQ379" i="2"/>
  <c r="AW379" i="2"/>
  <c r="A77" i="15"/>
  <c r="B77" i="15" s="1"/>
  <c r="C77" i="15" s="1"/>
  <c r="D77" i="15" s="1"/>
  <c r="E77" i="15" s="1"/>
  <c r="AZ379" i="2" l="1"/>
  <c r="X379" i="2"/>
  <c r="BI379" i="2" s="1"/>
  <c r="O381" i="2"/>
  <c r="AW380" i="2"/>
  <c r="BE380" i="2"/>
  <c r="AJ380" i="2"/>
  <c r="BF380" i="2"/>
  <c r="AP380" i="2"/>
  <c r="AA380" i="2"/>
  <c r="Z380" i="2"/>
  <c r="AI380" i="2"/>
  <c r="Y380" i="2"/>
  <c r="R380" i="2"/>
  <c r="W380" i="2"/>
  <c r="AZ380" i="2" s="1"/>
  <c r="Q381" i="2"/>
  <c r="U381" i="2" s="1"/>
  <c r="AV380" i="2"/>
  <c r="AB380" i="2"/>
  <c r="S381" i="2"/>
  <c r="T380" i="2"/>
  <c r="AC380" i="2"/>
  <c r="AQ380" i="2"/>
  <c r="P381" i="2"/>
  <c r="V380" i="2"/>
  <c r="A78" i="15"/>
  <c r="B78" i="15" s="1"/>
  <c r="C78" i="15" s="1"/>
  <c r="D78" i="15" s="1"/>
  <c r="E78" i="15" s="1"/>
  <c r="X380" i="2" l="1"/>
  <c r="BI380" i="2" s="1"/>
  <c r="AA381" i="2"/>
  <c r="AC381" i="2"/>
  <c r="R381" i="2"/>
  <c r="AJ381" i="2"/>
  <c r="O382" i="2"/>
  <c r="AB381" i="2"/>
  <c r="BF381" i="2"/>
  <c r="Q382" i="2"/>
  <c r="U382" i="2" s="1"/>
  <c r="Z381" i="2"/>
  <c r="V381" i="2"/>
  <c r="AI381" i="2"/>
  <c r="W381" i="2"/>
  <c r="AW381" i="2"/>
  <c r="P382" i="2"/>
  <c r="S382" i="2"/>
  <c r="AQ381" i="2"/>
  <c r="T381" i="2"/>
  <c r="Y381" i="2"/>
  <c r="BE381" i="2"/>
  <c r="AP381" i="2"/>
  <c r="AV381" i="2"/>
  <c r="A79" i="15"/>
  <c r="B79" i="15" s="1"/>
  <c r="C79" i="15" s="1"/>
  <c r="D79" i="15" s="1"/>
  <c r="E79" i="15" s="1"/>
  <c r="X381" i="2" l="1"/>
  <c r="BI381" i="2" s="1"/>
  <c r="AZ381" i="2"/>
  <c r="Z382" i="2"/>
  <c r="AA382" i="2"/>
  <c r="Y382" i="2"/>
  <c r="V382" i="2"/>
  <c r="AQ382" i="2"/>
  <c r="BE382" i="2"/>
  <c r="W382" i="2"/>
  <c r="AZ382" i="2" s="1"/>
  <c r="R382" i="2"/>
  <c r="Q383" i="2"/>
  <c r="U383" i="2" s="1"/>
  <c r="AB382" i="2"/>
  <c r="AW382" i="2"/>
  <c r="S383" i="2"/>
  <c r="O383" i="2"/>
  <c r="X382" i="2"/>
  <c r="BI382" i="2" s="1"/>
  <c r="P383" i="2"/>
  <c r="AC382" i="2"/>
  <c r="BF382" i="2"/>
  <c r="AV382" i="2"/>
  <c r="AP382" i="2"/>
  <c r="AJ382" i="2"/>
  <c r="AI382" i="2"/>
  <c r="T382" i="2"/>
  <c r="A80" i="15"/>
  <c r="B80" i="15" s="1"/>
  <c r="AQ383" i="2" l="1"/>
  <c r="Z383" i="2"/>
  <c r="BF383" i="2"/>
  <c r="AP383" i="2"/>
  <c r="BE383" i="2"/>
  <c r="V383" i="2"/>
  <c r="AC383" i="2"/>
  <c r="AB383" i="2"/>
  <c r="AV383" i="2"/>
  <c r="O384" i="2"/>
  <c r="AW383" i="2"/>
  <c r="AI383" i="2"/>
  <c r="P384" i="2"/>
  <c r="Q384" i="2"/>
  <c r="U384" i="2" s="1"/>
  <c r="W383" i="2"/>
  <c r="AZ383" i="2" s="1"/>
  <c r="AA383" i="2"/>
  <c r="Y383" i="2"/>
  <c r="R383" i="2"/>
  <c r="AJ383" i="2"/>
  <c r="T383" i="2"/>
  <c r="S384" i="2"/>
  <c r="C80" i="15"/>
  <c r="D80" i="15" s="1"/>
  <c r="E80" i="15" s="1"/>
  <c r="A81" i="15"/>
  <c r="B81" i="15" s="1"/>
  <c r="C81" i="15" s="1"/>
  <c r="D81" i="15" s="1"/>
  <c r="E81" i="15" l="1"/>
  <c r="X383" i="2"/>
  <c r="BI383" i="2" s="1"/>
  <c r="AC384" i="2"/>
  <c r="BE384" i="2"/>
  <c r="R384" i="2"/>
  <c r="O385" i="2"/>
  <c r="AW384" i="2"/>
  <c r="AA384" i="2"/>
  <c r="Q385" i="2"/>
  <c r="U385" i="2" s="1"/>
  <c r="AV384" i="2"/>
  <c r="AQ384" i="2"/>
  <c r="T384" i="2"/>
  <c r="W384" i="2"/>
  <c r="AZ384" i="2" s="1"/>
  <c r="V384" i="2"/>
  <c r="AJ384" i="2"/>
  <c r="BF384" i="2"/>
  <c r="P385" i="2"/>
  <c r="Y384" i="2"/>
  <c r="AI384" i="2"/>
  <c r="AB384" i="2"/>
  <c r="AP384" i="2"/>
  <c r="Z384" i="2"/>
  <c r="S385" i="2"/>
  <c r="A82" i="15"/>
  <c r="B82" i="15" s="1"/>
  <c r="C82" i="15" s="1"/>
  <c r="D82" i="15" s="1"/>
  <c r="E82" i="15" s="1"/>
  <c r="X384" i="2" l="1"/>
  <c r="BI384" i="2" s="1"/>
  <c r="BE385" i="2"/>
  <c r="AV385" i="2"/>
  <c r="Q386" i="2"/>
  <c r="U386" i="2" s="1"/>
  <c r="P386" i="2"/>
  <c r="T385" i="2"/>
  <c r="AP385" i="2"/>
  <c r="V385" i="2"/>
  <c r="S386" i="2"/>
  <c r="AQ385" i="2"/>
  <c r="Y385" i="2"/>
  <c r="R385" i="2"/>
  <c r="AA385" i="2"/>
  <c r="W385" i="2"/>
  <c r="AW385" i="2"/>
  <c r="AB385" i="2"/>
  <c r="AJ385" i="2"/>
  <c r="BF385" i="2"/>
  <c r="O386" i="2"/>
  <c r="AC385" i="2"/>
  <c r="Z385" i="2"/>
  <c r="AI385" i="2"/>
  <c r="A83" i="15"/>
  <c r="B83" i="15" s="1"/>
  <c r="C83" i="15" s="1"/>
  <c r="D83" i="15" s="1"/>
  <c r="E83" i="15" s="1"/>
  <c r="X385" i="2" l="1"/>
  <c r="BI385" i="2" s="1"/>
  <c r="AZ385" i="2"/>
  <c r="Z386" i="2"/>
  <c r="AB386" i="2"/>
  <c r="AI386" i="2"/>
  <c r="AJ386" i="2"/>
  <c r="Q387" i="2"/>
  <c r="U387" i="2" s="1"/>
  <c r="P387" i="2"/>
  <c r="BE386" i="2"/>
  <c r="AV386" i="2"/>
  <c r="T386" i="2"/>
  <c r="AW386" i="2"/>
  <c r="S387" i="2"/>
  <c r="O387" i="2"/>
  <c r="W386" i="2"/>
  <c r="X386" i="2" s="1"/>
  <c r="BI386" i="2" s="1"/>
  <c r="AQ386" i="2"/>
  <c r="AP386" i="2"/>
  <c r="AA386" i="2"/>
  <c r="Y386" i="2"/>
  <c r="BF386" i="2"/>
  <c r="AC386" i="2"/>
  <c r="V386" i="2"/>
  <c r="R386" i="2"/>
  <c r="A84" i="15"/>
  <c r="B84" i="15" s="1"/>
  <c r="C84" i="15" s="1"/>
  <c r="D84" i="15" s="1"/>
  <c r="E84" i="15" s="1"/>
  <c r="AZ386" i="2" l="1"/>
  <c r="AA387" i="2"/>
  <c r="R387" i="2"/>
  <c r="W387" i="2"/>
  <c r="P388" i="2"/>
  <c r="S388" i="2"/>
  <c r="V387" i="2"/>
  <c r="O388" i="2"/>
  <c r="Q388" i="2"/>
  <c r="BE387" i="2"/>
  <c r="AQ387" i="2"/>
  <c r="BF387" i="2"/>
  <c r="Y387" i="2"/>
  <c r="Z387" i="2"/>
  <c r="AP387" i="2"/>
  <c r="AC387" i="2"/>
  <c r="T387" i="2"/>
  <c r="AI387" i="2"/>
  <c r="AW387" i="2"/>
  <c r="AV387" i="2"/>
  <c r="U388" i="2"/>
  <c r="AJ387" i="2"/>
  <c r="AB387" i="2"/>
  <c r="A85" i="15"/>
  <c r="B85" i="15" s="1"/>
  <c r="C85" i="15" s="1"/>
  <c r="D85" i="15" s="1"/>
  <c r="E85" i="15" s="1"/>
  <c r="X387" i="2" l="1"/>
  <c r="BI387" i="2" s="1"/>
  <c r="AZ387" i="2"/>
  <c r="R388" i="2"/>
  <c r="T388" i="2"/>
  <c r="BE388" i="2"/>
  <c r="AB388" i="2"/>
  <c r="P389" i="2"/>
  <c r="AP388" i="2"/>
  <c r="AC388" i="2"/>
  <c r="AI388" i="2"/>
  <c r="AA388" i="2"/>
  <c r="AQ388" i="2"/>
  <c r="Y388" i="2"/>
  <c r="BF388" i="2"/>
  <c r="AV388" i="2"/>
  <c r="O389" i="2"/>
  <c r="S389" i="2"/>
  <c r="AJ388" i="2"/>
  <c r="AW388" i="2"/>
  <c r="Z388" i="2"/>
  <c r="W388" i="2"/>
  <c r="AZ388" i="2" s="1"/>
  <c r="V388" i="2"/>
  <c r="Q389" i="2"/>
  <c r="U389" i="2" s="1"/>
  <c r="A86" i="15"/>
  <c r="B86" i="15" s="1"/>
  <c r="C86" i="15" s="1"/>
  <c r="D86" i="15" s="1"/>
  <c r="E86" i="15" s="1"/>
  <c r="X388" i="2" l="1"/>
  <c r="BI388" i="2" s="1"/>
  <c r="R389" i="2"/>
  <c r="O390" i="2"/>
  <c r="T389" i="2"/>
  <c r="AV389" i="2"/>
  <c r="W389" i="2"/>
  <c r="X389" i="2" s="1"/>
  <c r="BI389" i="2" s="1"/>
  <c r="AW389" i="2"/>
  <c r="BE389" i="2"/>
  <c r="AP389" i="2"/>
  <c r="AB389" i="2"/>
  <c r="AC389" i="2"/>
  <c r="AQ389" i="2"/>
  <c r="Z389" i="2"/>
  <c r="Q390" i="2"/>
  <c r="U390" i="2" s="1"/>
  <c r="V389" i="2"/>
  <c r="P390" i="2"/>
  <c r="AA389" i="2"/>
  <c r="AJ389" i="2"/>
  <c r="S390" i="2"/>
  <c r="Y389" i="2"/>
  <c r="BF389" i="2"/>
  <c r="AI389" i="2"/>
  <c r="A87" i="15"/>
  <c r="B87" i="15" s="1"/>
  <c r="C87" i="15" s="1"/>
  <c r="D87" i="15" s="1"/>
  <c r="E87" i="15" s="1"/>
  <c r="AZ389" i="2" l="1"/>
  <c r="Z390" i="2"/>
  <c r="AV390" i="2"/>
  <c r="W390" i="2"/>
  <c r="AI390" i="2"/>
  <c r="S391" i="2"/>
  <c r="T390" i="2"/>
  <c r="P391" i="2"/>
  <c r="AW390" i="2"/>
  <c r="R390" i="2"/>
  <c r="AA390" i="2"/>
  <c r="Y390" i="2"/>
  <c r="AC390" i="2"/>
  <c r="BE390" i="2"/>
  <c r="AJ390" i="2"/>
  <c r="V390" i="2"/>
  <c r="Q391" i="2"/>
  <c r="U391" i="2" s="1"/>
  <c r="BF390" i="2"/>
  <c r="AQ390" i="2"/>
  <c r="AB390" i="2"/>
  <c r="AP390" i="2"/>
  <c r="O391" i="2"/>
  <c r="A88" i="15"/>
  <c r="B88" i="15" s="1"/>
  <c r="C88" i="15" s="1"/>
  <c r="D88" i="15" s="1"/>
  <c r="E88" i="15" s="1"/>
  <c r="AZ390" i="2" l="1"/>
  <c r="X390" i="2"/>
  <c r="BI390" i="2" s="1"/>
  <c r="R391" i="2"/>
  <c r="BE391" i="2"/>
  <c r="AB391" i="2"/>
  <c r="AV391" i="2"/>
  <c r="BF391" i="2"/>
  <c r="O392" i="2"/>
  <c r="Z391" i="2"/>
  <c r="AI391" i="2"/>
  <c r="AW391" i="2"/>
  <c r="S392" i="2"/>
  <c r="V391" i="2"/>
  <c r="T391" i="2"/>
  <c r="AC391" i="2"/>
  <c r="Q392" i="2"/>
  <c r="U392" i="2" s="1"/>
  <c r="Y391" i="2"/>
  <c r="AQ391" i="2"/>
  <c r="W391" i="2"/>
  <c r="X391" i="2" s="1"/>
  <c r="BI391" i="2" s="1"/>
  <c r="P392" i="2"/>
  <c r="AA391" i="2"/>
  <c r="AJ391" i="2"/>
  <c r="AP391" i="2"/>
  <c r="A89" i="15"/>
  <c r="B89" i="15" s="1"/>
  <c r="C89" i="15" s="1"/>
  <c r="D89" i="15" s="1"/>
  <c r="E89" i="15" s="1"/>
  <c r="AZ391" i="2" l="1"/>
  <c r="S393" i="2"/>
  <c r="AI392" i="2"/>
  <c r="Y392" i="2"/>
  <c r="Z392" i="2"/>
  <c r="AJ392" i="2"/>
  <c r="AB392" i="2"/>
  <c r="AC392" i="2"/>
  <c r="AA392" i="2"/>
  <c r="R392" i="2"/>
  <c r="BE392" i="2"/>
  <c r="O393" i="2"/>
  <c r="P393" i="2"/>
  <c r="AP392" i="2"/>
  <c r="AQ392" i="2"/>
  <c r="BF392" i="2"/>
  <c r="Q393" i="2"/>
  <c r="U393" i="2" s="1"/>
  <c r="V392" i="2"/>
  <c r="AV392" i="2"/>
  <c r="W392" i="2"/>
  <c r="X392" i="2" s="1"/>
  <c r="BI392" i="2" s="1"/>
  <c r="AW392" i="2"/>
  <c r="T392" i="2"/>
  <c r="A90" i="15"/>
  <c r="B90" i="15" s="1"/>
  <c r="C90" i="15" s="1"/>
  <c r="D90" i="15" s="1"/>
  <c r="E90" i="15" s="1"/>
  <c r="AZ392" i="2" l="1"/>
  <c r="T393" i="2"/>
  <c r="S394" i="2"/>
  <c r="Y393" i="2"/>
  <c r="AV393" i="2"/>
  <c r="AC393" i="2"/>
  <c r="AP393" i="2"/>
  <c r="BF393" i="2"/>
  <c r="P394" i="2"/>
  <c r="AB393" i="2"/>
  <c r="AA393" i="2"/>
  <c r="V393" i="2"/>
  <c r="R393" i="2"/>
  <c r="Z393" i="2"/>
  <c r="Q394" i="2"/>
  <c r="U394" i="2" s="1"/>
  <c r="AW393" i="2"/>
  <c r="AJ393" i="2"/>
  <c r="AQ393" i="2"/>
  <c r="W393" i="2"/>
  <c r="X393" i="2" s="1"/>
  <c r="BI393" i="2" s="1"/>
  <c r="AI393" i="2"/>
  <c r="O394" i="2"/>
  <c r="BE393" i="2"/>
  <c r="A91" i="15"/>
  <c r="B91" i="15" s="1"/>
  <c r="C91" i="15" s="1"/>
  <c r="D91" i="15" s="1"/>
  <c r="E91" i="15" s="1"/>
  <c r="AZ393" i="2" l="1"/>
  <c r="AJ394" i="2"/>
  <c r="Z394" i="2"/>
  <c r="R394" i="2"/>
  <c r="AQ394" i="2"/>
  <c r="AA394" i="2"/>
  <c r="P395" i="2"/>
  <c r="AV394" i="2"/>
  <c r="AP394" i="2"/>
  <c r="AI394" i="2"/>
  <c r="T394" i="2"/>
  <c r="O395" i="2"/>
  <c r="V394" i="2"/>
  <c r="AW394" i="2"/>
  <c r="Q395" i="2"/>
  <c r="U395" i="2" s="1"/>
  <c r="AB394" i="2"/>
  <c r="W394" i="2"/>
  <c r="X394" i="2" s="1"/>
  <c r="BI394" i="2" s="1"/>
  <c r="BF394" i="2"/>
  <c r="BE394" i="2"/>
  <c r="Y394" i="2"/>
  <c r="AC394" i="2"/>
  <c r="S395" i="2"/>
  <c r="AZ394" i="2"/>
  <c r="A92" i="15"/>
  <c r="B92" i="15" s="1"/>
  <c r="C92" i="15" s="1"/>
  <c r="D92" i="15" s="1"/>
  <c r="E92" i="15" s="1"/>
  <c r="R395" i="2" l="1"/>
  <c r="T395" i="2"/>
  <c r="AJ395" i="2"/>
  <c r="AQ395" i="2"/>
  <c r="Y395" i="2"/>
  <c r="O396" i="2"/>
  <c r="V395" i="2"/>
  <c r="AP395" i="2"/>
  <c r="BF395" i="2"/>
  <c r="S396" i="2"/>
  <c r="W395" i="2"/>
  <c r="BE395" i="2"/>
  <c r="AA395" i="2"/>
  <c r="AB395" i="2"/>
  <c r="AI395" i="2"/>
  <c r="Q396" i="2"/>
  <c r="U396" i="2" s="1"/>
  <c r="AW395" i="2"/>
  <c r="AV395" i="2"/>
  <c r="Z395" i="2"/>
  <c r="P396" i="2"/>
  <c r="AC395" i="2"/>
  <c r="A93" i="15"/>
  <c r="B93" i="15" s="1"/>
  <c r="C93" i="15" s="1"/>
  <c r="D93" i="15" s="1"/>
  <c r="E93" i="15" s="1"/>
  <c r="AZ395" i="2" l="1"/>
  <c r="X395" i="2"/>
  <c r="BI395" i="2" s="1"/>
  <c r="S397" i="2"/>
  <c r="AW396" i="2"/>
  <c r="Y396" i="2"/>
  <c r="O397" i="2"/>
  <c r="P397" i="2"/>
  <c r="V396" i="2"/>
  <c r="AV396" i="2"/>
  <c r="AQ396" i="2"/>
  <c r="Q397" i="2"/>
  <c r="AP396" i="2"/>
  <c r="AA396" i="2"/>
  <c r="AB396" i="2"/>
  <c r="AJ396" i="2"/>
  <c r="T396" i="2"/>
  <c r="W396" i="2"/>
  <c r="U397" i="2"/>
  <c r="AC396" i="2"/>
  <c r="Z396" i="2"/>
  <c r="BE396" i="2"/>
  <c r="BF396" i="2"/>
  <c r="R396" i="2"/>
  <c r="AI396" i="2"/>
  <c r="A94" i="15"/>
  <c r="B94" i="15" s="1"/>
  <c r="C94" i="15" s="1"/>
  <c r="D94" i="15" s="1"/>
  <c r="E94" i="15" s="1"/>
  <c r="AZ396" i="2" l="1"/>
  <c r="X396" i="2"/>
  <c r="BI396" i="2" s="1"/>
  <c r="AJ397" i="2"/>
  <c r="AP397" i="2"/>
  <c r="AW397" i="2"/>
  <c r="S398" i="2"/>
  <c r="AV397" i="2"/>
  <c r="BE397" i="2"/>
  <c r="O398" i="2"/>
  <c r="BF397" i="2"/>
  <c r="Q398" i="2"/>
  <c r="U398" i="2" s="1"/>
  <c r="AQ397" i="2"/>
  <c r="Y397" i="2"/>
  <c r="AA397" i="2"/>
  <c r="AI397" i="2"/>
  <c r="AB397" i="2"/>
  <c r="W397" i="2"/>
  <c r="X397" i="2" s="1"/>
  <c r="BI397" i="2" s="1"/>
  <c r="P398" i="2"/>
  <c r="V397" i="2"/>
  <c r="AC397" i="2"/>
  <c r="R397" i="2"/>
  <c r="Z397" i="2"/>
  <c r="T397" i="2"/>
  <c r="AZ397" i="2"/>
  <c r="A95" i="15"/>
  <c r="B95" i="15" s="1"/>
  <c r="C95" i="15" s="1"/>
  <c r="D95" i="15" s="1"/>
  <c r="E95" i="15" s="1"/>
  <c r="AW398" i="2" l="1"/>
  <c r="Y398" i="2"/>
  <c r="AQ398" i="2"/>
  <c r="AC398" i="2"/>
  <c r="AP398" i="2"/>
  <c r="W398" i="2"/>
  <c r="AZ398" i="2" s="1"/>
  <c r="T398" i="2"/>
  <c r="AB398" i="2"/>
  <c r="BF398" i="2"/>
  <c r="Z398" i="2"/>
  <c r="BE398" i="2"/>
  <c r="S399" i="2"/>
  <c r="Q399" i="2"/>
  <c r="U399" i="2" s="1"/>
  <c r="O399" i="2"/>
  <c r="R398" i="2"/>
  <c r="AV398" i="2"/>
  <c r="P399" i="2"/>
  <c r="AJ398" i="2"/>
  <c r="AI398" i="2"/>
  <c r="V398" i="2"/>
  <c r="AA398" i="2"/>
  <c r="A96" i="15"/>
  <c r="B96" i="15" s="1"/>
  <c r="C96" i="15" s="1"/>
  <c r="D96" i="15" s="1"/>
  <c r="E96" i="15" s="1"/>
  <c r="X398" i="2" l="1"/>
  <c r="BI398" i="2" s="1"/>
  <c r="O400" i="2"/>
  <c r="BE399" i="2"/>
  <c r="AW399" i="2"/>
  <c r="V399" i="2"/>
  <c r="S400" i="2"/>
  <c r="AB399" i="2"/>
  <c r="AI399" i="2"/>
  <c r="R399" i="2"/>
  <c r="AQ399" i="2"/>
  <c r="Q400" i="2"/>
  <c r="U400" i="2" s="1"/>
  <c r="AC399" i="2"/>
  <c r="Y399" i="2"/>
  <c r="AP399" i="2"/>
  <c r="W399" i="2"/>
  <c r="X399" i="2" s="1"/>
  <c r="BI399" i="2" s="1"/>
  <c r="BF399" i="2"/>
  <c r="Z399" i="2"/>
  <c r="P400" i="2"/>
  <c r="AJ399" i="2"/>
  <c r="AA399" i="2"/>
  <c r="T399" i="2"/>
  <c r="AV399" i="2"/>
  <c r="AZ399" i="2" l="1"/>
  <c r="AV400" i="2"/>
  <c r="Y400" i="2"/>
  <c r="BF400" i="2"/>
  <c r="V400" i="2"/>
  <c r="W400" i="2"/>
  <c r="AQ400" i="2"/>
  <c r="P401" i="2"/>
  <c r="X400" i="2"/>
  <c r="BI400" i="2" s="1"/>
  <c r="Q401" i="2"/>
  <c r="O401" i="2"/>
  <c r="R400" i="2"/>
  <c r="T400" i="2"/>
  <c r="AJ400" i="2"/>
  <c r="AZ400" i="2"/>
  <c r="AW400" i="2"/>
  <c r="AI400" i="2"/>
  <c r="AP400" i="2"/>
  <c r="Z400" i="2"/>
  <c r="S401" i="2"/>
  <c r="AA400" i="2"/>
  <c r="U401" i="2"/>
  <c r="AC400" i="2"/>
  <c r="AB400" i="2"/>
  <c r="BE400" i="2"/>
  <c r="Y401" i="2" l="1"/>
  <c r="W401" i="2"/>
  <c r="AZ401" i="2" s="1"/>
  <c r="O402" i="2"/>
  <c r="X401" i="2"/>
  <c r="BI401" i="2" s="1"/>
  <c r="AI401" i="2"/>
  <c r="Z401" i="2"/>
  <c r="AA401" i="2"/>
  <c r="AJ401" i="2"/>
  <c r="BE401" i="2"/>
  <c r="P402" i="2"/>
  <c r="AP401" i="2"/>
  <c r="AC401" i="2"/>
  <c r="R401" i="2"/>
  <c r="AW401" i="2"/>
  <c r="S402" i="2"/>
  <c r="AV401" i="2"/>
  <c r="AQ401" i="2"/>
  <c r="V401" i="2"/>
  <c r="BF401" i="2"/>
  <c r="AB401" i="2"/>
  <c r="Q402" i="2"/>
  <c r="U402" i="2" s="1"/>
  <c r="T401" i="2"/>
  <c r="AA402" i="2" l="1"/>
  <c r="AJ402" i="2"/>
  <c r="O403" i="2"/>
  <c r="W402" i="2"/>
  <c r="AZ402" i="2" s="1"/>
  <c r="V402" i="2"/>
  <c r="P403" i="2"/>
  <c r="BE402" i="2"/>
  <c r="AB402" i="2"/>
  <c r="T402" i="2"/>
  <c r="AV402" i="2"/>
  <c r="AC402" i="2"/>
  <c r="Y402" i="2"/>
  <c r="AI402" i="2"/>
  <c r="X402" i="2"/>
  <c r="BI402" i="2" s="1"/>
  <c r="BF402" i="2"/>
  <c r="AW402" i="2"/>
  <c r="Z402" i="2"/>
  <c r="R402" i="2"/>
  <c r="AQ402" i="2"/>
  <c r="Q403" i="2"/>
  <c r="U403" i="2" s="1"/>
  <c r="S403" i="2"/>
  <c r="AP402" i="2"/>
  <c r="AA403" i="2" l="1"/>
  <c r="AQ403" i="2"/>
  <c r="AI403" i="2"/>
  <c r="O404" i="2"/>
  <c r="T403" i="2"/>
  <c r="R403" i="2"/>
  <c r="AC403" i="2"/>
  <c r="Q404" i="2"/>
  <c r="U404" i="2" s="1"/>
  <c r="S404" i="2"/>
  <c r="AP403" i="2"/>
  <c r="AW403" i="2"/>
  <c r="V403" i="2"/>
  <c r="AB403" i="2"/>
  <c r="Z403" i="2"/>
  <c r="AJ403" i="2"/>
  <c r="AV403" i="2"/>
  <c r="BE403" i="2"/>
  <c r="BF403" i="2"/>
  <c r="W403" i="2"/>
  <c r="AZ403" i="2" s="1"/>
  <c r="P404" i="2"/>
  <c r="Y403" i="2"/>
  <c r="X403" i="2" l="1"/>
  <c r="BI403" i="2" s="1"/>
  <c r="AW404" i="2"/>
  <c r="T404" i="2"/>
  <c r="BE404" i="2"/>
  <c r="V404" i="2"/>
  <c r="AA404" i="2"/>
  <c r="AC404" i="2"/>
  <c r="P405" i="2"/>
  <c r="R404" i="2"/>
  <c r="AI404" i="2"/>
  <c r="AV404" i="2"/>
  <c r="W404" i="2"/>
  <c r="X404" i="2" s="1"/>
  <c r="BI404" i="2" s="1"/>
  <c r="AP404" i="2"/>
  <c r="O405" i="2"/>
  <c r="Z404" i="2"/>
  <c r="BF404" i="2"/>
  <c r="Q405" i="2"/>
  <c r="U405" i="2" s="1"/>
  <c r="AJ404" i="2"/>
  <c r="AB404" i="2"/>
  <c r="S405" i="2"/>
  <c r="Y404" i="2"/>
  <c r="AQ404" i="2"/>
  <c r="AZ404" i="2" l="1"/>
  <c r="S406" i="2"/>
  <c r="AQ405" i="2"/>
  <c r="P406" i="2"/>
  <c r="AB405" i="2"/>
  <c r="O406" i="2"/>
  <c r="Y405" i="2"/>
  <c r="AI405" i="2"/>
  <c r="AA405" i="2"/>
  <c r="W405" i="2"/>
  <c r="X405" i="2" s="1"/>
  <c r="BI405" i="2" s="1"/>
  <c r="AP405" i="2"/>
  <c r="AJ405" i="2"/>
  <c r="Z405" i="2"/>
  <c r="V405" i="2"/>
  <c r="AC405" i="2"/>
  <c r="BE405" i="2"/>
  <c r="R405" i="2"/>
  <c r="AV405" i="2"/>
  <c r="AZ405" i="2"/>
  <c r="BF405" i="2"/>
  <c r="T405" i="2"/>
  <c r="U406" i="2"/>
  <c r="Q406" i="2"/>
  <c r="AW405" i="2"/>
  <c r="Q407" i="2" l="1"/>
  <c r="Z406" i="2"/>
  <c r="AA406" i="2"/>
  <c r="P407" i="2"/>
  <c r="AB406" i="2"/>
  <c r="AJ406" i="2"/>
  <c r="AI406" i="2"/>
  <c r="AP406" i="2"/>
  <c r="AW406" i="2"/>
  <c r="O407" i="2"/>
  <c r="AV406" i="2"/>
  <c r="AC406" i="2"/>
  <c r="AQ406" i="2"/>
  <c r="BF406" i="2"/>
  <c r="R406" i="2"/>
  <c r="U407" i="2"/>
  <c r="T406" i="2"/>
  <c r="V406" i="2"/>
  <c r="Y406" i="2"/>
  <c r="W406" i="2"/>
  <c r="X406" i="2" s="1"/>
  <c r="BI406" i="2" s="1"/>
  <c r="BE406" i="2"/>
  <c r="S407" i="2"/>
  <c r="AZ406" i="2" l="1"/>
  <c r="Z407" i="2"/>
  <c r="U408" i="2"/>
  <c r="R407" i="2"/>
  <c r="AV407" i="2"/>
  <c r="V407" i="2"/>
  <c r="Q408" i="2"/>
  <c r="AQ407" i="2"/>
  <c r="AB407" i="2"/>
  <c r="Y407" i="2"/>
  <c r="T407" i="2"/>
  <c r="AI407" i="2"/>
  <c r="AJ407" i="2"/>
  <c r="W407" i="2"/>
  <c r="X407" i="2" s="1"/>
  <c r="BI407" i="2" s="1"/>
  <c r="AZ407" i="2"/>
  <c r="AP407" i="2"/>
  <c r="BF407" i="2"/>
  <c r="P408" i="2"/>
  <c r="AW407" i="2"/>
  <c r="O408" i="2"/>
  <c r="AA407" i="2"/>
  <c r="BE407" i="2"/>
  <c r="AC407" i="2"/>
  <c r="S408" i="2"/>
  <c r="S409" i="2" l="1"/>
  <c r="AQ408" i="2"/>
  <c r="O409" i="2"/>
  <c r="AV408" i="2"/>
  <c r="AI408" i="2"/>
  <c r="W408" i="2"/>
  <c r="X408" i="2" s="1"/>
  <c r="BI408" i="2" s="1"/>
  <c r="Y408" i="2"/>
  <c r="P409" i="2"/>
  <c r="AB408" i="2"/>
  <c r="AA408" i="2"/>
  <c r="R408" i="2"/>
  <c r="Q409" i="2"/>
  <c r="AP408" i="2"/>
  <c r="AJ408" i="2"/>
  <c r="AZ408" i="2"/>
  <c r="V408" i="2"/>
  <c r="BF408" i="2"/>
  <c r="AW408" i="2"/>
  <c r="BE408" i="2"/>
  <c r="U409" i="2"/>
  <c r="T408" i="2"/>
  <c r="Z408" i="2"/>
  <c r="AC408" i="2"/>
  <c r="AB409" i="2" l="1"/>
  <c r="Z409" i="2"/>
  <c r="R409" i="2"/>
  <c r="BE409" i="2"/>
  <c r="AA409" i="2"/>
  <c r="AZ409" i="2"/>
  <c r="AJ409" i="2"/>
  <c r="AW409" i="2"/>
  <c r="X409" i="2"/>
  <c r="BI409" i="2" s="1"/>
  <c r="O410" i="2"/>
  <c r="X410" i="2" s="1"/>
  <c r="BI410" i="2" s="1"/>
  <c r="U410" i="2"/>
  <c r="P410" i="2"/>
  <c r="AV409" i="2"/>
  <c r="AP409" i="2"/>
  <c r="BF409" i="2"/>
  <c r="Q410" i="2"/>
  <c r="S410" i="2"/>
  <c r="AQ409" i="2"/>
  <c r="AI409" i="2"/>
  <c r="T409" i="2"/>
  <c r="V409" i="2"/>
  <c r="Y409" i="2"/>
  <c r="AC409" i="2"/>
  <c r="W409" i="2"/>
  <c r="BF410" i="2" l="1"/>
  <c r="BE410" i="2"/>
  <c r="AV410" i="2"/>
  <c r="T410" i="2"/>
  <c r="AB410" i="2"/>
  <c r="AQ410" i="2"/>
  <c r="Q411" i="2"/>
  <c r="AC410" i="2"/>
  <c r="O411" i="2"/>
  <c r="AZ411" i="2" s="1"/>
  <c r="AP410" i="2"/>
  <c r="AA410" i="2"/>
  <c r="Z410" i="2"/>
  <c r="R410" i="2"/>
  <c r="U411" i="2"/>
  <c r="AJ410" i="2"/>
  <c r="S411" i="2"/>
  <c r="W410" i="2"/>
  <c r="AZ410" i="2" s="1"/>
  <c r="AI410" i="2"/>
  <c r="V410" i="2"/>
  <c r="AW410" i="2"/>
  <c r="P411" i="2"/>
  <c r="Y410" i="2"/>
  <c r="AV411" i="2" l="1"/>
  <c r="AB411" i="2"/>
  <c r="T411" i="2"/>
  <c r="AW411" i="2"/>
  <c r="Z411" i="2"/>
  <c r="AI411" i="2"/>
  <c r="Q412" i="2"/>
  <c r="BE411" i="2"/>
  <c r="AC411" i="2"/>
  <c r="AA411" i="2"/>
  <c r="U412" i="2"/>
  <c r="W411" i="2"/>
  <c r="X411" i="2" s="1"/>
  <c r="BI411" i="2" s="1"/>
  <c r="O412" i="2"/>
  <c r="X412" i="2" s="1"/>
  <c r="BI412" i="2" s="1"/>
  <c r="AJ411" i="2"/>
  <c r="AP411" i="2"/>
  <c r="R411" i="2"/>
  <c r="Y411" i="2"/>
  <c r="P412" i="2"/>
  <c r="AQ411" i="2"/>
  <c r="S412" i="2"/>
  <c r="BF411" i="2"/>
  <c r="V411" i="2"/>
  <c r="T412" i="2" l="1"/>
  <c r="V412" i="2"/>
  <c r="AP412" i="2"/>
  <c r="O413" i="2"/>
  <c r="X413" i="2" s="1"/>
  <c r="BI413" i="2" s="1"/>
  <c r="P413" i="2"/>
  <c r="Y412" i="2"/>
  <c r="AJ412" i="2"/>
  <c r="BF412" i="2"/>
  <c r="AA412" i="2"/>
  <c r="Q413" i="2"/>
  <c r="AC412" i="2"/>
  <c r="AW412" i="2"/>
  <c r="U413" i="2"/>
  <c r="W412" i="2"/>
  <c r="AZ412" i="2" s="1"/>
  <c r="AV412" i="2"/>
  <c r="AB412" i="2"/>
  <c r="S413" i="2"/>
  <c r="R412" i="2"/>
  <c r="Z412" i="2"/>
  <c r="BE412" i="2"/>
  <c r="AQ412" i="2"/>
  <c r="AI412" i="2"/>
  <c r="Y413" i="2" l="1"/>
  <c r="Z413" i="2"/>
  <c r="V413" i="2"/>
  <c r="T413" i="2"/>
  <c r="Q414" i="2"/>
  <c r="O414" i="2"/>
  <c r="X414" i="2" s="1"/>
  <c r="BI414" i="2" s="1"/>
  <c r="AW413" i="2"/>
  <c r="AB413" i="2"/>
  <c r="BF413" i="2"/>
  <c r="W413" i="2"/>
  <c r="AZ413" i="2" s="1"/>
  <c r="AI413" i="2"/>
  <c r="AQ413" i="2"/>
  <c r="AJ413" i="2"/>
  <c r="R413" i="2"/>
  <c r="AC413" i="2"/>
  <c r="U414" i="2"/>
  <c r="AV413" i="2"/>
  <c r="S414" i="2"/>
  <c r="P414" i="2"/>
  <c r="AA413" i="2"/>
  <c r="BE413" i="2"/>
  <c r="AP413" i="2"/>
  <c r="AJ414" i="2" l="1"/>
  <c r="BF414" i="2"/>
  <c r="U415" i="2"/>
  <c r="Z414" i="2"/>
  <c r="AC414" i="2"/>
  <c r="AW414" i="2"/>
  <c r="AA414" i="2"/>
  <c r="BE414" i="2"/>
  <c r="AB414" i="2"/>
  <c r="O415" i="2"/>
  <c r="V414" i="2"/>
  <c r="AI414" i="2"/>
  <c r="Q415" i="2"/>
  <c r="W414" i="2"/>
  <c r="AZ414" i="2" s="1"/>
  <c r="AV414" i="2"/>
  <c r="T414" i="2"/>
  <c r="S415" i="2"/>
  <c r="Y414" i="2"/>
  <c r="AP414" i="2"/>
  <c r="AQ414" i="2"/>
  <c r="P415" i="2"/>
  <c r="R414" i="2"/>
  <c r="Y415" i="2" l="1"/>
  <c r="AI415" i="2"/>
  <c r="W415" i="2"/>
  <c r="U416" i="2"/>
  <c r="X415" i="2"/>
  <c r="BI415" i="2" s="1"/>
  <c r="Z415" i="2"/>
  <c r="AP415" i="2"/>
  <c r="AW415" i="2"/>
  <c r="P416" i="2"/>
  <c r="AV415" i="2"/>
  <c r="Q416" i="2"/>
  <c r="BE415" i="2"/>
  <c r="S416" i="2"/>
  <c r="AZ415" i="2"/>
  <c r="O416" i="2"/>
  <c r="AZ416" i="2" s="1"/>
  <c r="AA415" i="2"/>
  <c r="AQ415" i="2"/>
  <c r="AB415" i="2"/>
  <c r="AC415" i="2"/>
  <c r="R415" i="2"/>
  <c r="AJ415" i="2"/>
  <c r="V415" i="2"/>
  <c r="BF415" i="2"/>
  <c r="T415" i="2"/>
  <c r="AW416" i="2" l="1"/>
  <c r="S417" i="2"/>
  <c r="AA416" i="2"/>
  <c r="AB416" i="2"/>
  <c r="Z416" i="2"/>
  <c r="AJ416" i="2"/>
  <c r="W416" i="2"/>
  <c r="X416" i="2" s="1"/>
  <c r="BI416" i="2" s="1"/>
  <c r="AC416" i="2"/>
  <c r="AP416" i="2"/>
  <c r="BE416" i="2"/>
  <c r="AV416" i="2"/>
  <c r="V416" i="2"/>
  <c r="R416" i="2"/>
  <c r="AI416" i="2"/>
  <c r="U417" i="2"/>
  <c r="Q417" i="2"/>
  <c r="P417" i="2"/>
  <c r="O417" i="2"/>
  <c r="AQ416" i="2"/>
  <c r="T416" i="2"/>
  <c r="Y416" i="2"/>
  <c r="BF416" i="2"/>
  <c r="AA417" i="2" l="1"/>
  <c r="AJ417" i="2"/>
  <c r="W417" i="2"/>
  <c r="X417" i="2" s="1"/>
  <c r="BI417" i="2" s="1"/>
  <c r="U418" i="2"/>
  <c r="AZ417" i="2"/>
  <c r="AQ417" i="2"/>
  <c r="AB417" i="2"/>
  <c r="O418" i="2"/>
  <c r="BF417" i="2"/>
  <c r="AI417" i="2"/>
  <c r="BE417" i="2"/>
  <c r="Q418" i="2"/>
  <c r="P418" i="2"/>
  <c r="R417" i="2"/>
  <c r="S418" i="2"/>
  <c r="AC417" i="2"/>
  <c r="Z417" i="2"/>
  <c r="V417" i="2"/>
  <c r="AP417" i="2"/>
  <c r="Y417" i="2"/>
  <c r="AV417" i="2"/>
  <c r="AW417" i="2"/>
  <c r="T417" i="2"/>
  <c r="U419" i="2" l="1"/>
  <c r="AC418" i="2"/>
  <c r="AV418" i="2"/>
  <c r="BE418" i="2"/>
  <c r="T418" i="2"/>
  <c r="S419" i="2"/>
  <c r="AI418" i="2"/>
  <c r="Q419" i="2"/>
  <c r="AP418" i="2"/>
  <c r="Y418" i="2"/>
  <c r="R418" i="2"/>
  <c r="O419" i="2"/>
  <c r="P419" i="2"/>
  <c r="V418" i="2"/>
  <c r="AQ418" i="2"/>
  <c r="BF418" i="2"/>
  <c r="AZ418" i="2"/>
  <c r="X418" i="2"/>
  <c r="BI418" i="2" s="1"/>
  <c r="W418" i="2"/>
  <c r="AA418" i="2"/>
  <c r="AJ418" i="2"/>
  <c r="Z418" i="2"/>
  <c r="AW418" i="2"/>
  <c r="AB418" i="2"/>
  <c r="Y419" i="2" l="1"/>
  <c r="X419" i="2"/>
  <c r="BI419" i="2" s="1"/>
  <c r="AZ419" i="2"/>
  <c r="AQ419" i="2"/>
  <c r="AV419" i="2"/>
  <c r="BE419" i="2"/>
  <c r="T419" i="2"/>
  <c r="Q420" i="2"/>
  <c r="P420" i="2"/>
  <c r="AA419" i="2"/>
  <c r="U420" i="2"/>
  <c r="AI419" i="2"/>
  <c r="BF419" i="2"/>
  <c r="Z419" i="2"/>
  <c r="R419" i="2"/>
  <c r="AW419" i="2"/>
  <c r="AJ419" i="2"/>
  <c r="AP419" i="2"/>
  <c r="S420" i="2"/>
  <c r="AB419" i="2"/>
  <c r="AC419" i="2"/>
  <c r="V419" i="2"/>
  <c r="O420" i="2"/>
  <c r="X420" i="2" s="1"/>
  <c r="BI420" i="2" s="1"/>
  <c r="W419" i="2"/>
  <c r="Q421" i="2" l="1"/>
  <c r="R420" i="2"/>
  <c r="AW420" i="2"/>
  <c r="AB420" i="2"/>
  <c r="BF420" i="2"/>
  <c r="U421" i="2"/>
  <c r="S421" i="2"/>
  <c r="AQ420" i="2"/>
  <c r="AP420" i="2"/>
  <c r="T420" i="2"/>
  <c r="O421" i="2"/>
  <c r="X421" i="2" s="1"/>
  <c r="BI421" i="2" s="1"/>
  <c r="BE420" i="2"/>
  <c r="AV420" i="2"/>
  <c r="AJ420" i="2"/>
  <c r="Z420" i="2"/>
  <c r="P421" i="2"/>
  <c r="W420" i="2"/>
  <c r="AZ420" i="2" s="1"/>
  <c r="AA420" i="2"/>
  <c r="AI420" i="2"/>
  <c r="V420" i="2"/>
  <c r="Y420" i="2"/>
  <c r="AC420" i="2"/>
  <c r="BE421" i="2" l="1"/>
  <c r="T421" i="2"/>
  <c r="Z421" i="2"/>
  <c r="AJ421" i="2"/>
  <c r="AC421" i="2"/>
  <c r="AV421" i="2"/>
  <c r="AB421" i="2"/>
  <c r="R421" i="2"/>
  <c r="V421" i="2"/>
  <c r="Q422" i="2"/>
  <c r="AW421" i="2"/>
  <c r="W421" i="2"/>
  <c r="AZ421" i="2" s="1"/>
  <c r="AI421" i="2"/>
  <c r="O422" i="2"/>
  <c r="X422" i="2" s="1"/>
  <c r="BI422" i="2" s="1"/>
  <c r="P422" i="2"/>
  <c r="U422" i="2"/>
  <c r="Y421" i="2"/>
  <c r="AQ421" i="2"/>
  <c r="BF421" i="2"/>
  <c r="S422" i="2"/>
  <c r="AP421" i="2"/>
  <c r="AA421" i="2"/>
  <c r="R422" i="2" l="1"/>
  <c r="AV422" i="2"/>
  <c r="W422" i="2"/>
  <c r="AZ422" i="2" s="1"/>
  <c r="BE422" i="2"/>
  <c r="U423" i="2"/>
  <c r="AW422" i="2"/>
  <c r="AC422" i="2"/>
  <c r="AQ422" i="2"/>
  <c r="T422" i="2"/>
  <c r="Z422" i="2"/>
  <c r="O423" i="2"/>
  <c r="AJ422" i="2"/>
  <c r="V422" i="2"/>
  <c r="Y422" i="2"/>
  <c r="AA422" i="2"/>
  <c r="AP422" i="2"/>
  <c r="S423" i="2"/>
  <c r="BF422" i="2"/>
  <c r="AB422" i="2"/>
  <c r="AI422" i="2"/>
  <c r="Q423" i="2"/>
  <c r="P423" i="2"/>
  <c r="P424" i="2" l="1"/>
  <c r="AC423" i="2"/>
  <c r="R423" i="2"/>
  <c r="AZ423" i="2"/>
  <c r="AQ423" i="2"/>
  <c r="BF423" i="2"/>
  <c r="U424" i="2"/>
  <c r="O424" i="2"/>
  <c r="X424" i="2" s="1"/>
  <c r="BI424" i="2" s="1"/>
  <c r="AJ423" i="2"/>
  <c r="AW423" i="2"/>
  <c r="BE423" i="2"/>
  <c r="AI423" i="2"/>
  <c r="Y423" i="2"/>
  <c r="W423" i="2"/>
  <c r="V423" i="2"/>
  <c r="Q424" i="2"/>
  <c r="Z423" i="2"/>
  <c r="S424" i="2"/>
  <c r="AV423" i="2"/>
  <c r="T423" i="2"/>
  <c r="AP423" i="2"/>
  <c r="AA423" i="2"/>
  <c r="X423" i="2"/>
  <c r="BI423" i="2" s="1"/>
  <c r="AB423" i="2"/>
  <c r="P425" i="2" l="1"/>
  <c r="AI424" i="2"/>
  <c r="BE424" i="2"/>
  <c r="AC424" i="2"/>
  <c r="O425" i="2"/>
  <c r="AJ424" i="2"/>
  <c r="R424" i="2"/>
  <c r="Z424" i="2"/>
  <c r="Y424" i="2"/>
  <c r="AQ424" i="2"/>
  <c r="W424" i="2"/>
  <c r="AZ424" i="2" s="1"/>
  <c r="Q425" i="2"/>
  <c r="AW424" i="2"/>
  <c r="AA424" i="2"/>
  <c r="AB424" i="2"/>
  <c r="U425" i="2"/>
  <c r="AV424" i="2"/>
  <c r="T424" i="2"/>
  <c r="BF424" i="2"/>
  <c r="S425" i="2"/>
  <c r="AP424" i="2"/>
  <c r="V424" i="2"/>
  <c r="Y425" i="2" l="1"/>
  <c r="AV425" i="2"/>
  <c r="R425" i="2"/>
  <c r="BF425" i="2"/>
  <c r="AW425" i="2"/>
  <c r="X425" i="2"/>
  <c r="BI425" i="2" s="1"/>
  <c r="Q426" i="2"/>
  <c r="AA425" i="2"/>
  <c r="V425" i="2"/>
  <c r="O426" i="2"/>
  <c r="X426" i="2" s="1"/>
  <c r="BI426" i="2" s="1"/>
  <c r="AQ425" i="2"/>
  <c r="S426" i="2"/>
  <c r="AZ425" i="2"/>
  <c r="W425" i="2"/>
  <c r="BE425" i="2"/>
  <c r="AP425" i="2"/>
  <c r="AJ425" i="2"/>
  <c r="T425" i="2"/>
  <c r="AC425" i="2"/>
  <c r="AB425" i="2"/>
  <c r="U426" i="2"/>
  <c r="P426" i="2"/>
  <c r="Z425" i="2"/>
  <c r="AI425" i="2"/>
  <c r="BF426" i="2" l="1"/>
  <c r="AV426" i="2"/>
  <c r="U427" i="2"/>
  <c r="O427" i="2"/>
  <c r="AJ426" i="2"/>
  <c r="AA426" i="2"/>
  <c r="AC426" i="2"/>
  <c r="W426" i="2"/>
  <c r="AZ426" i="2" s="1"/>
  <c r="T426" i="2"/>
  <c r="AI426" i="2"/>
  <c r="AW426" i="2"/>
  <c r="AQ426" i="2"/>
  <c r="V426" i="2"/>
  <c r="P427" i="2"/>
  <c r="S427" i="2"/>
  <c r="AP426" i="2"/>
  <c r="Z426" i="2"/>
  <c r="Y426" i="2"/>
  <c r="Q427" i="2"/>
  <c r="BE426" i="2"/>
  <c r="R426" i="2"/>
  <c r="AB426" i="2"/>
  <c r="P428" i="2" l="1"/>
  <c r="AA427" i="2"/>
  <c r="V427" i="2"/>
  <c r="AV427" i="2"/>
  <c r="AQ427" i="2"/>
  <c r="BF427" i="2"/>
  <c r="R427" i="2"/>
  <c r="Q428" i="2"/>
  <c r="U428" i="2" s="1"/>
  <c r="T427" i="2"/>
  <c r="AW427" i="2"/>
  <c r="O428" i="2"/>
  <c r="X428" i="2" s="1"/>
  <c r="BI428" i="2" s="1"/>
  <c r="AI427" i="2"/>
  <c r="S428" i="2"/>
  <c r="AJ427" i="2"/>
  <c r="AZ427" i="2"/>
  <c r="AC427" i="2"/>
  <c r="AB427" i="2"/>
  <c r="Y427" i="2"/>
  <c r="BE427" i="2"/>
  <c r="Z427" i="2"/>
  <c r="AP427" i="2"/>
  <c r="X427" i="2"/>
  <c r="BI427" i="2" s="1"/>
  <c r="W427" i="2"/>
  <c r="BE428" i="2" l="1"/>
  <c r="R428" i="2"/>
  <c r="U429" i="2"/>
  <c r="W428" i="2"/>
  <c r="AZ428" i="2" s="1"/>
  <c r="P429" i="2"/>
  <c r="AP428" i="2"/>
  <c r="AQ428" i="2"/>
  <c r="AA428" i="2"/>
  <c r="S429" i="2"/>
  <c r="AI428" i="2"/>
  <c r="AW428" i="2"/>
  <c r="AC428" i="2"/>
  <c r="Q429" i="2"/>
  <c r="Y428" i="2"/>
  <c r="AV428" i="2"/>
  <c r="V428" i="2"/>
  <c r="AJ428" i="2"/>
  <c r="O429" i="2"/>
  <c r="BF428" i="2"/>
  <c r="AB428" i="2"/>
  <c r="Z428" i="2"/>
  <c r="T428" i="2"/>
  <c r="BF429" i="2" l="1"/>
  <c r="W429" i="2"/>
  <c r="X429" i="2" s="1"/>
  <c r="BI429" i="2" s="1"/>
  <c r="AI429" i="2"/>
  <c r="S430" i="2"/>
  <c r="AA429" i="2"/>
  <c r="AV429" i="2"/>
  <c r="AW429" i="2"/>
  <c r="AZ429" i="2"/>
  <c r="AJ429" i="2"/>
  <c r="R429" i="2"/>
  <c r="U430" i="2"/>
  <c r="AP429" i="2"/>
  <c r="BE429" i="2"/>
  <c r="AC429" i="2"/>
  <c r="V429" i="2"/>
  <c r="Q430" i="2"/>
  <c r="Z429" i="2"/>
  <c r="O430" i="2"/>
  <c r="P430" i="2"/>
  <c r="T429" i="2"/>
  <c r="AB429" i="2"/>
  <c r="Y429" i="2"/>
  <c r="AQ429" i="2"/>
  <c r="Y430" i="2" l="1"/>
  <c r="AW430" i="2"/>
  <c r="AV430" i="2"/>
  <c r="AZ430" i="2"/>
  <c r="BF430" i="2"/>
  <c r="R430" i="2"/>
  <c r="S431" i="2"/>
  <c r="P431" i="2"/>
  <c r="T430" i="2"/>
  <c r="AP430" i="2"/>
  <c r="X430" i="2"/>
  <c r="BI430" i="2" s="1"/>
  <c r="AJ430" i="2"/>
  <c r="Z430" i="2"/>
  <c r="AQ430" i="2"/>
  <c r="W430" i="2"/>
  <c r="AC430" i="2"/>
  <c r="Q431" i="2"/>
  <c r="AB430" i="2"/>
  <c r="V430" i="2"/>
  <c r="AI430" i="2"/>
  <c r="BE430" i="2"/>
  <c r="AA430" i="2"/>
  <c r="U431" i="2"/>
  <c r="O431" i="2"/>
  <c r="AV431" i="2" l="1"/>
  <c r="AC431" i="2"/>
  <c r="S432" i="2"/>
  <c r="R431" i="2"/>
  <c r="AW431" i="2"/>
  <c r="BE431" i="2"/>
  <c r="AP431" i="2"/>
  <c r="Q432" i="2"/>
  <c r="U432" i="2" s="1"/>
  <c r="W431" i="2"/>
  <c r="AZ431" i="2" s="1"/>
  <c r="P432" i="2"/>
  <c r="AJ431" i="2"/>
  <c r="AB431" i="2"/>
  <c r="V431" i="2"/>
  <c r="X431" i="2"/>
  <c r="BI431" i="2" s="1"/>
  <c r="AA431" i="2"/>
  <c r="BF431" i="2"/>
  <c r="Y431" i="2"/>
  <c r="AI431" i="2"/>
  <c r="AQ431" i="2"/>
  <c r="T431" i="2"/>
  <c r="O432" i="2"/>
  <c r="Z431" i="2"/>
  <c r="AB432" i="2" l="1"/>
  <c r="Y432" i="2"/>
  <c r="AQ432" i="2"/>
  <c r="AJ432" i="2"/>
  <c r="AW432" i="2"/>
  <c r="AV432" i="2"/>
  <c r="V432" i="2"/>
  <c r="AI432" i="2"/>
  <c r="BE432" i="2"/>
  <c r="AZ432" i="2"/>
  <c r="O433" i="2"/>
  <c r="AC432" i="2"/>
  <c r="Z432" i="2"/>
  <c r="W432" i="2"/>
  <c r="AA432" i="2"/>
  <c r="BF432" i="2"/>
  <c r="X432" i="2"/>
  <c r="BI432" i="2" s="1"/>
  <c r="T432" i="2"/>
  <c r="R432" i="2"/>
  <c r="AP432" i="2"/>
  <c r="S69" i="4" l="1"/>
  <c r="P61" i="4"/>
  <c r="S62" i="4"/>
  <c r="P70" i="4"/>
  <c r="P62" i="4"/>
  <c r="O69" i="4"/>
  <c r="O70" i="4"/>
  <c r="P69" i="4"/>
  <c r="O60" i="4"/>
  <c r="S70" i="4"/>
  <c r="N60" i="4"/>
  <c r="S61" i="4"/>
  <c r="R59" i="4"/>
  <c r="O289" i="2"/>
  <c r="R68" i="4"/>
  <c r="P433" i="2"/>
  <c r="X433" i="2" s="1"/>
  <c r="BI433" i="2" s="1"/>
  <c r="P57" i="1" l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S42" i="1"/>
  <c r="S45" i="1"/>
  <c r="S50" i="1"/>
  <c r="S49" i="1"/>
  <c r="S48" i="1"/>
  <c r="S47" i="1"/>
  <c r="S46" i="1"/>
  <c r="S44" i="1"/>
  <c r="S43" i="1"/>
  <c r="P43" i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O41" i="1" l="1"/>
  <c r="R12" i="8" s="1"/>
  <c r="O13" i="8" a="1"/>
  <c r="O1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<sst xmlns="http://schemas.openxmlformats.org/spreadsheetml/2006/main" count="2967" uniqueCount="1341">
  <si>
    <t>Controleren</t>
  </si>
  <si>
    <t>Invullen</t>
  </si>
  <si>
    <t>GBT Opdrachtgever:</t>
  </si>
  <si>
    <t>Vergunning</t>
  </si>
  <si>
    <t>3D</t>
  </si>
  <si>
    <t>Opdrachtgever</t>
  </si>
  <si>
    <t>Overrulen</t>
  </si>
  <si>
    <t>As-Built</t>
  </si>
  <si>
    <t>Overrulen opdrachtgever</t>
  </si>
  <si>
    <t>VB</t>
  </si>
  <si>
    <t>Titelblok</t>
  </si>
  <si>
    <t>REV.</t>
  </si>
  <si>
    <t>Datum rev.</t>
  </si>
  <si>
    <t>Hogenhout</t>
  </si>
  <si>
    <t>A.Hogenhout</t>
  </si>
  <si>
    <t>HI</t>
  </si>
  <si>
    <t>TEK.NR</t>
  </si>
  <si>
    <t>OPMERKING rev.</t>
  </si>
  <si>
    <t>Liander</t>
  </si>
  <si>
    <t>S.de Heus</t>
  </si>
  <si>
    <t>LI</t>
  </si>
  <si>
    <t>PROJECT</t>
  </si>
  <si>
    <t>∞∩</t>
  </si>
  <si>
    <t>RenD</t>
  </si>
  <si>
    <t>M.v.Hoolwerff</t>
  </si>
  <si>
    <t>RD</t>
  </si>
  <si>
    <t>Getekend</t>
  </si>
  <si>
    <t>¦</t>
  </si>
  <si>
    <t>Direxta</t>
  </si>
  <si>
    <t>S.Battaioui</t>
  </si>
  <si>
    <t>DX</t>
  </si>
  <si>
    <t>Akkoord</t>
  </si>
  <si>
    <t>Auto uit tabel Opdrachtgever</t>
  </si>
  <si>
    <t>Kappert Boogzinkers</t>
  </si>
  <si>
    <t>A.Kappert</t>
  </si>
  <si>
    <t>KB</t>
  </si>
  <si>
    <t>[KB-MASTER.xlsx]Lijst'!$A$3:$AA$1044</t>
  </si>
  <si>
    <t>Datum</t>
  </si>
  <si>
    <t>VTV</t>
  </si>
  <si>
    <t>H.vd.Bighelaar</t>
  </si>
  <si>
    <t>VV</t>
  </si>
  <si>
    <t>Om voorkeur Orientatie te wijzigen</t>
  </si>
  <si>
    <t>X en Y RICHTING tbv UCS SITUATIE</t>
  </si>
  <si>
    <t>NeijhofVisser</t>
  </si>
  <si>
    <t>B.Neijhof</t>
  </si>
  <si>
    <t>NV</t>
  </si>
  <si>
    <t>https://d.docs.live.net/12c0588a23d5dc06/GestuurdeBoringTekening/10. NEIJHOF^0VISSER/[NV-MASTER.xlsm]Lijst'!$A$3:$Z$9999</t>
  </si>
  <si>
    <t>ORIENTATIE SITUATIE</t>
  </si>
  <si>
    <t>° (0 is vlnr)</t>
  </si>
  <si>
    <t>RovoR</t>
  </si>
  <si>
    <t>R.Bláha</t>
  </si>
  <si>
    <t>Om voorkeur formaat te overrulen (alleen cijfer invullen)</t>
  </si>
  <si>
    <t>Circet Nederland</t>
  </si>
  <si>
    <t>T.v.Rooten</t>
  </si>
  <si>
    <t>CN</t>
  </si>
  <si>
    <t>Tek. FORMAAT</t>
  </si>
  <si>
    <t>MKC</t>
  </si>
  <si>
    <t>F.Kleijn</t>
  </si>
  <si>
    <t>Project(1)</t>
  </si>
  <si>
    <t>Huisnr</t>
  </si>
  <si>
    <t>Eljes</t>
  </si>
  <si>
    <t>H.Heiwegen</t>
  </si>
  <si>
    <t>EI</t>
  </si>
  <si>
    <t>Aanvullende aanwijzing</t>
  </si>
  <si>
    <t>Uitvoerdatum</t>
  </si>
  <si>
    <t>Heuvel</t>
  </si>
  <si>
    <t>D.Schafrat</t>
  </si>
  <si>
    <t>HG</t>
  </si>
  <si>
    <t>eventuele aanvulling volgnr boring</t>
  </si>
  <si>
    <t>aantal</t>
  </si>
  <si>
    <t>Van Gelder</t>
  </si>
  <si>
    <t>E.Muhiya</t>
  </si>
  <si>
    <t>VG</t>
  </si>
  <si>
    <t>D</t>
  </si>
  <si>
    <t>VWTelecom</t>
  </si>
  <si>
    <t>M.v.Donselaar</t>
  </si>
  <si>
    <t>VW</t>
  </si>
  <si>
    <t>maat</t>
  </si>
  <si>
    <t>Materiaal</t>
  </si>
  <si>
    <t>BAM Infra</t>
  </si>
  <si>
    <t>G.Kranenburg</t>
  </si>
  <si>
    <t>BI</t>
  </si>
  <si>
    <t>materiaal</t>
  </si>
  <si>
    <t>Opdrachtg.</t>
  </si>
  <si>
    <t>Dynniq</t>
  </si>
  <si>
    <t>DE</t>
  </si>
  <si>
    <t>999 voor SPECIAL</t>
  </si>
  <si>
    <t>toevoeging bv SDR11</t>
  </si>
  <si>
    <t>Contact</t>
  </si>
  <si>
    <t>-</t>
  </si>
  <si>
    <t>a.hak</t>
  </si>
  <si>
    <t>T.Peeman</t>
  </si>
  <si>
    <t>AH</t>
  </si>
  <si>
    <t>eventuele aanvulling</t>
  </si>
  <si>
    <t>APK</t>
  </si>
  <si>
    <t>T.vd Sloot</t>
  </si>
  <si>
    <t>RA</t>
  </si>
  <si>
    <t>Project(2)</t>
  </si>
  <si>
    <t>R</t>
  </si>
  <si>
    <t>D19&amp;"x Ø"&amp;D20&amp;" "&amp;D21&amp;" "&amp;D22&amp;(ALS(D23="";"";", tbv "&amp;D23))</t>
  </si>
  <si>
    <t>Boorlengte, of geboorde lengte</t>
  </si>
  <si>
    <t>m (voor BVK hemelsbreed, vergunning HDD uit blad ontwerp, voor revisie HDD uit Boordata Invul)</t>
  </si>
  <si>
    <t>P</t>
  </si>
  <si>
    <t>Uit blad Ontwerp</t>
  </si>
  <si>
    <t>Project(3)</t>
  </si>
  <si>
    <t>m</t>
  </si>
  <si>
    <t>Xin</t>
  </si>
  <si>
    <t>1 voor boring, 2 voor boogzinker</t>
  </si>
  <si>
    <t>Yin</t>
  </si>
  <si>
    <t>Zin</t>
  </si>
  <si>
    <t>Onderwerp</t>
  </si>
  <si>
    <t>Xuit</t>
  </si>
  <si>
    <t>Schaal</t>
  </si>
  <si>
    <t>Yuit</t>
  </si>
  <si>
    <t>TITELBLOK</t>
  </si>
  <si>
    <t>Zuit</t>
  </si>
  <si>
    <t>TITELBLOKGBT</t>
  </si>
  <si>
    <t>Toevoeging opdrachtgever</t>
  </si>
  <si>
    <t>Zgem</t>
  </si>
  <si>
    <t>Adres Opdrachtgever</t>
  </si>
  <si>
    <t>DAC glasvezel voorgemonteerd voor kortere aansluitingen tot 100 meter</t>
  </si>
  <si>
    <t>Postcode en plaats</t>
  </si>
  <si>
    <t>DB2 =   2*14 of 2*16</t>
  </si>
  <si>
    <t>Combi 3*14 + 6*7</t>
  </si>
  <si>
    <t>OPMERKING in tekening</t>
  </si>
  <si>
    <t>4x195 = 4x 19.5 mm geeft 43mm uitwendig</t>
  </si>
  <si>
    <t>Zverschil</t>
  </si>
  <si>
    <t>-7km&lt; X &lt; 300km</t>
  </si>
  <si>
    <t>Lengte AB:</t>
  </si>
  <si>
    <t>289km&lt; Y &lt; 629km</t>
  </si>
  <si>
    <t>PGS X,Y punten</t>
  </si>
  <si>
    <t>Xgem</t>
  </si>
  <si>
    <t>Ygem</t>
  </si>
  <si>
    <t>*afwijkende formule in laatste cel</t>
  </si>
  <si>
    <t>Intredepunt:</t>
  </si>
  <si>
    <t>Uittredepunt:</t>
  </si>
  <si>
    <t>Opdrachtgever klant:</t>
  </si>
  <si>
    <t>ONTWERPBEREKENINGEN</t>
  </si>
  <si>
    <t>Suggestie</t>
  </si>
  <si>
    <t>SCRIPT: CHECKS voor WRITING</t>
  </si>
  <si>
    <t>Aantal bochten</t>
  </si>
  <si>
    <t>CONCEPT</t>
  </si>
  <si>
    <t>n</t>
  </si>
  <si>
    <t>A3</t>
  </si>
  <si>
    <t>c40</t>
  </si>
  <si>
    <t>Hor. Lengte neergang T1</t>
  </si>
  <si>
    <t>Stang</t>
  </si>
  <si>
    <t>Boorlengte</t>
  </si>
  <si>
    <t>Hor. Afstand</t>
  </si>
  <si>
    <t>Einddiepte</t>
  </si>
  <si>
    <t>Eindhelling</t>
  </si>
  <si>
    <t>Zie bijvoorbeeld: 3D21V238-09 Haarlem, Groningenlaan.xlsm voor waar dit vandaan komt</t>
  </si>
  <si>
    <t>1÷10</t>
  </si>
  <si>
    <t>Revisie</t>
  </si>
  <si>
    <t>Gecomb. Bocht</t>
  </si>
  <si>
    <t>Nee</t>
  </si>
  <si>
    <t>FORMAAT</t>
  </si>
  <si>
    <t>A2Z1</t>
  </si>
  <si>
    <t>A2</t>
  </si>
  <si>
    <t>c41</t>
  </si>
  <si>
    <t>Boorlengte neergang T1</t>
  </si>
  <si>
    <t>Intredehoek boogzinker</t>
  </si>
  <si>
    <t>A</t>
  </si>
  <si>
    <t>B</t>
  </si>
  <si>
    <t>A-L</t>
  </si>
  <si>
    <t>Uittredehoek</t>
  </si>
  <si>
    <t>K&amp;L</t>
  </si>
  <si>
    <t>c42</t>
  </si>
  <si>
    <t>Diepte kromming T2</t>
  </si>
  <si>
    <t>Standaard ruimer</t>
  </si>
  <si>
    <t>Wegdek</t>
  </si>
  <si>
    <t>A2Z2</t>
  </si>
  <si>
    <t>c43</t>
  </si>
  <si>
    <t>Hor. Lengte kromming T2</t>
  </si>
  <si>
    <t>Tonnage Boormachine</t>
  </si>
  <si>
    <t>Profiel juist</t>
  </si>
  <si>
    <t>Watergang</t>
  </si>
  <si>
    <t>A2Z3</t>
  </si>
  <si>
    <t>c44</t>
  </si>
  <si>
    <t>Boorlengte kromming T2</t>
  </si>
  <si>
    <t>Boormachine of Boogzinker</t>
  </si>
  <si>
    <t xml:space="preserve">Ton (10 of 16) </t>
  </si>
  <si>
    <t>Uittrede aan MV</t>
  </si>
  <si>
    <t>Lengte MV prof.</t>
  </si>
  <si>
    <t>aantal punten / lengte MV vs XY (Check radii bij NIET OK)</t>
  </si>
  <si>
    <t>A2Z4</t>
  </si>
  <si>
    <t>c45</t>
  </si>
  <si>
    <t>Totaal lengte neergang T1+T2</t>
  </si>
  <si>
    <t>Intrede hoek (°)</t>
  </si>
  <si>
    <t>Bij boogzinker geldt T3 = 0</t>
  </si>
  <si>
    <t>KWELPOLDER?</t>
  </si>
  <si>
    <t>Stapgrootte</t>
  </si>
  <si>
    <t>c46</t>
  </si>
  <si>
    <t>Lengte horizontaal T3</t>
  </si>
  <si>
    <t>Straal boorstang intrede</t>
  </si>
  <si>
    <t>Hemelsbreed Intrede-Uittrede:</t>
  </si>
  <si>
    <t>1:</t>
  </si>
  <si>
    <t>Handm: SITUATIE / LENGTEPROFIEL / BOVENAANZICHT</t>
  </si>
  <si>
    <t>c49</t>
  </si>
  <si>
    <t>Hor. Lengte opgang T4</t>
  </si>
  <si>
    <t>Straal boorstang 1e horizontaal</t>
  </si>
  <si>
    <t>Rcombi intrede vert.-1e hor.</t>
  </si>
  <si>
    <t>Geboorde lengte:</t>
  </si>
  <si>
    <t>m (boorprofiel)</t>
  </si>
  <si>
    <t>Berekend op sheet Variabelen</t>
  </si>
  <si>
    <t>c50</t>
  </si>
  <si>
    <t>Segmentlengte opgang T4</t>
  </si>
  <si>
    <t>Straal boorstang 2e horizontaal</t>
  </si>
  <si>
    <t>Rcombi</t>
  </si>
  <si>
    <t>Lengte Boring obv YX coords BOORLIJN:</t>
  </si>
  <si>
    <t>m (bovenaanzicht)</t>
  </si>
  <si>
    <t>Formaat</t>
  </si>
  <si>
    <t>c52</t>
  </si>
  <si>
    <t>Hor. Lengte opgang T5</t>
  </si>
  <si>
    <t>Straal boorstang 3e horizontaal</t>
  </si>
  <si>
    <t>Rcombi Uittrede vert. - 3e hor.</t>
  </si>
  <si>
    <t>c53</t>
  </si>
  <si>
    <t>Boorlengte opgang T5</t>
  </si>
  <si>
    <t>Straal boorstang uittrede</t>
  </si>
  <si>
    <t>Hulptabel boogzinkers</t>
  </si>
  <si>
    <t>hoek</t>
  </si>
  <si>
    <t>Uittrede hoek (°)</t>
  </si>
  <si>
    <t>° (Stijlst mogelijke uittrede)</t>
  </si>
  <si>
    <t>Hoek in</t>
  </si>
  <si>
    <t>Diepte</t>
  </si>
  <si>
    <t>Hoekgecorrigeerd</t>
  </si>
  <si>
    <t>Lcorr</t>
  </si>
  <si>
    <t>Bcorr</t>
  </si>
  <si>
    <t>BB</t>
  </si>
  <si>
    <t># stangen</t>
  </si>
  <si>
    <t>Stanglengte</t>
  </si>
  <si>
    <t>Lengte Boring in bovenaanzicht</t>
  </si>
  <si>
    <t>m (som afstand uit Boordata&amp;calcs. Indien nodig aanpassen.)</t>
  </si>
  <si>
    <t>Eerste stang</t>
  </si>
  <si>
    <t>Stang#</t>
  </si>
  <si>
    <t>Bocht horizontaal</t>
  </si>
  <si>
    <t>°</t>
  </si>
  <si>
    <t>R bocht</t>
  </si>
  <si>
    <t>1/2*L bocht</t>
  </si>
  <si>
    <t>mm</t>
  </si>
  <si>
    <t>Lengte beschikbaar</t>
  </si>
  <si>
    <t>Hor. Bocht max</t>
  </si>
  <si>
    <t>Diepte boring op lengte:</t>
  </si>
  <si>
    <t>Vanaf uittr. terug</t>
  </si>
  <si>
    <t>Machine boven MV</t>
  </si>
  <si>
    <t>Diepte tov mv INTREDE</t>
  </si>
  <si>
    <t>tov NAP</t>
  </si>
  <si>
    <t>tov MV op lengte</t>
  </si>
  <si>
    <t>Intredehoek</t>
  </si>
  <si>
    <t>Diameter boorkop</t>
  </si>
  <si>
    <t>Diepte vanaf machinepunt</t>
  </si>
  <si>
    <t>Diameter buis</t>
  </si>
  <si>
    <t>Gecorrigeerde intredehoek</t>
  </si>
  <si>
    <t>Bundelfactor</t>
  </si>
  <si>
    <t>buizen</t>
  </si>
  <si>
    <t>Standaard ruimfactor</t>
  </si>
  <si>
    <t>Dichtstbijzijnde kleinere L</t>
  </si>
  <si>
    <t>Alternatieve ruimfactor</t>
  </si>
  <si>
    <t>Dichtstbijzijnde grotere L</t>
  </si>
  <si>
    <t>Alternatieve ruimer</t>
  </si>
  <si>
    <t>Gemiddelde</t>
  </si>
  <si>
    <t>Aantal stangen T1</t>
  </si>
  <si>
    <t>Ruimer</t>
  </si>
  <si>
    <t>Afsluitende laag</t>
  </si>
  <si>
    <t>NAP diepte hor. deel</t>
  </si>
  <si>
    <t>O.K. ondiep</t>
  </si>
  <si>
    <t>O.K. diep</t>
  </si>
  <si>
    <t>afstand</t>
  </si>
  <si>
    <t>Hulptabel lengte berekeningen bovenaanzicht</t>
  </si>
  <si>
    <t>Kwelpolder? Afsluitende laag tekenen?</t>
  </si>
  <si>
    <t>Traject H</t>
  </si>
  <si>
    <t>Bovenaanzicht</t>
  </si>
  <si>
    <t>Cum.</t>
  </si>
  <si>
    <t>KLAD</t>
  </si>
  <si>
    <t>Geboorde lengte</t>
  </si>
  <si>
    <t>Cum.Geb.L.</t>
  </si>
  <si>
    <t>Hor. Lengte</t>
  </si>
  <si>
    <t>Cum.Hor.L.</t>
  </si>
  <si>
    <t>1 veilige afstand tov schuin deel, 2 veilige afstand tov hor. Deel, 3 voor gekozen diepte</t>
  </si>
  <si>
    <t>Diepte hart mantel gekozen diepte tov MV</t>
  </si>
  <si>
    <t>Bocht</t>
  </si>
  <si>
    <t>Diepte hart mantelbuis</t>
  </si>
  <si>
    <t>Diepte neergang T1</t>
  </si>
  <si>
    <t>Diepte/sin(intredehoek)</t>
  </si>
  <si>
    <t>Lengte Boogzinker</t>
  </si>
  <si>
    <t>Berekeningen andere gestuurde boringen</t>
  </si>
  <si>
    <t>Andere gestuurde boringen</t>
  </si>
  <si>
    <t>Boring 1</t>
  </si>
  <si>
    <t>Diepte hart mantelbuis onder NAP</t>
  </si>
  <si>
    <t>Dieptetov MV</t>
  </si>
  <si>
    <t>Diepte hart mantelbuis onder MV</t>
  </si>
  <si>
    <t>2R*pi*intredehoek/360</t>
  </si>
  <si>
    <t>Soort</t>
  </si>
  <si>
    <t>Lengte</t>
  </si>
  <si>
    <t>Eigenaar</t>
  </si>
  <si>
    <t>Overruled GPS lengte en Zuittrede</t>
  </si>
  <si>
    <t>Intrede</t>
  </si>
  <si>
    <t>Lengte horizontaal T4 + T5</t>
  </si>
  <si>
    <t>Onder MV</t>
  </si>
  <si>
    <t>Diepte radiale opgang T4</t>
  </si>
  <si>
    <t>R*cos(uittredehoek)</t>
  </si>
  <si>
    <t>AANTEKENINGEN:</t>
  </si>
  <si>
    <t>MV @intrede</t>
  </si>
  <si>
    <t>m tov NAP</t>
  </si>
  <si>
    <t>R*sin(uittredehoek)</t>
  </si>
  <si>
    <t>Zintrede</t>
  </si>
  <si>
    <t>m NAP</t>
  </si>
  <si>
    <t>2R*pi*uittredehoek/360</t>
  </si>
  <si>
    <t>Zuittrede,MV</t>
  </si>
  <si>
    <t>Radius in</t>
  </si>
  <si>
    <t>L2</t>
  </si>
  <si>
    <t>Diepte opgang T5</t>
  </si>
  <si>
    <t>Onder maaiveld</t>
  </si>
  <si>
    <t>INDIEN IN BOORGAT AFGEKOPPELD</t>
  </si>
  <si>
    <t>NAP diepte</t>
  </si>
  <si>
    <t>Zuittrede, boring</t>
  </si>
  <si>
    <t>Radius uit</t>
  </si>
  <si>
    <t>L4</t>
  </si>
  <si>
    <t>Hoek uit</t>
  </si>
  <si>
    <t>Diepte opgang T4 + T5</t>
  </si>
  <si>
    <t>= diepte hart mantelbuis tov intrede + NAP hoogte uittrede - NAP hoogte intrede</t>
  </si>
  <si>
    <t>Einde</t>
  </si>
  <si>
    <t>NAP hoogte maaiveld INTREDE</t>
  </si>
  <si>
    <t>MV @einde</t>
  </si>
  <si>
    <t>GEBRUIKTE LAYERS TBV LEGENDA</t>
  </si>
  <si>
    <t>Beheerder</t>
  </si>
  <si>
    <t>Maatvoering</t>
  </si>
  <si>
    <t>Afstand vanaf intrede</t>
  </si>
  <si>
    <t>Diepte (BOB/BVK) tov NAP</t>
  </si>
  <si>
    <t>Diepte (BOB/BVK) tov INTR.</t>
  </si>
  <si>
    <t>COC Y tov INTREDE @Lengte</t>
  </si>
  <si>
    <t>COC Y tov MV Intrede</t>
  </si>
  <si>
    <t>COC Y tov NAP INTREDE</t>
  </si>
  <si>
    <t>BOORLIJN</t>
  </si>
  <si>
    <t>MAAIVELD</t>
  </si>
  <si>
    <t>MAATVOERING</t>
  </si>
  <si>
    <t xml:space="preserve">Nr. </t>
  </si>
  <si>
    <t>Leidingen en kabels intekenen</t>
  </si>
  <si>
    <t>OD</t>
  </si>
  <si>
    <t>ID</t>
  </si>
  <si>
    <t>LAYER</t>
  </si>
  <si>
    <t>WEGDEK</t>
  </si>
  <si>
    <t>ls</t>
  </si>
  <si>
    <t>Tekst</t>
  </si>
  <si>
    <t>MV@Begin</t>
  </si>
  <si>
    <t>MV@Eind</t>
  </si>
  <si>
    <t>ld</t>
  </si>
  <si>
    <t>d</t>
  </si>
  <si>
    <t>w</t>
  </si>
  <si>
    <t>WATERGANG</t>
  </si>
  <si>
    <t>Begin</t>
  </si>
  <si>
    <t>Eind</t>
  </si>
  <si>
    <t>W1</t>
  </si>
  <si>
    <t>W2</t>
  </si>
  <si>
    <t>W3</t>
  </si>
  <si>
    <t>Peil</t>
  </si>
  <si>
    <t>rv</t>
  </si>
  <si>
    <t>Waterdiepte</t>
  </si>
  <si>
    <t>maat van peil tot bodem sloot</t>
  </si>
  <si>
    <t>Waterbreedte</t>
  </si>
  <si>
    <t>Bodembreedte</t>
  </si>
  <si>
    <t>Bodemhoogte</t>
  </si>
  <si>
    <t xml:space="preserve">Taludhelling Links, 1 : </t>
  </si>
  <si>
    <t xml:space="preserve">Taludhelling Rechts, 1 : </t>
  </si>
  <si>
    <t xml:space="preserve"> (als niet gelijk aan Links)</t>
  </si>
  <si>
    <t>Onder watergang door</t>
  </si>
  <si>
    <t>peil</t>
  </si>
  <si>
    <t>bodemdiepte</t>
  </si>
  <si>
    <t>vrije ruimte</t>
  </si>
  <si>
    <t>1/2*Rruimer</t>
  </si>
  <si>
    <t>ms</t>
  </si>
  <si>
    <t>Totaal</t>
  </si>
  <si>
    <t>Benodigde diepte boring tov NAP</t>
  </si>
  <si>
    <t>Benodigde diepte boring tov MV intrede</t>
  </si>
  <si>
    <t>BOMEN</t>
  </si>
  <si>
    <t>Vanaf intrede</t>
  </si>
  <si>
    <t>Lengtefactor</t>
  </si>
  <si>
    <t>Intrede naar achteren (zoveel wordt de afstand langer)</t>
  </si>
  <si>
    <t>Uittrede naar achteren (indien negatief dus naar voren)</t>
  </si>
  <si>
    <t>KOPIE BOORLIJN GEGEVENS</t>
  </si>
  <si>
    <t>HULPTABEL SCHUIN MV</t>
  </si>
  <si>
    <t>Aantal deellijnen per traject</t>
  </si>
  <si>
    <t>lengte beschoeiing ingeschat obv 2x kerende hoogte</t>
  </si>
  <si>
    <t>Intrede hoek</t>
  </si>
  <si>
    <t>Tangus punt overslaan als schuin deel kleiner dan:</t>
  </si>
  <si>
    <t>ALLEEN VERTCALE TANGENTPUNTEN</t>
  </si>
  <si>
    <t>MV Intrede</t>
  </si>
  <si>
    <t>Stapgrootte (m)</t>
  </si>
  <si>
    <t>tav CSV</t>
  </si>
  <si>
    <t>tav test</t>
  </si>
  <si>
    <t>MV Uittrede</t>
  </si>
  <si>
    <t>Straal boorstang horizontaal</t>
  </si>
  <si>
    <t>TP</t>
  </si>
  <si>
    <t>X</t>
  </si>
  <si>
    <t>Y</t>
  </si>
  <si>
    <t>Z(NAP)</t>
  </si>
  <si>
    <t>Z(MV intrede)</t>
  </si>
  <si>
    <t>Z</t>
  </si>
  <si>
    <t>Recht</t>
  </si>
  <si>
    <t>Hoeveel decimalen</t>
  </si>
  <si>
    <t>Uittrede hoek</t>
  </si>
  <si>
    <t>dX</t>
  </si>
  <si>
    <t>dY</t>
  </si>
  <si>
    <t>alfa</t>
  </si>
  <si>
    <t>dalfa</t>
  </si>
  <si>
    <t>L</t>
  </si>
  <si>
    <t>som van absolute L's</t>
  </si>
  <si>
    <t>X,Y</t>
  </si>
  <si>
    <t>X,Y afgerond op:</t>
  </si>
  <si>
    <t>dL</t>
  </si>
  <si>
    <t>dBL</t>
  </si>
  <si>
    <t>Diepte tov MV INT</t>
  </si>
  <si>
    <t>dD</t>
  </si>
  <si>
    <t>U99 moet gelijk zijn aan Zuittrede boring.</t>
  </si>
  <si>
    <t xml:space="preserve"> Zoniet maaiveld gegevens controleren.</t>
  </si>
  <si>
    <t>Herhaling uittredepunt tbv BZK</t>
  </si>
  <si>
    <t>S$106+(Z$97-GRADEN(BOOGSIN((P$107-(O124-Q$102)*P$107/R$101)/Z$98)))*2*Z$98*PI()/360</t>
  </si>
  <si>
    <t>Aantal Tangent punten (Incl. in- en uittrede) in boorlijn</t>
  </si>
  <si>
    <t>dX1,laatste punt</t>
  </si>
  <si>
    <t>dY1,laatste punt</t>
  </si>
  <si>
    <t>Horizontale lengte boorlijn</t>
  </si>
  <si>
    <t>Hoogste punt maaiveld</t>
  </si>
  <si>
    <t>Lengte MV</t>
  </si>
  <si>
    <t>Diepste diepte boring</t>
  </si>
  <si>
    <t>Afstand hemelsbreed tussen In- en uittrede</t>
  </si>
  <si>
    <t>Aantal waarden</t>
  </si>
  <si>
    <t>Aantal MV waarden (meer geen probleem, minder wel)</t>
  </si>
  <si>
    <t>MAAIVELD LENGTE</t>
  </si>
  <si>
    <t>Totaal aantal regels</t>
  </si>
  <si>
    <t>Verticale MAATLIJNEN standaard</t>
  </si>
  <si>
    <t>Horizontale afstand tov intredepunt</t>
  </si>
  <si>
    <t>NAP DIEPTEMATEN</t>
  </si>
  <si>
    <t>DIEPTEMATEN va MAAIVELD</t>
  </si>
  <si>
    <t>Dieptemaatrasterlijnen</t>
  </si>
  <si>
    <t>Diepte rasterlijnen waarden</t>
  </si>
  <si>
    <t>Trace</t>
  </si>
  <si>
    <t>Boorlijn SITUATIE</t>
  </si>
  <si>
    <t>MAAIVELD POLYLINE</t>
  </si>
  <si>
    <t>nr</t>
  </si>
  <si>
    <t>Diepte tov MV INTREDE</t>
  </si>
  <si>
    <t>Diepte tov NAP</t>
  </si>
  <si>
    <t>Diepte tov Maaiveld uit AHN tabel</t>
  </si>
  <si>
    <t>VERTICALE
MAATLIJNEN</t>
  </si>
  <si>
    <t>Command</t>
  </si>
  <si>
    <t>Startpunt</t>
  </si>
  <si>
    <t>Eindpunt</t>
  </si>
  <si>
    <t>ENTER</t>
  </si>
  <si>
    <t>Positieselectie</t>
  </si>
  <si>
    <t>Positiekeuze</t>
  </si>
  <si>
    <t>Tekst: Lengte tot maatlijn</t>
  </si>
  <si>
    <t>Text height</t>
  </si>
  <si>
    <t>Rotation angle</t>
  </si>
  <si>
    <t>Diepte tov MAAIVELD</t>
  </si>
  <si>
    <t>Nummering tbv STEP functie</t>
  </si>
  <si>
    <t>Maatrasterlijn</t>
  </si>
  <si>
    <t>Tekst: Diepte tov NAP</t>
  </si>
  <si>
    <t>TEXT</t>
  </si>
  <si>
    <t>LINE</t>
  </si>
  <si>
    <t>_Justify</t>
  </si>
  <si>
    <t>_R</t>
  </si>
  <si>
    <t>Laagste maatrasterlijn</t>
  </si>
  <si>
    <t>NAP lijn als hoogste dieptemaatrasterlijn lager dan NAP ligt.</t>
  </si>
  <si>
    <t>_L</t>
  </si>
  <si>
    <t>DIEPTEMAATLIJNEN/TEKST</t>
  </si>
  <si>
    <t>Hartlijn Boring t.o.v. MV (m)</t>
  </si>
  <si>
    <t>Hartlijn Boring t.o.v. NAP (m)</t>
  </si>
  <si>
    <t>Geboorde lengte (m)</t>
  </si>
  <si>
    <t>Horiz. afstand tov Intrede (m)</t>
  </si>
  <si>
    <t>Indien tabel langer gemaakt wordt, controleren of de maaiveld formule in het script meegewijzigd is.</t>
  </si>
  <si>
    <t>x1</t>
  </si>
  <si>
    <t>y1</t>
  </si>
  <si>
    <t>x2</t>
  </si>
  <si>
    <t>y2</t>
  </si>
  <si>
    <t>x3</t>
  </si>
  <si>
    <t>y3</t>
  </si>
  <si>
    <t>Text</t>
  </si>
  <si>
    <t>Radius</t>
  </si>
  <si>
    <t>Height</t>
  </si>
  <si>
    <t>Width</t>
  </si>
  <si>
    <t>Angle</t>
  </si>
  <si>
    <t>Condition</t>
  </si>
  <si>
    <t>Script</t>
  </si>
  <si>
    <t>START</t>
  </si>
  <si>
    <t>_UCS</t>
  </si>
  <si>
    <t>_World</t>
  </si>
  <si>
    <t>ALS AUTOCAD: 1, BRICSCAD:2</t>
  </si>
  <si>
    <t>BRICSCAD</t>
  </si>
  <si>
    <t>/* Put your program here */</t>
  </si>
  <si>
    <t>Midden tussen in- en uittrede</t>
  </si>
  <si>
    <t>1/2*breedte</t>
  </si>
  <si>
    <t>1/2*hoogte</t>
  </si>
  <si>
    <t>Als Revisie:</t>
  </si>
  <si>
    <t>BOORLIJN INTEKENEN EN TEKST TOEVOEGEN</t>
  </si>
  <si>
    <t>_LAYER</t>
  </si>
  <si>
    <t>_Set</t>
  </si>
  <si>
    <t>;</t>
  </si>
  <si>
    <t>BZK alleen A en B, Boring alle punten intekenen:</t>
  </si>
  <si>
    <t>FOR</t>
  </si>
  <si>
    <t>IS</t>
  </si>
  <si>
    <t>TO</t>
  </si>
  <si>
    <t>STEP</t>
  </si>
  <si>
    <t>Zoekt in tabblad Ontwerp de GPS coordinaten van de GPS punten en tekent deze in</t>
  </si>
  <si>
    <t>_POINT</t>
  </si>
  <si>
    <t>NEXT</t>
  </si>
  <si>
    <t>Tekent de BOORLIJN in het bovenaanzicht (tbv Viewport SITUATIE)</t>
  </si>
  <si>
    <t>Lijn van punt 1 naar punt 2</t>
  </si>
  <si>
    <t>A105-&gt; A106</t>
  </si>
  <si>
    <t>_PLINE</t>
  </si>
  <si>
    <t>Arc van punt 2 naar punt 3 met Radius Horizontaal</t>
  </si>
  <si>
    <t>Lijn van punt 3 naar punt 4</t>
  </si>
  <si>
    <t>A108 -&gt; A109</t>
  </si>
  <si>
    <t>Arc van punt 4 naar punt 5 met Radius Horizontaal</t>
  </si>
  <si>
    <t>Lijn van punt 5 naar punt 6</t>
  </si>
  <si>
    <t>A111-&gt; A112</t>
  </si>
  <si>
    <t>Arc van punt 6 naar punt 7 met Radius Horizontaal</t>
  </si>
  <si>
    <t>Lijn van punt 7 naar punt 8</t>
  </si>
  <si>
    <t>A115-&gt; A115</t>
  </si>
  <si>
    <t>ATTRIBUTEN</t>
  </si>
  <si>
    <t>Intredepunt</t>
  </si>
  <si>
    <t>Afstand Intrede-Uittrede hemelsbreed</t>
  </si>
  <si>
    <t>Uittredepunt</t>
  </si>
  <si>
    <t>dX1,2</t>
  </si>
  <si>
    <t>dY1,2</t>
  </si>
  <si>
    <t>Hoogte maat boven maatlijn</t>
  </si>
  <si>
    <t>dXlaatste,vóórlaatste punt</t>
  </si>
  <si>
    <t>dYlaatste,vóórlaatste punt</t>
  </si>
  <si>
    <t>ALIGNMENT BOORGAT MET INTREDELIJN</t>
  </si>
  <si>
    <t>_TEXT</t>
  </si>
  <si>
    <t>_BL</t>
  </si>
  <si>
    <t>_INSERT</t>
  </si>
  <si>
    <t>0,0</t>
  </si>
  <si>
    <t>TANGENT PUNTEN IN BOVENAANZICHT</t>
  </si>
  <si>
    <t>101582.75,487126.9</t>
  </si>
  <si>
    <t>101595.0249,487149.8987</t>
  </si>
  <si>
    <t>101595.0249,487152.19857</t>
  </si>
  <si>
    <t>ALIGNMENT BOORGAT MET UITTREDELIJN</t>
  </si>
  <si>
    <t>Hoeveel boven boorlijn</t>
  </si>
  <si>
    <t>NOORDPIJL</t>
  </si>
  <si>
    <t>LENGTE PROFIEL - BOORPROFIEL</t>
  </si>
  <si>
    <t>Boorprofiel y3 m ONDER Zuidelijkste coordinaat</t>
  </si>
  <si>
    <t>_LINE</t>
  </si>
  <si>
    <t>Rintrede</t>
  </si>
  <si>
    <t>_ARC</t>
  </si>
  <si>
    <t>E</t>
  </si>
  <si>
    <t>z-waarde uittredepunt ipv y3</t>
  </si>
  <si>
    <t>Ruittrede</t>
  </si>
  <si>
    <t>MAATVOERING-GRIJS</t>
  </si>
  <si>
    <t>Noteert Dieptematen boring tov NAP in</t>
  </si>
  <si>
    <t>Noteert Dieptematen boring tov MAAIVELD in</t>
  </si>
  <si>
    <t>_DIMSTYLE</t>
  </si>
  <si>
    <t>_RESTORE</t>
  </si>
  <si>
    <t>1e hor. Bocht</t>
  </si>
  <si>
    <t>2e hor. Bocht</t>
  </si>
  <si>
    <t>3e hor. Bocht</t>
  </si>
  <si>
    <t>Comb. 1e hor. Bocht</t>
  </si>
  <si>
    <t>Comb. 2e hor. Bocht</t>
  </si>
  <si>
    <t>NAP lijn</t>
  </si>
  <si>
    <t>RASTERLIJNEN</t>
  </si>
  <si>
    <t>Tekent in het LENGTEPROFIEL de RASTERLIJNEN</t>
  </si>
  <si>
    <t>Op basis van de hoogste maaiveld maat en het diepste punt van de boring wordt bepaald welke rasterlijnen</t>
  </si>
  <si>
    <t>Deze regel plaatst de DIEPTE bij de RASTERLIJN</t>
  </si>
  <si>
    <t>Uit Blad Ontwerp, tabel J111:L431</t>
  </si>
  <si>
    <t>Indien Begin en Eind ingevuld rechts van K&amp;L tabel, dan wordt de WATERGANG ingetekend.</t>
  </si>
  <si>
    <t>Watergang 2</t>
  </si>
  <si>
    <t>Watergang 3</t>
  </si>
  <si>
    <t xml:space="preserve">Tekent de WATERLIJN W1 in </t>
  </si>
  <si>
    <t>Wegdek boven MV</t>
  </si>
  <si>
    <t>Indien Begin en Eind ingevuld rechts van K&amp;L tabel, dan wordt het wegdek ingetekend.</t>
  </si>
  <si>
    <t>Wegdek 1</t>
  </si>
  <si>
    <t>Wegdek 2</t>
  </si>
  <si>
    <t>Wegdek 3</t>
  </si>
  <si>
    <t>Tekst boven wegdek</t>
  </si>
  <si>
    <t>Wegdek 4</t>
  </si>
  <si>
    <t>Wegdek 5</t>
  </si>
  <si>
    <t>BOMEN en andere Omgevingsattributen in lengteprofiel</t>
  </si>
  <si>
    <t>Tekst 'NAP' (als hoogste dieptemaatrasterlijn lager dan NAP ligt) en tekst bij A. en B.</t>
  </si>
  <si>
    <t>N.A.P.</t>
  </si>
  <si>
    <t>DIEPTEMAATLIJNEN + TEKST</t>
  </si>
  <si>
    <t>Link naar Boordata hier verwijderd_20200113</t>
  </si>
  <si>
    <t>LENGTE PROFIEL - KABELS &amp; LEIDINGEN</t>
  </si>
  <si>
    <t>Zoomen naar model dwarsprofiel om selecteren leidingcirkels mogelijk te maken, om te 'hatchen'</t>
  </si>
  <si>
    <t>_ZOOM</t>
  </si>
  <si>
    <t>W</t>
  </si>
  <si>
    <t>Tekent leidingen in</t>
  </si>
  <si>
    <t>Aantal</t>
  </si>
  <si>
    <t>Tekent de binnendiameter van vrijverval rioolleidingen</t>
  </si>
  <si>
    <t>Zet layer op maatvoering voor Riool vrijverval</t>
  </si>
  <si>
    <t>Tekent het ANDERE boorprofiel in het nieuw ONTWERP</t>
  </si>
  <si>
    <t>Neergaande lijn</t>
  </si>
  <si>
    <t>Neergaande bocht</t>
  </si>
  <si>
    <t>Horizontaal</t>
  </si>
  <si>
    <t>Opgaande bocht</t>
  </si>
  <si>
    <t>Opgaande lijn</t>
  </si>
  <si>
    <t xml:space="preserve">Gestuurde boring </t>
  </si>
  <si>
    <t>DOORSNEDE BOORGAT</t>
  </si>
  <si>
    <t>Straal ruimer/boorkop</t>
  </si>
  <si>
    <t>BOORGAT</t>
  </si>
  <si>
    <t>Ø boorkop</t>
  </si>
  <si>
    <t>_CIRCLE</t>
  </si>
  <si>
    <t>_DIMLINEAR</t>
  </si>
  <si>
    <t>_M</t>
  </si>
  <si>
    <t>Tekent de maatlijn van het ruimgat</t>
  </si>
  <si>
    <t>LAY OUT DRAWING</t>
  </si>
  <si>
    <t>_LAYOUT</t>
  </si>
  <si>
    <t>_New</t>
  </si>
  <si>
    <t>_.PSPACE</t>
  </si>
  <si>
    <t>(verwijderd de  standaard layout</t>
  </si>
  <si>
    <t>_ERASE</t>
  </si>
  <si>
    <t>TEKENBLAD</t>
  </si>
  <si>
    <t>_RECTANG</t>
  </si>
  <si>
    <t>TITELBLOK_TEKST</t>
  </si>
  <si>
    <t>VIEWPORT SITUATIE</t>
  </si>
  <si>
    <t>_VPORTS</t>
  </si>
  <si>
    <t>(ZOOMt uit naar het formaat layout, om de VPORT te kunnen selecteren)</t>
  </si>
  <si>
    <t>_W</t>
  </si>
  <si>
    <t>Window Linksonder</t>
  </si>
  <si>
    <t>Hoogte</t>
  </si>
  <si>
    <t>Window Rechtsboven</t>
  </si>
  <si>
    <t>-20,0</t>
  </si>
  <si>
    <t>N</t>
  </si>
  <si>
    <t>_MTEXT</t>
  </si>
  <si>
    <t>_.MSPACE</t>
  </si>
  <si>
    <t>Kopieert punten van regel 21, alignment Intrede-Uittredelijn horizontaal</t>
  </si>
  <si>
    <t>UCS richting kan overruled worden in INPUT blad</t>
  </si>
  <si>
    <t>_PLAN</t>
  </si>
  <si>
    <t>x= Helft van de hemelsbrede afstand tussen in- en uittrede; y=0</t>
  </si>
  <si>
    <t>_C</t>
  </si>
  <si>
    <t>VIEWPORT LENGTEPROFIEL</t>
  </si>
  <si>
    <t>Zoomen op schaal en naar centrum lengteprofieltekening':</t>
  </si>
  <si>
    <t>x1= Helft van de maaiveldlijn; x2= verplaatsing naar rechts; y1= gemiddelde van hoogte-rasterlijnen; y2= hoogtecorrectie</t>
  </si>
  <si>
    <t>TEKST FIELD  GPS PUNTEN</t>
  </si>
  <si>
    <t>GPS PUNTEN BOORLIJN:</t>
  </si>
  <si>
    <t>BZK alleen A en B, Boring complete lijst:</t>
  </si>
  <si>
    <t>Start tekst positie</t>
  </si>
  <si>
    <t>Regelhoogte</t>
  </si>
  <si>
    <t>Teksthoogte</t>
  </si>
  <si>
    <t>VIEWPORT BOVENAANZICHT</t>
  </si>
  <si>
    <t>(ZOOMt uit, om de VPORT te kunnen selecteren)</t>
  </si>
  <si>
    <t>TEXTWindow Linksonder</t>
  </si>
  <si>
    <t>Zoomt naar Midden tussen in- en uittrede</t>
  </si>
  <si>
    <t>VIEWPORT LEGENDA</t>
  </si>
  <si>
    <t>LEGENDA</t>
  </si>
  <si>
    <t>LIJNTYPE</t>
  </si>
  <si>
    <t>OMSCHRIJVING</t>
  </si>
  <si>
    <t>Tekenen Legenda in Model</t>
  </si>
  <si>
    <t>Uitzoomen naar papierformaat</t>
  </si>
  <si>
    <t>VIEWPORT DOORSNEDE BOORGAT</t>
  </si>
  <si>
    <t>Coords Viewport</t>
  </si>
  <si>
    <t>DOORSNEDE BOORGAT, NoS</t>
  </si>
  <si>
    <t>corr.</t>
  </si>
  <si>
    <t>Breedte VP</t>
  </si>
  <si>
    <t>Hoogte VP</t>
  </si>
  <si>
    <t>Ø Boorgat (1:10)</t>
  </si>
  <si>
    <t>Hoogte teksten</t>
  </si>
  <si>
    <t>Marge zijkant</t>
  </si>
  <si>
    <t>Regelafafstand</t>
  </si>
  <si>
    <t>Ruimfactor</t>
  </si>
  <si>
    <t>Tekstgrootte</t>
  </si>
  <si>
    <t>X correctie voor layout formaat</t>
  </si>
  <si>
    <t>LOGO Opdrachtgever (NU ALLEEN VOOR VAN BAARSEN)</t>
  </si>
  <si>
    <t>OPMERKING</t>
  </si>
  <si>
    <t>_c</t>
  </si>
  <si>
    <t>Correctie voor layout formaat</t>
  </si>
  <si>
    <t>Uitzondering gemaakt voor van Baarsen, ivm eigen logo</t>
  </si>
  <si>
    <t>REVISIE</t>
  </si>
  <si>
    <t>Model</t>
  </si>
  <si>
    <t>_PURGE</t>
  </si>
  <si>
    <t>_A</t>
  </si>
  <si>
    <t>*</t>
  </si>
  <si>
    <t>X0,boorprofiel</t>
  </si>
  <si>
    <t>Y0,boorprofiel</t>
  </si>
  <si>
    <t>Links</t>
  </si>
  <si>
    <t>Laagste punt boring</t>
  </si>
  <si>
    <t>Rechts</t>
  </si>
  <si>
    <t>Hoogste punt</t>
  </si>
  <si>
    <t>_PLOT</t>
  </si>
  <si>
    <t>_No</t>
  </si>
  <si>
    <t>DWG To PDF.pc3</t>
  </si>
  <si>
    <t>_Y</t>
  </si>
  <si>
    <t>STOP</t>
  </si>
  <si>
    <t>X.Zoeken</t>
  </si>
  <si>
    <t>from</t>
  </si>
  <si>
    <t>point,</t>
  </si>
  <si>
    <t>to</t>
  </si>
  <si>
    <t>Length</t>
  </si>
  <si>
    <t>Line Start</t>
  </si>
  <si>
    <t>FILTER(A18:B199;NIET(ISLEEG(B18:B199)))</t>
  </si>
  <si>
    <t>Aftrekken</t>
  </si>
  <si>
    <t>DEFENITIE LINETYPES</t>
  </si>
  <si>
    <t>ET_LS</t>
  </si>
  <si>
    <t>ET_MS</t>
  </si>
  <si>
    <t>ET_HS</t>
  </si>
  <si>
    <t>hs</t>
  </si>
  <si>
    <t>DATA_</t>
  </si>
  <si>
    <t>WATER</t>
  </si>
  <si>
    <t>GAS_L</t>
  </si>
  <si>
    <t>GAS_H</t>
  </si>
  <si>
    <t>hd</t>
  </si>
  <si>
    <t>VRIJV</t>
  </si>
  <si>
    <t>DRUK_</t>
  </si>
  <si>
    <t>pr</t>
  </si>
  <si>
    <t>WARMT</t>
  </si>
  <si>
    <t>warmte</t>
  </si>
  <si>
    <t>BUISL</t>
  </si>
  <si>
    <t>bgi</t>
  </si>
  <si>
    <t>Alternatieve hell.hoek</t>
  </si>
  <si>
    <t>Hellingshoek Ontwerp</t>
  </si>
  <si>
    <t>° zwart wanneer overruled door alternatief</t>
  </si>
  <si>
    <t>Diepte benodigd</t>
  </si>
  <si>
    <t>Afstand beschikbaar</t>
  </si>
  <si>
    <t>Te houden afstand</t>
  </si>
  <si>
    <t>Te behalen diepte</t>
  </si>
  <si>
    <t>Nieuwe lengte</t>
  </si>
  <si>
    <t>Intrede naar voren</t>
  </si>
  <si>
    <t>factor X</t>
  </si>
  <si>
    <t>Uittrede naar achter</t>
  </si>
  <si>
    <t>L Horizontaal beschikbaar</t>
  </si>
  <si>
    <t>Straal horizontaal</t>
  </si>
  <si>
    <t>Naar rechts</t>
  </si>
  <si>
    <t>Max. Hoek horiz. Bocht</t>
  </si>
  <si>
    <t>Hoek tov intrede boorlijn</t>
  </si>
  <si>
    <t>e</t>
  </si>
  <si>
    <t>Punt 1</t>
  </si>
  <si>
    <t>Tabelletje</t>
  </si>
  <si>
    <t>124163.22,407169.14</t>
  </si>
  <si>
    <t>124177.51,406999.48</t>
  </si>
  <si>
    <t>A in A2 overruled de ScritpWriting pop-up</t>
  </si>
  <si>
    <t>Tekening openen, dit nog toe te voegen</t>
  </si>
  <si>
    <t>START in MODEL: Ondergrond in kopieren, daarna:</t>
  </si>
  <si>
    <t>/* Teken GPS meetpunten en boorlijn */</t>
  </si>
  <si>
    <t>_CiRCLE</t>
  </si>
  <si>
    <t>Nederland</t>
  </si>
  <si>
    <t>Xmin</t>
  </si>
  <si>
    <t>Ymin</t>
  </si>
  <si>
    <t>Xmax</t>
  </si>
  <si>
    <t>Ymax</t>
  </si>
  <si>
    <t>_ICMwindowsBGT</t>
  </si>
  <si>
    <t>_ICMPrepareBGT</t>
  </si>
  <si>
    <t>_COPYBASE</t>
  </si>
  <si>
    <t>_ICMwindowsKLIC</t>
  </si>
  <si>
    <t>_ICMImportKLIC</t>
  </si>
  <si>
    <t>_ICMwindowsDKK</t>
  </si>
  <si>
    <t>_ICMprepareDKK</t>
  </si>
  <si>
    <t>MODEL</t>
  </si>
  <si>
    <t>MACHINEDATA</t>
  </si>
  <si>
    <t>Boorlijn</t>
  </si>
  <si>
    <t>Beschikbare machines</t>
  </si>
  <si>
    <t>S</t>
  </si>
  <si>
    <t>BZK</t>
  </si>
  <si>
    <t>Code Intredepunt</t>
  </si>
  <si>
    <t>J</t>
  </si>
  <si>
    <t xml:space="preserve">1e stang </t>
  </si>
  <si>
    <t>Code tussenpunt</t>
  </si>
  <si>
    <t>Ja</t>
  </si>
  <si>
    <t>Volgende stangen</t>
  </si>
  <si>
    <t>Code Uittredepunt</t>
  </si>
  <si>
    <t>Intrede hoek max.</t>
  </si>
  <si>
    <t>Intrede hoek max. in %</t>
  </si>
  <si>
    <t>Tekstterugloop vanaf Inpunt</t>
  </si>
  <si>
    <t>Radius max</t>
  </si>
  <si>
    <t>Tekstterugloop vanaf Uittredepunt</t>
  </si>
  <si>
    <t>Pilotboring (Øboorkop)</t>
  </si>
  <si>
    <t>Tekst bij In- en Uittrede boven punt regel 1</t>
  </si>
  <si>
    <t>A-INTREDE</t>
  </si>
  <si>
    <t>Tekst bij In- en Uittrede boven punt regel 2</t>
  </si>
  <si>
    <t>B-UITTREDE</t>
  </si>
  <si>
    <t>Tekst bij tussenpunten boven punt</t>
  </si>
  <si>
    <t>Tekstgrootte Boorpunten</t>
  </si>
  <si>
    <t>MANTELBUIZEN</t>
  </si>
  <si>
    <t>bundelfactor</t>
  </si>
  <si>
    <t>ruimfactor</t>
  </si>
  <si>
    <t>Boogzinker ruimfactor</t>
  </si>
  <si>
    <t>LENGTEPROFIEL</t>
  </si>
  <si>
    <t>Logonaam</t>
  </si>
  <si>
    <t>Tekst IN-/UITTTREDE boven NAP</t>
  </si>
  <si>
    <t>3D-Drilling</t>
  </si>
  <si>
    <t>M.Visser</t>
  </si>
  <si>
    <t>logo_3D</t>
  </si>
  <si>
    <t>Verbree Boogzinkers</t>
  </si>
  <si>
    <t>M.Verbree</t>
  </si>
  <si>
    <t>Verbree_logo</t>
  </si>
  <si>
    <t>Maatlijn doorsteek links en rechts</t>
  </si>
  <si>
    <t>van Baarsen Buisleidingen</t>
  </si>
  <si>
    <t>Baarsen_logo</t>
  </si>
  <si>
    <t>Voorloop NAP maten</t>
  </si>
  <si>
    <t>logo_Hogenhout</t>
  </si>
  <si>
    <t>ASF Infra</t>
  </si>
  <si>
    <t>Ashley</t>
  </si>
  <si>
    <t>logo_ASFinfra</t>
  </si>
  <si>
    <t>Kleine tekst</t>
  </si>
  <si>
    <t>logo_RenD</t>
  </si>
  <si>
    <t>Voorloop teksten Diepte maaiveld/NAP</t>
  </si>
  <si>
    <t>logo_direxta</t>
  </si>
  <si>
    <t>Voorloop bijbehorende maatlijn</t>
  </si>
  <si>
    <t>logo_kappert</t>
  </si>
  <si>
    <t>Tekst padding tov maatlijn</t>
  </si>
  <si>
    <t>logo_VTV</t>
  </si>
  <si>
    <t>Voorbijloop laatste maten</t>
  </si>
  <si>
    <t>logo_NeijhofVisser</t>
  </si>
  <si>
    <t>Harry Renting</t>
  </si>
  <si>
    <t>R.v.Veen</t>
  </si>
  <si>
    <t>HarryRenting_logo</t>
  </si>
  <si>
    <t>Diepte rastermaatlijnen:</t>
  </si>
  <si>
    <t>E.van Sommeren</t>
  </si>
  <si>
    <t>logo_Circet</t>
  </si>
  <si>
    <t>Maaiveld maat onder diepste punt boring</t>
  </si>
  <si>
    <t>Spitters</t>
  </si>
  <si>
    <t>B.van Eijnden</t>
  </si>
  <si>
    <t>logo_spitters</t>
  </si>
  <si>
    <t>NAP maat onder diepste punt boring</t>
  </si>
  <si>
    <t>logo_Eljes</t>
  </si>
  <si>
    <t>Boorlengtemaat onder diepste punt boring</t>
  </si>
  <si>
    <t>logo_Heuvel</t>
  </si>
  <si>
    <t>Lengtemaat onder diepste punt boring</t>
  </si>
  <si>
    <t>W.Meijer</t>
  </si>
  <si>
    <t>logo_Liander</t>
  </si>
  <si>
    <t>Radii maat onder diepste punt boring</t>
  </si>
  <si>
    <t>logo_VWT</t>
  </si>
  <si>
    <t>Tangenspunten onder diepste punt boring</t>
  </si>
  <si>
    <t>ATTRIBUTEN OMGEVING</t>
  </si>
  <si>
    <t>A.Tiemens</t>
  </si>
  <si>
    <t>logo_VanGelder</t>
  </si>
  <si>
    <t>Kabels en Leidingen</t>
  </si>
  <si>
    <t>Layer</t>
  </si>
  <si>
    <t>Standaard D</t>
  </si>
  <si>
    <t>Standaard diepte</t>
  </si>
  <si>
    <t>Letter</t>
  </si>
  <si>
    <t>BLOCK</t>
  </si>
  <si>
    <t>logo_BAM</t>
  </si>
  <si>
    <t>LD</t>
  </si>
  <si>
    <t>LD-GAS</t>
  </si>
  <si>
    <t>K</t>
  </si>
  <si>
    <t>Boom_Klein</t>
  </si>
  <si>
    <t>logo_ahak</t>
  </si>
  <si>
    <t>HD</t>
  </si>
  <si>
    <t>HD-GAS</t>
  </si>
  <si>
    <t>G</t>
  </si>
  <si>
    <t>Boom_Groot</t>
  </si>
  <si>
    <t>logo_apk</t>
  </si>
  <si>
    <t>BGI</t>
  </si>
  <si>
    <t>BUISLEIDING_GEVAARLIJKE_INHOUD</t>
  </si>
  <si>
    <t>Boom_Boven</t>
  </si>
  <si>
    <t>logo_MKC</t>
  </si>
  <si>
    <t>LS</t>
  </si>
  <si>
    <t>LAAGSPANNING</t>
  </si>
  <si>
    <t>Lantaarn</t>
  </si>
  <si>
    <t>MIR Infratechniek</t>
  </si>
  <si>
    <t>Ali (MIR)</t>
  </si>
  <si>
    <t>MIR_logo</t>
  </si>
  <si>
    <t>MS</t>
  </si>
  <si>
    <t>MIDDENSPANNING</t>
  </si>
  <si>
    <t>Damwand</t>
  </si>
  <si>
    <t>Rovor</t>
  </si>
  <si>
    <t>logo_Rovor</t>
  </si>
  <si>
    <t>HS</t>
  </si>
  <si>
    <t>HOOGSPANNING</t>
  </si>
  <si>
    <t>Afrastering</t>
  </si>
  <si>
    <t>DATA</t>
  </si>
  <si>
    <t>M</t>
  </si>
  <si>
    <t>Muur</t>
  </si>
  <si>
    <t>RV</t>
  </si>
  <si>
    <t>RIOOL-VRIJVERVAL</t>
  </si>
  <si>
    <t>Perceelgrens</t>
  </si>
  <si>
    <t>PR</t>
  </si>
  <si>
    <t>PERSRIOOL</t>
  </si>
  <si>
    <t>WATERLEIDING</t>
  </si>
  <si>
    <t>Warmte</t>
  </si>
  <si>
    <t>WARMTE</t>
  </si>
  <si>
    <t>DPO</t>
  </si>
  <si>
    <t>LAY-OUT / TITELBLOK ONTWERP</t>
  </si>
  <si>
    <t>Lengte hemelsbreed</t>
  </si>
  <si>
    <t>Z=</t>
  </si>
  <si>
    <t>Papierformaten</t>
  </si>
  <si>
    <t>Lay-out formaat</t>
  </si>
  <si>
    <t>Breedte papier</t>
  </si>
  <si>
    <t>Hoogte papier</t>
  </si>
  <si>
    <t>Lengte Viewport SITUATIE</t>
  </si>
  <si>
    <t>Schaal Situatietekening          1:</t>
  </si>
  <si>
    <t>Lengte Viewport BOORPROFIEL</t>
  </si>
  <si>
    <t>m Offset lengte Viewport SITUATIE</t>
  </si>
  <si>
    <t>Schaal Lengte profiel          1:</t>
  </si>
  <si>
    <t>Lengte profiel</t>
  </si>
  <si>
    <t>m Offset lengte Viewport BOORPROFIEL</t>
  </si>
  <si>
    <t>(Bij A3 formaat, gecorrigeerd voor andere tekeningformaten)</t>
  </si>
  <si>
    <t>Titelblok tekst voorloop</t>
  </si>
  <si>
    <t>POSITIES VIEWPORTEN EN TITEL</t>
  </si>
  <si>
    <t>Viewport SITUATIE, linkeronderhoek</t>
  </si>
  <si>
    <t>X1</t>
  </si>
  <si>
    <t>Y1</t>
  </si>
  <si>
    <t>Bovenhoek LENGTEPROF. +3</t>
  </si>
  <si>
    <t>Viewport SITUATIE, rechterbovenhoek</t>
  </si>
  <si>
    <t>X2</t>
  </si>
  <si>
    <t>Ax - breedte GPS veld</t>
  </si>
  <si>
    <t>Y2</t>
  </si>
  <si>
    <t>Van papierformaat</t>
  </si>
  <si>
    <t>Positie tekst 'SITUATIE, SCHAAL 1:XXX'</t>
  </si>
  <si>
    <t>X3</t>
  </si>
  <si>
    <t>Y3</t>
  </si>
  <si>
    <t>Viewport LENGTEPROFIEL, linkeronderhoek</t>
  </si>
  <si>
    <t>X4</t>
  </si>
  <si>
    <t>80</t>
  </si>
  <si>
    <t>Y4</t>
  </si>
  <si>
    <t>Parameter hoogte Viewport LENGTEPROFIEL</t>
  </si>
  <si>
    <t>Viewport LENGTEPROFIEL, rechterbovenhoek</t>
  </si>
  <si>
    <t>X5</t>
  </si>
  <si>
    <t>Ax - randen</t>
  </si>
  <si>
    <t>Tekst boven MV</t>
  </si>
  <si>
    <t>Hoogste punt MV</t>
  </si>
  <si>
    <t>Diepste punt boring</t>
  </si>
  <si>
    <t>Onder boring</t>
  </si>
  <si>
    <t>Tekst Viewport (HIERMEE HOOGTE VIEWPORT WIJZIGEN)</t>
  </si>
  <si>
    <t>Y5</t>
  </si>
  <si>
    <t>Positie tekst 'LENGTEPROFIEL, SCHAAL 1:XXX'</t>
  </si>
  <si>
    <t>X6</t>
  </si>
  <si>
    <t>Param. X3 + X4</t>
  </si>
  <si>
    <t>Y6</t>
  </si>
  <si>
    <t>Viewport DOORSNEDE, linkeronderhoek</t>
  </si>
  <si>
    <t>X7</t>
  </si>
  <si>
    <t>Uit linkerzijkant</t>
  </si>
  <si>
    <t>Y7</t>
  </si>
  <si>
    <t>3 boven viewport LENGTEPROFIEL</t>
  </si>
  <si>
    <t>Viewport DOORSNEDE, rechterbovenhoek</t>
  </si>
  <si>
    <t>X8</t>
  </si>
  <si>
    <t>Zelfde als van GPS coords</t>
  </si>
  <si>
    <t>&gt;A3</t>
  </si>
  <si>
    <t>Hoogte Viewport DOORSNEDE afhankelijk van hoogte papierformaat</t>
  </si>
  <si>
    <t>Y8</t>
  </si>
  <si>
    <t>Waarde boven onderhoek</t>
  </si>
  <si>
    <t>Positie tekst 'DOORSNEDE BOOORGAT, NoS'</t>
  </si>
  <si>
    <t>X9</t>
  </si>
  <si>
    <t>Y9</t>
  </si>
  <si>
    <t>Startpositie tekst boorgat afmetingen</t>
  </si>
  <si>
    <t>Tekstgrootte tekstvak</t>
  </si>
  <si>
    <t>Regelafstand tesktvak</t>
  </si>
  <si>
    <t>3XP</t>
  </si>
  <si>
    <t>Aantal mantelbuizen</t>
  </si>
  <si>
    <t xml:space="preserve">STUKS </t>
  </si>
  <si>
    <t>Locatie in Model, linkeronderhoek</t>
  </si>
  <si>
    <t>Locatie in Model, rechterbovenhoek</t>
  </si>
  <si>
    <t>Midden boorgat tekening, X</t>
  </si>
  <si>
    <t>Midden boorgat tekening, Y</t>
  </si>
  <si>
    <t>Factor</t>
  </si>
  <si>
    <t>Tabel hoogte tekstvak - aantal regels</t>
  </si>
  <si>
    <t>Viewport GPS PUNTEN, linkeronderhoek</t>
  </si>
  <si>
    <t>X10</t>
  </si>
  <si>
    <t>Y10</t>
  </si>
  <si>
    <t>Viewport GPS PUNTEN, rechterbovenhoek</t>
  </si>
  <si>
    <t>X11</t>
  </si>
  <si>
    <t>param.X1 + param. X11</t>
  </si>
  <si>
    <t>Y11</t>
  </si>
  <si>
    <t>Positie tekst 'GPS PUNTEN'</t>
  </si>
  <si>
    <t>X12</t>
  </si>
  <si>
    <t>Marge links X1 + param. X12</t>
  </si>
  <si>
    <t>Y12</t>
  </si>
  <si>
    <t>Viewport BOVENAANZICHT, linkeronderhoek</t>
  </si>
  <si>
    <t>X13</t>
  </si>
  <si>
    <t>Y13</t>
  </si>
  <si>
    <t>Viewport BOVENAANZICHT, rechterbovenhoek</t>
  </si>
  <si>
    <t>X14</t>
  </si>
  <si>
    <t>Y14</t>
  </si>
  <si>
    <t>Positie tekst 'BOVENAANZICHT, SCHAAL 1:XXX'</t>
  </si>
  <si>
    <t>X15</t>
  </si>
  <si>
    <t>Y15</t>
  </si>
  <si>
    <t>Viewport LEGENDA, linkeronderhoek</t>
  </si>
  <si>
    <t>X16</t>
  </si>
  <si>
    <t>Y16</t>
  </si>
  <si>
    <t>Viewport LEGENDA, rechterbovenhoek</t>
  </si>
  <si>
    <t>X17</t>
  </si>
  <si>
    <t>Y17</t>
  </si>
  <si>
    <t>Positie tekst 'LEGENDA'</t>
  </si>
  <si>
    <t>X18</t>
  </si>
  <si>
    <t>Y18</t>
  </si>
  <si>
    <t>Gestuurd boren Aanvraag</t>
  </si>
  <si>
    <t>Diepte en ligging kabels en leidingen zijn indicatief geprojecteerd op basis van KLIC-melding. Exacte diepte en ligging vooraf controleren middels proefsleuven en visuele inspectie van (riool)putten. Diepte te passeren persleidingen onbekend. 
Verkeersmaatregelen treffen conform CROW publicatie 96b.
Pilotboring realiseren met walk-over meetsysteem.</t>
  </si>
  <si>
    <t>Gestuurd boren As-Built</t>
  </si>
  <si>
    <t>Boorprofiel is bepaald op basis van meetgegevens van een walk-over meetsysteem en helling-instellingen van de boormachine tijdens de pilotboring. Gegevens kunnen door storende elementen afwijken van de werkelijkheid. Voorbeelden hiervan kunnen zijn: damwanden, betonijzer, rails, bodemsituatie etc.
Maaiveld is op basis van een beperkt aantal GPS metingen en moet worden aangemerkt als indicatief.</t>
  </si>
  <si>
    <t>Boogzinker aanvraag</t>
  </si>
  <si>
    <t>Diepte boogzinker t.o.v. maaiveld intredepunt. Profiel is theoretisch en indicatief. Werkelijk profiel kan afwijken door bijvoorbeeld bodemopbouw, ondergrondse obstakels etc.</t>
  </si>
  <si>
    <t>Boogzinker As-Built</t>
  </si>
  <si>
    <t>Diepte boogzinker t.o.v. maaiveld intredepunt.  Profiel is theoretisch en indicatief. Werkelijk profiel kan afwijken door bijvoorbeeld bodemopbouw, ondergrondse obstakels etc.</t>
  </si>
  <si>
    <t>Boogboring aanvraag</t>
  </si>
  <si>
    <t>Diepte boogboring t.o.v. maaiveld intredepunt. Profiel is theoretisch en indicatief. Werkelijk profiel kan afwijken door bijvoorbeeld bodemopbouw, ondergrondse obstakels etc.</t>
  </si>
  <si>
    <t>Boogboring As-Built</t>
  </si>
  <si>
    <t>Diepte boogboring t.o.v. maaiveld intredepunt.  Profiel is theoretisch en indicatief. Werkelijk profiel kan afwijken door bijvoorbeeld bodemopbouw, ondergrondse obstakels etc.</t>
  </si>
  <si>
    <t>Boorstaat bij tekening:</t>
  </si>
  <si>
    <t>Klant:</t>
  </si>
  <si>
    <t xml:space="preserve">Adres: </t>
  </si>
  <si>
    <t>Machine:</t>
  </si>
  <si>
    <t>Buis:</t>
  </si>
  <si>
    <t>Hor. 
Afstand</t>
  </si>
  <si>
    <t>Einddiepte
stang</t>
  </si>
  <si>
    <t>Diepte
gemeten</t>
  </si>
  <si>
    <t>Eindhelling
gemeten</t>
  </si>
  <si>
    <t xml:space="preserve"> </t>
  </si>
  <si>
    <t>VU</t>
  </si>
  <si>
    <t>VanVulpen</t>
  </si>
  <si>
    <t>logo_vanVulpen</t>
  </si>
  <si>
    <t>B-OI-OG-TERREIN_CULTUURSCHEIDING-GV</t>
  </si>
  <si>
    <t>B-OI-VH-VERHARDING_BETONSTRAATSTEEN-GV</t>
  </si>
  <si>
    <t>B-OI-VH-VERHARDING_ASFALT-GV</t>
  </si>
  <si>
    <t>B-OI-VH-VERHARDING_TEGEL-GV</t>
  </si>
  <si>
    <t>Lijst BGT layers</t>
  </si>
  <si>
    <t>logo_Dynniq</t>
  </si>
  <si>
    <t>N.Slagbom</t>
  </si>
  <si>
    <t>Volgens Variabelen</t>
  </si>
  <si>
    <t>B-OI-OG-WATER_SLOOT-GV</t>
  </si>
  <si>
    <t>B-OI-GR-GROENVOORZIENING-GV</t>
  </si>
  <si>
    <t>B-OI-GR-GRAS-GV</t>
  </si>
  <si>
    <t>34.6050,</t>
  </si>
  <si>
    <t>in</t>
  </si>
  <si>
    <t>XY</t>
  </si>
  <si>
    <t>Plane</t>
  </si>
  <si>
    <t>Delta</t>
  </si>
  <si>
    <t>33.5889,</t>
  </si>
  <si>
    <t>-8.3239,</t>
  </si>
  <si>
    <t>ARC</t>
  </si>
  <si>
    <t>Layer:</t>
  </si>
  <si>
    <t>Space:</t>
  </si>
  <si>
    <t>space</t>
  </si>
  <si>
    <t>Handle</t>
  </si>
  <si>
    <t>1baff</t>
  </si>
  <si>
    <t>center</t>
  </si>
  <si>
    <t>radius</t>
  </si>
  <si>
    <t>start</t>
  </si>
  <si>
    <t>angle</t>
  </si>
  <si>
    <t>end</t>
  </si>
  <si>
    <t>length</t>
  </si>
  <si>
    <t>1baf7</t>
  </si>
  <si>
    <t>7.4496,</t>
  </si>
  <si>
    <t>4.8775,</t>
  </si>
  <si>
    <t>-5.6309,</t>
  </si>
  <si>
    <t>1bb00</t>
  </si>
  <si>
    <t>Press</t>
  </si>
  <si>
    <t>continue:</t>
  </si>
  <si>
    <t>1baf8</t>
  </si>
  <si>
    <t>1baf6</t>
  </si>
  <si>
    <t>FILTER(M2:M60;ISGETAL(M2:M60))</t>
  </si>
  <si>
    <t>FILTER(N2:N60;ISGETAL(N2:N60))</t>
  </si>
  <si>
    <t>VERHARDING</t>
  </si>
  <si>
    <t>Handle = f07f</t>
  </si>
  <si>
    <t>A.Hak Zuid B.V.</t>
  </si>
  <si>
    <t>R.Aouragh</t>
  </si>
  <si>
    <t>UNIEK(N62:N261;ONWAAR)</t>
  </si>
  <si>
    <t>diepte damwand ingeschat 2x kerende hoogte</t>
  </si>
  <si>
    <t>MAX 999</t>
  </si>
  <si>
    <t>Contactpersoon (rood is OVERRULEN)</t>
  </si>
  <si>
    <t>B-OI-OG-WATER-GV</t>
  </si>
  <si>
    <t>B-OI-VH-VERHARDING_BEDRIJFSVLOERPLAAT-GV</t>
  </si>
  <si>
    <t>GB</t>
  </si>
  <si>
    <t>BZ</t>
  </si>
  <si>
    <t>Hoe groter y2, hoe lager het profiel in de layout staat, waarde is BZ/BG afhankelijk</t>
  </si>
  <si>
    <t>Boogzinkers</t>
  </si>
  <si>
    <t>Diepte profiel</t>
  </si>
  <si>
    <t>VSH</t>
  </si>
  <si>
    <t>L.Gorman</t>
  </si>
  <si>
    <t>logo_VSH</t>
  </si>
  <si>
    <t>VS</t>
  </si>
  <si>
    <t>B-OI-OG-TERREIN_OEVER-GV</t>
  </si>
  <si>
    <t>B-OI-VH-GESLOTENVERHARDING_ASFALT-GV</t>
  </si>
  <si>
    <t>B-OI-OG-WEG-GV</t>
  </si>
  <si>
    <t>B-OI-VH-OPENVERHARDING_BETONSTRAATSTEEN-GV</t>
  </si>
  <si>
    <t>Hieronder link naar AHN4_TEMP</t>
  </si>
  <si>
    <t>GPS file</t>
  </si>
  <si>
    <t>_BR</t>
  </si>
  <si>
    <t>NV nr. / KB client ref.</t>
  </si>
  <si>
    <t>DRUK-</t>
  </si>
  <si>
    <t>DATA-</t>
  </si>
  <si>
    <t>``</t>
  </si>
  <si>
    <t>Opmerkingen naar Carel</t>
  </si>
  <si>
    <t>- GPS meten altijd van in naar uittrede of?</t>
  </si>
  <si>
    <t>- maaiveld beter inmeten, vooral talud van watergangen</t>
  </si>
  <si>
    <t>Stand boogzinker (P)</t>
  </si>
  <si>
    <t xml:space="preserve">Rboogzinker (R) </t>
  </si>
  <si>
    <t>li</t>
  </si>
  <si>
    <t>Intersection LINE</t>
  </si>
  <si>
    <t xml:space="preserve">   </t>
  </si>
  <si>
    <t>AHN3</t>
  </si>
  <si>
    <t>HDD Persriool, profiel onbekend</t>
  </si>
  <si>
    <t>p</t>
  </si>
  <si>
    <t>Quint&amp;vanGinkel</t>
  </si>
  <si>
    <t>R.Kada</t>
  </si>
  <si>
    <t>QG</t>
  </si>
  <si>
    <t>logo_QuintvG</t>
  </si>
  <si>
    <t>A in A2 overrules de 'AutoCAD script for Script saved' pop-up</t>
  </si>
  <si>
    <t>ScriptWritingFile gebruiken voor Bzrevs:
- 1 invullen in cel K15, danwel L16,
- Clear K&amp;L, streets &amp; watergangen,
- Set distance in Ontwerp!B268 to high value, eg 50
- A invullen in Script!A2 om pop-up te onderdrukken,</t>
  </si>
  <si>
    <t>Path to BGT_All file</t>
  </si>
  <si>
    <t>Path to empty DWG</t>
  </si>
  <si>
    <t>Variable Name</t>
  </si>
  <si>
    <t>Path to folder for .dwg and .pdf output</t>
  </si>
  <si>
    <t>Path to script file</t>
  </si>
  <si>
    <t>Variable Value</t>
  </si>
  <si>
    <t>Path to Klantenbestand</t>
  </si>
  <si>
    <t>Path to NV-MASTER</t>
  </si>
  <si>
    <t>Path to KB-MASTER</t>
  </si>
  <si>
    <t>https://d.docs.live.net/12c0588a23d5dc06/GestuurdeBoringTekening/8. KAPPERT/KB-MASTER.xlsm</t>
  </si>
  <si>
    <t>https://d.docs.live.net/12c0588a23d5dc06/GestuurdeBoringTekening/10. NEIJHOF^0VISSER/NV-MASTER.xlsm</t>
  </si>
  <si>
    <t>G:\Mijn Drive\GBT\Klantenbestand.xlsx</t>
  </si>
  <si>
    <t>Nid paths</t>
  </si>
  <si>
    <t>Martien Paths</t>
  </si>
  <si>
    <t>C:\Users\nidso\OneDrive\GestuurdeBoringTekening\8. KAPPERT\KB23R047 revisies week 47 BZ\</t>
  </si>
  <si>
    <t>D:\OneDrive\GestuurdeBoringTekening\8. KAPPERT\KB23R047 revisies week 47 BZ\</t>
  </si>
  <si>
    <t>G:\.shortcut-targets-by-id\17kiq5-CYXSBwDjwDPbu4d9l8GNgi6HrR\GBT\BZrevTool\BZRevToolKAPPERT\Template.dwg</t>
  </si>
  <si>
    <t>G:\Mijn Drive\GBT\BoringenRevTool\BZRevToolKAPPERT\Template.dwg</t>
  </si>
  <si>
    <t>G:\.shortcut-targets-by-id\17kiq5-CYXSBwDjwDPbu4d9l8GNgi6HrR\GBT\BZrevTool\BGT_All.dwg</t>
  </si>
  <si>
    <t>C:\Users\nidso\OneDrive\GestuurdeBoringTekening\AUTOMATISERING\Scriptsheets\Microsoft\AddIns\Script.scr</t>
  </si>
  <si>
    <t>D:\OneDrive\GestuurdeBoringTekening\AUTOMATISERING\Scriptsheets\Microsoft\AddIns\Script.scr</t>
  </si>
  <si>
    <t>G:\.shortcut-targets-by-id\17kiq5-CYXSBwDjwDPbu4d9l8GNgi6HrR\GBT\Klantenbestand.xlsx</t>
  </si>
  <si>
    <t>C:\Users\nidso\OneDrive\GestuurdeBoringTekening\10. NEIJHOF&amp;VISSER\NV-MASTER.xlsm</t>
  </si>
  <si>
    <t>D:\OneDrive\GestuurdeBoringTekening\10. NEIJHOF&amp;VISSER\NV-MASTER.xlsm</t>
  </si>
  <si>
    <t>C:\Users\nidso\OneDrive\GestuurdeBoringTekening\8. KAPPERT\KB-MASTER.xlsm</t>
  </si>
  <si>
    <t>D:\OneDrive\GestuurdeBoringTekening\8. KAPPERT\KB-MASTER.xlsm</t>
  </si>
  <si>
    <t>G:\Mijn Drive\GBT\BZrevTool\BGT_All.dwg</t>
  </si>
  <si>
    <t>MAAIVELD HOOGTE</t>
  </si>
  <si>
    <t xml:space="preserve">FOUTCONTROLE </t>
  </si>
  <si>
    <t>Deze formule kopieren naar I112:I431</t>
  </si>
  <si>
    <t>NA</t>
  </si>
  <si>
    <t>EV Liander HD gas</t>
  </si>
  <si>
    <t>EV PWN NGIJ500</t>
  </si>
  <si>
    <t>AR</t>
  </si>
  <si>
    <t>logo_Artemis</t>
  </si>
  <si>
    <t>Artemis</t>
  </si>
  <si>
    <t>Nano</t>
  </si>
  <si>
    <t>VermeerD40</t>
  </si>
  <si>
    <t>TerraJetD13</t>
  </si>
  <si>
    <t>TerraJetD23</t>
  </si>
  <si>
    <t>TerraJetD40</t>
  </si>
  <si>
    <t>Machineblock</t>
  </si>
  <si>
    <t>Welke titelblok voor welke opdrachtgever</t>
  </si>
  <si>
    <t>Vergunning of As-Built</t>
  </si>
  <si>
    <t>onbekende techniek</t>
  </si>
  <si>
    <t>"KIES Techniek</t>
  </si>
  <si>
    <t>"CHECK Boring, Boogzinker, Boorboring of Persing"</t>
  </si>
  <si>
    <t>.</t>
  </si>
  <si>
    <t>Block Boorgat INtrede</t>
  </si>
  <si>
    <t>Block Boorgat UITtrede</t>
  </si>
  <si>
    <t>Aboorgat1.5x1</t>
  </si>
  <si>
    <t>BoretechBT2510</t>
  </si>
  <si>
    <t xml:space="preserve">Perslengte </t>
  </si>
  <si>
    <t xml:space="preserve">Boorlengte </t>
  </si>
  <si>
    <t xml:space="preserve">Geboorde lengte </t>
  </si>
  <si>
    <t>Aboorgat3x1</t>
  </si>
  <si>
    <t>Aboorgat2x1</t>
  </si>
  <si>
    <t>Bboorgat3x1</t>
  </si>
  <si>
    <t>Bboorgat1.5x1</t>
  </si>
  <si>
    <t>Pers</t>
  </si>
  <si>
    <t>Aboorgat5x1</t>
  </si>
  <si>
    <t>BboorgatPers1x1</t>
  </si>
  <si>
    <t>INDIEN INTREDE ONDER MAAIVELD</t>
  </si>
  <si>
    <t>Persing Aanvraag</t>
  </si>
  <si>
    <t>Diepte persing t.o.v. maaiveld. Profiel is theoretisch en indicatief. Werkelijk profiel kan afwijken door bijvoorbeeld bodemopbouw, ondergrondse obstakels, of grondwater.</t>
  </si>
  <si>
    <t/>
  </si>
  <si>
    <t>3D24V407-01 Amsterdam, Langsom.xlsm</t>
  </si>
  <si>
    <t>114467.379293864,483864.46011618,114483.5475,483855.9777</t>
  </si>
  <si>
    <t>3D24V413-01 Santpoort-Noord, Spekkenwegje.xlsm</t>
  </si>
  <si>
    <t>VV24V201-01 DP007 Edam, Klundert.xlsm</t>
  </si>
  <si>
    <t>TerraJetDJ40</t>
  </si>
  <si>
    <t>TerraJetDJ23</t>
  </si>
  <si>
    <t>TerraJetDJ13</t>
  </si>
  <si>
    <t>DJ13</t>
  </si>
  <si>
    <t>DJ23</t>
  </si>
  <si>
    <t>DJ40</t>
  </si>
  <si>
    <t>VV24V201-02 DP019 Edam, Kwakelsteeg.xlsm</t>
  </si>
  <si>
    <t>VV24V201-03 DP020 Edam, Singeldreef.xlsm</t>
  </si>
  <si>
    <t>BT24V001-05 Winschoten, Lijnbaan.xlsm</t>
  </si>
  <si>
    <t>BTL</t>
  </si>
  <si>
    <t>M. van Rijt</t>
  </si>
  <si>
    <t>BT</t>
  </si>
  <si>
    <t>logo_BTLdrilling</t>
  </si>
  <si>
    <t xml:space="preserve">TM </t>
  </si>
  <si>
    <t>E. Heijnekamp</t>
  </si>
  <si>
    <t>TM</t>
  </si>
  <si>
    <t>logo_Tmtechniek</t>
  </si>
  <si>
    <t>BT24V001-06 Winschoten, Oostelijke Randweg.xlsm</t>
  </si>
  <si>
    <t>KB24V206-01 Wirdum, Werpsterdyk 12.xlsm</t>
  </si>
  <si>
    <t>kernzone</t>
  </si>
  <si>
    <t>TA24V001-01 Oldeholtwolde, Stelweg.xlsm</t>
  </si>
  <si>
    <t>Talsma Infra</t>
  </si>
  <si>
    <t>S.Talsma</t>
  </si>
  <si>
    <t>logo_Talsma</t>
  </si>
  <si>
    <t>TA</t>
  </si>
  <si>
    <t>RD24V203-01 Zaandam ZO, Twiskeweg.xlsm</t>
  </si>
  <si>
    <t>VV24V202-02 CONCEPT2 Abcoude, Burgemeester des Tombeweg.xlsm</t>
  </si>
  <si>
    <t>VV24V210-01 Eemnes, A27.xlsm</t>
  </si>
  <si>
    <t>D:\OneDrive\GestuurdeBoringTekening\AUTOMATISERING\Scriptsheets\Script.scr</t>
  </si>
  <si>
    <t>3D24V440-01 Oude Meer, Fokkerweg.xlsm</t>
  </si>
  <si>
    <t>Euronet</t>
  </si>
  <si>
    <t>N.Japenga</t>
  </si>
  <si>
    <t>EN</t>
  </si>
  <si>
    <t>logo_Euronet</t>
  </si>
  <si>
    <t>Rad</t>
  </si>
  <si>
    <t>Line End point</t>
  </si>
  <si>
    <t>@length</t>
  </si>
  <si>
    <t>fietspad</t>
  </si>
  <si>
    <t>voetpad</t>
  </si>
  <si>
    <t xml:space="preserve">Eurofiber </t>
  </si>
  <si>
    <t>CN24V019-01 Eindhoven, Het Eeuwsel.xlsm</t>
  </si>
  <si>
    <t>FU24V001-01 CONCEPT Hengelo, Ketelmakerij.xlsm</t>
  </si>
  <si>
    <t>Bruton Boortechniek</t>
  </si>
  <si>
    <t>Fiberunie</t>
  </si>
  <si>
    <t>A.Beelen</t>
  </si>
  <si>
    <t>FU</t>
  </si>
  <si>
    <t>logo_Fiberunie</t>
  </si>
  <si>
    <t>BH</t>
  </si>
  <si>
    <t>logo_Bruton</t>
  </si>
  <si>
    <t>To improve</t>
  </si>
  <si>
    <t>Fouten in files</t>
  </si>
  <si>
    <t>FU24V001-01 CONCEPT Hengelo, Ketelmakerij</t>
  </si>
  <si>
    <t>3D24V464-03 of -04 Amstelveen, Noorddammerweg</t>
  </si>
  <si>
    <t>NEV</t>
  </si>
  <si>
    <t>AA24V099-01 City, Street.xlsm</t>
  </si>
  <si>
    <t>3D24V442-09 Kudelstraat, Provincialeweg</t>
  </si>
  <si>
    <t>KorfKB</t>
  </si>
  <si>
    <t>MHT</t>
  </si>
  <si>
    <t>F.Mouhout</t>
  </si>
  <si>
    <t>K.Korf</t>
  </si>
  <si>
    <t>logo_polderzon</t>
  </si>
  <si>
    <t>logo_MHT</t>
  </si>
  <si>
    <t>logo_KorfKB</t>
  </si>
  <si>
    <t>KK</t>
  </si>
  <si>
    <t>MT</t>
  </si>
  <si>
    <t>Polderzon</t>
  </si>
  <si>
    <t>F.v.Pelt</t>
  </si>
  <si>
    <t>PZ</t>
  </si>
  <si>
    <t>HVI Infra</t>
  </si>
  <si>
    <t>B.Hamers</t>
  </si>
  <si>
    <t>HV</t>
  </si>
  <si>
    <t>logo_HVI</t>
  </si>
  <si>
    <t>D:\OneDrive\GestuurdeBoringTekening\39. HVI Infra\[HV-MASTER.xlsm]Lijst'!$A$3:$AA$1044</t>
  </si>
  <si>
    <t>D:\OneDrive\GestuurdeBoringTekening\8. KAPPERT\[KB-MASTER.xlsm]Lijst'!$A$3:$AA$1044</t>
  </si>
  <si>
    <t>D:\OneDrive\GestuurdeBoringTekening\10. NEIJHOF&amp;VISSER/[NV-MASTER.xlsm]Lijst'!$A$10:$AA$1044</t>
  </si>
  <si>
    <t>Kappert</t>
  </si>
  <si>
    <t>HVI</t>
  </si>
  <si>
    <t>Marge voor zoombereik</t>
  </si>
  <si>
    <t>C</t>
  </si>
  <si>
    <t>AA24V099-01 City, Street20240706.xlsm</t>
  </si>
  <si>
    <t>BZKR</t>
  </si>
  <si>
    <t>M.Luijben</t>
  </si>
  <si>
    <t>Hoogte Viewport LEGENDA afhankelijk Type As-Built/Vergunning en van hoogte papierformaat</t>
  </si>
  <si>
    <t>G:\Mijn Drive\GBT\BZrevTool\Template.dwg</t>
  </si>
  <si>
    <t>D:\OneDrive\GestuurdeBoringTekening\39. HVI Infra\HV-MASTER.xlsm</t>
  </si>
  <si>
    <t>Path to HV-MASTER</t>
  </si>
  <si>
    <t xml:space="preserve">HV24RZ27-12 Nieuwerkerk aan den IJssel, Raadhuisplein </t>
  </si>
  <si>
    <t>HV24RZ27-13 Nieuwerkerk aan den IJssel, Ringvaartlaan</t>
  </si>
  <si>
    <t xml:space="preserve">HV24RZ27-14 Nieuwerkerk aan den IJssel, Ringvaartlaan </t>
  </si>
  <si>
    <t>HV24RZ27-15 Nieuwerkerk aan den IJssel, Polderdreef</t>
  </si>
  <si>
    <t>HV24RZ27-16 Nieuwerkerk aan den IJssel, Polderdreef</t>
  </si>
  <si>
    <t>HV24RZ27-17 Nieuwerkerk aan den IJssel, Zuidplaslaan</t>
  </si>
  <si>
    <t xml:space="preserve">HV24RZ27-18 Nieuwerkerk aan den IJssel, Raadhuisplein </t>
  </si>
  <si>
    <t xml:space="preserve">HV24RZ27-19 Nieuwerkerk aan den IJssel, Raadhuisplein </t>
  </si>
  <si>
    <t>HV24RZ27-20 Leimuiden, Wateringweg</t>
  </si>
  <si>
    <t xml:space="preserve">HV24RZ27-21 Doornenburg, Blauwe Hoek </t>
  </si>
  <si>
    <t>VERT.ZOEKEN($D$7;'[KB-MASTER.xlsm]Lijst'!$A$3:$AB$999;$J16;ONWAAR)</t>
  </si>
  <si>
    <t>VERT.ZOEKEN($D$7;'[NV-MASTER.xlsm]Lijst'!$A$4:$AB$999;$J16;ONWAAR)</t>
  </si>
  <si>
    <t>VERT.ZOEKEN($D$7;'[HV-MASTER.xlsm]Lijst'!$A$4:$AB$999;$J16;ONWAAR)</t>
  </si>
  <si>
    <t>D:\OneDrive\GestuurdeBoringTekening\39. HVI Infra\HV24R027 Revisies week 27 BZ\</t>
  </si>
  <si>
    <t>VERT.ZOEKEN($S42;'[KB-MASTER.xlsm]Lijst'!$A$3:$BF$999;58;ONWAAR)</t>
  </si>
  <si>
    <t>VERT.ZOEKEN($S42;'[NV-MASTER.xlsm]Lijst'!$A$4:$BF$999;57;ONWAAR)</t>
  </si>
  <si>
    <t>VERT.ZOEKEN($S42;'[KB-MASTER.xlsm]Lijst'!$A$4:$BF$999;57;ONWAAR)</t>
  </si>
  <si>
    <t>VERT.ZOEKEN($S42;'[NV-MASTER.xlsm]Lijst'!$A$4:$BF$999;58;ONWAAR)</t>
  </si>
  <si>
    <t>VERT.ZOEKEN($S42;'[HV-MASTER.xlsm]Lijst'!$A$4:$BF$999;57;ONWAAR)</t>
  </si>
  <si>
    <t>VERT.ZOEKEN($S42;'[HV-MASTER.xlsm]Lijst'!$A$4:$BF$999;58;ONWAAR)</t>
  </si>
  <si>
    <t>Gestuurde boring</t>
  </si>
  <si>
    <t>Boogzinker</t>
  </si>
  <si>
    <t>Boogboring</t>
  </si>
  <si>
    <t>Persing</t>
  </si>
  <si>
    <t>NanoDrill gestuurde boring</t>
  </si>
  <si>
    <t>F.Nijboer</t>
  </si>
  <si>
    <t>AA24V099-01 City, Street20240804.xlsm</t>
  </si>
  <si>
    <t>Badweg</t>
  </si>
  <si>
    <t>B-OI-KL-GAS_LD_LIANDER NV PAC 2AI68G2-G</t>
  </si>
  <si>
    <t>B-OI-KL-GAS_LD_MANTELBUIS_LIANDER NV PAC 2AI68G2-G</t>
  </si>
  <si>
    <t>B-OI-KL-DATA_EUROFIBER NEDERLAND BV-G</t>
  </si>
  <si>
    <t>AA24V099-01 City, Street20240820.xlsm</t>
  </si>
  <si>
    <t>E. Chatzidaki</t>
  </si>
  <si>
    <t>FUES</t>
  </si>
  <si>
    <t>FS</t>
  </si>
  <si>
    <t>logo_FUES</t>
  </si>
  <si>
    <t>C&amp;C</t>
  </si>
  <si>
    <t>CC</t>
  </si>
  <si>
    <t>logo_C&amp;C</t>
  </si>
  <si>
    <t>R.Düztepe</t>
  </si>
  <si>
    <t>G.Peker</t>
  </si>
  <si>
    <t>CC24RZ38-01 BUR-AFF BZ030 Buren, Concorde</t>
  </si>
  <si>
    <t>CC24RZ38-02 BUR-AFF BZ031 Buren, Concorde</t>
  </si>
  <si>
    <t>CC24RZ38-03 BUR-AFF BZ032 Buren, Concorde</t>
  </si>
  <si>
    <t>CC24RZ38-04 BUR-AFF BZ033 Buren, Concorde</t>
  </si>
  <si>
    <t>CC24RZ38-05 BUR-AFF BZ034-1 Buren, Concorde</t>
  </si>
  <si>
    <t>CC24RZ38-06 BUR-AFF BZ035-1 Buren, Concorde</t>
  </si>
  <si>
    <t>CC24RZ38-07 BUR-AFF BZ051 Buren, Brederode</t>
  </si>
  <si>
    <t>VERT.ZOEKEN($D$7;'[CC-MASTER.xlsm]Lijst'!$A$3:$AB$999;$J16;ONWAAR)</t>
  </si>
  <si>
    <t>VERT.ZOEKEN($S42;'[CC-MASTER.xlsm]Lijst'!$A$4:$BF$999;57;ONWAAR)</t>
  </si>
  <si>
    <t>VERT.ZOEKEN($S42;'[CC-MASTER.xlsm]Lijst'!$A$3:$BF$999;58;ONWAAR)</t>
  </si>
  <si>
    <t>AA24V099-01 City, Street20240920.xlsm</t>
  </si>
  <si>
    <t xml:space="preserve">INSTRUCTIONS BZ-revs:
- In D27 '2' invullen voor boogzinker,
- In K15 '1 'invullen om de gegevens uit de betreffende MASTER file op te halen
- in K16÷K33 de formule voor de juiste opdrachtgever invullen
- ook voor T41÷U90
- in Ontwerp! de intredehoek and radii leegmaken, data K&amp;L leegmaken en cel B68 op '50' zetten om een vlak maaiveld te creeren
- in Script!A2 'A' invullen om de pop-up Script te onderdrukken
- Set paths op Parameters!
</t>
  </si>
  <si>
    <t xml:space="preserve">Z waarden </t>
  </si>
  <si>
    <t>Boorkop Brownline Gyro/Steeringtool</t>
  </si>
  <si>
    <t>Ruimer boogboring 1.2x</t>
  </si>
  <si>
    <t>Ruimer berekening naar beneden afronden</t>
  </si>
  <si>
    <t>AHN tools</t>
  </si>
  <si>
    <t>AA24V099-01 City, Street20241122.xlsm</t>
  </si>
  <si>
    <t>LEGENDA BOMEN etc, zie Tabblad Variabelen</t>
  </si>
  <si>
    <t>K/G/B/L/D/P</t>
  </si>
  <si>
    <t>TM24V050-01 Amsterdam, Europaplein</t>
  </si>
  <si>
    <t>g</t>
  </si>
  <si>
    <t>Gyro1</t>
  </si>
  <si>
    <t>Gyro2</t>
  </si>
  <si>
    <t>check</t>
  </si>
  <si>
    <t>Darico</t>
  </si>
  <si>
    <t>DI</t>
  </si>
  <si>
    <t>B.Verweij</t>
  </si>
  <si>
    <t>logo_DI</t>
  </si>
  <si>
    <t>PE100</t>
  </si>
  <si>
    <t>SDR11</t>
  </si>
  <si>
    <t>Arc center</t>
  </si>
  <si>
    <t>End point</t>
  </si>
  <si>
    <t>Kennemerplein</t>
  </si>
  <si>
    <t>B-OI-KL-DATA_DUCT_ZIGGO BV-G</t>
  </si>
  <si>
    <t>B-OI-KL-DATA_KABELBED_ZIGGO BV-G</t>
  </si>
  <si>
    <t>B-OI-KL-ET_LS_LIANDER NV PAC 2AI68G2-G</t>
  </si>
  <si>
    <t>N-OI-KL-DATA_EUROFIBER NEDERLAND BV-G</t>
  </si>
  <si>
    <t>B-OI-KL-DATA_KABELBED_KPN BV-G</t>
  </si>
  <si>
    <t>B-OI-KL-WATER_PWN AFD KLICBEHEER-G</t>
  </si>
  <si>
    <t>B-OI-KL-ET_LS_GEMEENTE HAARLEM-G</t>
  </si>
  <si>
    <t>B-OI-KL-DATA_MANTELBUIS_KPN BV-G</t>
  </si>
  <si>
    <t>B-OI-KL-ET_MS_LIANDER NV PAC 2AI68G2-G</t>
  </si>
  <si>
    <t>B-OI-KL-DATA_LIANDER NV PAC 2AI68G2-G</t>
  </si>
  <si>
    <t>B-OI-RI-VRIJVERVAL_GEMEENTE HAARLEM-G</t>
  </si>
  <si>
    <t>B-OI-KL-ET_LS_MANTELBUIS_LIANDER NV PAC 2AI68G2-G</t>
  </si>
  <si>
    <t>B-OI-KL-DATA_GEMEENTE HAARLEM-G</t>
  </si>
  <si>
    <t>B-OI-OG-INFO_REGGEFIBER OPERATOR BV-G</t>
  </si>
  <si>
    <t>B-OI-KL-DATA_REGGEFIBER OPERATOR BV-G</t>
  </si>
  <si>
    <t>B-OI-KL-DATA_MANTELBUIS_REGGEFIBER OPERATOR BV-G</t>
  </si>
  <si>
    <t>B-OI-KL-DATA_ZIGGO BV-G</t>
  </si>
  <si>
    <t>B-OI-OG-INFO_LIANDER NV PAC 2AI68G2-G</t>
  </si>
  <si>
    <t>B-OI-KL-OVERIG_GEMEENTE HAARLEM-G</t>
  </si>
  <si>
    <t>B-OI-KL-DATA_KABELBED_ODIDO NETHERLANDS BV-G</t>
  </si>
  <si>
    <t>BZ Reggefiber data</t>
  </si>
  <si>
    <t>HDD Liander LS</t>
  </si>
  <si>
    <t>Dmissie Electro BV</t>
  </si>
  <si>
    <t>Minder diep</t>
  </si>
  <si>
    <t>Tekening nr. 3D24V700-12-rev.1 HDD12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</si>
</sst>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13]d\ mmmm\ yyyy;@"/>
    <numFmt numFmtId="165" formatCode="0.0000"/>
    <numFmt numFmtId="166" formatCode="#,##0.0"/>
    <numFmt numFmtId="167" formatCode="0.00000"/>
    <numFmt numFmtId="168" formatCode="[$-413]dd/mmm/yy;@"/>
    <numFmt numFmtId="169" formatCode="[$-413]d/mmm/yy;@"/>
    <numFmt numFmtId="170" formatCode="_-&quot;€&quot;\ * #,##0.00_-;_-&quot;€&quot;\ * #,##0.00\-;_-&quot;€&quot;\ * &quot;-&quot;??_-;_-@_-"/>
  </numFmts>
  <fonts count="3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color indexed="17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  <charset val="204"/>
    </font>
    <font>
      <u/>
      <sz val="10"/>
      <color theme="10"/>
      <name val="Arial"/>
      <family val="2"/>
      <charset val="204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z val="11"/>
      <color rgb="FF008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8">
    <xf numFmtId="0" fontId="0" fillId="0" borderId="0"/>
    <xf numFmtId="0" fontId="310" fillId="0" borderId="0"/>
    <xf numFmtId="0" fontId="310" fillId="0" borderId="0"/>
    <xf numFmtId="0" fontId="313" fillId="0" borderId="0"/>
    <xf numFmtId="0" fontId="310" fillId="0" borderId="0"/>
    <xf numFmtId="0" fontId="310" fillId="14" borderId="31"/>
    <xf numFmtId="170" fontId="313" fillId="0" borderId="0"/>
    <xf numFmtId="0" fontId="310" fillId="0" borderId="0"/>
    <xf numFmtId="0" fontId="310" fillId="0" borderId="0"/>
    <xf numFmtId="0" fontId="310" fillId="0" borderId="0"/>
    <xf numFmtId="0" fontId="310" fillId="0" borderId="0"/>
    <xf numFmtId="0" fontId="310" fillId="15" borderId="0"/>
    <xf numFmtId="0" fontId="310" fillId="16" borderId="0"/>
    <xf numFmtId="0" fontId="310" fillId="17" borderId="0"/>
    <xf numFmtId="0" fontId="310" fillId="18" borderId="0"/>
    <xf numFmtId="0" fontId="310" fillId="19" borderId="0"/>
    <xf numFmtId="0" fontId="310" fillId="20" borderId="0"/>
    <xf numFmtId="0" fontId="310" fillId="21" borderId="0"/>
    <xf numFmtId="0" fontId="310" fillId="22" borderId="0"/>
    <xf numFmtId="0" fontId="310" fillId="23" borderId="0"/>
    <xf numFmtId="0" fontId="310" fillId="24" borderId="0"/>
    <xf numFmtId="0" fontId="310" fillId="25" borderId="0"/>
    <xf numFmtId="0" fontId="310" fillId="26" borderId="0"/>
    <xf numFmtId="0" fontId="310" fillId="27" borderId="0"/>
    <xf numFmtId="0" fontId="310" fillId="28" borderId="0"/>
    <xf numFmtId="0" fontId="310" fillId="29" borderId="0"/>
    <xf numFmtId="0" fontId="310" fillId="30" borderId="0"/>
    <xf numFmtId="0" fontId="310" fillId="31" borderId="0"/>
    <xf numFmtId="0" fontId="310" fillId="32" borderId="0"/>
    <xf numFmtId="0" fontId="310" fillId="0" borderId="0"/>
    <xf numFmtId="0" fontId="310" fillId="14" borderId="31"/>
    <xf numFmtId="0" fontId="310" fillId="0" borderId="0"/>
    <xf numFmtId="0" fontId="310" fillId="0" borderId="0"/>
    <xf numFmtId="0" fontId="310" fillId="0" borderId="0"/>
    <xf numFmtId="0" fontId="310" fillId="0" borderId="0"/>
    <xf numFmtId="0" fontId="334" fillId="0" borderId="0"/>
    <xf numFmtId="0" fontId="70" fillId="0" borderId="0"/>
    <xf numFmtId="0" fontId="339" fillId="0" borderId="0" applyNumberFormat="0" applyFill="0" applyBorder="0" applyAlignment="0" applyProtection="0"/>
  </cellStyleXfs>
  <cellXfs count="1083">
    <xf numFmtId="0" fontId="0" fillId="0" borderId="0" xfId="0"/>
    <xf numFmtId="0" fontId="313" fillId="0" borderId="0" xfId="0" applyFont="1"/>
    <xf numFmtId="0" fontId="0" fillId="3" borderId="0" xfId="0" applyFill="1" applyAlignment="1">
      <alignment horizontal="center"/>
    </xf>
    <xf numFmtId="0" fontId="313" fillId="3" borderId="0" xfId="0" applyFont="1" applyFill="1" applyAlignment="1">
      <alignment horizontal="left"/>
    </xf>
    <xf numFmtId="0" fontId="313" fillId="3" borderId="0" xfId="0" applyFont="1" applyFill="1" applyAlignment="1">
      <alignment horizontal="center"/>
    </xf>
    <xf numFmtId="0" fontId="313" fillId="0" borderId="0" xfId="0" applyFont="1" applyAlignment="1">
      <alignment horizontal="center"/>
    </xf>
    <xf numFmtId="2" fontId="313" fillId="0" borderId="0" xfId="0" applyNumberFormat="1" applyFont="1"/>
    <xf numFmtId="0" fontId="312" fillId="0" borderId="3" xfId="0" applyFont="1" applyBorder="1" applyAlignment="1">
      <alignment horizontal="left"/>
    </xf>
    <xf numFmtId="0" fontId="0" fillId="0" borderId="3" xfId="0" applyBorder="1"/>
    <xf numFmtId="0" fontId="311" fillId="0" borderId="0" xfId="0" applyFont="1"/>
    <xf numFmtId="0" fontId="313" fillId="4" borderId="0" xfId="0" applyFont="1" applyFill="1"/>
    <xf numFmtId="2" fontId="313" fillId="4" borderId="0" xfId="0" applyNumberFormat="1" applyFont="1" applyFill="1"/>
    <xf numFmtId="0" fontId="313" fillId="4" borderId="1" xfId="0" applyFont="1" applyFill="1" applyBorder="1"/>
    <xf numFmtId="0" fontId="0" fillId="0" borderId="0" xfId="0" applyAlignment="1">
      <alignment horizontal="center"/>
    </xf>
    <xf numFmtId="164" fontId="0" fillId="3" borderId="0" xfId="0" applyNumberFormat="1" applyFill="1"/>
    <xf numFmtId="0" fontId="313" fillId="3" borderId="0" xfId="0" applyFont="1" applyFill="1"/>
    <xf numFmtId="0" fontId="310" fillId="0" borderId="0" xfId="1"/>
    <xf numFmtId="0" fontId="310" fillId="0" borderId="6" xfId="1" applyBorder="1"/>
    <xf numFmtId="0" fontId="310" fillId="5" borderId="6" xfId="1" applyFill="1" applyBorder="1"/>
    <xf numFmtId="0" fontId="310" fillId="0" borderId="0" xfId="1" applyAlignment="1">
      <alignment horizontal="right"/>
    </xf>
    <xf numFmtId="0" fontId="310" fillId="7" borderId="0" xfId="1" applyFill="1"/>
    <xf numFmtId="0" fontId="318" fillId="0" borderId="0" xfId="1" applyFont="1"/>
    <xf numFmtId="0" fontId="319" fillId="0" borderId="0" xfId="1" applyFont="1"/>
    <xf numFmtId="0" fontId="320" fillId="0" borderId="0" xfId="1" applyFont="1"/>
    <xf numFmtId="0" fontId="310" fillId="0" borderId="16" xfId="1" applyBorder="1"/>
    <xf numFmtId="0" fontId="310" fillId="0" borderId="3" xfId="1" applyBorder="1"/>
    <xf numFmtId="0" fontId="310" fillId="0" borderId="17" xfId="1" applyBorder="1"/>
    <xf numFmtId="0" fontId="310" fillId="0" borderId="18" xfId="1" applyBorder="1"/>
    <xf numFmtId="2" fontId="310" fillId="0" borderId="0" xfId="1" applyNumberFormat="1"/>
    <xf numFmtId="0" fontId="310" fillId="0" borderId="2" xfId="1" applyBorder="1"/>
    <xf numFmtId="0" fontId="310" fillId="0" borderId="19" xfId="1" applyBorder="1"/>
    <xf numFmtId="0" fontId="310" fillId="0" borderId="20" xfId="1" applyBorder="1"/>
    <xf numFmtId="0" fontId="310" fillId="0" borderId="21" xfId="1" applyBorder="1"/>
    <xf numFmtId="0" fontId="310" fillId="0" borderId="0" xfId="1" applyAlignment="1">
      <alignment horizontal="center" textRotation="90" wrapText="1"/>
    </xf>
    <xf numFmtId="0" fontId="310" fillId="8" borderId="6" xfId="1" applyFill="1" applyBorder="1"/>
    <xf numFmtId="0" fontId="310" fillId="9" borderId="0" xfId="1" applyFill="1"/>
    <xf numFmtId="0" fontId="310" fillId="10" borderId="0" xfId="1" applyFill="1"/>
    <xf numFmtId="0" fontId="316" fillId="0" borderId="0" xfId="1" applyFont="1"/>
    <xf numFmtId="0" fontId="310" fillId="0" borderId="26" xfId="1" applyBorder="1"/>
    <xf numFmtId="0" fontId="310" fillId="0" borderId="27" xfId="1" applyBorder="1"/>
    <xf numFmtId="0" fontId="310" fillId="0" borderId="7" xfId="1" applyBorder="1"/>
    <xf numFmtId="0" fontId="310" fillId="0" borderId="8" xfId="1" applyBorder="1"/>
    <xf numFmtId="0" fontId="310" fillId="0" borderId="28" xfId="1" applyBorder="1"/>
    <xf numFmtId="0" fontId="310" fillId="11" borderId="0" xfId="1" applyFill="1"/>
    <xf numFmtId="0" fontId="310" fillId="11" borderId="6" xfId="1" applyFill="1" applyBorder="1"/>
    <xf numFmtId="0" fontId="310" fillId="6" borderId="0" xfId="1" applyFill="1" applyAlignment="1">
      <alignment horizontal="right"/>
    </xf>
    <xf numFmtId="0" fontId="313" fillId="12" borderId="0" xfId="0" applyFont="1" applyFill="1" applyAlignment="1">
      <alignment horizontal="left"/>
    </xf>
    <xf numFmtId="0" fontId="313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308" fillId="0" borderId="0" xfId="1" applyFont="1"/>
    <xf numFmtId="1" fontId="313" fillId="3" borderId="0" xfId="0" applyNumberFormat="1" applyFont="1" applyFill="1" applyAlignment="1">
      <alignment horizontal="center"/>
    </xf>
    <xf numFmtId="0" fontId="310" fillId="0" borderId="0" xfId="1" applyAlignment="1">
      <alignment horizontal="center"/>
    </xf>
    <xf numFmtId="0" fontId="310" fillId="0" borderId="24" xfId="1" applyBorder="1"/>
    <xf numFmtId="0" fontId="310" fillId="0" borderId="23" xfId="1" applyBorder="1"/>
    <xf numFmtId="0" fontId="310" fillId="0" borderId="22" xfId="1" applyBorder="1"/>
    <xf numFmtId="0" fontId="301" fillId="0" borderId="0" xfId="1" applyFont="1"/>
    <xf numFmtId="0" fontId="299" fillId="0" borderId="0" xfId="1" applyFont="1"/>
    <xf numFmtId="0" fontId="310" fillId="0" borderId="6" xfId="1" applyBorder="1" applyAlignment="1">
      <alignment horizontal="center"/>
    </xf>
    <xf numFmtId="0" fontId="298" fillId="0" borderId="0" xfId="1" applyFont="1"/>
    <xf numFmtId="2" fontId="310" fillId="0" borderId="6" xfId="1" applyNumberFormat="1" applyBorder="1"/>
    <xf numFmtId="0" fontId="296" fillId="0" borderId="0" xfId="1" applyFont="1"/>
    <xf numFmtId="0" fontId="295" fillId="0" borderId="0" xfId="1" applyFont="1"/>
    <xf numFmtId="0" fontId="295" fillId="0" borderId="0" xfId="1" applyFont="1" applyAlignment="1">
      <alignment horizontal="center"/>
    </xf>
    <xf numFmtId="165" fontId="299" fillId="0" borderId="0" xfId="1" applyNumberFormat="1" applyFont="1"/>
    <xf numFmtId="3" fontId="310" fillId="0" borderId="6" xfId="1" applyNumberFormat="1" applyBorder="1" applyAlignment="1">
      <alignment horizontal="center"/>
    </xf>
    <xf numFmtId="0" fontId="293" fillId="0" borderId="0" xfId="1" applyFont="1"/>
    <xf numFmtId="0" fontId="289" fillId="0" borderId="0" xfId="1" applyFont="1"/>
    <xf numFmtId="0" fontId="289" fillId="0" borderId="6" xfId="1" applyFont="1" applyBorder="1"/>
    <xf numFmtId="164" fontId="0" fillId="12" borderId="0" xfId="0" applyNumberFormat="1" applyFill="1"/>
    <xf numFmtId="0" fontId="316" fillId="0" borderId="9" xfId="1" applyFont="1" applyBorder="1"/>
    <xf numFmtId="0" fontId="289" fillId="0" borderId="27" xfId="1" applyFont="1" applyBorder="1"/>
    <xf numFmtId="0" fontId="295" fillId="0" borderId="27" xfId="1" applyFont="1" applyBorder="1"/>
    <xf numFmtId="0" fontId="310" fillId="0" borderId="28" xfId="1" applyBorder="1" applyAlignment="1">
      <alignment horizontal="center"/>
    </xf>
    <xf numFmtId="0" fontId="294" fillId="0" borderId="27" xfId="1" applyFont="1" applyBorder="1"/>
    <xf numFmtId="0" fontId="307" fillId="0" borderId="27" xfId="1" applyFont="1" applyBorder="1" applyAlignment="1">
      <alignment horizontal="right"/>
    </xf>
    <xf numFmtId="0" fontId="310" fillId="0" borderId="25" xfId="1" applyBorder="1"/>
    <xf numFmtId="0" fontId="310" fillId="0" borderId="30" xfId="1" applyBorder="1"/>
    <xf numFmtId="0" fontId="316" fillId="0" borderId="27" xfId="1" applyFont="1" applyBorder="1"/>
    <xf numFmtId="0" fontId="299" fillId="0" borderId="27" xfId="1" applyFont="1" applyBorder="1"/>
    <xf numFmtId="0" fontId="310" fillId="0" borderId="27" xfId="1" applyBorder="1" applyAlignment="1">
      <alignment horizontal="center"/>
    </xf>
    <xf numFmtId="0" fontId="291" fillId="0" borderId="0" xfId="1" applyFont="1"/>
    <xf numFmtId="0" fontId="302" fillId="0" borderId="0" xfId="1" applyFont="1"/>
    <xf numFmtId="0" fontId="297" fillId="0" borderId="0" xfId="1" applyFont="1"/>
    <xf numFmtId="0" fontId="313" fillId="3" borderId="0" xfId="0" quotePrefix="1" applyFont="1" applyFill="1" applyAlignment="1">
      <alignment horizontal="center"/>
    </xf>
    <xf numFmtId="0" fontId="307" fillId="0" borderId="0" xfId="1" applyFont="1" applyAlignment="1">
      <alignment horizontal="right"/>
    </xf>
    <xf numFmtId="0" fontId="0" fillId="0" borderId="6" xfId="0" applyBorder="1"/>
    <xf numFmtId="0" fontId="315" fillId="6" borderId="0" xfId="1" applyFont="1" applyFill="1"/>
    <xf numFmtId="2" fontId="310" fillId="10" borderId="0" xfId="1" applyNumberFormat="1" applyFill="1"/>
    <xf numFmtId="0" fontId="287" fillId="0" borderId="0" xfId="1" applyFont="1"/>
    <xf numFmtId="0" fontId="286" fillId="0" borderId="0" xfId="1" applyFont="1"/>
    <xf numFmtId="0" fontId="284" fillId="0" borderId="0" xfId="1" applyFont="1"/>
    <xf numFmtId="0" fontId="284" fillId="0" borderId="6" xfId="1" applyFont="1" applyBorder="1"/>
    <xf numFmtId="0" fontId="283" fillId="0" borderId="0" xfId="1" applyFont="1"/>
    <xf numFmtId="0" fontId="322" fillId="0" borderId="0" xfId="1" applyFont="1"/>
    <xf numFmtId="0" fontId="282" fillId="0" borderId="0" xfId="2" applyFont="1"/>
    <xf numFmtId="0" fontId="282" fillId="0" borderId="6" xfId="2" applyFont="1" applyBorder="1"/>
    <xf numFmtId="0" fontId="282" fillId="0" borderId="0" xfId="2" applyFont="1" applyAlignment="1">
      <alignment horizontal="center"/>
    </xf>
    <xf numFmtId="0" fontId="282" fillId="0" borderId="14" xfId="2" applyFont="1" applyBorder="1"/>
    <xf numFmtId="0" fontId="313" fillId="0" borderId="0" xfId="3"/>
    <xf numFmtId="0" fontId="313" fillId="0" borderId="0" xfId="3" applyAlignment="1">
      <alignment horizontal="center"/>
    </xf>
    <xf numFmtId="0" fontId="313" fillId="0" borderId="0" xfId="3" applyAlignment="1">
      <alignment horizontal="left"/>
    </xf>
    <xf numFmtId="0" fontId="310" fillId="0" borderId="0" xfId="1" applyAlignment="1">
      <alignment vertical="top"/>
    </xf>
    <xf numFmtId="0" fontId="279" fillId="0" borderId="0" xfId="2" applyFont="1"/>
    <xf numFmtId="0" fontId="278" fillId="0" borderId="6" xfId="1" applyFont="1" applyBorder="1"/>
    <xf numFmtId="0" fontId="295" fillId="0" borderId="6" xfId="1" applyFont="1" applyBorder="1"/>
    <xf numFmtId="0" fontId="313" fillId="10" borderId="6" xfId="3" applyFill="1" applyBorder="1"/>
    <xf numFmtId="0" fontId="277" fillId="0" borderId="0" xfId="2" applyFont="1"/>
    <xf numFmtId="0" fontId="277" fillId="0" borderId="6" xfId="1" applyFont="1" applyBorder="1"/>
    <xf numFmtId="15" fontId="310" fillId="0" borderId="12" xfId="1" applyNumberFormat="1" applyBorder="1" applyAlignment="1">
      <alignment horizontal="left"/>
    </xf>
    <xf numFmtId="0" fontId="276" fillId="0" borderId="0" xfId="1" quotePrefix="1" applyFont="1"/>
    <xf numFmtId="0" fontId="275" fillId="0" borderId="0" xfId="1" applyFont="1"/>
    <xf numFmtId="0" fontId="310" fillId="6" borderId="12" xfId="1" applyFill="1" applyBorder="1"/>
    <xf numFmtId="0" fontId="310" fillId="0" borderId="12" xfId="1" applyBorder="1"/>
    <xf numFmtId="0" fontId="310" fillId="7" borderId="12" xfId="1" applyFill="1" applyBorder="1"/>
    <xf numFmtId="0" fontId="310" fillId="6" borderId="12" xfId="1" applyFill="1" applyBorder="1" applyAlignment="1">
      <alignment horizontal="left"/>
    </xf>
    <xf numFmtId="0" fontId="274" fillId="0" borderId="6" xfId="1" applyFont="1" applyBorder="1"/>
    <xf numFmtId="0" fontId="274" fillId="0" borderId="0" xfId="1" applyFont="1"/>
    <xf numFmtId="0" fontId="271" fillId="0" borderId="0" xfId="1" applyFont="1"/>
    <xf numFmtId="0" fontId="315" fillId="0" borderId="28" xfId="1" applyFont="1" applyBorder="1" applyAlignment="1">
      <alignment horizontal="center"/>
    </xf>
    <xf numFmtId="0" fontId="271" fillId="0" borderId="25" xfId="1" applyFont="1" applyBorder="1"/>
    <xf numFmtId="49" fontId="310" fillId="0" borderId="6" xfId="1" applyNumberFormat="1" applyBorder="1" applyAlignment="1">
      <alignment horizontal="center"/>
    </xf>
    <xf numFmtId="3" fontId="310" fillId="0" borderId="0" xfId="1" applyNumberFormat="1" applyAlignment="1">
      <alignment horizontal="center"/>
    </xf>
    <xf numFmtId="0" fontId="310" fillId="35" borderId="0" xfId="1" applyFill="1"/>
    <xf numFmtId="0" fontId="310" fillId="6" borderId="0" xfId="1" applyFill="1"/>
    <xf numFmtId="0" fontId="310" fillId="6" borderId="6" xfId="1" applyFill="1" applyBorder="1" applyAlignment="1">
      <alignment horizontal="center"/>
    </xf>
    <xf numFmtId="0" fontId="325" fillId="36" borderId="27" xfId="1" applyFont="1" applyFill="1" applyBorder="1"/>
    <xf numFmtId="0" fontId="310" fillId="36" borderId="0" xfId="1" applyFill="1"/>
    <xf numFmtId="3" fontId="310" fillId="36" borderId="6" xfId="1" applyNumberFormat="1" applyFill="1" applyBorder="1" applyAlignment="1">
      <alignment horizontal="center"/>
    </xf>
    <xf numFmtId="0" fontId="271" fillId="36" borderId="28" xfId="1" applyFont="1" applyFill="1" applyBorder="1" applyAlignment="1">
      <alignment horizontal="center"/>
    </xf>
    <xf numFmtId="0" fontId="271" fillId="36" borderId="0" xfId="1" applyFont="1" applyFill="1"/>
    <xf numFmtId="3" fontId="310" fillId="11" borderId="6" xfId="1" applyNumberFormat="1" applyFill="1" applyBorder="1" applyAlignment="1">
      <alignment horizontal="center"/>
    </xf>
    <xf numFmtId="0" fontId="282" fillId="3" borderId="0" xfId="2" applyFont="1" applyFill="1"/>
    <xf numFmtId="3" fontId="310" fillId="36" borderId="15" xfId="1" applyNumberFormat="1" applyFill="1" applyBorder="1" applyAlignment="1">
      <alignment horizontal="center"/>
    </xf>
    <xf numFmtId="0" fontId="325" fillId="36" borderId="9" xfId="1" applyFont="1" applyFill="1" applyBorder="1"/>
    <xf numFmtId="0" fontId="271" fillId="36" borderId="8" xfId="1" applyFont="1" applyFill="1" applyBorder="1"/>
    <xf numFmtId="0" fontId="310" fillId="36" borderId="8" xfId="1" applyFill="1" applyBorder="1"/>
    <xf numFmtId="0" fontId="310" fillId="36" borderId="28" xfId="1" applyFill="1" applyBorder="1"/>
    <xf numFmtId="0" fontId="325" fillId="36" borderId="26" xfId="1" applyFont="1" applyFill="1" applyBorder="1"/>
    <xf numFmtId="0" fontId="271" fillId="36" borderId="25" xfId="1" applyFont="1" applyFill="1" applyBorder="1"/>
    <xf numFmtId="0" fontId="310" fillId="36" borderId="25" xfId="1" applyFill="1" applyBorder="1"/>
    <xf numFmtId="166" fontId="310" fillId="36" borderId="6" xfId="1" applyNumberFormat="1" applyFill="1" applyBorder="1" applyAlignment="1">
      <alignment horizontal="center"/>
    </xf>
    <xf numFmtId="0" fontId="269" fillId="0" borderId="6" xfId="1" applyFont="1" applyBorder="1"/>
    <xf numFmtId="0" fontId="322" fillId="0" borderId="6" xfId="1" applyFont="1" applyBorder="1" applyAlignment="1">
      <alignment horizontal="center"/>
    </xf>
    <xf numFmtId="0" fontId="269" fillId="0" borderId="0" xfId="1" applyFont="1"/>
    <xf numFmtId="0" fontId="269" fillId="0" borderId="20" xfId="1" applyFont="1" applyBorder="1"/>
    <xf numFmtId="0" fontId="269" fillId="0" borderId="0" xfId="1" applyFont="1" applyAlignment="1">
      <alignment horizontal="right"/>
    </xf>
    <xf numFmtId="2" fontId="310" fillId="0" borderId="6" xfId="1" applyNumberFormat="1" applyBorder="1" applyAlignment="1">
      <alignment horizontal="left"/>
    </xf>
    <xf numFmtId="0" fontId="315" fillId="0" borderId="0" xfId="1" applyFont="1"/>
    <xf numFmtId="0" fontId="269" fillId="0" borderId="0" xfId="1" applyFont="1" applyAlignment="1">
      <alignment textRotation="90" wrapText="1"/>
    </xf>
    <xf numFmtId="0" fontId="310" fillId="0" borderId="0" xfId="1" applyAlignment="1">
      <alignment wrapText="1"/>
    </xf>
    <xf numFmtId="0" fontId="268" fillId="0" borderId="0" xfId="1" applyFont="1" applyAlignment="1">
      <alignment horizontal="right"/>
    </xf>
    <xf numFmtId="0" fontId="267" fillId="0" borderId="0" xfId="1" applyFont="1"/>
    <xf numFmtId="0" fontId="267" fillId="0" borderId="6" xfId="1" applyFont="1" applyBorder="1" applyAlignment="1">
      <alignment horizontal="center" textRotation="90" wrapText="1"/>
    </xf>
    <xf numFmtId="0" fontId="313" fillId="12" borderId="0" xfId="0" applyFont="1" applyFill="1"/>
    <xf numFmtId="2" fontId="310" fillId="0" borderId="6" xfId="1" applyNumberFormat="1" applyBorder="1" applyAlignment="1">
      <alignment horizontal="center"/>
    </xf>
    <xf numFmtId="2" fontId="313" fillId="3" borderId="0" xfId="0" applyNumberFormat="1" applyFont="1" applyFill="1" applyAlignment="1">
      <alignment horizontal="center"/>
    </xf>
    <xf numFmtId="0" fontId="282" fillId="0" borderId="14" xfId="2" applyFont="1" applyBorder="1" applyAlignment="1">
      <alignment wrapText="1"/>
    </xf>
    <xf numFmtId="0" fontId="282" fillId="0" borderId="17" xfId="2" applyFont="1" applyBorder="1" applyAlignment="1">
      <alignment wrapText="1"/>
    </xf>
    <xf numFmtId="0" fontId="315" fillId="9" borderId="6" xfId="1" applyFont="1" applyFill="1" applyBorder="1"/>
    <xf numFmtId="0" fontId="310" fillId="9" borderId="6" xfId="1" applyFill="1" applyBorder="1"/>
    <xf numFmtId="0" fontId="0" fillId="8" borderId="6" xfId="0" applyFill="1" applyBorder="1"/>
    <xf numFmtId="0" fontId="313" fillId="8" borderId="6" xfId="0" applyFont="1" applyFill="1" applyBorder="1"/>
    <xf numFmtId="0" fontId="266" fillId="0" borderId="0" xfId="1" applyFont="1"/>
    <xf numFmtId="0" fontId="310" fillId="5" borderId="0" xfId="1" applyFill="1"/>
    <xf numFmtId="0" fontId="282" fillId="37" borderId="6" xfId="2" applyFont="1" applyFill="1" applyBorder="1"/>
    <xf numFmtId="0" fontId="310" fillId="5" borderId="39" xfId="1" applyFill="1" applyBorder="1"/>
    <xf numFmtId="0" fontId="265" fillId="0" borderId="0" xfId="1" applyFont="1"/>
    <xf numFmtId="0" fontId="264" fillId="0" borderId="0" xfId="1" applyFont="1"/>
    <xf numFmtId="0" fontId="264" fillId="0" borderId="0" xfId="1" applyFont="1" applyAlignment="1">
      <alignment horizontal="right"/>
    </xf>
    <xf numFmtId="0" fontId="263" fillId="0" borderId="6" xfId="1" applyFont="1" applyBorder="1"/>
    <xf numFmtId="0" fontId="262" fillId="0" borderId="6" xfId="1" applyFont="1" applyBorder="1"/>
    <xf numFmtId="0" fontId="262" fillId="0" borderId="0" xfId="1" applyFont="1"/>
    <xf numFmtId="0" fontId="262" fillId="0" borderId="0" xfId="1" applyFont="1" applyAlignment="1">
      <alignment horizontal="right"/>
    </xf>
    <xf numFmtId="9" fontId="310" fillId="0" borderId="6" xfId="1" applyNumberFormat="1" applyBorder="1" applyAlignment="1">
      <alignment horizontal="center"/>
    </xf>
    <xf numFmtId="0" fontId="261" fillId="0" borderId="0" xfId="1" applyFont="1"/>
    <xf numFmtId="0" fontId="260" fillId="0" borderId="0" xfId="1" applyFont="1"/>
    <xf numFmtId="0" fontId="258" fillId="0" borderId="0" xfId="1" applyFont="1"/>
    <xf numFmtId="0" fontId="257" fillId="0" borderId="0" xfId="1" applyFont="1"/>
    <xf numFmtId="0" fontId="0" fillId="0" borderId="6" xfId="0" applyBorder="1" applyAlignment="1">
      <alignment horizontal="center"/>
    </xf>
    <xf numFmtId="0" fontId="256" fillId="0" borderId="6" xfId="1" applyFont="1" applyBorder="1"/>
    <xf numFmtId="0" fontId="254" fillId="0" borderId="0" xfId="1" applyFont="1"/>
    <xf numFmtId="0" fontId="254" fillId="0" borderId="0" xfId="1" applyFont="1" applyAlignment="1">
      <alignment horizontal="left"/>
    </xf>
    <xf numFmtId="49" fontId="254" fillId="0" borderId="0" xfId="1" applyNumberFormat="1" applyFont="1" applyAlignment="1">
      <alignment horizontal="right"/>
    </xf>
    <xf numFmtId="0" fontId="324" fillId="0" borderId="27" xfId="1" applyFont="1" applyBorder="1" applyAlignment="1">
      <alignment horizontal="right"/>
    </xf>
    <xf numFmtId="0" fontId="270" fillId="6" borderId="40" xfId="1" quotePrefix="1" applyFont="1" applyFill="1" applyBorder="1" applyAlignment="1">
      <alignment horizontal="left"/>
    </xf>
    <xf numFmtId="0" fontId="253" fillId="0" borderId="0" xfId="1" applyFont="1"/>
    <xf numFmtId="0" fontId="310" fillId="9" borderId="15" xfId="1" applyFill="1" applyBorder="1" applyAlignment="1">
      <alignment horizontal="right"/>
    </xf>
    <xf numFmtId="0" fontId="310" fillId="9" borderId="6" xfId="1" applyFill="1" applyBorder="1" applyAlignment="1">
      <alignment horizontal="right"/>
    </xf>
    <xf numFmtId="0" fontId="310" fillId="38" borderId="6" xfId="1" applyFill="1" applyBorder="1"/>
    <xf numFmtId="0" fontId="313" fillId="0" borderId="6" xfId="0" applyFont="1" applyBorder="1" applyAlignment="1">
      <alignment horizontal="center"/>
    </xf>
    <xf numFmtId="0" fontId="252" fillId="0" borderId="0" xfId="1" applyFont="1"/>
    <xf numFmtId="0" fontId="251" fillId="0" borderId="0" xfId="1" applyFont="1"/>
    <xf numFmtId="0" fontId="251" fillId="0" borderId="0" xfId="1" quotePrefix="1" applyFont="1"/>
    <xf numFmtId="0" fontId="310" fillId="10" borderId="6" xfId="1" applyFill="1" applyBorder="1"/>
    <xf numFmtId="0" fontId="249" fillId="0" borderId="6" xfId="1" applyFont="1" applyBorder="1"/>
    <xf numFmtId="0" fontId="248" fillId="0" borderId="0" xfId="1" applyFont="1" applyAlignment="1">
      <alignment horizontal="right"/>
    </xf>
    <xf numFmtId="0" fontId="282" fillId="10" borderId="6" xfId="2" applyFont="1" applyFill="1" applyBorder="1"/>
    <xf numFmtId="0" fontId="247" fillId="0" borderId="6" xfId="1" applyFont="1" applyBorder="1"/>
    <xf numFmtId="0" fontId="246" fillId="34" borderId="0" xfId="1" applyFont="1" applyFill="1"/>
    <xf numFmtId="0" fontId="246" fillId="0" borderId="0" xfId="1" applyFont="1"/>
    <xf numFmtId="0" fontId="245" fillId="0" borderId="0" xfId="1" applyFont="1"/>
    <xf numFmtId="0" fontId="244" fillId="0" borderId="0" xfId="1" applyFont="1" applyAlignment="1">
      <alignment horizontal="right"/>
    </xf>
    <xf numFmtId="0" fontId="0" fillId="0" borderId="21" xfId="0" applyBorder="1"/>
    <xf numFmtId="0" fontId="0" fillId="0" borderId="20" xfId="0" applyBorder="1"/>
    <xf numFmtId="0" fontId="0" fillId="0" borderId="19" xfId="0" applyBorder="1"/>
    <xf numFmtId="0" fontId="0" fillId="0" borderId="14" xfId="0" applyBorder="1" applyAlignment="1">
      <alignment horizontal="center"/>
    </xf>
    <xf numFmtId="0" fontId="0" fillId="0" borderId="14" xfId="0" applyBorder="1"/>
    <xf numFmtId="165" fontId="310" fillId="10" borderId="6" xfId="1" applyNumberFormat="1" applyFill="1" applyBorder="1"/>
    <xf numFmtId="0" fontId="242" fillId="0" borderId="0" xfId="1" applyFont="1"/>
    <xf numFmtId="0" fontId="0" fillId="8" borderId="6" xfId="0" applyFill="1" applyBorder="1" applyAlignment="1">
      <alignment horizontal="center"/>
    </xf>
    <xf numFmtId="0" fontId="282" fillId="33" borderId="6" xfId="2" applyFont="1" applyFill="1" applyBorder="1"/>
    <xf numFmtId="0" fontId="241" fillId="0" borderId="0" xfId="1" applyFont="1"/>
    <xf numFmtId="0" fontId="324" fillId="0" borderId="0" xfId="1" applyFont="1"/>
    <xf numFmtId="0" fontId="0" fillId="0" borderId="24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4" xfId="0" applyBorder="1" applyAlignment="1">
      <alignment horizontal="right"/>
    </xf>
    <xf numFmtId="0" fontId="329" fillId="0" borderId="14" xfId="0" applyFont="1" applyBorder="1"/>
    <xf numFmtId="0" fontId="239" fillId="0" borderId="0" xfId="1" applyFont="1"/>
    <xf numFmtId="0" fontId="313" fillId="0" borderId="0" xfId="0" quotePrefix="1" applyFont="1"/>
    <xf numFmtId="0" fontId="239" fillId="0" borderId="6" xfId="1" applyFont="1" applyBorder="1" applyAlignment="1">
      <alignment horizontal="center" textRotation="90" wrapText="1"/>
    </xf>
    <xf numFmtId="0" fontId="239" fillId="0" borderId="0" xfId="1" applyFont="1" applyAlignment="1">
      <alignment horizontal="right"/>
    </xf>
    <xf numFmtId="0" fontId="253" fillId="0" borderId="0" xfId="1" applyFont="1" applyAlignment="1">
      <alignment horizontal="right"/>
    </xf>
    <xf numFmtId="0" fontId="324" fillId="0" borderId="0" xfId="1" quotePrefix="1" applyFont="1"/>
    <xf numFmtId="0" fontId="310" fillId="9" borderId="14" xfId="1" applyFill="1" applyBorder="1"/>
    <xf numFmtId="167" fontId="310" fillId="0" borderId="6" xfId="1" applyNumberFormat="1" applyBorder="1"/>
    <xf numFmtId="2" fontId="0" fillId="8" borderId="6" xfId="0" applyNumberFormat="1" applyFill="1" applyBorder="1"/>
    <xf numFmtId="0" fontId="0" fillId="38" borderId="24" xfId="0" applyFill="1" applyBorder="1"/>
    <xf numFmtId="0" fontId="269" fillId="0" borderId="15" xfId="1" applyFont="1" applyBorder="1" applyAlignment="1">
      <alignment textRotation="90" wrapText="1"/>
    </xf>
    <xf numFmtId="0" fontId="310" fillId="0" borderId="15" xfId="1" applyBorder="1" applyAlignment="1">
      <alignment horizontal="center" textRotation="90" wrapText="1"/>
    </xf>
    <xf numFmtId="0" fontId="304" fillId="0" borderId="15" xfId="1" applyFont="1" applyBorder="1" applyAlignment="1">
      <alignment horizontal="center" textRotation="90" wrapText="1"/>
    </xf>
    <xf numFmtId="0" fontId="288" fillId="0" borderId="15" xfId="1" applyFont="1" applyBorder="1" applyAlignment="1">
      <alignment horizontal="center" textRotation="90" wrapText="1"/>
    </xf>
    <xf numFmtId="2" fontId="301" fillId="0" borderId="41" xfId="1" applyNumberFormat="1" applyFont="1" applyBorder="1"/>
    <xf numFmtId="0" fontId="329" fillId="0" borderId="0" xfId="0" applyFont="1"/>
    <xf numFmtId="0" fontId="238" fillId="0" borderId="0" xfId="1" applyFont="1"/>
    <xf numFmtId="0" fontId="236" fillId="0" borderId="0" xfId="1" applyFont="1" applyAlignment="1">
      <alignment horizontal="right"/>
    </xf>
    <xf numFmtId="0" fontId="0" fillId="8" borderId="35" xfId="0" applyFill="1" applyBorder="1"/>
    <xf numFmtId="165" fontId="310" fillId="10" borderId="29" xfId="1" applyNumberFormat="1" applyFill="1" applyBorder="1"/>
    <xf numFmtId="0" fontId="0" fillId="8" borderId="36" xfId="0" applyFill="1" applyBorder="1"/>
    <xf numFmtId="165" fontId="310" fillId="10" borderId="37" xfId="1" applyNumberFormat="1" applyFill="1" applyBorder="1"/>
    <xf numFmtId="0" fontId="0" fillId="8" borderId="37" xfId="0" applyFill="1" applyBorder="1"/>
    <xf numFmtId="165" fontId="310" fillId="10" borderId="38" xfId="1" applyNumberFormat="1" applyFill="1" applyBorder="1"/>
    <xf numFmtId="0" fontId="313" fillId="8" borderId="11" xfId="0" applyFont="1" applyFill="1" applyBorder="1"/>
    <xf numFmtId="0" fontId="310" fillId="8" borderId="0" xfId="1" applyFill="1"/>
    <xf numFmtId="0" fontId="235" fillId="0" borderId="0" xfId="1" applyFont="1"/>
    <xf numFmtId="0" fontId="310" fillId="33" borderId="6" xfId="1" applyFill="1" applyBorder="1" applyAlignment="1">
      <alignment horizontal="center"/>
    </xf>
    <xf numFmtId="0" fontId="234" fillId="0" borderId="0" xfId="1" applyFont="1"/>
    <xf numFmtId="0" fontId="310" fillId="0" borderId="15" xfId="1" applyBorder="1"/>
    <xf numFmtId="0" fontId="310" fillId="8" borderId="42" xfId="1" applyFill="1" applyBorder="1"/>
    <xf numFmtId="3" fontId="310" fillId="8" borderId="6" xfId="1" applyNumberFormat="1" applyFill="1" applyBorder="1" applyAlignment="1">
      <alignment horizontal="center"/>
    </xf>
    <xf numFmtId="49" fontId="295" fillId="0" borderId="0" xfId="1" applyNumberFormat="1" applyFont="1" applyAlignment="1">
      <alignment horizontal="center"/>
    </xf>
    <xf numFmtId="3" fontId="295" fillId="0" borderId="0" xfId="1" applyNumberFormat="1" applyFont="1" applyAlignment="1">
      <alignment horizontal="center"/>
    </xf>
    <xf numFmtId="3" fontId="234" fillId="0" borderId="0" xfId="1" applyNumberFormat="1" applyFont="1" applyAlignment="1">
      <alignment horizontal="center"/>
    </xf>
    <xf numFmtId="0" fontId="234" fillId="0" borderId="0" xfId="1" applyFont="1" applyAlignment="1">
      <alignment horizontal="center"/>
    </xf>
    <xf numFmtId="3" fontId="234" fillId="0" borderId="0" xfId="1" applyNumberFormat="1" applyFont="1" applyAlignment="1">
      <alignment horizontal="left"/>
    </xf>
    <xf numFmtId="3" fontId="237" fillId="8" borderId="6" xfId="1" applyNumberFormat="1" applyFont="1" applyFill="1" applyBorder="1" applyAlignment="1">
      <alignment horizontal="center"/>
    </xf>
    <xf numFmtId="0" fontId="310" fillId="8" borderId="6" xfId="1" applyFill="1" applyBorder="1" applyAlignment="1">
      <alignment horizontal="center"/>
    </xf>
    <xf numFmtId="3" fontId="310" fillId="8" borderId="14" xfId="1" applyNumberFormat="1" applyFill="1" applyBorder="1" applyAlignment="1">
      <alignment horizontal="center"/>
    </xf>
    <xf numFmtId="0" fontId="233" fillId="0" borderId="0" xfId="7" applyFont="1"/>
    <xf numFmtId="0" fontId="233" fillId="0" borderId="6" xfId="7" applyFont="1" applyBorder="1"/>
    <xf numFmtId="0" fontId="233" fillId="9" borderId="32" xfId="7" applyFont="1" applyFill="1" applyBorder="1"/>
    <xf numFmtId="0" fontId="233" fillId="8" borderId="32" xfId="7" applyFont="1" applyFill="1" applyBorder="1"/>
    <xf numFmtId="165" fontId="233" fillId="10" borderId="6" xfId="8" applyNumberFormat="1" applyFont="1" applyFill="1" applyBorder="1"/>
    <xf numFmtId="0" fontId="233" fillId="5" borderId="6" xfId="7" applyFont="1" applyFill="1" applyBorder="1"/>
    <xf numFmtId="0" fontId="233" fillId="10" borderId="33" xfId="8" applyFont="1" applyFill="1" applyBorder="1"/>
    <xf numFmtId="0" fontId="311" fillId="0" borderId="0" xfId="7" applyFont="1"/>
    <xf numFmtId="0" fontId="233" fillId="9" borderId="6" xfId="7" applyFont="1" applyFill="1" applyBorder="1"/>
    <xf numFmtId="0" fontId="233" fillId="0" borderId="0" xfId="1" applyFont="1"/>
    <xf numFmtId="0" fontId="233" fillId="8" borderId="6" xfId="7" applyFont="1" applyFill="1" applyBorder="1"/>
    <xf numFmtId="0" fontId="232" fillId="0" borderId="0" xfId="1" applyFont="1"/>
    <xf numFmtId="3" fontId="310" fillId="10" borderId="14" xfId="1" applyNumberFormat="1" applyFill="1" applyBorder="1" applyAlignment="1">
      <alignment horizontal="center"/>
    </xf>
    <xf numFmtId="0" fontId="231" fillId="0" borderId="0" xfId="1" applyFont="1" applyAlignment="1">
      <alignment horizontal="center"/>
    </xf>
    <xf numFmtId="0" fontId="229" fillId="0" borderId="0" xfId="1" applyFont="1"/>
    <xf numFmtId="0" fontId="228" fillId="0" borderId="0" xfId="1" applyFont="1"/>
    <xf numFmtId="0" fontId="310" fillId="8" borderId="15" xfId="1" applyFill="1" applyBorder="1"/>
    <xf numFmtId="0" fontId="310" fillId="8" borderId="1" xfId="1" applyFill="1" applyBorder="1"/>
    <xf numFmtId="2" fontId="310" fillId="8" borderId="1" xfId="1" applyNumberFormat="1" applyFill="1" applyBorder="1"/>
    <xf numFmtId="2" fontId="310" fillId="8" borderId="14" xfId="1" applyNumberFormat="1" applyFill="1" applyBorder="1"/>
    <xf numFmtId="0" fontId="0" fillId="9" borderId="39" xfId="0" applyFill="1" applyBorder="1"/>
    <xf numFmtId="0" fontId="0" fillId="8" borderId="14" xfId="0" applyFill="1" applyBorder="1"/>
    <xf numFmtId="0" fontId="0" fillId="8" borderId="44" xfId="0" applyFill="1" applyBorder="1"/>
    <xf numFmtId="0" fontId="313" fillId="0" borderId="37" xfId="0" applyFont="1" applyBorder="1"/>
    <xf numFmtId="0" fontId="310" fillId="0" borderId="37" xfId="1" applyBorder="1"/>
    <xf numFmtId="0" fontId="240" fillId="0" borderId="37" xfId="1" applyFont="1" applyBorder="1"/>
    <xf numFmtId="0" fontId="239" fillId="0" borderId="37" xfId="1" applyFont="1" applyBorder="1"/>
    <xf numFmtId="0" fontId="313" fillId="0" borderId="37" xfId="0" applyFont="1" applyBorder="1" applyAlignment="1">
      <alignment horizontal="center"/>
    </xf>
    <xf numFmtId="0" fontId="310" fillId="6" borderId="6" xfId="1" applyFill="1" applyBorder="1"/>
    <xf numFmtId="0" fontId="0" fillId="8" borderId="0" xfId="0" applyFill="1" applyAlignment="1">
      <alignment horizontal="center"/>
    </xf>
    <xf numFmtId="2" fontId="0" fillId="0" borderId="6" xfId="0" applyNumberFormat="1" applyBorder="1"/>
    <xf numFmtId="0" fontId="227" fillId="0" borderId="0" xfId="1" applyFont="1"/>
    <xf numFmtId="0" fontId="310" fillId="9" borderId="40" xfId="1" applyFill="1" applyBorder="1"/>
    <xf numFmtId="0" fontId="310" fillId="9" borderId="6" xfId="1" applyFill="1" applyBorder="1" applyAlignment="1">
      <alignment horizontal="center"/>
    </xf>
    <xf numFmtId="0" fontId="226" fillId="0" borderId="0" xfId="1" applyFont="1"/>
    <xf numFmtId="3" fontId="310" fillId="34" borderId="35" xfId="1" applyNumberFormat="1" applyFill="1" applyBorder="1" applyAlignment="1">
      <alignment horizontal="center"/>
    </xf>
    <xf numFmtId="3" fontId="310" fillId="34" borderId="6" xfId="1" applyNumberFormat="1" applyFill="1" applyBorder="1" applyAlignment="1">
      <alignment horizontal="center"/>
    </xf>
    <xf numFmtId="3" fontId="310" fillId="34" borderId="29" xfId="1" applyNumberFormat="1" applyFill="1" applyBorder="1" applyAlignment="1">
      <alignment horizontal="center"/>
    </xf>
    <xf numFmtId="0" fontId="310" fillId="34" borderId="35" xfId="1" applyFill="1" applyBorder="1" applyAlignment="1">
      <alignment horizontal="center"/>
    </xf>
    <xf numFmtId="0" fontId="310" fillId="34" borderId="6" xfId="1" applyFill="1" applyBorder="1" applyAlignment="1">
      <alignment horizontal="center"/>
    </xf>
    <xf numFmtId="0" fontId="310" fillId="34" borderId="29" xfId="1" applyFill="1" applyBorder="1" applyAlignment="1">
      <alignment horizontal="center"/>
    </xf>
    <xf numFmtId="0" fontId="226" fillId="0" borderId="0" xfId="1" applyFont="1" applyAlignment="1">
      <alignment horizontal="center"/>
    </xf>
    <xf numFmtId="0" fontId="226" fillId="0" borderId="0" xfId="1" applyFont="1" applyAlignment="1">
      <alignment horizontal="left"/>
    </xf>
    <xf numFmtId="3" fontId="310" fillId="34" borderId="44" xfId="1" applyNumberFormat="1" applyFill="1" applyBorder="1" applyAlignment="1">
      <alignment horizontal="center"/>
    </xf>
    <xf numFmtId="3" fontId="310" fillId="34" borderId="14" xfId="1" applyNumberFormat="1" applyFill="1" applyBorder="1" applyAlignment="1">
      <alignment horizontal="center"/>
    </xf>
    <xf numFmtId="3" fontId="310" fillId="34" borderId="43" xfId="1" applyNumberFormat="1" applyFill="1" applyBorder="1" applyAlignment="1">
      <alignment horizontal="center"/>
    </xf>
    <xf numFmtId="0" fontId="271" fillId="0" borderId="6" xfId="1" applyFont="1" applyBorder="1" applyAlignment="1">
      <alignment horizontal="center"/>
    </xf>
    <xf numFmtId="3" fontId="310" fillId="34" borderId="45" xfId="1" applyNumberFormat="1" applyFill="1" applyBorder="1" applyAlignment="1">
      <alignment horizontal="center"/>
    </xf>
    <xf numFmtId="3" fontId="310" fillId="34" borderId="15" xfId="1" applyNumberFormat="1" applyFill="1" applyBorder="1" applyAlignment="1">
      <alignment horizontal="center"/>
    </xf>
    <xf numFmtId="0" fontId="310" fillId="34" borderId="15" xfId="1" applyFill="1" applyBorder="1" applyAlignment="1">
      <alignment horizontal="center"/>
    </xf>
    <xf numFmtId="0" fontId="310" fillId="34" borderId="46" xfId="1" applyFill="1" applyBorder="1" applyAlignment="1">
      <alignment horizontal="center"/>
    </xf>
    <xf numFmtId="0" fontId="271" fillId="36" borderId="0" xfId="1" applyFont="1" applyFill="1" applyAlignment="1">
      <alignment horizontal="center"/>
    </xf>
    <xf numFmtId="0" fontId="225" fillId="0" borderId="6" xfId="1" applyFont="1" applyBorder="1"/>
    <xf numFmtId="0" fontId="295" fillId="6" borderId="20" xfId="1" applyFont="1" applyFill="1" applyBorder="1"/>
    <xf numFmtId="0" fontId="310" fillId="6" borderId="20" xfId="1" applyFill="1" applyBorder="1"/>
    <xf numFmtId="0" fontId="295" fillId="36" borderId="3" xfId="1" applyFont="1" applyFill="1" applyBorder="1"/>
    <xf numFmtId="0" fontId="310" fillId="36" borderId="3" xfId="1" applyFill="1" applyBorder="1"/>
    <xf numFmtId="3" fontId="310" fillId="36" borderId="14" xfId="1" applyNumberFormat="1" applyFill="1" applyBorder="1" applyAlignment="1">
      <alignment horizontal="center"/>
    </xf>
    <xf numFmtId="0" fontId="224" fillId="0" borderId="0" xfId="1" applyFont="1"/>
    <xf numFmtId="0" fontId="223" fillId="0" borderId="0" xfId="7" applyFont="1"/>
    <xf numFmtId="2" fontId="0" fillId="39" borderId="14" xfId="0" applyNumberFormat="1" applyFill="1" applyBorder="1"/>
    <xf numFmtId="0" fontId="222" fillId="0" borderId="0" xfId="1" applyFont="1"/>
    <xf numFmtId="0" fontId="222" fillId="0" borderId="6" xfId="1" applyFont="1" applyBorder="1"/>
    <xf numFmtId="0" fontId="267" fillId="0" borderId="6" xfId="1" applyFont="1" applyBorder="1" applyAlignment="1">
      <alignment horizontal="center" wrapText="1"/>
    </xf>
    <xf numFmtId="0" fontId="267" fillId="39" borderId="6" xfId="1" applyFont="1" applyFill="1" applyBorder="1" applyAlignment="1">
      <alignment horizontal="center" wrapText="1"/>
    </xf>
    <xf numFmtId="0" fontId="310" fillId="8" borderId="6" xfId="1" applyFill="1" applyBorder="1" applyAlignment="1">
      <alignment horizontal="right"/>
    </xf>
    <xf numFmtId="0" fontId="221" fillId="0" borderId="0" xfId="1" applyFont="1"/>
    <xf numFmtId="0" fontId="221" fillId="8" borderId="6" xfId="1" applyFont="1" applyFill="1" applyBorder="1"/>
    <xf numFmtId="0" fontId="220" fillId="0" borderId="1" xfId="2" applyFont="1" applyBorder="1" applyAlignment="1">
      <alignment wrapText="1"/>
    </xf>
    <xf numFmtId="0" fontId="220" fillId="0" borderId="14" xfId="2" applyFont="1" applyBorder="1" applyAlignment="1">
      <alignment wrapText="1"/>
    </xf>
    <xf numFmtId="0" fontId="219" fillId="10" borderId="6" xfId="2" applyFont="1" applyFill="1" applyBorder="1" applyAlignment="1">
      <alignment wrapText="1"/>
    </xf>
    <xf numFmtId="0" fontId="219" fillId="10" borderId="6" xfId="1" applyFont="1" applyFill="1" applyBorder="1"/>
    <xf numFmtId="0" fontId="310" fillId="39" borderId="0" xfId="1" applyFill="1"/>
    <xf numFmtId="0" fontId="219" fillId="0" borderId="0" xfId="1" applyFont="1"/>
    <xf numFmtId="0" fontId="219" fillId="39" borderId="0" xfId="1" applyFont="1" applyFill="1"/>
    <xf numFmtId="0" fontId="218" fillId="0" borderId="0" xfId="1" applyFont="1" applyAlignment="1">
      <alignment horizontal="right"/>
    </xf>
    <xf numFmtId="0" fontId="218" fillId="0" borderId="0" xfId="1" applyFont="1"/>
    <xf numFmtId="0" fontId="310" fillId="9" borderId="40" xfId="1" applyFill="1" applyBorder="1" applyAlignment="1">
      <alignment horizontal="right"/>
    </xf>
    <xf numFmtId="0" fontId="310" fillId="8" borderId="24" xfId="1" applyFill="1" applyBorder="1"/>
    <xf numFmtId="0" fontId="310" fillId="8" borderId="22" xfId="1" applyFill="1" applyBorder="1"/>
    <xf numFmtId="0" fontId="217" fillId="0" borderId="0" xfId="1" applyFont="1"/>
    <xf numFmtId="0" fontId="216" fillId="0" borderId="0" xfId="1" applyFont="1"/>
    <xf numFmtId="0" fontId="315" fillId="0" borderId="0" xfId="1" applyFont="1" applyAlignment="1">
      <alignment horizontal="right"/>
    </xf>
    <xf numFmtId="0" fontId="216" fillId="0" borderId="0" xfId="1" applyFont="1" applyAlignment="1">
      <alignment horizontal="right"/>
    </xf>
    <xf numFmtId="2" fontId="315" fillId="9" borderId="6" xfId="1" applyNumberFormat="1" applyFont="1" applyFill="1" applyBorder="1"/>
    <xf numFmtId="0" fontId="313" fillId="3" borderId="0" xfId="3" applyFill="1" applyAlignment="1">
      <alignment horizontal="left"/>
    </xf>
    <xf numFmtId="0" fontId="313" fillId="3" borderId="0" xfId="3" applyFill="1" applyAlignment="1">
      <alignment horizontal="center"/>
    </xf>
    <xf numFmtId="0" fontId="313" fillId="12" borderId="0" xfId="3" applyFill="1" applyAlignment="1">
      <alignment horizontal="left"/>
    </xf>
    <xf numFmtId="0" fontId="313" fillId="12" borderId="0" xfId="3" applyFill="1" applyAlignment="1">
      <alignment horizontal="center"/>
    </xf>
    <xf numFmtId="0" fontId="313" fillId="3" borderId="0" xfId="3" applyFill="1"/>
    <xf numFmtId="164" fontId="313" fillId="3" borderId="0" xfId="3" applyNumberFormat="1" applyFill="1"/>
    <xf numFmtId="164" fontId="313" fillId="12" borderId="0" xfId="3" applyNumberFormat="1" applyFill="1"/>
    <xf numFmtId="0" fontId="313" fillId="12" borderId="0" xfId="3" applyFill="1"/>
    <xf numFmtId="1" fontId="313" fillId="3" borderId="0" xfId="3" applyNumberFormat="1" applyFill="1" applyAlignment="1">
      <alignment horizontal="center"/>
    </xf>
    <xf numFmtId="0" fontId="313" fillId="3" borderId="0" xfId="3" quotePrefix="1" applyFill="1" applyAlignment="1">
      <alignment horizontal="center"/>
    </xf>
    <xf numFmtId="2" fontId="313" fillId="0" borderId="0" xfId="3" applyNumberFormat="1"/>
    <xf numFmtId="0" fontId="313" fillId="0" borderId="1" xfId="3" applyBorder="1"/>
    <xf numFmtId="3" fontId="313" fillId="3" borderId="0" xfId="3" applyNumberFormat="1" applyFill="1" applyAlignment="1">
      <alignment horizontal="center"/>
    </xf>
    <xf numFmtId="3" fontId="313" fillId="3" borderId="0" xfId="3" quotePrefix="1" applyNumberFormat="1" applyFill="1" applyAlignment="1">
      <alignment horizontal="center"/>
    </xf>
    <xf numFmtId="0" fontId="214" fillId="0" borderId="0" xfId="1" applyFont="1"/>
    <xf numFmtId="0" fontId="214" fillId="0" borderId="0" xfId="1" applyFont="1" applyAlignment="1">
      <alignment horizontal="right"/>
    </xf>
    <xf numFmtId="0" fontId="214" fillId="0" borderId="0" xfId="1" quotePrefix="1" applyFont="1"/>
    <xf numFmtId="0" fontId="313" fillId="0" borderId="15" xfId="0" applyFont="1" applyBorder="1"/>
    <xf numFmtId="0" fontId="214" fillId="0" borderId="15" xfId="1" applyFont="1" applyBorder="1"/>
    <xf numFmtId="0" fontId="313" fillId="0" borderId="15" xfId="0" applyFont="1" applyBorder="1" applyAlignment="1">
      <alignment horizontal="center"/>
    </xf>
    <xf numFmtId="0" fontId="214" fillId="0" borderId="6" xfId="1" applyFont="1" applyBorder="1" applyAlignment="1">
      <alignment horizontal="right"/>
    </xf>
    <xf numFmtId="0" fontId="213" fillId="0" borderId="0" xfId="1" applyFont="1"/>
    <xf numFmtId="0" fontId="213" fillId="0" borderId="15" xfId="1" applyFont="1" applyBorder="1"/>
    <xf numFmtId="0" fontId="213" fillId="0" borderId="37" xfId="1" applyFont="1" applyBorder="1"/>
    <xf numFmtId="165" fontId="310" fillId="11" borderId="6" xfId="1" applyNumberFormat="1" applyFill="1" applyBorder="1"/>
    <xf numFmtId="0" fontId="214" fillId="0" borderId="6" xfId="1" applyFont="1" applyBorder="1"/>
    <xf numFmtId="0" fontId="313" fillId="0" borderId="6" xfId="0" applyFont="1" applyBorder="1"/>
    <xf numFmtId="0" fontId="310" fillId="0" borderId="1" xfId="1" applyBorder="1"/>
    <xf numFmtId="0" fontId="212" fillId="0" borderId="0" xfId="2" applyFont="1" applyAlignment="1">
      <alignment wrapText="1"/>
    </xf>
    <xf numFmtId="0" fontId="212" fillId="0" borderId="14" xfId="2" applyFont="1" applyBorder="1"/>
    <xf numFmtId="0" fontId="212" fillId="0" borderId="0" xfId="2" applyFont="1" applyAlignment="1">
      <alignment horizontal="center"/>
    </xf>
    <xf numFmtId="0" fontId="212" fillId="0" borderId="0" xfId="2" applyFont="1"/>
    <xf numFmtId="0" fontId="212" fillId="10" borderId="6" xfId="2" applyFont="1" applyFill="1" applyBorder="1"/>
    <xf numFmtId="0" fontId="211" fillId="0" borderId="0" xfId="1" applyFont="1" applyAlignment="1">
      <alignment horizontal="right"/>
    </xf>
    <xf numFmtId="0" fontId="233" fillId="8" borderId="47" xfId="7" applyFont="1" applyFill="1" applyBorder="1"/>
    <xf numFmtId="0" fontId="210" fillId="0" borderId="6" xfId="1" applyFont="1" applyBorder="1"/>
    <xf numFmtId="0" fontId="209" fillId="0" borderId="0" xfId="1" applyFont="1"/>
    <xf numFmtId="0" fontId="209" fillId="0" borderId="28" xfId="1" applyFont="1" applyBorder="1" applyAlignment="1">
      <alignment horizontal="center"/>
    </xf>
    <xf numFmtId="0" fontId="208" fillId="0" borderId="6" xfId="1" applyFont="1" applyBorder="1"/>
    <xf numFmtId="0" fontId="208" fillId="0" borderId="6" xfId="1" applyFont="1" applyBorder="1" applyAlignment="1">
      <alignment horizontal="right"/>
    </xf>
    <xf numFmtId="0" fontId="208" fillId="0" borderId="0" xfId="1" applyFont="1" applyAlignment="1">
      <alignment horizontal="right"/>
    </xf>
    <xf numFmtId="0" fontId="284" fillId="0" borderId="24" xfId="1" applyFont="1" applyBorder="1" applyAlignment="1">
      <alignment horizontal="right"/>
    </xf>
    <xf numFmtId="0" fontId="315" fillId="0" borderId="0" xfId="33" applyFont="1"/>
    <xf numFmtId="0" fontId="207" fillId="0" borderId="0" xfId="33" applyFont="1"/>
    <xf numFmtId="0" fontId="207" fillId="0" borderId="6" xfId="33" applyFont="1" applyBorder="1"/>
    <xf numFmtId="0" fontId="206" fillId="0" borderId="0" xfId="1" applyFont="1"/>
    <xf numFmtId="0" fontId="205" fillId="0" borderId="0" xfId="1" applyFont="1"/>
    <xf numFmtId="0" fontId="203" fillId="0" borderId="6" xfId="1" applyFont="1" applyBorder="1"/>
    <xf numFmtId="166" fontId="313" fillId="3" borderId="0" xfId="3" applyNumberFormat="1" applyFill="1" applyAlignment="1">
      <alignment horizontal="center"/>
    </xf>
    <xf numFmtId="0" fontId="206" fillId="8" borderId="6" xfId="1" applyFont="1" applyFill="1" applyBorder="1"/>
    <xf numFmtId="0" fontId="202" fillId="0" borderId="0" xfId="1" applyFont="1"/>
    <xf numFmtId="0" fontId="204" fillId="8" borderId="6" xfId="1" applyFont="1" applyFill="1" applyBorder="1"/>
    <xf numFmtId="0" fontId="201" fillId="0" borderId="0" xfId="1" applyFont="1"/>
    <xf numFmtId="2" fontId="201" fillId="0" borderId="0" xfId="1" applyNumberFormat="1" applyFont="1"/>
    <xf numFmtId="0" fontId="200" fillId="0" borderId="6" xfId="1" applyFont="1" applyBorder="1"/>
    <xf numFmtId="0" fontId="310" fillId="10" borderId="14" xfId="1" applyFill="1" applyBorder="1" applyAlignment="1">
      <alignment horizontal="center"/>
    </xf>
    <xf numFmtId="0" fontId="199" fillId="0" borderId="0" xfId="1" applyFont="1"/>
    <xf numFmtId="0" fontId="310" fillId="40" borderId="6" xfId="1" applyFill="1" applyBorder="1"/>
    <xf numFmtId="0" fontId="199" fillId="0" borderId="0" xfId="1" applyFont="1" applyAlignment="1">
      <alignment horizontal="right"/>
    </xf>
    <xf numFmtId="0" fontId="310" fillId="40" borderId="0" xfId="1" applyFill="1"/>
    <xf numFmtId="0" fontId="0" fillId="39" borderId="6" xfId="0" applyFill="1" applyBorder="1"/>
    <xf numFmtId="0" fontId="198" fillId="0" borderId="0" xfId="1" applyFont="1"/>
    <xf numFmtId="0" fontId="197" fillId="0" borderId="0" xfId="1" applyFont="1"/>
    <xf numFmtId="0" fontId="310" fillId="5" borderId="6" xfId="1" applyFill="1" applyBorder="1" applyAlignment="1">
      <alignment horizontal="center"/>
    </xf>
    <xf numFmtId="3" fontId="295" fillId="5" borderId="6" xfId="1" applyNumberFormat="1" applyFont="1" applyFill="1" applyBorder="1" applyAlignment="1">
      <alignment horizontal="center"/>
    </xf>
    <xf numFmtId="0" fontId="196" fillId="0" borderId="0" xfId="1" applyFont="1"/>
    <xf numFmtId="0" fontId="310" fillId="33" borderId="6" xfId="1" applyFill="1" applyBorder="1"/>
    <xf numFmtId="0" fontId="212" fillId="33" borderId="6" xfId="2" applyFont="1" applyFill="1" applyBorder="1"/>
    <xf numFmtId="0" fontId="195" fillId="0" borderId="0" xfId="1" applyFont="1"/>
    <xf numFmtId="0" fontId="214" fillId="0" borderId="15" xfId="1" applyFont="1" applyBorder="1" applyAlignment="1">
      <alignment horizontal="right"/>
    </xf>
    <xf numFmtId="0" fontId="310" fillId="34" borderId="14" xfId="1" applyFill="1" applyBorder="1"/>
    <xf numFmtId="0" fontId="195" fillId="33" borderId="6" xfId="1" applyFont="1" applyFill="1" applyBorder="1"/>
    <xf numFmtId="0" fontId="310" fillId="41" borderId="6" xfId="1" applyFill="1" applyBorder="1"/>
    <xf numFmtId="165" fontId="310" fillId="41" borderId="6" xfId="1" applyNumberFormat="1" applyFill="1" applyBorder="1"/>
    <xf numFmtId="0" fontId="0" fillId="41" borderId="6" xfId="0" applyFill="1" applyBorder="1"/>
    <xf numFmtId="0" fontId="310" fillId="39" borderId="6" xfId="1" applyFill="1" applyBorder="1"/>
    <xf numFmtId="0" fontId="194" fillId="0" borderId="0" xfId="1" applyFont="1"/>
    <xf numFmtId="0" fontId="329" fillId="39" borderId="14" xfId="0" applyFont="1" applyFill="1" applyBorder="1"/>
    <xf numFmtId="0" fontId="193" fillId="0" borderId="0" xfId="1" applyFont="1"/>
    <xf numFmtId="0" fontId="0" fillId="38" borderId="6" xfId="0" applyFill="1" applyBorder="1" applyAlignment="1">
      <alignment horizontal="center"/>
    </xf>
    <xf numFmtId="0" fontId="191" fillId="0" borderId="0" xfId="1" applyFont="1"/>
    <xf numFmtId="0" fontId="321" fillId="0" borderId="0" xfId="0" applyFont="1"/>
    <xf numFmtId="0" fontId="323" fillId="0" borderId="0" xfId="1" applyFont="1"/>
    <xf numFmtId="0" fontId="190" fillId="0" borderId="9" xfId="1" applyFont="1" applyBorder="1"/>
    <xf numFmtId="0" fontId="190" fillId="0" borderId="0" xfId="1" applyFont="1"/>
    <xf numFmtId="0" fontId="190" fillId="0" borderId="27" xfId="1" applyFont="1" applyBorder="1"/>
    <xf numFmtId="0" fontId="310" fillId="11" borderId="29" xfId="1" applyFill="1" applyBorder="1"/>
    <xf numFmtId="0" fontId="190" fillId="0" borderId="26" xfId="1" applyFont="1" applyBorder="1"/>
    <xf numFmtId="0" fontId="310" fillId="11" borderId="38" xfId="1" applyFill="1" applyBorder="1"/>
    <xf numFmtId="0" fontId="190" fillId="0" borderId="8" xfId="1" applyFont="1" applyBorder="1"/>
    <xf numFmtId="0" fontId="190" fillId="0" borderId="25" xfId="1" applyFont="1" applyBorder="1"/>
    <xf numFmtId="0" fontId="189" fillId="0" borderId="26" xfId="1" applyFont="1" applyBorder="1"/>
    <xf numFmtId="16" fontId="302" fillId="0" borderId="0" xfId="1" applyNumberFormat="1" applyFont="1"/>
    <xf numFmtId="0" fontId="188" fillId="0" borderId="0" xfId="1" applyFont="1"/>
    <xf numFmtId="0" fontId="315" fillId="5" borderId="6" xfId="1" applyFont="1" applyFill="1" applyBorder="1" applyAlignment="1">
      <alignment horizontal="center"/>
    </xf>
    <xf numFmtId="0" fontId="188" fillId="0" borderId="6" xfId="33" applyFont="1" applyBorder="1"/>
    <xf numFmtId="0" fontId="188" fillId="0" borderId="0" xfId="1" applyFont="1" applyAlignment="1">
      <alignment horizontal="right"/>
    </xf>
    <xf numFmtId="0" fontId="187" fillId="0" borderId="0" xfId="1" applyFont="1"/>
    <xf numFmtId="0" fontId="310" fillId="40" borderId="6" xfId="1" applyFill="1" applyBorder="1" applyAlignment="1">
      <alignment horizontal="center"/>
    </xf>
    <xf numFmtId="0" fontId="264" fillId="8" borderId="6" xfId="1" applyFont="1" applyFill="1" applyBorder="1"/>
    <xf numFmtId="0" fontId="186" fillId="0" borderId="0" xfId="1" applyFont="1" applyAlignment="1">
      <alignment horizontal="right"/>
    </xf>
    <xf numFmtId="0" fontId="186" fillId="0" borderId="0" xfId="1" applyFont="1"/>
    <xf numFmtId="0" fontId="185" fillId="0" borderId="0" xfId="1" applyFont="1"/>
    <xf numFmtId="0" fontId="185" fillId="0" borderId="0" xfId="1" applyFont="1" applyAlignment="1">
      <alignment horizontal="left"/>
    </xf>
    <xf numFmtId="11" fontId="207" fillId="0" borderId="6" xfId="33" applyNumberFormat="1" applyFont="1" applyBorder="1"/>
    <xf numFmtId="0" fontId="310" fillId="6" borderId="11" xfId="1" applyFill="1" applyBorder="1"/>
    <xf numFmtId="0" fontId="184" fillId="0" borderId="6" xfId="1" applyFont="1" applyBorder="1"/>
    <xf numFmtId="0" fontId="183" fillId="0" borderId="0" xfId="1" applyFont="1"/>
    <xf numFmtId="10" fontId="310" fillId="0" borderId="6" xfId="1" applyNumberFormat="1" applyBorder="1"/>
    <xf numFmtId="0" fontId="183" fillId="0" borderId="0" xfId="1" applyFont="1" applyAlignment="1">
      <alignment horizontal="right"/>
    </xf>
    <xf numFmtId="0" fontId="182" fillId="0" borderId="6" xfId="1" applyFont="1" applyBorder="1"/>
    <xf numFmtId="0" fontId="181" fillId="0" borderId="0" xfId="1" applyFont="1"/>
    <xf numFmtId="0" fontId="214" fillId="0" borderId="6" xfId="1" applyFont="1" applyBorder="1" applyAlignment="1">
      <alignment horizontal="left"/>
    </xf>
    <xf numFmtId="0" fontId="179" fillId="0" borderId="6" xfId="1" applyFont="1" applyBorder="1"/>
    <xf numFmtId="0" fontId="178" fillId="0" borderId="0" xfId="1" applyFont="1"/>
    <xf numFmtId="0" fontId="178" fillId="0" borderId="0" xfId="1" applyFont="1" applyAlignment="1">
      <alignment horizontal="right"/>
    </xf>
    <xf numFmtId="0" fontId="0" fillId="11" borderId="24" xfId="0" applyFill="1" applyBorder="1" applyAlignment="1">
      <alignment horizontal="center"/>
    </xf>
    <xf numFmtId="0" fontId="177" fillId="0" borderId="0" xfId="1" applyFont="1" applyAlignment="1">
      <alignment horizontal="right"/>
    </xf>
    <xf numFmtId="0" fontId="176" fillId="0" borderId="0" xfId="1" applyFont="1"/>
    <xf numFmtId="0" fontId="176" fillId="0" borderId="6" xfId="1" applyFont="1" applyBorder="1"/>
    <xf numFmtId="0" fontId="175" fillId="0" borderId="6" xfId="1" applyFont="1" applyBorder="1"/>
    <xf numFmtId="0" fontId="310" fillId="11" borderId="39" xfId="1" applyFill="1" applyBorder="1"/>
    <xf numFmtId="0" fontId="174" fillId="0" borderId="6" xfId="1" applyFont="1" applyBorder="1"/>
    <xf numFmtId="0" fontId="173" fillId="0" borderId="6" xfId="1" applyFont="1" applyBorder="1"/>
    <xf numFmtId="0" fontId="310" fillId="9" borderId="15" xfId="1" applyFill="1" applyBorder="1"/>
    <xf numFmtId="0" fontId="310" fillId="6" borderId="39" xfId="1" applyFill="1" applyBorder="1"/>
    <xf numFmtId="0" fontId="310" fillId="8" borderId="24" xfId="1" applyFill="1" applyBorder="1" applyAlignment="1">
      <alignment horizontal="center"/>
    </xf>
    <xf numFmtId="0" fontId="170" fillId="0" borderId="0" xfId="1" applyFont="1"/>
    <xf numFmtId="0" fontId="310" fillId="11" borderId="13" xfId="1" applyFill="1" applyBorder="1" applyAlignment="1">
      <alignment horizontal="left"/>
    </xf>
    <xf numFmtId="0" fontId="319" fillId="11" borderId="0" xfId="1" applyFont="1" applyFill="1"/>
    <xf numFmtId="49" fontId="319" fillId="11" borderId="0" xfId="1" applyNumberFormat="1" applyFont="1" applyFill="1"/>
    <xf numFmtId="0" fontId="221" fillId="13" borderId="40" xfId="1" applyFont="1" applyFill="1" applyBorder="1" applyAlignment="1" applyProtection="1">
      <alignment horizontal="right"/>
      <protection locked="0"/>
    </xf>
    <xf numFmtId="0" fontId="310" fillId="5" borderId="40" xfId="1" applyFill="1" applyBorder="1" applyAlignment="1" applyProtection="1">
      <alignment horizontal="left"/>
      <protection locked="0"/>
    </xf>
    <xf numFmtId="0" fontId="310" fillId="38" borderId="6" xfId="1" applyFill="1" applyBorder="1" applyProtection="1">
      <protection locked="0"/>
    </xf>
    <xf numFmtId="0" fontId="310" fillId="5" borderId="39" xfId="1" applyFill="1" applyBorder="1" applyProtection="1">
      <protection locked="0"/>
    </xf>
    <xf numFmtId="0" fontId="310" fillId="5" borderId="6" xfId="1" applyFill="1" applyBorder="1" applyProtection="1">
      <protection locked="0"/>
    </xf>
    <xf numFmtId="0" fontId="310" fillId="5" borderId="34" xfId="1" applyFill="1" applyBorder="1" applyProtection="1">
      <protection locked="0"/>
    </xf>
    <xf numFmtId="0" fontId="204" fillId="5" borderId="6" xfId="1" applyFont="1" applyFill="1" applyBorder="1" applyProtection="1">
      <protection locked="0"/>
    </xf>
    <xf numFmtId="0" fontId="212" fillId="5" borderId="6" xfId="2" applyFont="1" applyFill="1" applyBorder="1" applyProtection="1">
      <protection locked="0"/>
    </xf>
    <xf numFmtId="0" fontId="282" fillId="5" borderId="6" xfId="2" applyFont="1" applyFill="1" applyBorder="1" applyProtection="1">
      <protection locked="0"/>
    </xf>
    <xf numFmtId="0" fontId="197" fillId="5" borderId="6" xfId="1" applyFont="1" applyFill="1" applyBorder="1" applyProtection="1"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6" xfId="0" applyFill="1" applyBorder="1" applyProtection="1">
      <protection locked="0"/>
    </xf>
    <xf numFmtId="0" fontId="0" fillId="5" borderId="24" xfId="0" applyFill="1" applyBorder="1" applyProtection="1">
      <protection locked="0"/>
    </xf>
    <xf numFmtId="0" fontId="180" fillId="5" borderId="39" xfId="1" applyFont="1" applyFill="1" applyBorder="1" applyAlignment="1" applyProtection="1">
      <alignment horizontal="center"/>
      <protection locked="0"/>
    </xf>
    <xf numFmtId="0" fontId="310" fillId="13" borderId="6" xfId="1" applyFill="1" applyBorder="1" applyProtection="1">
      <protection locked="0"/>
    </xf>
    <xf numFmtId="0" fontId="0" fillId="8" borderId="6" xfId="0" applyFill="1" applyBorder="1" applyProtection="1">
      <protection locked="0"/>
    </xf>
    <xf numFmtId="165" fontId="233" fillId="8" borderId="6" xfId="8" applyNumberFormat="1" applyFont="1" applyFill="1" applyBorder="1"/>
    <xf numFmtId="0" fontId="169" fillId="0" borderId="0" xfId="1" applyFont="1"/>
    <xf numFmtId="0" fontId="168" fillId="0" borderId="0" xfId="1" applyFont="1"/>
    <xf numFmtId="0" fontId="167" fillId="0" borderId="0" xfId="1" applyFont="1"/>
    <xf numFmtId="0" fontId="167" fillId="0" borderId="0" xfId="1" applyFont="1" applyAlignment="1">
      <alignment horizontal="right"/>
    </xf>
    <xf numFmtId="0" fontId="167" fillId="8" borderId="15" xfId="1" applyFont="1" applyFill="1" applyBorder="1"/>
    <xf numFmtId="0" fontId="167" fillId="8" borderId="24" xfId="1" applyFont="1" applyFill="1" applyBorder="1" applyAlignment="1">
      <alignment horizontal="center"/>
    </xf>
    <xf numFmtId="0" fontId="167" fillId="8" borderId="23" xfId="1" applyFont="1" applyFill="1" applyBorder="1" applyAlignment="1">
      <alignment horizontal="center"/>
    </xf>
    <xf numFmtId="0" fontId="167" fillId="8" borderId="22" xfId="1" applyFont="1" applyFill="1" applyBorder="1" applyAlignment="1">
      <alignment horizontal="center"/>
    </xf>
    <xf numFmtId="0" fontId="331" fillId="0" borderId="0" xfId="0" applyFont="1"/>
    <xf numFmtId="0" fontId="0" fillId="8" borderId="24" xfId="0" applyFill="1" applyBorder="1" applyAlignment="1">
      <alignment horizontal="center"/>
    </xf>
    <xf numFmtId="0" fontId="311" fillId="9" borderId="39" xfId="0" applyFont="1" applyFill="1" applyBorder="1"/>
    <xf numFmtId="0" fontId="165" fillId="0" borderId="6" xfId="1" applyFont="1" applyBorder="1"/>
    <xf numFmtId="0" fontId="164" fillId="0" borderId="0" xfId="1" applyFont="1"/>
    <xf numFmtId="0" fontId="0" fillId="38" borderId="6" xfId="0" applyFill="1" applyBorder="1" applyProtection="1">
      <protection locked="0"/>
    </xf>
    <xf numFmtId="0" fontId="332" fillId="0" borderId="0" xfId="1" applyFont="1"/>
    <xf numFmtId="0" fontId="332" fillId="0" borderId="0" xfId="1" applyFont="1" applyAlignment="1">
      <alignment wrapText="1"/>
    </xf>
    <xf numFmtId="9" fontId="330" fillId="0" borderId="6" xfId="1" applyNumberFormat="1" applyFont="1" applyBorder="1"/>
    <xf numFmtId="0" fontId="331" fillId="0" borderId="6" xfId="0" applyFont="1" applyBorder="1"/>
    <xf numFmtId="0" fontId="333" fillId="36" borderId="6" xfId="1" applyFont="1" applyFill="1" applyBorder="1"/>
    <xf numFmtId="2" fontId="333" fillId="36" borderId="6" xfId="1" applyNumberFormat="1" applyFont="1" applyFill="1" applyBorder="1"/>
    <xf numFmtId="9" fontId="333" fillId="36" borderId="6" xfId="1" applyNumberFormat="1" applyFont="1" applyFill="1" applyBorder="1"/>
    <xf numFmtId="0" fontId="333" fillId="36" borderId="15" xfId="1" applyFont="1" applyFill="1" applyBorder="1"/>
    <xf numFmtId="0" fontId="333" fillId="36" borderId="14" xfId="1" applyFont="1" applyFill="1" applyBorder="1"/>
    <xf numFmtId="2" fontId="311" fillId="2" borderId="0" xfId="3" applyNumberFormat="1" applyFont="1" applyFill="1" applyAlignment="1">
      <alignment horizontal="center"/>
    </xf>
    <xf numFmtId="0" fontId="311" fillId="2" borderId="0" xfId="3" applyFont="1" applyFill="1" applyAlignment="1">
      <alignment horizontal="center"/>
    </xf>
    <xf numFmtId="0" fontId="311" fillId="2" borderId="1" xfId="3" applyFont="1" applyFill="1" applyBorder="1" applyAlignment="1">
      <alignment horizontal="center"/>
    </xf>
    <xf numFmtId="0" fontId="311" fillId="2" borderId="2" xfId="3" applyFont="1" applyFill="1" applyBorder="1" applyAlignment="1">
      <alignment horizontal="left"/>
    </xf>
    <xf numFmtId="0" fontId="313" fillId="2" borderId="0" xfId="3" applyFill="1"/>
    <xf numFmtId="2" fontId="313" fillId="4" borderId="0" xfId="3" applyNumberFormat="1" applyFill="1" applyAlignment="1">
      <alignment horizontal="center"/>
    </xf>
    <xf numFmtId="0" fontId="313" fillId="4" borderId="0" xfId="3" applyFill="1" applyAlignment="1">
      <alignment horizontal="center"/>
    </xf>
    <xf numFmtId="0" fontId="313" fillId="4" borderId="1" xfId="3" applyFill="1" applyBorder="1" applyAlignment="1">
      <alignment horizontal="center"/>
    </xf>
    <xf numFmtId="0" fontId="313" fillId="4" borderId="0" xfId="3" applyFill="1" applyAlignment="1">
      <alignment horizontal="left"/>
    </xf>
    <xf numFmtId="0" fontId="313" fillId="4" borderId="0" xfId="3" applyFill="1"/>
    <xf numFmtId="2" fontId="313" fillId="4" borderId="0" xfId="3" applyNumberFormat="1" applyFill="1"/>
    <xf numFmtId="0" fontId="313" fillId="4" borderId="1" xfId="3" applyFill="1" applyBorder="1"/>
    <xf numFmtId="0" fontId="162" fillId="0" borderId="6" xfId="1" applyFont="1" applyBorder="1"/>
    <xf numFmtId="0" fontId="161" fillId="0" borderId="6" xfId="1" applyFont="1" applyBorder="1"/>
    <xf numFmtId="15" fontId="327" fillId="38" borderId="39" xfId="1" applyNumberFormat="1" applyFont="1" applyFill="1" applyBorder="1" applyAlignment="1" applyProtection="1">
      <alignment horizontal="left"/>
      <protection locked="0"/>
    </xf>
    <xf numFmtId="15" fontId="310" fillId="42" borderId="6" xfId="1" applyNumberFormat="1" applyFill="1" applyBorder="1" applyAlignment="1" applyProtection="1">
      <alignment horizontal="left"/>
      <protection locked="0"/>
    </xf>
    <xf numFmtId="0" fontId="160" fillId="40" borderId="6" xfId="1" applyFont="1" applyFill="1" applyBorder="1" applyAlignment="1">
      <alignment horizontal="center"/>
    </xf>
    <xf numFmtId="0" fontId="159" fillId="0" borderId="15" xfId="1" applyFont="1" applyBorder="1"/>
    <xf numFmtId="0" fontId="159" fillId="0" borderId="6" xfId="1" applyFont="1" applyBorder="1"/>
    <xf numFmtId="0" fontId="159" fillId="0" borderId="0" xfId="1" applyFont="1"/>
    <xf numFmtId="0" fontId="157" fillId="0" borderId="6" xfId="33" applyFont="1" applyBorder="1"/>
    <xf numFmtId="0" fontId="156" fillId="13" borderId="40" xfId="1" applyFont="1" applyFill="1" applyBorder="1" applyAlignment="1" applyProtection="1">
      <alignment horizontal="left"/>
      <protection locked="0"/>
    </xf>
    <xf numFmtId="0" fontId="164" fillId="0" borderId="6" xfId="1" applyFont="1" applyBorder="1" applyAlignment="1">
      <alignment horizontal="center"/>
    </xf>
    <xf numFmtId="0" fontId="156" fillId="0" borderId="0" xfId="1" applyFont="1"/>
    <xf numFmtId="0" fontId="155" fillId="0" borderId="0" xfId="7" applyFont="1"/>
    <xf numFmtId="0" fontId="154" fillId="0" borderId="6" xfId="1" applyFont="1" applyBorder="1"/>
    <xf numFmtId="0" fontId="153" fillId="0" borderId="0" xfId="1" applyFont="1"/>
    <xf numFmtId="0" fontId="152" fillId="0" borderId="0" xfId="7" applyFont="1"/>
    <xf numFmtId="0" fontId="152" fillId="6" borderId="0" xfId="7" applyFont="1" applyFill="1"/>
    <xf numFmtId="0" fontId="233" fillId="6" borderId="6" xfId="7" applyFont="1" applyFill="1" applyBorder="1"/>
    <xf numFmtId="0" fontId="233" fillId="10" borderId="0" xfId="7" applyFont="1" applyFill="1"/>
    <xf numFmtId="0" fontId="151" fillId="0" borderId="0" xfId="1" applyFont="1"/>
    <xf numFmtId="15" fontId="150" fillId="38" borderId="6" xfId="1" applyNumberFormat="1" applyFont="1" applyFill="1" applyBorder="1" applyAlignment="1" applyProtection="1">
      <alignment horizontal="left"/>
      <protection locked="0"/>
    </xf>
    <xf numFmtId="168" fontId="0" fillId="3" borderId="0" xfId="0" applyNumberFormat="1" applyFill="1" applyAlignment="1">
      <alignment horizontal="center"/>
    </xf>
    <xf numFmtId="0" fontId="220" fillId="0" borderId="15" xfId="2" applyFont="1" applyBorder="1"/>
    <xf numFmtId="0" fontId="149" fillId="0" borderId="0" xfId="1" applyFont="1" applyAlignment="1">
      <alignment horizontal="right"/>
    </xf>
    <xf numFmtId="0" fontId="310" fillId="10" borderId="12" xfId="1" applyFill="1" applyBorder="1" applyAlignment="1">
      <alignment horizontal="left"/>
    </xf>
    <xf numFmtId="0" fontId="313" fillId="4" borderId="0" xfId="3" quotePrefix="1" applyFill="1" applyAlignment="1">
      <alignment horizontal="center"/>
    </xf>
    <xf numFmtId="0" fontId="148" fillId="0" borderId="6" xfId="1" applyFont="1" applyBorder="1"/>
    <xf numFmtId="0" fontId="147" fillId="0" borderId="0" xfId="1" applyFont="1"/>
    <xf numFmtId="0" fontId="147" fillId="0" borderId="6" xfId="1" applyFont="1" applyBorder="1"/>
    <xf numFmtId="0" fontId="146" fillId="0" borderId="6" xfId="1" applyFont="1" applyBorder="1"/>
    <xf numFmtId="0" fontId="144" fillId="0" borderId="6" xfId="1" applyFont="1" applyBorder="1"/>
    <xf numFmtId="0" fontId="144" fillId="0" borderId="0" xfId="1" applyFont="1"/>
    <xf numFmtId="0" fontId="334" fillId="8" borderId="6" xfId="1" applyFont="1" applyFill="1" applyBorder="1"/>
    <xf numFmtId="0" fontId="334" fillId="0" borderId="0" xfId="1" applyFont="1"/>
    <xf numFmtId="0" fontId="313" fillId="5" borderId="6" xfId="0" applyFont="1" applyFill="1" applyBorder="1"/>
    <xf numFmtId="0" fontId="334" fillId="0" borderId="6" xfId="1" applyFont="1" applyBorder="1"/>
    <xf numFmtId="0" fontId="334" fillId="33" borderId="6" xfId="1" applyFont="1" applyFill="1" applyBorder="1"/>
    <xf numFmtId="0" fontId="335" fillId="0" borderId="0" xfId="1" applyFont="1"/>
    <xf numFmtId="0" fontId="143" fillId="40" borderId="6" xfId="1" applyFont="1" applyFill="1" applyBorder="1" applyAlignment="1">
      <alignment horizontal="center"/>
    </xf>
    <xf numFmtId="0" fontId="142" fillId="0" borderId="6" xfId="1" applyFont="1" applyBorder="1"/>
    <xf numFmtId="0" fontId="176" fillId="11" borderId="6" xfId="1" applyFont="1" applyFill="1" applyBorder="1"/>
    <xf numFmtId="0" fontId="141" fillId="0" borderId="0" xfId="1" applyFont="1"/>
    <xf numFmtId="0" fontId="141" fillId="0" borderId="6" xfId="1" applyFont="1" applyBorder="1"/>
    <xf numFmtId="0" fontId="313" fillId="3" borderId="0" xfId="0" applyFont="1" applyFill="1" applyAlignment="1">
      <alignment horizontal="right"/>
    </xf>
    <xf numFmtId="0" fontId="318" fillId="0" borderId="0" xfId="1" applyFont="1" applyAlignment="1">
      <alignment horizontal="center"/>
    </xf>
    <xf numFmtId="0" fontId="140" fillId="0" borderId="0" xfId="1" applyFont="1"/>
    <xf numFmtId="0" fontId="140" fillId="0" borderId="0" xfId="1" applyFont="1" applyAlignment="1">
      <alignment horizontal="left"/>
    </xf>
    <xf numFmtId="0" fontId="317" fillId="8" borderId="6" xfId="1" applyFont="1" applyFill="1" applyBorder="1" applyAlignment="1">
      <alignment horizontal="left"/>
    </xf>
    <xf numFmtId="0" fontId="140" fillId="0" borderId="0" xfId="1" quotePrefix="1" applyFont="1"/>
    <xf numFmtId="15" fontId="139" fillId="38" borderId="6" xfId="1" applyNumberFormat="1" applyFont="1" applyFill="1" applyBorder="1" applyAlignment="1" applyProtection="1">
      <alignment horizontal="left"/>
      <protection locked="0"/>
    </xf>
    <xf numFmtId="0" fontId="138" fillId="0" borderId="0" xfId="1" applyFont="1"/>
    <xf numFmtId="0" fontId="138" fillId="0" borderId="0" xfId="1" applyFont="1" applyAlignment="1">
      <alignment horizontal="right"/>
    </xf>
    <xf numFmtId="2" fontId="315" fillId="0" borderId="39" xfId="1" applyNumberFormat="1" applyFont="1" applyBorder="1"/>
    <xf numFmtId="0" fontId="166" fillId="5" borderId="39" xfId="1" applyFont="1" applyFill="1" applyBorder="1" applyProtection="1">
      <protection locked="0"/>
    </xf>
    <xf numFmtId="0" fontId="135" fillId="0" borderId="0" xfId="1" applyFont="1"/>
    <xf numFmtId="0" fontId="310" fillId="10" borderId="6" xfId="1" applyFill="1" applyBorder="1" applyAlignment="1">
      <alignment horizontal="left"/>
    </xf>
    <xf numFmtId="0" fontId="135" fillId="0" borderId="0" xfId="1" applyFont="1" applyAlignment="1">
      <alignment horizontal="right"/>
    </xf>
    <xf numFmtId="169" fontId="137" fillId="13" borderId="40" xfId="1" quotePrefix="1" applyNumberFormat="1" applyFont="1" applyFill="1" applyBorder="1" applyAlignment="1" applyProtection="1">
      <alignment horizontal="left"/>
      <protection locked="0"/>
    </xf>
    <xf numFmtId="0" fontId="151" fillId="0" borderId="0" xfId="1" applyFont="1" applyAlignment="1">
      <alignment horizontal="right"/>
    </xf>
    <xf numFmtId="2" fontId="313" fillId="3" borderId="0" xfId="0" applyNumberFormat="1" applyFont="1" applyFill="1" applyAlignment="1">
      <alignment horizontal="left"/>
    </xf>
    <xf numFmtId="0" fontId="134" fillId="0" borderId="0" xfId="7" applyFont="1"/>
    <xf numFmtId="0" fontId="133" fillId="0" borderId="0" xfId="1" applyFont="1"/>
    <xf numFmtId="0" fontId="310" fillId="9" borderId="6" xfId="1" applyFill="1" applyBorder="1" applyAlignment="1">
      <alignment horizontal="left"/>
    </xf>
    <xf numFmtId="0" fontId="301" fillId="0" borderId="6" xfId="1" applyFont="1" applyBorder="1"/>
    <xf numFmtId="0" fontId="132" fillId="0" borderId="6" xfId="1" applyFont="1" applyBorder="1"/>
    <xf numFmtId="0" fontId="269" fillId="0" borderId="22" xfId="1" applyFont="1" applyBorder="1"/>
    <xf numFmtId="0" fontId="315" fillId="0" borderId="6" xfId="1" applyFont="1" applyBorder="1"/>
    <xf numFmtId="0" fontId="132" fillId="0" borderId="6" xfId="1" applyFont="1" applyBorder="1" applyAlignment="1">
      <alignment horizontal="left"/>
    </xf>
    <xf numFmtId="0" fontId="132" fillId="0" borderId="0" xfId="1" applyFont="1"/>
    <xf numFmtId="0" fontId="131" fillId="0" borderId="6" xfId="1" applyFont="1" applyBorder="1"/>
    <xf numFmtId="0" fontId="130" fillId="0" borderId="6" xfId="1" applyFont="1" applyBorder="1"/>
    <xf numFmtId="0" fontId="129" fillId="0" borderId="0" xfId="1" applyFont="1"/>
    <xf numFmtId="0" fontId="311" fillId="0" borderId="15" xfId="0" applyFont="1" applyBorder="1"/>
    <xf numFmtId="0" fontId="311" fillId="0" borderId="15" xfId="0" applyFont="1" applyBorder="1" applyAlignment="1">
      <alignment wrapText="1"/>
    </xf>
    <xf numFmtId="0" fontId="315" fillId="0" borderId="15" xfId="1" applyFont="1" applyBorder="1"/>
    <xf numFmtId="0" fontId="312" fillId="5" borderId="6" xfId="0" applyFont="1" applyFill="1" applyBorder="1"/>
    <xf numFmtId="165" fontId="0" fillId="11" borderId="6" xfId="0" applyNumberFormat="1" applyFill="1" applyBorder="1"/>
    <xf numFmtId="165" fontId="310" fillId="0" borderId="6" xfId="1" applyNumberFormat="1" applyBorder="1"/>
    <xf numFmtId="0" fontId="207" fillId="5" borderId="6" xfId="33" applyFont="1" applyFill="1" applyBorder="1"/>
    <xf numFmtId="0" fontId="128" fillId="5" borderId="6" xfId="1" applyFont="1" applyFill="1" applyBorder="1"/>
    <xf numFmtId="0" fontId="127" fillId="0" borderId="0" xfId="1" applyFont="1"/>
    <xf numFmtId="0" fontId="127" fillId="0" borderId="6" xfId="1" applyFont="1" applyBorder="1"/>
    <xf numFmtId="0" fontId="127" fillId="10" borderId="6" xfId="1" applyFont="1" applyFill="1" applyBorder="1"/>
    <xf numFmtId="0" fontId="126" fillId="0" borderId="24" xfId="1" applyFont="1" applyBorder="1" applyAlignment="1">
      <alignment horizontal="right"/>
    </xf>
    <xf numFmtId="0" fontId="310" fillId="10" borderId="6" xfId="1" applyFill="1" applyBorder="1" applyAlignment="1">
      <alignment horizontal="center"/>
    </xf>
    <xf numFmtId="169" fontId="310" fillId="10" borderId="6" xfId="1" applyNumberFormat="1" applyFill="1" applyBorder="1" applyAlignment="1">
      <alignment horizontal="center"/>
    </xf>
    <xf numFmtId="0" fontId="310" fillId="5" borderId="0" xfId="1" applyFill="1" applyAlignment="1">
      <alignment horizontal="center"/>
    </xf>
    <xf numFmtId="0" fontId="125" fillId="10" borderId="6" xfId="1" applyFont="1" applyFill="1" applyBorder="1" applyAlignment="1">
      <alignment horizontal="center"/>
    </xf>
    <xf numFmtId="49" fontId="124" fillId="5" borderId="6" xfId="1" applyNumberFormat="1" applyFont="1" applyFill="1" applyBorder="1" applyAlignment="1">
      <alignment horizontal="center"/>
    </xf>
    <xf numFmtId="0" fontId="124" fillId="10" borderId="6" xfId="1" applyFont="1" applyFill="1" applyBorder="1" applyAlignment="1">
      <alignment horizontal="center"/>
    </xf>
    <xf numFmtId="0" fontId="124" fillId="10" borderId="6" xfId="1" quotePrefix="1" applyFont="1" applyFill="1" applyBorder="1" applyAlignment="1">
      <alignment horizontal="center"/>
    </xf>
    <xf numFmtId="3" fontId="123" fillId="11" borderId="6" xfId="1" applyNumberFormat="1" applyFont="1" applyFill="1" applyBorder="1" applyAlignment="1">
      <alignment horizontal="center"/>
    </xf>
    <xf numFmtId="3" fontId="123" fillId="8" borderId="6" xfId="1" applyNumberFormat="1" applyFont="1" applyFill="1" applyBorder="1" applyAlignment="1">
      <alignment horizontal="center"/>
    </xf>
    <xf numFmtId="0" fontId="123" fillId="6" borderId="20" xfId="1" applyFont="1" applyFill="1" applyBorder="1"/>
    <xf numFmtId="0" fontId="123" fillId="6" borderId="28" xfId="1" applyFont="1" applyFill="1" applyBorder="1" applyAlignment="1">
      <alignment horizontal="center"/>
    </xf>
    <xf numFmtId="0" fontId="123" fillId="6" borderId="0" xfId="1" applyFont="1" applyFill="1"/>
    <xf numFmtId="0" fontId="123" fillId="0" borderId="27" xfId="1" applyFont="1" applyBorder="1"/>
    <xf numFmtId="0" fontId="123" fillId="35" borderId="0" xfId="1" applyFont="1" applyFill="1"/>
    <xf numFmtId="0" fontId="123" fillId="35" borderId="28" xfId="1" applyFont="1" applyFill="1" applyBorder="1" applyAlignment="1">
      <alignment horizontal="center"/>
    </xf>
    <xf numFmtId="0" fontId="123" fillId="36" borderId="0" xfId="1" applyFont="1" applyFill="1"/>
    <xf numFmtId="0" fontId="123" fillId="36" borderId="28" xfId="1" applyFont="1" applyFill="1" applyBorder="1" applyAlignment="1">
      <alignment horizontal="center"/>
    </xf>
    <xf numFmtId="0" fontId="123" fillId="36" borderId="3" xfId="1" applyFont="1" applyFill="1" applyBorder="1"/>
    <xf numFmtId="0" fontId="123" fillId="0" borderId="0" xfId="1" applyFont="1"/>
    <xf numFmtId="0" fontId="123" fillId="6" borderId="27" xfId="1" applyFont="1" applyFill="1" applyBorder="1"/>
    <xf numFmtId="0" fontId="123" fillId="0" borderId="0" xfId="1" applyFont="1" applyAlignment="1">
      <alignment horizontal="left"/>
    </xf>
    <xf numFmtId="0" fontId="123" fillId="35" borderId="27" xfId="1" applyFont="1" applyFill="1" applyBorder="1"/>
    <xf numFmtId="0" fontId="123" fillId="8" borderId="6" xfId="1" applyFont="1" applyFill="1" applyBorder="1" applyAlignment="1">
      <alignment horizontal="center"/>
    </xf>
    <xf numFmtId="0" fontId="123" fillId="36" borderId="27" xfId="1" applyFont="1" applyFill="1" applyBorder="1"/>
    <xf numFmtId="0" fontId="123" fillId="5" borderId="6" xfId="1" applyFont="1" applyFill="1" applyBorder="1"/>
    <xf numFmtId="0" fontId="325" fillId="36" borderId="0" xfId="1" applyFont="1" applyFill="1"/>
    <xf numFmtId="0" fontId="123" fillId="0" borderId="28" xfId="1" applyFont="1" applyBorder="1" applyAlignment="1">
      <alignment horizontal="center"/>
    </xf>
    <xf numFmtId="0" fontId="310" fillId="10" borderId="6" xfId="1" applyFill="1" applyBorder="1" applyProtection="1">
      <protection locked="0"/>
    </xf>
    <xf numFmtId="0" fontId="122" fillId="0" borderId="0" xfId="1" applyFont="1"/>
    <xf numFmtId="0" fontId="121" fillId="0" borderId="6" xfId="1" applyFont="1" applyBorder="1"/>
    <xf numFmtId="0" fontId="120" fillId="0" borderId="0" xfId="1" applyFont="1"/>
    <xf numFmtId="0" fontId="119" fillId="5" borderId="6" xfId="1" applyFont="1" applyFill="1" applyBorder="1"/>
    <xf numFmtId="0" fontId="118" fillId="0" borderId="6" xfId="1" applyFont="1" applyBorder="1"/>
    <xf numFmtId="0" fontId="118" fillId="0" borderId="0" xfId="1" applyFont="1"/>
    <xf numFmtId="0" fontId="117" fillId="0" borderId="0" xfId="1" applyFont="1"/>
    <xf numFmtId="0" fontId="116" fillId="0" borderId="0" xfId="1" applyFont="1"/>
    <xf numFmtId="0" fontId="115" fillId="0" borderId="6" xfId="1" applyFont="1" applyBorder="1"/>
    <xf numFmtId="0" fontId="114" fillId="0" borderId="6" xfId="1" applyFont="1" applyBorder="1"/>
    <xf numFmtId="0" fontId="114" fillId="0" borderId="0" xfId="1" applyFont="1"/>
    <xf numFmtId="0" fontId="114" fillId="0" borderId="15" xfId="1" applyFont="1" applyBorder="1"/>
    <xf numFmtId="0" fontId="113" fillId="0" borderId="0" xfId="1" applyFont="1"/>
    <xf numFmtId="0" fontId="112" fillId="38" borderId="6" xfId="1" applyFont="1" applyFill="1" applyBorder="1" applyAlignment="1" applyProtection="1">
      <alignment horizontal="center"/>
      <protection locked="0"/>
    </xf>
    <xf numFmtId="0" fontId="111" fillId="10" borderId="6" xfId="1" applyFont="1" applyFill="1" applyBorder="1"/>
    <xf numFmtId="0" fontId="317" fillId="10" borderId="6" xfId="1" applyFont="1" applyFill="1" applyBorder="1" applyAlignment="1" applyProtection="1">
      <alignment horizontal="left"/>
      <protection locked="0"/>
    </xf>
    <xf numFmtId="0" fontId="110" fillId="10" borderId="6" xfId="1" applyFont="1" applyFill="1" applyBorder="1"/>
    <xf numFmtId="0" fontId="110" fillId="0" borderId="0" xfId="1" applyFont="1"/>
    <xf numFmtId="0" fontId="109" fillId="0" borderId="6" xfId="1" applyFont="1" applyBorder="1"/>
    <xf numFmtId="0" fontId="109" fillId="10" borderId="6" xfId="1" applyFont="1" applyFill="1" applyBorder="1"/>
    <xf numFmtId="0" fontId="108" fillId="0" borderId="6" xfId="1" applyFont="1" applyBorder="1"/>
    <xf numFmtId="0" fontId="108" fillId="10" borderId="6" xfId="1" applyFont="1" applyFill="1" applyBorder="1"/>
    <xf numFmtId="0" fontId="325" fillId="0" borderId="0" xfId="1" applyFont="1"/>
    <xf numFmtId="0" fontId="107" fillId="5" borderId="6" xfId="1" applyFont="1" applyFill="1" applyBorder="1"/>
    <xf numFmtId="0" fontId="106" fillId="5" borderId="39" xfId="1" applyFont="1" applyFill="1" applyBorder="1" applyAlignment="1" applyProtection="1">
      <alignment horizontal="center"/>
      <protection locked="0"/>
    </xf>
    <xf numFmtId="0" fontId="105" fillId="0" borderId="15" xfId="1" applyFont="1" applyBorder="1"/>
    <xf numFmtId="0" fontId="105" fillId="0" borderId="0" xfId="1" applyFont="1"/>
    <xf numFmtId="0" fontId="104" fillId="0" borderId="6" xfId="1" applyFont="1" applyBorder="1"/>
    <xf numFmtId="0" fontId="104" fillId="10" borderId="6" xfId="1" applyFont="1" applyFill="1" applyBorder="1"/>
    <xf numFmtId="0" fontId="103" fillId="0" borderId="0" xfId="1" applyFont="1"/>
    <xf numFmtId="10" fontId="0" fillId="10" borderId="0" xfId="0" applyNumberFormat="1" applyFill="1"/>
    <xf numFmtId="0" fontId="102" fillId="5" borderId="6" xfId="1" applyFont="1" applyFill="1" applyBorder="1"/>
    <xf numFmtId="165" fontId="101" fillId="0" borderId="6" xfId="1" applyNumberFormat="1" applyFont="1" applyBorder="1"/>
    <xf numFmtId="2" fontId="310" fillId="0" borderId="22" xfId="1" applyNumberFormat="1" applyBorder="1"/>
    <xf numFmtId="0" fontId="100" fillId="0" borderId="6" xfId="1" applyFont="1" applyBorder="1"/>
    <xf numFmtId="0" fontId="99" fillId="0" borderId="6" xfId="1" applyFont="1" applyBorder="1"/>
    <xf numFmtId="0" fontId="99" fillId="10" borderId="6" xfId="1" applyFont="1" applyFill="1" applyBorder="1"/>
    <xf numFmtId="0" fontId="99" fillId="0" borderId="15" xfId="1" applyFont="1" applyBorder="1"/>
    <xf numFmtId="0" fontId="99" fillId="0" borderId="0" xfId="1" applyFont="1"/>
    <xf numFmtId="0" fontId="98" fillId="5" borderId="6" xfId="1" applyFont="1" applyFill="1" applyBorder="1"/>
    <xf numFmtId="0" fontId="97" fillId="0" borderId="6" xfId="1" applyFont="1" applyBorder="1"/>
    <xf numFmtId="0" fontId="97" fillId="10" borderId="6" xfId="1" applyFont="1" applyFill="1" applyBorder="1"/>
    <xf numFmtId="0" fontId="96" fillId="0" borderId="6" xfId="1" applyFont="1" applyBorder="1"/>
    <xf numFmtId="0" fontId="96" fillId="10" borderId="6" xfId="1" applyFont="1" applyFill="1" applyBorder="1"/>
    <xf numFmtId="0" fontId="95" fillId="0" borderId="0" xfId="1" applyFont="1" applyAlignment="1">
      <alignment vertical="top"/>
    </xf>
    <xf numFmtId="16" fontId="310" fillId="0" borderId="0" xfId="1" applyNumberFormat="1"/>
    <xf numFmtId="0" fontId="313" fillId="5" borderId="6" xfId="3" applyFill="1" applyBorder="1"/>
    <xf numFmtId="0" fontId="0" fillId="5" borderId="6" xfId="0" applyFill="1" applyBorder="1"/>
    <xf numFmtId="0" fontId="94" fillId="43" borderId="6" xfId="1" applyFont="1" applyFill="1" applyBorder="1" applyAlignment="1">
      <alignment horizontal="left"/>
    </xf>
    <xf numFmtId="0" fontId="311" fillId="5" borderId="0" xfId="3" applyFont="1" applyFill="1"/>
    <xf numFmtId="0" fontId="311" fillId="41" borderId="5" xfId="3" applyFont="1" applyFill="1" applyBorder="1"/>
    <xf numFmtId="0" fontId="311" fillId="41" borderId="4" xfId="3" applyFont="1" applyFill="1" applyBorder="1"/>
    <xf numFmtId="0" fontId="313" fillId="11" borderId="0" xfId="3" applyFill="1"/>
    <xf numFmtId="0" fontId="93" fillId="0" borderId="0" xfId="1" applyFont="1"/>
    <xf numFmtId="0" fontId="310" fillId="11" borderId="14" xfId="1" applyFill="1" applyBorder="1"/>
    <xf numFmtId="0" fontId="92" fillId="6" borderId="12" xfId="1" applyFont="1" applyFill="1" applyBorder="1"/>
    <xf numFmtId="0" fontId="91" fillId="0" borderId="0" xfId="1" applyFont="1"/>
    <xf numFmtId="0" fontId="91" fillId="0" borderId="6" xfId="1" applyFont="1" applyBorder="1"/>
    <xf numFmtId="0" fontId="90" fillId="0" borderId="0" xfId="7" applyFont="1"/>
    <xf numFmtId="0" fontId="89" fillId="0" borderId="0" xfId="1" quotePrefix="1" applyFont="1"/>
    <xf numFmtId="0" fontId="89" fillId="5" borderId="0" xfId="1" applyFont="1" applyFill="1" applyAlignment="1">
      <alignment horizontal="center"/>
    </xf>
    <xf numFmtId="0" fontId="88" fillId="0" borderId="0" xfId="1" applyFont="1"/>
    <xf numFmtId="0" fontId="314" fillId="0" borderId="0" xfId="3" applyFont="1" applyAlignment="1">
      <alignment horizontal="left"/>
    </xf>
    <xf numFmtId="0" fontId="163" fillId="0" borderId="0" xfId="34" applyFont="1"/>
    <xf numFmtId="2" fontId="163" fillId="0" borderId="0" xfId="34" applyNumberFormat="1" applyFont="1"/>
    <xf numFmtId="0" fontId="87" fillId="43" borderId="6" xfId="1" applyFont="1" applyFill="1" applyBorder="1" applyAlignment="1">
      <alignment horizontal="left"/>
    </xf>
    <xf numFmtId="0" fontId="86" fillId="0" borderId="6" xfId="1" applyFont="1" applyBorder="1"/>
    <xf numFmtId="0" fontId="85" fillId="0" borderId="0" xfId="1" applyFont="1"/>
    <xf numFmtId="0" fontId="85" fillId="5" borderId="6" xfId="1" applyFont="1" applyFill="1" applyBorder="1"/>
    <xf numFmtId="0" fontId="0" fillId="10" borderId="6" xfId="0" applyFill="1" applyBorder="1" applyAlignment="1">
      <alignment horizontal="left"/>
    </xf>
    <xf numFmtId="2" fontId="313" fillId="12" borderId="0" xfId="0" applyNumberFormat="1" applyFont="1" applyFill="1" applyAlignment="1">
      <alignment horizontal="center"/>
    </xf>
    <xf numFmtId="2" fontId="163" fillId="4" borderId="0" xfId="34" applyNumberFormat="1" applyFont="1" applyFill="1"/>
    <xf numFmtId="0" fontId="85" fillId="0" borderId="6" xfId="1" applyFont="1" applyBorder="1"/>
    <xf numFmtId="0" fontId="84" fillId="0" borderId="0" xfId="1" applyFont="1"/>
    <xf numFmtId="0" fontId="84" fillId="10" borderId="6" xfId="1" applyFont="1" applyFill="1" applyBorder="1"/>
    <xf numFmtId="9" fontId="310" fillId="10" borderId="6" xfId="1" applyNumberFormat="1" applyFill="1" applyBorder="1"/>
    <xf numFmtId="0" fontId="84" fillId="10" borderId="15" xfId="1" applyFont="1" applyFill="1" applyBorder="1"/>
    <xf numFmtId="0" fontId="310" fillId="10" borderId="15" xfId="1" applyFill="1" applyBorder="1"/>
    <xf numFmtId="0" fontId="84" fillId="10" borderId="14" xfId="1" applyFont="1" applyFill="1" applyBorder="1"/>
    <xf numFmtId="0" fontId="310" fillId="10" borderId="14" xfId="1" applyFill="1" applyBorder="1"/>
    <xf numFmtId="0" fontId="84" fillId="0" borderId="0" xfId="1" applyFont="1" applyAlignment="1">
      <alignment horizontal="right"/>
    </xf>
    <xf numFmtId="0" fontId="83" fillId="0" borderId="0" xfId="1" applyFont="1"/>
    <xf numFmtId="0" fontId="82" fillId="0" borderId="6" xfId="1" applyFont="1" applyBorder="1"/>
    <xf numFmtId="0" fontId="81" fillId="8" borderId="1" xfId="1" applyFont="1" applyFill="1" applyBorder="1"/>
    <xf numFmtId="0" fontId="80" fillId="0" borderId="0" xfId="1" applyFont="1" applyAlignment="1">
      <alignment horizontal="right"/>
    </xf>
    <xf numFmtId="0" fontId="79" fillId="0" borderId="6" xfId="1" applyFont="1" applyBorder="1"/>
    <xf numFmtId="0" fontId="79" fillId="10" borderId="6" xfId="1" applyFont="1" applyFill="1" applyBorder="1"/>
    <xf numFmtId="0" fontId="78" fillId="9" borderId="6" xfId="7" applyFont="1" applyFill="1" applyBorder="1"/>
    <xf numFmtId="0" fontId="77" fillId="10" borderId="6" xfId="1" applyFont="1" applyFill="1" applyBorder="1"/>
    <xf numFmtId="0" fontId="77" fillId="0" borderId="6" xfId="1" applyFont="1" applyBorder="1"/>
    <xf numFmtId="0" fontId="313" fillId="5" borderId="15" xfId="3" applyFill="1" applyBorder="1"/>
    <xf numFmtId="0" fontId="313" fillId="38" borderId="6" xfId="3" applyFill="1" applyBorder="1"/>
    <xf numFmtId="0" fontId="313" fillId="6" borderId="6" xfId="3" applyFill="1" applyBorder="1"/>
    <xf numFmtId="0" fontId="313" fillId="0" borderId="0" xfId="3" quotePrefix="1" applyAlignment="1">
      <alignment horizontal="center"/>
    </xf>
    <xf numFmtId="0" fontId="76" fillId="5" borderId="6" xfId="2" applyFont="1" applyFill="1" applyBorder="1" applyProtection="1">
      <protection locked="0"/>
    </xf>
    <xf numFmtId="0" fontId="313" fillId="10" borderId="24" xfId="3" applyFill="1" applyBorder="1"/>
    <xf numFmtId="0" fontId="313" fillId="10" borderId="22" xfId="3" applyFill="1" applyBorder="1"/>
    <xf numFmtId="0" fontId="75" fillId="0" borderId="0" xfId="1" applyFont="1"/>
    <xf numFmtId="0" fontId="313" fillId="5" borderId="0" xfId="3" applyFill="1"/>
    <xf numFmtId="0" fontId="74" fillId="0" borderId="0" xfId="1" applyFont="1"/>
    <xf numFmtId="0" fontId="272" fillId="6" borderId="6" xfId="1" applyFont="1" applyFill="1" applyBorder="1"/>
    <xf numFmtId="0" fontId="313" fillId="10" borderId="0" xfId="3" applyFill="1"/>
    <xf numFmtId="0" fontId="310" fillId="0" borderId="6" xfId="33" applyBorder="1"/>
    <xf numFmtId="0" fontId="73" fillId="0" borderId="0" xfId="1" applyFont="1"/>
    <xf numFmtId="0" fontId="72" fillId="0" borderId="0" xfId="1" applyFont="1"/>
    <xf numFmtId="0" fontId="71" fillId="5" borderId="39" xfId="1" applyFont="1" applyFill="1" applyBorder="1"/>
    <xf numFmtId="0" fontId="70" fillId="0" borderId="0" xfId="1" applyFont="1" applyAlignment="1">
      <alignment horizontal="right"/>
    </xf>
    <xf numFmtId="0" fontId="69" fillId="0" borderId="0" xfId="1" applyFont="1"/>
    <xf numFmtId="0" fontId="313" fillId="34" borderId="6" xfId="0" applyFont="1" applyFill="1" applyBorder="1"/>
    <xf numFmtId="0" fontId="68" fillId="6" borderId="12" xfId="1" applyFont="1" applyFill="1" applyBorder="1"/>
    <xf numFmtId="0" fontId="67" fillId="0" borderId="0" xfId="1" applyFont="1"/>
    <xf numFmtId="0" fontId="66" fillId="0" borderId="0" xfId="1" applyFont="1"/>
    <xf numFmtId="0" fontId="65" fillId="5" borderId="6" xfId="1" applyFont="1" applyFill="1" applyBorder="1"/>
    <xf numFmtId="0" fontId="63" fillId="0" borderId="0" xfId="1" applyFont="1"/>
    <xf numFmtId="0" fontId="331" fillId="0" borderId="0" xfId="0" quotePrefix="1" applyFont="1"/>
    <xf numFmtId="0" fontId="62" fillId="0" borderId="0" xfId="1" applyFont="1"/>
    <xf numFmtId="0" fontId="337" fillId="34" borderId="12" xfId="1" quotePrefix="1" applyFont="1" applyFill="1" applyBorder="1" applyProtection="1">
      <protection locked="0"/>
    </xf>
    <xf numFmtId="0" fontId="313" fillId="11" borderId="6" xfId="3" applyFill="1" applyBorder="1"/>
    <xf numFmtId="0" fontId="313" fillId="38" borderId="6" xfId="0" quotePrefix="1" applyFont="1" applyFill="1" applyBorder="1" applyProtection="1">
      <protection locked="0"/>
    </xf>
    <xf numFmtId="0" fontId="61" fillId="5" borderId="6" xfId="7" applyFont="1" applyFill="1" applyBorder="1"/>
    <xf numFmtId="0" fontId="60" fillId="0" borderId="6" xfId="33" applyFont="1" applyBorder="1"/>
    <xf numFmtId="0" fontId="59" fillId="43" borderId="6" xfId="1" applyFont="1" applyFill="1" applyBorder="1" applyAlignment="1">
      <alignment horizontal="left"/>
    </xf>
    <xf numFmtId="0" fontId="58" fillId="0" borderId="0" xfId="1" applyFont="1"/>
    <xf numFmtId="0" fontId="56" fillId="5" borderId="6" xfId="1" applyFont="1" applyFill="1" applyBorder="1" applyAlignment="1" applyProtection="1">
      <alignment horizontal="center"/>
      <protection locked="0"/>
    </xf>
    <xf numFmtId="0" fontId="55" fillId="5" borderId="6" xfId="1" applyFont="1" applyFill="1" applyBorder="1"/>
    <xf numFmtId="0" fontId="54" fillId="9" borderId="6" xfId="1" applyFont="1" applyFill="1" applyBorder="1" applyProtection="1">
      <protection locked="0"/>
    </xf>
    <xf numFmtId="0" fontId="53" fillId="0" borderId="22" xfId="1" applyFont="1" applyBorder="1"/>
    <xf numFmtId="0" fontId="53" fillId="0" borderId="6" xfId="1" applyFont="1" applyBorder="1"/>
    <xf numFmtId="0" fontId="53" fillId="0" borderId="0" xfId="1" applyFont="1"/>
    <xf numFmtId="0" fontId="0" fillId="10" borderId="6" xfId="0" applyFill="1" applyBorder="1" applyAlignment="1">
      <alignment horizontal="center"/>
    </xf>
    <xf numFmtId="0" fontId="311" fillId="6" borderId="0" xfId="0" applyFont="1" applyFill="1"/>
    <xf numFmtId="0" fontId="338" fillId="6" borderId="0" xfId="0" applyFont="1" applyFill="1"/>
    <xf numFmtId="0" fontId="311" fillId="44" borderId="0" xfId="0" applyFont="1" applyFill="1"/>
    <xf numFmtId="0" fontId="313" fillId="44" borderId="0" xfId="0" applyFont="1" applyFill="1"/>
    <xf numFmtId="0" fontId="0" fillId="44" borderId="0" xfId="0" applyFill="1"/>
    <xf numFmtId="0" fontId="339" fillId="6" borderId="0" xfId="37" applyFill="1"/>
    <xf numFmtId="0" fontId="338" fillId="44" borderId="0" xfId="0" applyFont="1" applyFill="1"/>
    <xf numFmtId="0" fontId="51" fillId="0" borderId="6" xfId="1" applyFont="1" applyBorder="1" applyAlignment="1">
      <alignment horizontal="center" wrapText="1"/>
    </xf>
    <xf numFmtId="0" fontId="51" fillId="39" borderId="6" xfId="1" applyFont="1" applyFill="1" applyBorder="1" applyAlignment="1">
      <alignment horizontal="center" wrapText="1"/>
    </xf>
    <xf numFmtId="0" fontId="51" fillId="0" borderId="0" xfId="1" applyFont="1"/>
    <xf numFmtId="0" fontId="50" fillId="5" borderId="6" xfId="2" applyFont="1" applyFill="1" applyBorder="1" applyProtection="1">
      <protection locked="0"/>
    </xf>
    <xf numFmtId="0" fontId="49" fillId="5" borderId="6" xfId="1" applyFont="1" applyFill="1" applyBorder="1"/>
    <xf numFmtId="0" fontId="48" fillId="5" borderId="6" xfId="1" applyFont="1" applyFill="1" applyBorder="1"/>
    <xf numFmtId="0" fontId="47" fillId="0" borderId="6" xfId="1" applyFont="1" applyBorder="1"/>
    <xf numFmtId="0" fontId="47" fillId="0" borderId="22" xfId="1" applyFont="1" applyBorder="1"/>
    <xf numFmtId="0" fontId="225" fillId="0" borderId="0" xfId="1" applyFont="1" applyAlignment="1">
      <alignment horizontal="center"/>
    </xf>
    <xf numFmtId="0" fontId="135" fillId="0" borderId="0" xfId="1" applyFont="1" applyAlignment="1">
      <alignment horizontal="center"/>
    </xf>
    <xf numFmtId="0" fontId="46" fillId="0" borderId="0" xfId="1" applyFont="1" applyAlignment="1">
      <alignment horizontal="center"/>
    </xf>
    <xf numFmtId="0" fontId="46" fillId="0" borderId="0" xfId="1" applyFont="1" applyAlignment="1">
      <alignment horizontal="right"/>
    </xf>
    <xf numFmtId="0" fontId="46" fillId="0" borderId="6" xfId="1" applyFont="1" applyBorder="1"/>
    <xf numFmtId="0" fontId="45" fillId="5" borderId="6" xfId="1" applyFont="1" applyFill="1" applyBorder="1"/>
    <xf numFmtId="0" fontId="45" fillId="0" borderId="0" xfId="1" applyFont="1"/>
    <xf numFmtId="0" fontId="45" fillId="0" borderId="6" xfId="1" applyFont="1" applyBorder="1"/>
    <xf numFmtId="0" fontId="310" fillId="8" borderId="48" xfId="1" applyFill="1" applyBorder="1" applyAlignment="1" applyProtection="1">
      <alignment horizontal="left"/>
      <protection locked="0"/>
    </xf>
    <xf numFmtId="0" fontId="171" fillId="5" borderId="6" xfId="1" applyFont="1" applyFill="1" applyBorder="1"/>
    <xf numFmtId="0" fontId="310" fillId="8" borderId="6" xfId="1" applyFill="1" applyBorder="1" applyAlignment="1" applyProtection="1">
      <alignment horizontal="center"/>
      <protection locked="0"/>
    </xf>
    <xf numFmtId="0" fontId="310" fillId="8" borderId="48" xfId="1" applyFill="1" applyBorder="1" applyAlignment="1" applyProtection="1">
      <alignment horizontal="center"/>
      <protection locked="0"/>
    </xf>
    <xf numFmtId="0" fontId="310" fillId="5" borderId="24" xfId="1" applyFill="1" applyBorder="1"/>
    <xf numFmtId="0" fontId="310" fillId="5" borderId="22" xfId="1" applyFill="1" applyBorder="1"/>
    <xf numFmtId="0" fontId="45" fillId="0" borderId="0" xfId="1" applyFont="1" applyAlignment="1">
      <alignment horizontal="center" vertical="top"/>
    </xf>
    <xf numFmtId="0" fontId="310" fillId="0" borderId="0" xfId="1" applyAlignment="1">
      <alignment horizontal="center" vertical="top"/>
    </xf>
    <xf numFmtId="0" fontId="45" fillId="0" borderId="0" xfId="1" applyFont="1" applyAlignment="1">
      <alignment horizontal="right"/>
    </xf>
    <xf numFmtId="0" fontId="44" fillId="0" borderId="6" xfId="1" applyFont="1" applyBorder="1"/>
    <xf numFmtId="0" fontId="44" fillId="0" borderId="6" xfId="1" applyFont="1" applyBorder="1" applyAlignment="1">
      <alignment horizontal="center"/>
    </xf>
    <xf numFmtId="0" fontId="44" fillId="5" borderId="6" xfId="1" applyFont="1" applyFill="1" applyBorder="1"/>
    <xf numFmtId="0" fontId="44" fillId="0" borderId="0" xfId="1" applyFont="1" applyAlignment="1">
      <alignment horizontal="center"/>
    </xf>
    <xf numFmtId="0" fontId="44" fillId="0" borderId="0" xfId="1" applyFont="1"/>
    <xf numFmtId="0" fontId="44" fillId="0" borderId="0" xfId="1" applyFont="1" applyAlignment="1">
      <alignment vertical="top"/>
    </xf>
    <xf numFmtId="0" fontId="310" fillId="34" borderId="39" xfId="1" applyFill="1" applyBorder="1" applyProtection="1">
      <protection locked="0"/>
    </xf>
    <xf numFmtId="0" fontId="43" fillId="0" borderId="0" xfId="1" applyFont="1"/>
    <xf numFmtId="0" fontId="42" fillId="0" borderId="0" xfId="1" applyFont="1"/>
    <xf numFmtId="0" fontId="41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39" fillId="0" borderId="0" xfId="1" applyFont="1" applyAlignment="1">
      <alignment horizontal="center"/>
    </xf>
    <xf numFmtId="0" fontId="45" fillId="5" borderId="6" xfId="1" applyFont="1" applyFill="1" applyBorder="1" applyAlignment="1">
      <alignment horizontal="right"/>
    </xf>
    <xf numFmtId="169" fontId="38" fillId="13" borderId="40" xfId="1" quotePrefix="1" applyNumberFormat="1" applyFont="1" applyFill="1" applyBorder="1" applyAlignment="1" applyProtection="1">
      <alignment horizontal="left"/>
      <protection locked="0"/>
    </xf>
    <xf numFmtId="0" fontId="38" fillId="5" borderId="40" xfId="1" applyFont="1" applyFill="1" applyBorder="1" applyAlignment="1" applyProtection="1">
      <alignment horizontal="left"/>
      <protection locked="0"/>
    </xf>
    <xf numFmtId="0" fontId="38" fillId="38" borderId="6" xfId="1" applyFont="1" applyFill="1" applyBorder="1" applyProtection="1">
      <protection locked="0"/>
    </xf>
    <xf numFmtId="0" fontId="38" fillId="0" borderId="0" xfId="1" applyFont="1"/>
    <xf numFmtId="0" fontId="38" fillId="0" borderId="6" xfId="1" applyFont="1" applyBorder="1"/>
    <xf numFmtId="0" fontId="38" fillId="0" borderId="22" xfId="1" applyFont="1" applyBorder="1"/>
    <xf numFmtId="0" fontId="37" fillId="5" borderId="6" xfId="1" applyFont="1" applyFill="1" applyBorder="1" applyAlignment="1" applyProtection="1">
      <alignment horizontal="center"/>
      <protection locked="0"/>
    </xf>
    <xf numFmtId="0" fontId="37" fillId="43" borderId="6" xfId="1" applyFont="1" applyFill="1" applyBorder="1" applyAlignment="1">
      <alignment horizontal="left"/>
    </xf>
    <xf numFmtId="0" fontId="36" fillId="0" borderId="0" xfId="1" applyFont="1"/>
    <xf numFmtId="0" fontId="36" fillId="0" borderId="6" xfId="1" applyFont="1" applyBorder="1"/>
    <xf numFmtId="0" fontId="36" fillId="0" borderId="22" xfId="1" applyFont="1" applyBorder="1"/>
    <xf numFmtId="0" fontId="334" fillId="5" borderId="6" xfId="3" applyFont="1" applyFill="1" applyBorder="1"/>
    <xf numFmtId="2" fontId="339" fillId="0" borderId="0" xfId="37" applyNumberFormat="1" applyFill="1"/>
    <xf numFmtId="0" fontId="35" fillId="0" borderId="6" xfId="1" applyFont="1" applyBorder="1"/>
    <xf numFmtId="0" fontId="35" fillId="0" borderId="22" xfId="1" applyFont="1" applyBorder="1"/>
    <xf numFmtId="0" fontId="34" fillId="5" borderId="39" xfId="1" applyFont="1" applyFill="1" applyBorder="1" applyAlignment="1" applyProtection="1">
      <alignment horizontal="center"/>
      <protection locked="0"/>
    </xf>
    <xf numFmtId="16" fontId="33" fillId="13" borderId="40" xfId="1" quotePrefix="1" applyNumberFormat="1" applyFont="1" applyFill="1" applyBorder="1" applyAlignment="1" applyProtection="1">
      <alignment horizontal="left"/>
      <protection locked="0"/>
    </xf>
    <xf numFmtId="0" fontId="33" fillId="38" borderId="6" xfId="1" applyFont="1" applyFill="1" applyBorder="1" applyProtection="1">
      <protection locked="0"/>
    </xf>
    <xf numFmtId="0" fontId="32" fillId="5" borderId="6" xfId="1" applyFont="1" applyFill="1" applyBorder="1"/>
    <xf numFmtId="0" fontId="31" fillId="5" borderId="12" xfId="1" applyFont="1" applyFill="1" applyBorder="1"/>
    <xf numFmtId="0" fontId="30" fillId="0" borderId="6" xfId="1" applyFont="1" applyBorder="1"/>
    <xf numFmtId="0" fontId="30" fillId="0" borderId="22" xfId="1" applyFont="1" applyBorder="1"/>
    <xf numFmtId="0" fontId="29" fillId="0" borderId="6" xfId="1" applyFont="1" applyBorder="1"/>
    <xf numFmtId="0" fontId="29" fillId="0" borderId="22" xfId="1" applyFont="1" applyBorder="1"/>
    <xf numFmtId="0" fontId="28" fillId="0" borderId="6" xfId="1" applyFont="1" applyBorder="1"/>
    <xf numFmtId="0" fontId="27" fillId="0" borderId="6" xfId="1" applyFont="1" applyBorder="1"/>
    <xf numFmtId="0" fontId="27" fillId="0" borderId="22" xfId="1" applyFont="1" applyBorder="1"/>
    <xf numFmtId="0" fontId="26" fillId="0" borderId="0" xfId="1" applyFont="1"/>
    <xf numFmtId="0" fontId="26" fillId="0" borderId="0" xfId="1" quotePrefix="1" applyFont="1"/>
    <xf numFmtId="0" fontId="25" fillId="0" borderId="0" xfId="1" applyFont="1"/>
    <xf numFmtId="0" fontId="25" fillId="0" borderId="0" xfId="1" applyFont="1" applyAlignment="1">
      <alignment horizontal="right"/>
    </xf>
    <xf numFmtId="0" fontId="24" fillId="0" borderId="0" xfId="1" applyFont="1"/>
    <xf numFmtId="0" fontId="24" fillId="9" borderId="12" xfId="1" applyFont="1" applyFill="1" applyBorder="1" applyAlignment="1" applyProtection="1">
      <alignment horizontal="right"/>
      <protection locked="0"/>
    </xf>
    <xf numFmtId="0" fontId="24" fillId="0" borderId="0" xfId="1" applyFont="1" applyAlignment="1">
      <alignment horizontal="center"/>
    </xf>
    <xf numFmtId="0" fontId="24" fillId="5" borderId="39" xfId="1" applyFont="1" applyFill="1" applyBorder="1" applyAlignment="1" applyProtection="1">
      <alignment horizontal="center"/>
      <protection locked="0"/>
    </xf>
    <xf numFmtId="0" fontId="273" fillId="0" borderId="0" xfId="1" applyFont="1"/>
    <xf numFmtId="0" fontId="0" fillId="3" borderId="0" xfId="0" applyFill="1" applyAlignment="1">
      <alignment horizontal="left"/>
    </xf>
    <xf numFmtId="0" fontId="23" fillId="5" borderId="6" xfId="1" applyFont="1" applyFill="1" applyBorder="1"/>
    <xf numFmtId="3" fontId="310" fillId="8" borderId="22" xfId="1" applyNumberFormat="1" applyFill="1" applyBorder="1" applyAlignment="1">
      <alignment horizontal="center"/>
    </xf>
    <xf numFmtId="0" fontId="315" fillId="0" borderId="9" xfId="1" applyFont="1" applyBorder="1"/>
    <xf numFmtId="0" fontId="299" fillId="0" borderId="8" xfId="1" applyFont="1" applyBorder="1"/>
    <xf numFmtId="0" fontId="295" fillId="0" borderId="8" xfId="1" applyFont="1" applyBorder="1" applyAlignment="1">
      <alignment horizontal="center"/>
    </xf>
    <xf numFmtId="0" fontId="164" fillId="0" borderId="8" xfId="1" applyFont="1" applyBorder="1" applyAlignment="1">
      <alignment horizontal="center"/>
    </xf>
    <xf numFmtId="0" fontId="164" fillId="0" borderId="7" xfId="1" applyFont="1" applyBorder="1" applyAlignment="1">
      <alignment horizontal="center"/>
    </xf>
    <xf numFmtId="0" fontId="294" fillId="6" borderId="49" xfId="1" applyFont="1" applyFill="1" applyBorder="1"/>
    <xf numFmtId="3" fontId="310" fillId="8" borderId="29" xfId="1" applyNumberFormat="1" applyFill="1" applyBorder="1" applyAlignment="1">
      <alignment horizontal="center"/>
    </xf>
    <xf numFmtId="0" fontId="295" fillId="6" borderId="27" xfId="1" applyFont="1" applyFill="1" applyBorder="1"/>
    <xf numFmtId="0" fontId="295" fillId="6" borderId="0" xfId="1" applyFont="1" applyFill="1"/>
    <xf numFmtId="0" fontId="234" fillId="6" borderId="0" xfId="1" applyFont="1" applyFill="1"/>
    <xf numFmtId="3" fontId="237" fillId="8" borderId="29" xfId="1" applyNumberFormat="1" applyFont="1" applyFill="1" applyBorder="1" applyAlignment="1">
      <alignment horizontal="center"/>
    </xf>
    <xf numFmtId="0" fontId="294" fillId="35" borderId="27" xfId="1" applyFont="1" applyFill="1" applyBorder="1"/>
    <xf numFmtId="0" fontId="295" fillId="35" borderId="0" xfId="1" applyFont="1" applyFill="1"/>
    <xf numFmtId="3" fontId="310" fillId="11" borderId="29" xfId="1" applyNumberFormat="1" applyFill="1" applyBorder="1" applyAlignment="1">
      <alignment horizontal="center"/>
    </xf>
    <xf numFmtId="0" fontId="295" fillId="35" borderId="27" xfId="1" applyFont="1" applyFill="1" applyBorder="1"/>
    <xf numFmtId="0" fontId="295" fillId="36" borderId="0" xfId="1" applyFont="1" applyFill="1"/>
    <xf numFmtId="0" fontId="295" fillId="36" borderId="50" xfId="1" applyFont="1" applyFill="1" applyBorder="1"/>
    <xf numFmtId="0" fontId="295" fillId="6" borderId="49" xfId="1" applyFont="1" applyFill="1" applyBorder="1"/>
    <xf numFmtId="3" fontId="295" fillId="5" borderId="29" xfId="1" applyNumberFormat="1" applyFont="1" applyFill="1" applyBorder="1" applyAlignment="1">
      <alignment horizontal="center"/>
    </xf>
    <xf numFmtId="0" fontId="310" fillId="6" borderId="29" xfId="1" applyFill="1" applyBorder="1" applyAlignment="1">
      <alignment horizontal="center"/>
    </xf>
    <xf numFmtId="0" fontId="234" fillId="35" borderId="0" xfId="1" applyFont="1" applyFill="1"/>
    <xf numFmtId="0" fontId="123" fillId="6" borderId="49" xfId="1" applyFont="1" applyFill="1" applyBorder="1"/>
    <xf numFmtId="3" fontId="310" fillId="10" borderId="43" xfId="1" applyNumberFormat="1" applyFill="1" applyBorder="1" applyAlignment="1">
      <alignment horizontal="center"/>
    </xf>
    <xf numFmtId="3" fontId="310" fillId="35" borderId="0" xfId="1" applyNumberFormat="1" applyFill="1"/>
    <xf numFmtId="0" fontId="123" fillId="36" borderId="26" xfId="1" applyFont="1" applyFill="1" applyBorder="1"/>
    <xf numFmtId="0" fontId="123" fillId="36" borderId="25" xfId="1" applyFont="1" applyFill="1" applyBorder="1"/>
    <xf numFmtId="3" fontId="310" fillId="11" borderId="37" xfId="1" applyNumberFormat="1" applyFill="1" applyBorder="1" applyAlignment="1">
      <alignment horizontal="center"/>
    </xf>
    <xf numFmtId="3" fontId="310" fillId="11" borderId="38" xfId="1" applyNumberFormat="1" applyFill="1" applyBorder="1" applyAlignment="1">
      <alignment horizontal="center"/>
    </xf>
    <xf numFmtId="3" fontId="310" fillId="0" borderId="15" xfId="1" applyNumberFormat="1" applyBorder="1" applyAlignment="1">
      <alignment horizontal="center"/>
    </xf>
    <xf numFmtId="0" fontId="310" fillId="0" borderId="15" xfId="1" applyBorder="1" applyAlignment="1">
      <alignment horizontal="center"/>
    </xf>
    <xf numFmtId="0" fontId="294" fillId="0" borderId="9" xfId="1" applyFont="1" applyBorder="1"/>
    <xf numFmtId="0" fontId="310" fillId="0" borderId="8" xfId="1" applyBorder="1" applyAlignment="1">
      <alignment horizontal="center"/>
    </xf>
    <xf numFmtId="0" fontId="310" fillId="0" borderId="7" xfId="1" applyBorder="1" applyAlignment="1">
      <alignment horizontal="center"/>
    </xf>
    <xf numFmtId="0" fontId="123" fillId="36" borderId="50" xfId="1" applyFont="1" applyFill="1" applyBorder="1"/>
    <xf numFmtId="0" fontId="123" fillId="36" borderId="30" xfId="1" applyFont="1" applyFill="1" applyBorder="1" applyAlignment="1">
      <alignment horizontal="center"/>
    </xf>
    <xf numFmtId="0" fontId="23" fillId="0" borderId="12" xfId="1" applyFont="1" applyBorder="1"/>
    <xf numFmtId="0" fontId="23" fillId="6" borderId="12" xfId="1" applyFont="1" applyFill="1" applyBorder="1"/>
    <xf numFmtId="0" fontId="23" fillId="0" borderId="0" xfId="1" applyFont="1"/>
    <xf numFmtId="0" fontId="22" fillId="5" borderId="6" xfId="1" applyFont="1" applyFill="1" applyBorder="1"/>
    <xf numFmtId="0" fontId="313" fillId="0" borderId="0" xfId="0" applyFont="1" applyAlignment="1">
      <alignment horizontal="left"/>
    </xf>
    <xf numFmtId="2" fontId="85" fillId="0" borderId="0" xfId="34" applyNumberFormat="1" applyFont="1"/>
    <xf numFmtId="0" fontId="21" fillId="10" borderId="6" xfId="1" applyFont="1" applyFill="1" applyBorder="1" applyAlignment="1">
      <alignment horizontal="center"/>
    </xf>
    <xf numFmtId="0" fontId="20" fillId="10" borderId="6" xfId="1" applyFont="1" applyFill="1" applyBorder="1"/>
    <xf numFmtId="0" fontId="19" fillId="5" borderId="24" xfId="1" applyFont="1" applyFill="1" applyBorder="1"/>
    <xf numFmtId="0" fontId="18" fillId="0" borderId="6" xfId="1" applyFont="1" applyBorder="1"/>
    <xf numFmtId="0" fontId="17" fillId="0" borderId="0" xfId="1" applyFont="1" applyAlignment="1">
      <alignment horizontal="right"/>
    </xf>
    <xf numFmtId="0" fontId="17" fillId="0" borderId="0" xfId="1" applyFont="1"/>
    <xf numFmtId="0" fontId="17" fillId="0" borderId="0" xfId="1" quotePrefix="1" applyFont="1" applyAlignment="1">
      <alignment horizontal="right"/>
    </xf>
    <xf numFmtId="0" fontId="16" fillId="38" borderId="6" xfId="1" applyFont="1" applyFill="1" applyBorder="1" applyProtection="1">
      <protection locked="0"/>
    </xf>
    <xf numFmtId="0" fontId="313" fillId="3" borderId="0" xfId="3" quotePrefix="1" applyFill="1" applyAlignment="1">
      <alignment horizontal="left"/>
    </xf>
    <xf numFmtId="0" fontId="313" fillId="3" borderId="0" xfId="3" applyFill="1" applyAlignment="1">
      <alignment horizontal="right"/>
    </xf>
    <xf numFmtId="0" fontId="15" fillId="0" borderId="6" xfId="1" applyFont="1" applyBorder="1"/>
    <xf numFmtId="0" fontId="14" fillId="0" borderId="6" xfId="1" applyFont="1" applyBorder="1"/>
    <xf numFmtId="0" fontId="13" fillId="0" borderId="22" xfId="1" applyFont="1" applyBorder="1"/>
    <xf numFmtId="0" fontId="12" fillId="0" borderId="6" xfId="1" applyFont="1" applyBorder="1"/>
    <xf numFmtId="0" fontId="12" fillId="0" borderId="22" xfId="1" applyFont="1" applyBorder="1"/>
    <xf numFmtId="0" fontId="11" fillId="0" borderId="6" xfId="1" applyFont="1" applyBorder="1"/>
    <xf numFmtId="0" fontId="11" fillId="5" borderId="6" xfId="1" applyFont="1" applyFill="1" applyBorder="1"/>
    <xf numFmtId="0" fontId="11" fillId="0" borderId="0" xfId="1" applyFont="1" applyAlignment="1">
      <alignment horizontal="right"/>
    </xf>
    <xf numFmtId="0" fontId="11" fillId="10" borderId="6" xfId="1" applyFont="1" applyFill="1" applyBorder="1" applyAlignment="1">
      <alignment horizontal="center"/>
    </xf>
    <xf numFmtId="0" fontId="11" fillId="10" borderId="6" xfId="1" applyFont="1" applyFill="1" applyBorder="1"/>
    <xf numFmtId="0" fontId="10" fillId="0" borderId="0" xfId="1" applyFont="1" applyAlignment="1">
      <alignment vertical="top" wrapText="1"/>
    </xf>
    <xf numFmtId="0" fontId="9" fillId="0" borderId="0" xfId="1" applyFont="1"/>
    <xf numFmtId="0" fontId="9" fillId="0" borderId="6" xfId="1" applyFont="1" applyBorder="1"/>
    <xf numFmtId="0" fontId="8" fillId="5" borderId="6" xfId="1" applyFont="1" applyFill="1" applyBorder="1" applyAlignment="1" applyProtection="1">
      <alignment horizontal="center"/>
      <protection locked="0"/>
    </xf>
    <xf numFmtId="0" fontId="8" fillId="43" borderId="6" xfId="1" applyFont="1" applyFill="1" applyBorder="1" applyAlignment="1">
      <alignment horizontal="left"/>
    </xf>
    <xf numFmtId="0" fontId="8" fillId="8" borderId="6" xfId="1" applyFont="1" applyFill="1" applyBorder="1"/>
    <xf numFmtId="0" fontId="7" fillId="0" borderId="0" xfId="1" applyFont="1" applyAlignment="1">
      <alignment horizontal="center"/>
    </xf>
    <xf numFmtId="0" fontId="6" fillId="0" borderId="0" xfId="1" applyFont="1"/>
    <xf numFmtId="0" fontId="5" fillId="0" borderId="0" xfId="1" applyFont="1"/>
    <xf numFmtId="0" fontId="4" fillId="0" borderId="6" xfId="1" applyFont="1" applyBorder="1"/>
    <xf numFmtId="0" fontId="4" fillId="0" borderId="22" xfId="1" applyFont="1" applyBorder="1"/>
    <xf numFmtId="0" fontId="3" fillId="13" borderId="40" xfId="1" quotePrefix="1" applyFont="1" applyFill="1" applyBorder="1" applyAlignment="1" applyProtection="1">
      <alignment horizontal="left"/>
      <protection locked="0"/>
    </xf>
    <xf numFmtId="0" fontId="3" fillId="5" borderId="40" xfId="1" quotePrefix="1" applyFont="1" applyFill="1" applyBorder="1" applyAlignment="1" applyProtection="1">
      <alignment horizontal="left"/>
      <protection locked="0"/>
    </xf>
    <xf numFmtId="16" fontId="3" fillId="13" borderId="40" xfId="1" quotePrefix="1" applyNumberFormat="1" applyFont="1" applyFill="1" applyBorder="1" applyAlignment="1" applyProtection="1">
      <alignment horizontal="left"/>
      <protection locked="0"/>
    </xf>
    <xf numFmtId="0" fontId="3" fillId="5" borderId="6" xfId="2" applyFont="1" applyFill="1" applyBorder="1" applyProtection="1">
      <protection locked="0"/>
    </xf>
    <xf numFmtId="0" fontId="282" fillId="34" borderId="6" xfId="2" applyFont="1" applyFill="1" applyBorder="1"/>
    <xf numFmtId="0" fontId="282" fillId="34" borderId="6" xfId="2" applyFont="1" applyFill="1" applyBorder="1" applyProtection="1">
      <protection locked="0"/>
    </xf>
    <xf numFmtId="15" fontId="2" fillId="38" borderId="6" xfId="1" applyNumberFormat="1" applyFont="1" applyFill="1" applyBorder="1" applyAlignment="1" applyProtection="1">
      <alignment horizontal="left"/>
      <protection locked="0"/>
    </xf>
    <xf numFmtId="15" fontId="313" fillId="3" borderId="0" xfId="0" applyNumberFormat="1" applyFont="1" applyFill="1" applyAlignment="1">
      <alignment horizontal="center"/>
    </xf>
    <xf numFmtId="0" fontId="310" fillId="0" borderId="6" xfId="1" applyBorder="1" applyAlignment="1">
      <alignment horizontal="center"/>
    </xf>
    <xf numFmtId="0" fontId="0" fillId="0" borderId="23" xfId="0" applyBorder="1"/>
    <xf numFmtId="0" fontId="0" fillId="0" borderId="22" xfId="0" applyBorder="1"/>
    <xf numFmtId="0" fontId="212" fillId="0" borderId="6" xfId="2" applyFont="1" applyBorder="1" applyAlignment="1">
      <alignment horizontal="center" wrapText="1"/>
    </xf>
    <xf numFmtId="0" fontId="0" fillId="0" borderId="1" xfId="0" applyBorder="1"/>
    <xf numFmtId="0" fontId="0" fillId="0" borderId="14" xfId="0" applyBorder="1"/>
    <xf numFmtId="0" fontId="282" fillId="0" borderId="6" xfId="2" applyFont="1" applyBorder="1" applyAlignment="1">
      <alignment horizontal="center" wrapText="1"/>
    </xf>
    <xf numFmtId="0" fontId="315" fillId="0" borderId="6" xfId="1" applyFont="1" applyBorder="1" applyAlignment="1">
      <alignment horizontal="center"/>
    </xf>
    <xf numFmtId="0" fontId="57" fillId="0" borderId="0" xfId="1" applyFont="1" applyAlignment="1">
      <alignment horizontal="left" vertical="top" wrapText="1"/>
    </xf>
    <xf numFmtId="0" fontId="310" fillId="0" borderId="0" xfId="1"/>
    <xf numFmtId="0" fontId="212" fillId="0" borderId="24" xfId="2" applyFont="1" applyBorder="1" applyAlignment="1">
      <alignment horizontal="center" wrapText="1"/>
    </xf>
    <xf numFmtId="0" fontId="0" fillId="0" borderId="2" xfId="0" applyBorder="1"/>
    <xf numFmtId="0" fontId="0" fillId="0" borderId="17" xfId="0" applyBorder="1"/>
    <xf numFmtId="0" fontId="212" fillId="0" borderId="22" xfId="2" applyFont="1" applyBorder="1" applyAlignment="1">
      <alignment horizontal="center" wrapText="1"/>
    </xf>
    <xf numFmtId="0" fontId="0" fillId="0" borderId="18" xfId="0" applyBorder="1"/>
    <xf numFmtId="0" fontId="0" fillId="0" borderId="16" xfId="0" applyBorder="1"/>
    <xf numFmtId="0" fontId="316" fillId="0" borderId="39" xfId="1" applyFont="1" applyBorder="1" applyAlignment="1">
      <alignment horizontal="center"/>
    </xf>
    <xf numFmtId="0" fontId="0" fillId="0" borderId="10" xfId="0" applyBorder="1"/>
    <xf numFmtId="0" fontId="0" fillId="0" borderId="4" xfId="0" applyBorder="1"/>
    <xf numFmtId="0" fontId="52" fillId="0" borderId="0" xfId="1" applyFont="1" applyAlignment="1">
      <alignment horizontal="left" vertical="top" wrapText="1"/>
    </xf>
    <xf numFmtId="0" fontId="310" fillId="0" borderId="0" xfId="1" applyAlignment="1">
      <alignment horizontal="left" vertical="top"/>
    </xf>
    <xf numFmtId="0" fontId="336" fillId="0" borderId="0" xfId="1" applyFont="1" applyAlignment="1">
      <alignment horizontal="center" vertical="center" wrapText="1"/>
    </xf>
    <xf numFmtId="0" fontId="310" fillId="6" borderId="0" xfId="1" applyFill="1" applyAlignment="1">
      <alignment horizontal="left" vertical="top" wrapText="1"/>
    </xf>
    <xf numFmtId="2" fontId="313" fillId="5" borderId="0" xfId="0" applyNumberFormat="1" applyFont="1" applyFill="1" applyAlignment="1">
      <alignment horizontal="center" wrapText="1"/>
    </xf>
    <xf numFmtId="2" fontId="313" fillId="0" borderId="0" xfId="3" applyNumberFormat="1"/>
    <xf numFmtId="0" fontId="300" fillId="0" borderId="0" xfId="1" applyFont="1" applyAlignment="1">
      <alignment horizontal="center" wrapText="1"/>
    </xf>
    <xf numFmtId="0" fontId="95" fillId="0" borderId="0" xfId="1" applyFont="1" applyAlignment="1">
      <alignment vertical="top" wrapText="1"/>
    </xf>
    <xf numFmtId="0" fontId="300" fillId="0" borderId="0" xfId="1" applyFont="1" applyAlignment="1">
      <alignment vertical="top" wrapText="1"/>
    </xf>
    <xf numFmtId="0" fontId="296" fillId="0" borderId="0" xfId="1" applyFont="1" applyAlignment="1">
      <alignment vertical="top" wrapText="1"/>
    </xf>
    <xf numFmtId="0" fontId="282" fillId="0" borderId="0" xfId="1" applyFont="1" applyAlignment="1">
      <alignment vertical="top" wrapText="1"/>
    </xf>
    <xf numFmtId="0" fontId="44" fillId="0" borderId="0" xfId="1" applyFont="1" applyAlignment="1">
      <alignment vertical="top" wrapText="1"/>
    </xf>
    <xf numFmtId="0" fontId="310" fillId="0" borderId="0" xfId="1" applyAlignment="1">
      <alignment vertical="top" wrapText="1"/>
    </xf>
    <xf numFmtId="0" fontId="1" fillId="34" borderId="6" xfId="2" applyFont="1" applyFill="1" applyBorder="1" applyProtection="1">
      <protection locked="0"/>
    </xf>
    <xf numFmtId="0" fontId="1" fillId="5" borderId="6" xfId="2" applyFont="1" applyFill="1" applyBorder="1" applyProtection="1">
      <protection locked="0"/>
    </xf>
    <xf numFmtId="2" fontId="313" fillId="0" borderId="0" xfId="0" applyNumberFormat="1" applyFont="1" applyFill="1"/>
    <xf numFmtId="0" fontId="313" fillId="0" borderId="0" xfId="0" applyFont="1" applyFill="1"/>
    <xf numFmtId="0" fontId="313" fillId="0" borderId="1" xfId="0" applyFont="1" applyFill="1" applyBorder="1"/>
    <xf numFmtId="0" fontId="313" fillId="0" borderId="0" xfId="0" applyFont="1" applyFill="1" applyAlignment="1">
      <alignment horizontal="left"/>
    </xf>
    <xf numFmtId="0" fontId="313" fillId="0" borderId="0" xfId="0" applyFont="1" applyFill="1" applyAlignment="1">
      <alignment horizontal="center"/>
    </xf>
    <xf numFmtId="0" fontId="313" fillId="0" borderId="0" xfId="3" applyFill="1"/>
    <xf numFmtId="0" fontId="314" fillId="0" borderId="0" xfId="0" applyFont="1" applyFill="1" applyAlignment="1">
      <alignment horizontal="left"/>
    </xf>
    <xf numFmtId="0" fontId="0" fillId="0" borderId="0" xfId="0" applyFill="1" applyAlignment="1">
      <alignment horizontal="center"/>
    </xf>
    <xf numFmtId="2" fontId="136" fillId="0" borderId="0" xfId="1" applyNumberFormat="1" applyFont="1" applyFill="1"/>
    <xf numFmtId="0" fontId="313" fillId="0" borderId="0" xfId="3" applyFill="1" applyAlignment="1">
      <alignment horizontal="left"/>
    </xf>
    <xf numFmtId="0" fontId="313" fillId="0" borderId="0" xfId="3" quotePrefix="1" applyFill="1" applyAlignment="1">
      <alignment horizontal="right"/>
    </xf>
    <xf numFmtId="0" fontId="313" fillId="0" borderId="0" xfId="3" quotePrefix="1" applyFill="1" applyAlignment="1">
      <alignment horizontal="center"/>
    </xf>
    <xf numFmtId="0" fontId="313" fillId="0" borderId="0" xfId="3" applyFill="1" applyAlignment="1">
      <alignment horizontal="center"/>
    </xf>
    <xf numFmtId="0" fontId="310" fillId="0" borderId="27" xfId="1" applyFill="1" applyBorder="1"/>
    <xf numFmtId="0" fontId="195" fillId="0" borderId="0" xfId="2" applyFont="1" applyFill="1"/>
    <xf numFmtId="0" fontId="195" fillId="0" borderId="27" xfId="1" applyFont="1" applyFill="1" applyBorder="1"/>
    <xf numFmtId="0" fontId="236" fillId="0" borderId="27" xfId="1" applyFont="1" applyFill="1" applyBorder="1"/>
    <xf numFmtId="0" fontId="234" fillId="0" borderId="0" xfId="1" applyFont="1" applyFill="1"/>
    <xf numFmtId="2" fontId="234" fillId="0" borderId="0" xfId="1" applyNumberFormat="1" applyFont="1" applyFill="1"/>
    <xf numFmtId="2" fontId="310" fillId="0" borderId="0" xfId="1" applyNumberFormat="1" applyFill="1"/>
    <xf numFmtId="0" fontId="188" fillId="0" borderId="0" xfId="1" applyFont="1" applyFill="1"/>
    <xf numFmtId="2" fontId="188" fillId="0" borderId="0" xfId="1" applyNumberFormat="1" applyFont="1" applyFill="1"/>
    <xf numFmtId="0" fontId="215" fillId="0" borderId="0" xfId="1" applyFont="1" applyFill="1"/>
    <xf numFmtId="2" fontId="233" fillId="0" borderId="0" xfId="1" applyNumberFormat="1" applyFont="1" applyFill="1"/>
    <xf numFmtId="0" fontId="309" fillId="0" borderId="0" xfId="1" applyFont="1" applyFill="1"/>
    <xf numFmtId="0" fontId="310" fillId="0" borderId="0" xfId="1" applyFill="1"/>
    <xf numFmtId="0" fontId="271" fillId="0" borderId="0" xfId="1" applyFont="1" applyFill="1"/>
    <xf numFmtId="164" fontId="0" fillId="0" borderId="0" xfId="0" applyNumberFormat="1" applyFill="1"/>
    <xf numFmtId="0" fontId="313" fillId="0" borderId="0" xfId="0" quotePrefix="1" applyFont="1" applyFill="1" applyAlignment="1">
      <alignment horizontal="center"/>
    </xf>
    <xf numFmtId="0" fontId="172" fillId="0" borderId="0" xfId="1" applyFont="1" applyFill="1"/>
    <xf numFmtId="2" fontId="308" fillId="0" borderId="0" xfId="1" applyNumberFormat="1" applyFont="1" applyFill="1"/>
    <xf numFmtId="0" fontId="308" fillId="0" borderId="0" xfId="1" applyFont="1" applyFill="1"/>
    <xf numFmtId="2" fontId="315" fillId="0" borderId="0" xfId="1" applyNumberFormat="1" applyFont="1" applyFill="1"/>
    <xf numFmtId="0" fontId="311" fillId="0" borderId="6" xfId="0" applyFont="1" applyFill="1" applyBorder="1"/>
    <xf numFmtId="0" fontId="313" fillId="0" borderId="0" xfId="0" applyFont="1" applyFill="1" applyAlignment="1">
      <alignment horizontal="right"/>
    </xf>
    <xf numFmtId="0" fontId="158" fillId="0" borderId="0" xfId="1" applyFont="1" applyFill="1"/>
    <xf numFmtId="0" fontId="298" fillId="0" borderId="0" xfId="1" applyFont="1" applyFill="1"/>
    <xf numFmtId="0" fontId="269" fillId="0" borderId="0" xfId="1" applyFont="1" applyFill="1"/>
    <xf numFmtId="2" fontId="313" fillId="0" borderId="0" xfId="0" applyNumberFormat="1" applyFont="1" applyFill="1" applyAlignment="1">
      <alignment horizontal="center"/>
    </xf>
    <xf numFmtId="0" fontId="259" fillId="0" borderId="0" xfId="1" applyFont="1" applyFill="1"/>
    <xf numFmtId="0" fontId="304" fillId="0" borderId="0" xfId="1" applyFont="1" applyFill="1"/>
    <xf numFmtId="0" fontId="326" fillId="0" borderId="0" xfId="0" applyFont="1" applyFill="1"/>
    <xf numFmtId="2" fontId="290" fillId="0" borderId="0" xfId="1" applyNumberFormat="1" applyFont="1" applyFill="1"/>
    <xf numFmtId="2" fontId="304" fillId="0" borderId="0" xfId="1" applyNumberFormat="1" applyFont="1" applyFill="1"/>
    <xf numFmtId="2" fontId="292" fillId="0" borderId="0" xfId="1" applyNumberFormat="1" applyFont="1" applyFill="1"/>
    <xf numFmtId="2" fontId="313" fillId="0" borderId="0" xfId="0" applyNumberFormat="1" applyFont="1" applyFill="1" applyAlignment="1">
      <alignment horizontal="right"/>
    </xf>
    <xf numFmtId="2" fontId="176" fillId="0" borderId="0" xfId="1" applyNumberFormat="1" applyFont="1" applyFill="1"/>
    <xf numFmtId="2" fontId="285" fillId="0" borderId="0" xfId="1" applyNumberFormat="1" applyFont="1" applyFill="1"/>
    <xf numFmtId="2" fontId="277" fillId="0" borderId="0" xfId="2" applyNumberFormat="1" applyFont="1" applyFill="1"/>
    <xf numFmtId="2" fontId="297" fillId="0" borderId="0" xfId="1" applyNumberFormat="1" applyFont="1" applyFill="1"/>
    <xf numFmtId="2" fontId="282" fillId="0" borderId="0" xfId="2" applyNumberFormat="1" applyFont="1" applyFill="1"/>
    <xf numFmtId="2" fontId="313" fillId="0" borderId="0" xfId="3" applyNumberFormat="1" applyFill="1"/>
    <xf numFmtId="2" fontId="142" fillId="0" borderId="0" xfId="1" applyNumberFormat="1" applyFont="1" applyFill="1"/>
    <xf numFmtId="0" fontId="282" fillId="0" borderId="0" xfId="2" applyFont="1" applyFill="1"/>
    <xf numFmtId="0" fontId="313" fillId="0" borderId="1" xfId="3" applyFill="1" applyBorder="1"/>
    <xf numFmtId="0" fontId="298" fillId="0" borderId="6" xfId="1" applyFont="1" applyFill="1" applyBorder="1"/>
    <xf numFmtId="164" fontId="0" fillId="0" borderId="0" xfId="0" applyNumberFormat="1" applyFill="1" applyAlignment="1">
      <alignment horizontal="center"/>
    </xf>
    <xf numFmtId="0" fontId="192" fillId="0" borderId="0" xfId="1" applyFont="1" applyFill="1"/>
    <xf numFmtId="0" fontId="167" fillId="0" borderId="0" xfId="1" applyFont="1" applyFill="1"/>
    <xf numFmtId="2" fontId="167" fillId="0" borderId="0" xfId="1" applyNumberFormat="1" applyFont="1" applyFill="1"/>
    <xf numFmtId="0" fontId="145" fillId="0" borderId="0" xfId="1" applyFont="1" applyFill="1"/>
    <xf numFmtId="0" fontId="197" fillId="0" borderId="0" xfId="1" applyFont="1" applyFill="1"/>
    <xf numFmtId="2" fontId="255" fillId="0" borderId="0" xfId="1" applyNumberFormat="1" applyFont="1" applyFill="1"/>
    <xf numFmtId="0" fontId="255" fillId="0" borderId="0" xfId="1" applyFont="1" applyFill="1"/>
    <xf numFmtId="0" fontId="250" fillId="0" borderId="0" xfId="1" applyFont="1" applyFill="1"/>
    <xf numFmtId="2" fontId="310" fillId="0" borderId="0" xfId="1" applyNumberFormat="1" applyFill="1" applyAlignment="1">
      <alignment horizontal="right"/>
    </xf>
    <xf numFmtId="2" fontId="243" fillId="0" borderId="0" xfId="1" applyNumberFormat="1" applyFont="1" applyFill="1"/>
    <xf numFmtId="0" fontId="163" fillId="0" borderId="0" xfId="34" applyFont="1" applyFill="1"/>
    <xf numFmtId="2" fontId="224" fillId="0" borderId="0" xfId="1" applyNumberFormat="1" applyFont="1" applyFill="1"/>
    <xf numFmtId="2" fontId="218" fillId="0" borderId="0" xfId="1" applyNumberFormat="1" applyFont="1" applyFill="1"/>
    <xf numFmtId="2" fontId="305" fillId="0" borderId="0" xfId="1" applyNumberFormat="1" applyFont="1" applyFill="1"/>
    <xf numFmtId="1" fontId="306" fillId="0" borderId="0" xfId="1" applyNumberFormat="1" applyFont="1" applyFill="1"/>
    <xf numFmtId="2" fontId="254" fillId="0" borderId="0" xfId="1" applyNumberFormat="1" applyFont="1" applyFill="1"/>
    <xf numFmtId="2" fontId="303" fillId="0" borderId="0" xfId="1" applyNumberFormat="1" applyFont="1" applyFill="1"/>
    <xf numFmtId="2" fontId="69" fillId="0" borderId="0" xfId="1" applyNumberFormat="1" applyFont="1" applyFill="1"/>
    <xf numFmtId="2" fontId="315" fillId="0" borderId="0" xfId="2" applyNumberFormat="1" applyFont="1" applyFill="1"/>
    <xf numFmtId="1" fontId="282" fillId="0" borderId="0" xfId="2" applyNumberFormat="1" applyFont="1" applyFill="1"/>
    <xf numFmtId="0" fontId="271" fillId="0" borderId="0" xfId="2" applyFont="1" applyFill="1"/>
    <xf numFmtId="164" fontId="313" fillId="0" borderId="0" xfId="3" applyNumberFormat="1" applyFill="1"/>
    <xf numFmtId="166" fontId="313" fillId="0" borderId="0" xfId="3" applyNumberFormat="1" applyFill="1"/>
    <xf numFmtId="3" fontId="313" fillId="0" borderId="0" xfId="3" applyNumberFormat="1" applyFill="1"/>
    <xf numFmtId="0" fontId="236" fillId="0" borderId="0" xfId="2" applyFont="1" applyFill="1"/>
    <xf numFmtId="2" fontId="222" fillId="0" borderId="0" xfId="1" applyNumberFormat="1" applyFont="1" applyFill="1" applyAlignment="1">
      <alignment horizontal="right"/>
    </xf>
    <xf numFmtId="2" fontId="219" fillId="0" borderId="0" xfId="1" applyNumberFormat="1" applyFont="1" applyFill="1"/>
    <xf numFmtId="0" fontId="219" fillId="0" borderId="0" xfId="1" applyFont="1" applyFill="1"/>
    <xf numFmtId="3" fontId="313" fillId="0" borderId="0" xfId="3" applyNumberFormat="1" applyFill="1" applyAlignment="1">
      <alignment horizontal="center"/>
    </xf>
    <xf numFmtId="2" fontId="222" fillId="0" borderId="0" xfId="1" applyNumberFormat="1" applyFont="1" applyFill="1"/>
    <xf numFmtId="0" fontId="315" fillId="0" borderId="0" xfId="2" applyFont="1" applyFill="1"/>
    <xf numFmtId="2" fontId="231" fillId="0" borderId="0" xfId="2" applyNumberFormat="1" applyFont="1" applyFill="1"/>
    <xf numFmtId="2" fontId="282" fillId="0" borderId="0" xfId="2" applyNumberFormat="1" applyFont="1" applyFill="1" applyAlignment="1">
      <alignment horizontal="right"/>
    </xf>
    <xf numFmtId="0" fontId="230" fillId="0" borderId="0" xfId="2" applyFont="1" applyFill="1"/>
    <xf numFmtId="2" fontId="281" fillId="0" borderId="0" xfId="2" applyNumberFormat="1" applyFont="1" applyFill="1"/>
    <xf numFmtId="2" fontId="321" fillId="0" borderId="0" xfId="0" applyNumberFormat="1" applyFont="1" applyFill="1"/>
    <xf numFmtId="2" fontId="323" fillId="0" borderId="0" xfId="2" applyNumberFormat="1" applyFont="1" applyFill="1"/>
    <xf numFmtId="2" fontId="321" fillId="0" borderId="0" xfId="3" applyNumberFormat="1" applyFont="1" applyFill="1"/>
    <xf numFmtId="1" fontId="280" fillId="0" borderId="0" xfId="2" applyNumberFormat="1" applyFont="1" applyFill="1"/>
    <xf numFmtId="0" fontId="328" fillId="0" borderId="0" xfId="3" applyFont="1" applyFill="1"/>
    <xf numFmtId="2" fontId="327" fillId="0" borderId="0" xfId="2" applyNumberFormat="1" applyFont="1" applyFill="1"/>
    <xf numFmtId="0" fontId="310" fillId="0" borderId="0" xfId="2" applyFill="1"/>
    <xf numFmtId="0" fontId="64" fillId="0" borderId="0" xfId="2" applyFont="1" applyFill="1"/>
    <xf numFmtId="0" fontId="280" fillId="0" borderId="0" xfId="2" applyFont="1" applyFill="1"/>
    <xf numFmtId="2" fontId="313" fillId="0" borderId="6" xfId="0" applyNumberFormat="1" applyFont="1" applyFill="1" applyBorder="1"/>
    <xf numFmtId="0" fontId="315" fillId="0" borderId="0" xfId="1" applyFont="1" applyFill="1"/>
    <xf numFmtId="0" fontId="289" fillId="0" borderId="0" xfId="1" applyFont="1" applyFill="1"/>
    <xf numFmtId="168" fontId="0" fillId="0" borderId="0" xfId="0" applyNumberFormat="1" applyFill="1" applyAlignment="1">
      <alignment horizontal="left"/>
    </xf>
    <xf numFmtId="15" fontId="313" fillId="0" borderId="0" xfId="0" applyNumberFormat="1" applyFont="1" applyFill="1" applyAlignment="1">
      <alignment horizontal="center"/>
    </xf>
    <xf numFmtId="0" fontId="313" fillId="0" borderId="0" xfId="3" applyFill="1"/>
    <xf numFmtId="164" fontId="313" fillId="0" borderId="0" xfId="0" applyNumberFormat="1" applyFont="1" applyFill="1" applyAlignment="1">
      <alignment horizontal="left"/>
    </xf>
    <xf numFmtId="15" fontId="313" fillId="0" borderId="0" xfId="0" applyNumberFormat="1" applyFont="1" applyFill="1" applyAlignment="1">
      <alignment horizontal="left"/>
    </xf>
  </cellXfs>
  <cellStyles count="38">
    <cellStyle name="20% - Accent1 2" xfId="11" xr:uid="{00000000-0005-0000-0000-00000B000000}"/>
    <cellStyle name="20% - Accent2 2" xfId="14" xr:uid="{00000000-0005-0000-0000-00000E000000}"/>
    <cellStyle name="20% - Accent3 2" xfId="17" xr:uid="{00000000-0005-0000-0000-000011000000}"/>
    <cellStyle name="20% - Accent4 2" xfId="20" xr:uid="{00000000-0005-0000-0000-000014000000}"/>
    <cellStyle name="20% - Accent5 2" xfId="23" xr:uid="{00000000-0005-0000-0000-000017000000}"/>
    <cellStyle name="20% - Accent6 2" xfId="26" xr:uid="{00000000-0005-0000-0000-00001A000000}"/>
    <cellStyle name="40% - Accent1 2" xfId="12" xr:uid="{00000000-0005-0000-0000-00000C000000}"/>
    <cellStyle name="40% - Accent2 2" xfId="15" xr:uid="{00000000-0005-0000-0000-00000F000000}"/>
    <cellStyle name="40% - Accent3 2" xfId="18" xr:uid="{00000000-0005-0000-0000-000012000000}"/>
    <cellStyle name="40% - Accent4 2" xfId="21" xr:uid="{00000000-0005-0000-0000-000015000000}"/>
    <cellStyle name="40% - Accent5 2" xfId="24" xr:uid="{00000000-0005-0000-0000-000018000000}"/>
    <cellStyle name="40% - Accent6 2" xfId="27" xr:uid="{00000000-0005-0000-0000-00001B000000}"/>
    <cellStyle name="60% - Accent1 2" xfId="13" xr:uid="{00000000-0005-0000-0000-00000D000000}"/>
    <cellStyle name="60% - Accent2 2" xfId="16" xr:uid="{00000000-0005-0000-0000-000010000000}"/>
    <cellStyle name="60% - Accent3 2" xfId="19" xr:uid="{00000000-0005-0000-0000-000013000000}"/>
    <cellStyle name="60% - Accent4 2" xfId="22" xr:uid="{00000000-0005-0000-0000-000016000000}"/>
    <cellStyle name="60% - Accent5 2" xfId="25" xr:uid="{00000000-0005-0000-0000-000019000000}"/>
    <cellStyle name="60% - Accent6 2" xfId="28" xr:uid="{00000000-0005-0000-0000-00001C000000}"/>
    <cellStyle name="Hyperlink" xfId="37" builtinId="8"/>
    <cellStyle name="Notitie 2" xfId="5" xr:uid="{00000000-0005-0000-0000-000005000000}"/>
    <cellStyle name="Notitie 2 2" xfId="30" xr:uid="{00000000-0005-0000-0000-00001E000000}"/>
    <cellStyle name="Standaard" xfId="0" builtinId="0"/>
    <cellStyle name="Standaard 2" xfId="1" xr:uid="{00000000-0005-0000-0000-000001000000}"/>
    <cellStyle name="Standaard 2 2" xfId="2" xr:uid="{00000000-0005-0000-0000-000002000000}"/>
    <cellStyle name="Standaard 2 2 2" xfId="10" xr:uid="{00000000-0005-0000-0000-00000A000000}"/>
    <cellStyle name="Standaard 2 3" xfId="8" xr:uid="{00000000-0005-0000-0000-000008000000}"/>
    <cellStyle name="Standaard 2 3 2" xfId="32" xr:uid="{00000000-0005-0000-0000-000020000000}"/>
    <cellStyle name="Standaard 2 4" xfId="9" xr:uid="{00000000-0005-0000-0000-000009000000}"/>
    <cellStyle name="Standaard 2 5" xfId="34" xr:uid="{00000000-0005-0000-0000-000022000000}"/>
    <cellStyle name="Standaard 3" xfId="3" xr:uid="{00000000-0005-0000-0000-000003000000}"/>
    <cellStyle name="Standaard 4" xfId="4" xr:uid="{00000000-0005-0000-0000-000004000000}"/>
    <cellStyle name="Standaard 4 2" xfId="29" xr:uid="{00000000-0005-0000-0000-00001D000000}"/>
    <cellStyle name="Standaard 5" xfId="7" xr:uid="{00000000-0005-0000-0000-000007000000}"/>
    <cellStyle name="Standaard 5 2" xfId="31" xr:uid="{00000000-0005-0000-0000-00001F000000}"/>
    <cellStyle name="Standaard 6" xfId="33" xr:uid="{00000000-0005-0000-0000-000021000000}"/>
    <cellStyle name="Standaard 7" xfId="35" xr:uid="{00000000-0005-0000-0000-000023000000}"/>
    <cellStyle name="Standaard 8" xfId="36" xr:uid="{2B83134E-5CC0-4C19-AA7F-092A24C674B1}"/>
    <cellStyle name="Valuta 2" xfId="6" xr:uid="{00000000-0005-0000-0000-000006000000}"/>
  </cellStyles>
  <dxfs count="192">
    <dxf>
      <font>
        <color theme="0"/>
      </font>
      <fill>
        <patternFill>
          <bgColor theme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37</xdr:row>
          <xdr:rowOff>104775</xdr:rowOff>
        </xdr:from>
        <xdr:to>
          <xdr:col>6</xdr:col>
          <xdr:colOff>9525</xdr:colOff>
          <xdr:row>40</xdr:row>
          <xdr:rowOff>85725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Zet de kommagescheiden kolom om naar aparte kolommen en plaats deze in de tabel GPS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37</xdr:row>
          <xdr:rowOff>152400</xdr:rowOff>
        </xdr:from>
        <xdr:to>
          <xdr:col>8</xdr:col>
          <xdr:colOff>200025</xdr:colOff>
          <xdr:row>40</xdr:row>
          <xdr:rowOff>85725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KappertInputData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37</xdr:row>
          <xdr:rowOff>152400</xdr:rowOff>
        </xdr:from>
        <xdr:to>
          <xdr:col>10</xdr:col>
          <xdr:colOff>152400</xdr:colOff>
          <xdr:row>40</xdr:row>
          <xdr:rowOff>85725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GPSdatanaarOntwerp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18</xdr:row>
          <xdr:rowOff>152400</xdr:rowOff>
        </xdr:from>
        <xdr:to>
          <xdr:col>2</xdr:col>
          <xdr:colOff>647700</xdr:colOff>
          <xdr:row>21</xdr:row>
          <xdr:rowOff>114300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Bijwerken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6</xdr:row>
          <xdr:rowOff>114300</xdr:rowOff>
        </xdr:from>
        <xdr:to>
          <xdr:col>2</xdr:col>
          <xdr:colOff>114300</xdr:colOff>
          <xdr:row>9</xdr:row>
          <xdr:rowOff>152400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Nieuw: leegt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34</xdr:row>
          <xdr:rowOff>19050</xdr:rowOff>
        </xdr:from>
        <xdr:to>
          <xdr:col>14</xdr:col>
          <xdr:colOff>647700</xdr:colOff>
          <xdr:row>36</xdr:row>
          <xdr:rowOff>133350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and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28575</xdr:rowOff>
        </xdr:from>
        <xdr:to>
          <xdr:col>22</xdr:col>
          <xdr:colOff>476250</xdr:colOff>
          <xdr:row>5</xdr:row>
          <xdr:rowOff>76200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MargoSaveOldName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9</xdr:row>
          <xdr:rowOff>133350</xdr:rowOff>
        </xdr:from>
        <xdr:to>
          <xdr:col>19</xdr:col>
          <xdr:colOff>180975</xdr:colOff>
          <xdr:row>11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56</xdr:row>
          <xdr:rowOff>38100</xdr:rowOff>
        </xdr:from>
        <xdr:to>
          <xdr:col>2</xdr:col>
          <xdr:colOff>0</xdr:colOff>
          <xdr:row>58</xdr:row>
          <xdr:rowOff>104775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 Leidingen en Kabels 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289</xdr:row>
          <xdr:rowOff>76200</xdr:rowOff>
        </xdr:from>
        <xdr:to>
          <xdr:col>13</xdr:col>
          <xdr:colOff>1066800</xdr:colOff>
          <xdr:row>289</xdr:row>
          <xdr:rowOff>257175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Hoogtewaarden 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56</xdr:row>
          <xdr:rowOff>38100</xdr:rowOff>
        </xdr:from>
        <xdr:to>
          <xdr:col>2</xdr:col>
          <xdr:colOff>0</xdr:colOff>
          <xdr:row>58</xdr:row>
          <xdr:rowOff>104775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 Leidingen en Kabels 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56</xdr:row>
          <xdr:rowOff>38100</xdr:rowOff>
        </xdr:from>
        <xdr:to>
          <xdr:col>2</xdr:col>
          <xdr:colOff>0</xdr:colOff>
          <xdr:row>58</xdr:row>
          <xdr:rowOff>104775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 Leidingen en Kabels 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38100</xdr:rowOff>
        </xdr:from>
        <xdr:to>
          <xdr:col>8</xdr:col>
          <xdr:colOff>476250</xdr:colOff>
          <xdr:row>1</xdr:row>
          <xdr:rowOff>190500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Straalcorrectie Boogzinker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293</xdr:row>
          <xdr:rowOff>19050</xdr:rowOff>
        </xdr:from>
        <xdr:to>
          <xdr:col>13</xdr:col>
          <xdr:colOff>971550</xdr:colOff>
          <xdr:row>295</xdr:row>
          <xdr:rowOff>114300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RunAHN3Python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306</xdr:row>
          <xdr:rowOff>57150</xdr:rowOff>
        </xdr:from>
        <xdr:to>
          <xdr:col>14</xdr:col>
          <xdr:colOff>114300</xdr:colOff>
          <xdr:row>309</xdr:row>
          <xdr:rowOff>9525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PasteFromAHN3 TempFile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310</xdr:row>
          <xdr:rowOff>57150</xdr:rowOff>
        </xdr:from>
        <xdr:to>
          <xdr:col>14</xdr:col>
          <xdr:colOff>123825</xdr:colOff>
          <xdr:row>312</xdr:row>
          <xdr:rowOff>133350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PasteFromAHN4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298</xdr:row>
          <xdr:rowOff>19050</xdr:rowOff>
        </xdr:from>
        <xdr:to>
          <xdr:col>13</xdr:col>
          <xdr:colOff>971550</xdr:colOff>
          <xdr:row>300</xdr:row>
          <xdr:rowOff>114300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RunAHN4Python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315</xdr:row>
          <xdr:rowOff>57150</xdr:rowOff>
        </xdr:from>
        <xdr:to>
          <xdr:col>14</xdr:col>
          <xdr:colOff>123825</xdr:colOff>
          <xdr:row>317</xdr:row>
          <xdr:rowOff>133350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 AHN3 from K1300:K2300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4</xdr:row>
          <xdr:rowOff>123825</xdr:rowOff>
        </xdr:from>
        <xdr:to>
          <xdr:col>9</xdr:col>
          <xdr:colOff>276225</xdr:colOff>
          <xdr:row>6</xdr:row>
          <xdr:rowOff>57150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BZadjustLength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319</xdr:row>
          <xdr:rowOff>47625</xdr:rowOff>
        </xdr:from>
        <xdr:to>
          <xdr:col>14</xdr:col>
          <xdr:colOff>171450</xdr:colOff>
          <xdr:row>321</xdr:row>
          <xdr:rowOff>123825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 AHN4 from K1300:K2300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288</xdr:row>
          <xdr:rowOff>152400</xdr:rowOff>
        </xdr:from>
        <xdr:to>
          <xdr:col>1</xdr:col>
          <xdr:colOff>2390775</xdr:colOff>
          <xdr:row>288</xdr:row>
          <xdr:rowOff>495300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XY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38100</xdr:rowOff>
        </xdr:from>
        <xdr:to>
          <xdr:col>16</xdr:col>
          <xdr:colOff>485775</xdr:colOff>
          <xdr:row>0</xdr:row>
          <xdr:rowOff>438150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KLADBLOK leegmaken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38100</xdr:rowOff>
        </xdr:from>
        <xdr:to>
          <xdr:col>3</xdr:col>
          <xdr:colOff>38100</xdr:colOff>
          <xdr:row>0</xdr:row>
          <xdr:rowOff>571500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AutoCAD XY naar kolommen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0</xdr:row>
          <xdr:rowOff>76200</xdr:rowOff>
        </xdr:from>
        <xdr:to>
          <xdr:col>12</xdr:col>
          <xdr:colOff>57150</xdr:colOff>
          <xdr:row>0</xdr:row>
          <xdr:rowOff>571500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47625</xdr:rowOff>
        </xdr:from>
        <xdr:to>
          <xdr:col>8</xdr:col>
          <xdr:colOff>485775</xdr:colOff>
          <xdr:row>0</xdr:row>
          <xdr:rowOff>542925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Yxdata naar Ontwerp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76200</xdr:rowOff>
        </xdr:from>
        <xdr:to>
          <xdr:col>5</xdr:col>
          <xdr:colOff>190500</xdr:colOff>
          <xdr:row>0</xdr:row>
          <xdr:rowOff>561975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 één cel naar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</xdr:row>
          <xdr:rowOff>114300</xdr:rowOff>
        </xdr:from>
        <xdr:to>
          <xdr:col>13</xdr:col>
          <xdr:colOff>152400</xdr:colOff>
          <xdr:row>4</xdr:row>
          <xdr:rowOff>9525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KenLdataNaarOntwerp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95250</xdr:rowOff>
        </xdr:from>
        <xdr:to>
          <xdr:col>8</xdr:col>
          <xdr:colOff>1000125</xdr:colOff>
          <xdr:row>4</xdr:row>
          <xdr:rowOff>76200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5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KenLGPSdata: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kopieert naar Ontwerp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</xdr:row>
          <xdr:rowOff>123825</xdr:rowOff>
        </xdr:from>
        <xdr:to>
          <xdr:col>19</xdr:col>
          <xdr:colOff>38100</xdr:colOff>
          <xdr:row>4</xdr:row>
          <xdr:rowOff>19050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5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BGTdataNaarOntwerp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9525</xdr:rowOff>
        </xdr:from>
        <xdr:to>
          <xdr:col>3</xdr:col>
          <xdr:colOff>581025</xdr:colOff>
          <xdr:row>4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F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Update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5</xdr:row>
          <xdr:rowOff>9525</xdr:rowOff>
        </xdr:from>
        <xdr:to>
          <xdr:col>3</xdr:col>
          <xdr:colOff>581025</xdr:colOff>
          <xdr:row>7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F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Update links in formulas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2c0588a23d5dc06/GestuurdeBoringTekening/TOOLS/AHN/ahn4_temp.xlsx" TargetMode="External"/><Relationship Id="rId1" Type="http://schemas.openxmlformats.org/officeDocument/2006/relationships/externalLinkPath" Target="https://d.docs.live.net/12c0588a23d5dc06/GestuurdeBoringTekening/TOOLS/AHN/ahn4_tem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dso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\GestuurdeBoringTekening\41.%20C&amp;C\CC-MASTER.xlsm" TargetMode="External"/><Relationship Id="rId1" Type="http://schemas.openxmlformats.org/officeDocument/2006/relationships/externalLinkPath" Target="file:///D:\OneDrive\GestuurdeBoringTekening\41.%20C&amp;C\CC-MASTER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Mijn%20Drive/GBT/Klantenbestand.xlsx" TargetMode="External"/><Relationship Id="rId2" Type="http://schemas.openxmlformats.org/officeDocument/2006/relationships/externalLinkPath" Target="file:///G:\Mijn%20Drive\GBT\Klantenbestand.xlsx" TargetMode="External"/><Relationship Id="rId1" Type="http://schemas.openxmlformats.org/officeDocument/2006/relationships/externalLinkPath" Target="/Mijn%20Drive/GBT/Klantenbestan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91">
          <cell r="L291">
            <v>8.0596609115600586</v>
          </cell>
        </row>
        <row r="292">
          <cell r="L292">
            <v>8.0377130508422852</v>
          </cell>
        </row>
        <row r="293">
          <cell r="L293">
            <v>8.0256404876708984</v>
          </cell>
        </row>
        <row r="294">
          <cell r="L294">
            <v>8.0136289596557617</v>
          </cell>
        </row>
        <row r="295">
          <cell r="L295">
            <v>8.0395832061767578</v>
          </cell>
        </row>
        <row r="296">
          <cell r="L296">
            <v>8.055262565612793</v>
          </cell>
        </row>
        <row r="297">
          <cell r="L297">
            <v>8.0507755279541016</v>
          </cell>
        </row>
        <row r="298">
          <cell r="L298">
            <v>8.0440282821655273</v>
          </cell>
        </row>
        <row r="299">
          <cell r="L299">
            <v>8.0518321990966797</v>
          </cell>
        </row>
        <row r="300">
          <cell r="L300">
            <v>8.0597448348999023</v>
          </cell>
        </row>
        <row r="301">
          <cell r="L301">
            <v>8.0798606872558594</v>
          </cell>
        </row>
        <row r="302">
          <cell r="L302">
            <v>8.0843734741210938</v>
          </cell>
        </row>
        <row r="303">
          <cell r="L303">
            <v>8.0480108261108398</v>
          </cell>
        </row>
        <row r="304">
          <cell r="L304">
            <v>8.0388994216918945</v>
          </cell>
        </row>
        <row r="305">
          <cell r="L305">
            <v>8.0480623245239258</v>
          </cell>
        </row>
        <row r="306">
          <cell r="L306">
            <v>8.0435113906860352</v>
          </cell>
        </row>
        <row r="307">
          <cell r="L307">
            <v>8.0235271453857422</v>
          </cell>
        </row>
        <row r="308">
          <cell r="L308">
            <v>8.0147800445556641</v>
          </cell>
        </row>
        <row r="309">
          <cell r="L309">
            <v>8.0083045959472656</v>
          </cell>
        </row>
        <row r="310">
          <cell r="L310">
            <v>7.997467041015625</v>
          </cell>
        </row>
        <row r="311">
          <cell r="L311">
            <v>7.9852237701416016</v>
          </cell>
        </row>
        <row r="312">
          <cell r="L312">
            <v>7.9797511100769043</v>
          </cell>
        </row>
        <row r="313">
          <cell r="L313">
            <v>7.9650321006774902</v>
          </cell>
        </row>
        <row r="314">
          <cell r="L314">
            <v>7.9596829414367676</v>
          </cell>
        </row>
        <row r="315">
          <cell r="L315">
            <v>7.9544668197631836</v>
          </cell>
        </row>
        <row r="316">
          <cell r="L316">
            <v>7.9445805549621582</v>
          </cell>
        </row>
        <row r="317">
          <cell r="L317">
            <v>7.9367280006408691</v>
          </cell>
        </row>
        <row r="318">
          <cell r="L318">
            <v>7.8967432975769043</v>
          </cell>
        </row>
        <row r="319">
          <cell r="L319">
            <v>7.8955755233764648</v>
          </cell>
        </row>
        <row r="320">
          <cell r="L320">
            <v>7.8798661231994629</v>
          </cell>
        </row>
        <row r="321">
          <cell r="L321">
            <v>7.8677430152893066</v>
          </cell>
        </row>
        <row r="322">
          <cell r="L322">
            <v>7.8515744209289551</v>
          </cell>
        </row>
        <row r="323">
          <cell r="L323">
            <v>7.8329925537109384</v>
          </cell>
        </row>
        <row r="324">
          <cell r="L324">
            <v>7.8197407722473136</v>
          </cell>
        </row>
        <row r="325">
          <cell r="L325">
            <v>7.7853598594665527</v>
          </cell>
        </row>
        <row r="326">
          <cell r="L326">
            <v>7.7558841705322266</v>
          </cell>
        </row>
        <row r="327">
          <cell r="L327">
            <v>7.7135558128356934</v>
          </cell>
        </row>
        <row r="328">
          <cell r="L328">
            <v>7.6670403480529794</v>
          </cell>
        </row>
        <row r="329">
          <cell r="L329">
            <v>7.6195430755615234</v>
          </cell>
        </row>
        <row r="330">
          <cell r="L330">
            <v>7.5846772193908691</v>
          </cell>
        </row>
        <row r="331">
          <cell r="L331">
            <v>7.5596156120300293</v>
          </cell>
        </row>
        <row r="332">
          <cell r="L332">
            <v>7.5261993408203116</v>
          </cell>
        </row>
        <row r="333">
          <cell r="L333">
            <v>7.492823600769043</v>
          </cell>
        </row>
        <row r="334">
          <cell r="L334">
            <v>7.4569258689880371</v>
          </cell>
        </row>
        <row r="335">
          <cell r="L335">
            <v>7.4181342124938956</v>
          </cell>
        </row>
        <row r="336">
          <cell r="L336">
            <v>7.3696713447570801</v>
          </cell>
        </row>
        <row r="337">
          <cell r="L337">
            <v>7.3106913566589364</v>
          </cell>
        </row>
        <row r="338">
          <cell r="L338">
            <v>7.2398147583007813</v>
          </cell>
        </row>
        <row r="339">
          <cell r="L339">
            <v>7.1882109642028809</v>
          </cell>
        </row>
        <row r="340">
          <cell r="L340">
            <v>7.1371936798095703</v>
          </cell>
        </row>
        <row r="341">
          <cell r="L341">
            <v>7.0817995071411133</v>
          </cell>
        </row>
        <row r="342">
          <cell r="L342">
            <v>7.0090560913085938</v>
          </cell>
        </row>
        <row r="343">
          <cell r="L343">
            <v>6.9317178726196289</v>
          </cell>
        </row>
        <row r="344">
          <cell r="L344">
            <v>6.8702812194824219</v>
          </cell>
        </row>
        <row r="345">
          <cell r="L345">
            <v>6.7990989685058594</v>
          </cell>
        </row>
        <row r="346">
          <cell r="L346">
            <v>6.7181649208068848</v>
          </cell>
        </row>
        <row r="347">
          <cell r="L347">
            <v>6.6346979141235352</v>
          </cell>
        </row>
        <row r="348">
          <cell r="L348">
            <v>6.5298967361450204</v>
          </cell>
        </row>
        <row r="349">
          <cell r="L349">
            <v>6.405393123626709</v>
          </cell>
        </row>
        <row r="350">
          <cell r="L350">
            <v>6.2629833221435547</v>
          </cell>
        </row>
        <row r="351">
          <cell r="L351">
            <v>6.1180615425109863</v>
          </cell>
        </row>
        <row r="352">
          <cell r="L352">
            <v>5.9870810508728027</v>
          </cell>
        </row>
        <row r="353">
          <cell r="L353">
            <v>5.828986644744873</v>
          </cell>
        </row>
        <row r="354">
          <cell r="L354">
            <v>5.688197135925293</v>
          </cell>
        </row>
        <row r="355">
          <cell r="L355">
            <v>5.5578160285949707</v>
          </cell>
        </row>
        <row r="356">
          <cell r="L356">
            <v>5.4561166763305664</v>
          </cell>
        </row>
        <row r="357">
          <cell r="L357">
            <v>5.346611499786377</v>
          </cell>
        </row>
        <row r="358">
          <cell r="L358">
            <v>5.2219266891479492</v>
          </cell>
        </row>
        <row r="359">
          <cell r="L359">
            <v>5.1081581115722656</v>
          </cell>
        </row>
        <row r="360">
          <cell r="L360">
            <v>5.0159468650817871</v>
          </cell>
        </row>
        <row r="361">
          <cell r="L361">
            <v>4.8847289085388184</v>
          </cell>
        </row>
        <row r="362">
          <cell r="L362">
            <v>4.7518267631530762</v>
          </cell>
        </row>
        <row r="363">
          <cell r="L363">
            <v>4.6195979118347168</v>
          </cell>
        </row>
        <row r="364">
          <cell r="L364">
            <v>4.4969630241394043</v>
          </cell>
        </row>
        <row r="365">
          <cell r="L365">
            <v>4.3690800666809082</v>
          </cell>
        </row>
        <row r="366">
          <cell r="L366">
            <v>4.2447571754455566</v>
          </cell>
        </row>
        <row r="367">
          <cell r="L367">
            <v>4.1068997383117676</v>
          </cell>
        </row>
        <row r="368">
          <cell r="L368">
            <v>3.9862899780273442</v>
          </cell>
        </row>
        <row r="369">
          <cell r="L369">
            <v>3.8336679935455318</v>
          </cell>
        </row>
        <row r="370">
          <cell r="L370">
            <v>3.6789319515228271</v>
          </cell>
        </row>
        <row r="371">
          <cell r="L371">
            <v>3.521273136138916</v>
          </cell>
        </row>
        <row r="372">
          <cell r="L372">
            <v>3.3647201061248779</v>
          </cell>
        </row>
        <row r="373">
          <cell r="L373">
            <v>3.2144615650177002</v>
          </cell>
        </row>
        <row r="374">
          <cell r="L374">
            <v>3.0489654541015621</v>
          </cell>
        </row>
        <row r="375">
          <cell r="L375">
            <v>2.8976314067840581</v>
          </cell>
        </row>
        <row r="376">
          <cell r="L376">
            <v>2.773881196975708</v>
          </cell>
        </row>
        <row r="377">
          <cell r="L377">
            <v>2.635575532913208</v>
          </cell>
        </row>
        <row r="378">
          <cell r="L378">
            <v>2.4779758453369141</v>
          </cell>
        </row>
        <row r="379">
          <cell r="L379">
            <v>2.319292545318604</v>
          </cell>
        </row>
        <row r="380">
          <cell r="L380">
            <v>2.1746125221252441</v>
          </cell>
        </row>
        <row r="381">
          <cell r="L381">
            <v>2.005430936813354</v>
          </cell>
        </row>
        <row r="382">
          <cell r="L382">
            <v>1.846296072006226</v>
          </cell>
        </row>
        <row r="383">
          <cell r="L383">
            <v>1.702834367752075</v>
          </cell>
        </row>
        <row r="384">
          <cell r="L384">
            <v>1.5681015253067021</v>
          </cell>
        </row>
        <row r="385">
          <cell r="L385">
            <v>1.43571400642395</v>
          </cell>
        </row>
        <row r="386">
          <cell r="L386">
            <v>1.3316249847412109</v>
          </cell>
        </row>
        <row r="387">
          <cell r="L387">
            <v>1.259770274162292</v>
          </cell>
        </row>
        <row r="388">
          <cell r="L388">
            <v>1.163434743881226</v>
          </cell>
        </row>
        <row r="389">
          <cell r="L389">
            <v>1.09562611579895</v>
          </cell>
        </row>
        <row r="390">
          <cell r="L390">
            <v>1.0690886974334719</v>
          </cell>
        </row>
        <row r="391">
          <cell r="L391">
            <v>1.0368926525115969</v>
          </cell>
        </row>
        <row r="392">
          <cell r="L392">
            <v>1.0391256809234619</v>
          </cell>
        </row>
        <row r="393">
          <cell r="L393">
            <v>1.058913946151733</v>
          </cell>
        </row>
        <row r="394">
          <cell r="L394">
            <v>0.92738902568817139</v>
          </cell>
        </row>
        <row r="395">
          <cell r="L395">
            <v>0.93645733594894409</v>
          </cell>
        </row>
        <row r="396">
          <cell r="L396">
            <v>0.96171331405639648</v>
          </cell>
        </row>
        <row r="397">
          <cell r="L397">
            <v>0.98103505373001099</v>
          </cell>
        </row>
        <row r="398">
          <cell r="L398">
            <v>0.98000997304916382</v>
          </cell>
        </row>
        <row r="399">
          <cell r="L399">
            <v>0.98915565013885498</v>
          </cell>
        </row>
        <row r="400">
          <cell r="L400">
            <v>1.024167656898499</v>
          </cell>
        </row>
        <row r="401">
          <cell r="L401">
            <v>1.0563362836837771</v>
          </cell>
        </row>
        <row r="402">
          <cell r="L402">
            <v>1.1131061315536499</v>
          </cell>
        </row>
        <row r="403">
          <cell r="L403">
            <v>1.1156685352325439</v>
          </cell>
        </row>
        <row r="404">
          <cell r="L404">
            <v>1.1214002370834351</v>
          </cell>
        </row>
        <row r="405">
          <cell r="L405">
            <v>1.1558786630630491</v>
          </cell>
        </row>
        <row r="406">
          <cell r="L406">
            <v>1.171464204788208</v>
          </cell>
        </row>
        <row r="407">
          <cell r="L407">
            <v>1.177525997161865</v>
          </cell>
        </row>
        <row r="408">
          <cell r="L408">
            <v>1.220273613929749</v>
          </cell>
        </row>
        <row r="409">
          <cell r="L409">
            <v>1.230029225349426</v>
          </cell>
        </row>
        <row r="410">
          <cell r="L410">
            <v>1.244844794273376</v>
          </cell>
        </row>
        <row r="411">
          <cell r="L411">
            <v>1.276553153991699</v>
          </cell>
        </row>
        <row r="412">
          <cell r="L412">
            <v>1.310594320297241</v>
          </cell>
        </row>
        <row r="413">
          <cell r="L413">
            <v>1.3288824558258061</v>
          </cell>
        </row>
        <row r="414">
          <cell r="L414">
            <v>1.3525962829589839</v>
          </cell>
        </row>
        <row r="415">
          <cell r="L415">
            <v>1.377973079681396</v>
          </cell>
        </row>
        <row r="416">
          <cell r="L416">
            <v>1.3881938457489009</v>
          </cell>
        </row>
        <row r="417">
          <cell r="L417">
            <v>1.4072854518890381</v>
          </cell>
        </row>
        <row r="418">
          <cell r="L418">
            <v>1.4337726831436159</v>
          </cell>
        </row>
        <row r="419">
          <cell r="L419">
            <v>1.4402860403060911</v>
          </cell>
        </row>
        <row r="420">
          <cell r="L420">
            <v>1.416039347648621</v>
          </cell>
        </row>
        <row r="421">
          <cell r="L421">
            <v>1.3420925140380859</v>
          </cell>
        </row>
        <row r="422">
          <cell r="L422">
            <v>1.2715485095977781</v>
          </cell>
        </row>
        <row r="423">
          <cell r="L423">
            <v>1.166749238967896</v>
          </cell>
        </row>
        <row r="424">
          <cell r="L424">
            <v>1.0566139221191411</v>
          </cell>
        </row>
        <row r="425">
          <cell r="L425">
            <v>0.97515136003494263</v>
          </cell>
        </row>
        <row r="426">
          <cell r="L426">
            <v>0.88311254978179932</v>
          </cell>
        </row>
        <row r="427">
          <cell r="L427">
            <v>0.78861737251281738</v>
          </cell>
        </row>
        <row r="428">
          <cell r="L428">
            <v>0.80726176500320435</v>
          </cell>
        </row>
        <row r="429">
          <cell r="L429">
            <v>0.83742308616638184</v>
          </cell>
        </row>
        <row r="430">
          <cell r="L430">
            <v>0.85990315675735474</v>
          </cell>
        </row>
        <row r="431">
          <cell r="L431">
            <v>0.87302196025848389</v>
          </cell>
        </row>
        <row r="432">
          <cell r="L432">
            <v>0.90379345417022705</v>
          </cell>
        </row>
        <row r="433">
          <cell r="L433">
            <v>0.92326098680496216</v>
          </cell>
        </row>
        <row r="434">
          <cell r="L434">
            <v>0.9465215802192688</v>
          </cell>
        </row>
        <row r="435">
          <cell r="L435">
            <v>0.97446459531784058</v>
          </cell>
        </row>
        <row r="436">
          <cell r="L436">
            <v>0.98123091459274292</v>
          </cell>
        </row>
        <row r="437">
          <cell r="L437">
            <v>1.0139143466949461</v>
          </cell>
        </row>
        <row r="438">
          <cell r="L438">
            <v>1.0100318193435669</v>
          </cell>
        </row>
        <row r="439">
          <cell r="L439">
            <v>1.0501971244812009</v>
          </cell>
        </row>
        <row r="440">
          <cell r="L440">
            <v>1.077883243560791</v>
          </cell>
        </row>
        <row r="441">
          <cell r="L441">
            <v>1.089786648750305</v>
          </cell>
        </row>
        <row r="442">
          <cell r="L442">
            <v>1.1095166206359861</v>
          </cell>
        </row>
        <row r="443">
          <cell r="L443">
            <v>1.1413124799728389</v>
          </cell>
        </row>
        <row r="444">
          <cell r="L444">
            <v>1.1286822557449341</v>
          </cell>
        </row>
        <row r="445">
          <cell r="L445">
            <v>1.154256224632263</v>
          </cell>
        </row>
        <row r="446">
          <cell r="L446">
            <v>1.175486207008362</v>
          </cell>
        </row>
        <row r="447">
          <cell r="L447">
            <v>1.1879540681838989</v>
          </cell>
        </row>
        <row r="448">
          <cell r="L448">
            <v>1.2258380651473999</v>
          </cell>
        </row>
        <row r="449">
          <cell r="L449">
            <v>1.2499091625213621</v>
          </cell>
        </row>
        <row r="450">
          <cell r="L450">
            <v>1.2602469921112061</v>
          </cell>
        </row>
        <row r="451">
          <cell r="L451">
            <v>1.2337988615036011</v>
          </cell>
        </row>
        <row r="452">
          <cell r="L452">
            <v>1.2611796855926509</v>
          </cell>
        </row>
        <row r="453">
          <cell r="L453">
            <v>1.2887909412384031</v>
          </cell>
        </row>
        <row r="454">
          <cell r="L454">
            <v>1.283244252204895</v>
          </cell>
        </row>
        <row r="455">
          <cell r="L455">
            <v>1.300214886665344</v>
          </cell>
        </row>
        <row r="456">
          <cell r="L456">
            <v>1.323428153991699</v>
          </cell>
        </row>
        <row r="457">
          <cell r="L457">
            <v>1.357457756996155</v>
          </cell>
        </row>
        <row r="458">
          <cell r="L458">
            <v>1.4235584735870359</v>
          </cell>
        </row>
        <row r="459">
          <cell r="L459">
            <v>1.5540661811828611</v>
          </cell>
        </row>
        <row r="460">
          <cell r="L460">
            <v>1.75472104549408</v>
          </cell>
        </row>
        <row r="461">
          <cell r="L461">
            <v>2.0024440288543701</v>
          </cell>
        </row>
        <row r="462">
          <cell r="L462">
            <v>2.230616569519043</v>
          </cell>
        </row>
        <row r="463">
          <cell r="L463">
            <v>2.4512093067169189</v>
          </cell>
        </row>
        <row r="464">
          <cell r="L464">
            <v>2.6709318161010742</v>
          </cell>
        </row>
        <row r="465">
          <cell r="L465">
            <v>3.3478999137878418</v>
          </cell>
        </row>
        <row r="466">
          <cell r="L466">
            <v>3.3478999137878418</v>
          </cell>
        </row>
        <row r="467">
          <cell r="L467">
            <v>3.5730724334716801</v>
          </cell>
        </row>
        <row r="468">
          <cell r="L468">
            <v>3.831570148468018</v>
          </cell>
        </row>
        <row r="469">
          <cell r="L469">
            <v>4.1234431266784668</v>
          </cell>
        </row>
        <row r="470">
          <cell r="L470">
            <v>4.3980617523193359</v>
          </cell>
        </row>
        <row r="471">
          <cell r="L471">
            <v>4.5845909118652344</v>
          </cell>
        </row>
        <row r="472">
          <cell r="L472">
            <v>4.6862034797668457</v>
          </cell>
        </row>
        <row r="473">
          <cell r="L473" t="str">
            <v>--</v>
          </cell>
        </row>
        <row r="474">
          <cell r="L474" t="str">
            <v>--</v>
          </cell>
        </row>
        <row r="475">
          <cell r="L475">
            <v>5.7685017585754386</v>
          </cell>
        </row>
        <row r="476">
          <cell r="L476">
            <v>5.8828449249267578</v>
          </cell>
        </row>
        <row r="477">
          <cell r="L477">
            <v>6.0722041130065918</v>
          </cell>
        </row>
        <row r="478">
          <cell r="L478">
            <v>6.1208324432373047</v>
          </cell>
        </row>
        <row r="479">
          <cell r="L479" t="str">
            <v>--</v>
          </cell>
        </row>
        <row r="480">
          <cell r="L480" t="str">
            <v>--</v>
          </cell>
        </row>
        <row r="481">
          <cell r="L481">
            <v>6.2323102951049796</v>
          </cell>
        </row>
        <row r="482">
          <cell r="L482">
            <v>6.1992688179016113</v>
          </cell>
        </row>
        <row r="483">
          <cell r="L483">
            <v>6.1966485977172852</v>
          </cell>
        </row>
        <row r="484">
          <cell r="L484">
            <v>6.1909823417663574</v>
          </cell>
        </row>
        <row r="485">
          <cell r="L485">
            <v>6.2195925712585449</v>
          </cell>
        </row>
        <row r="486">
          <cell r="L486">
            <v>6.2448797225952148</v>
          </cell>
        </row>
        <row r="487">
          <cell r="L487">
            <v>6.2196097373962402</v>
          </cell>
        </row>
        <row r="488">
          <cell r="L488">
            <v>6.1938672065734863</v>
          </cell>
        </row>
        <row r="489">
          <cell r="L489">
            <v>6.1906461715698242</v>
          </cell>
        </row>
        <row r="490">
          <cell r="L490">
            <v>6.1907358169555664</v>
          </cell>
        </row>
        <row r="491">
          <cell r="L491">
            <v>6.188718318939209</v>
          </cell>
        </row>
        <row r="492">
          <cell r="L492">
            <v>6.1778202056884766</v>
          </cell>
        </row>
        <row r="493">
          <cell r="L493">
            <v>6.1796832084655762</v>
          </cell>
        </row>
        <row r="494">
          <cell r="L494">
            <v>6.1604447364807129</v>
          </cell>
        </row>
        <row r="495">
          <cell r="L495">
            <v>6.1639046669006348</v>
          </cell>
        </row>
        <row r="496">
          <cell r="L496">
            <v>6.1685686111450204</v>
          </cell>
        </row>
        <row r="497">
          <cell r="L497">
            <v>6.1741838455200204</v>
          </cell>
        </row>
        <row r="498">
          <cell r="L498">
            <v>6.1666312217712402</v>
          </cell>
        </row>
        <row r="499">
          <cell r="L499">
            <v>6.1462235450744629</v>
          </cell>
        </row>
        <row r="500">
          <cell r="L500">
            <v>6.1289381980895996</v>
          </cell>
        </row>
        <row r="501">
          <cell r="L501">
            <v>6.1297097206115723</v>
          </cell>
        </row>
        <row r="502">
          <cell r="L502">
            <v>6.1131439208984384</v>
          </cell>
        </row>
        <row r="503">
          <cell r="L503">
            <v>6.1061515808105469</v>
          </cell>
        </row>
        <row r="504">
          <cell r="L504">
            <v>6.0957555770874023</v>
          </cell>
        </row>
        <row r="505">
          <cell r="L505">
            <v>6.0910439491271973</v>
          </cell>
        </row>
        <row r="506">
          <cell r="L506">
            <v>6.1049880981445313</v>
          </cell>
        </row>
        <row r="507">
          <cell r="L507">
            <v>6.0671629905700684</v>
          </cell>
        </row>
        <row r="508">
          <cell r="L508">
            <v>6.0013618469238281</v>
          </cell>
        </row>
        <row r="509">
          <cell r="L509">
            <v>6.0144138336181641</v>
          </cell>
        </row>
        <row r="510">
          <cell r="L510">
            <v>6.030616283416748</v>
          </cell>
        </row>
        <row r="511">
          <cell r="L511">
            <v>6.0366439819335938</v>
          </cell>
        </row>
        <row r="512">
          <cell r="L512">
            <v>6.0326156616210938</v>
          </cell>
        </row>
        <row r="513">
          <cell r="L513">
            <v>6.0626840591430664</v>
          </cell>
        </row>
        <row r="514">
          <cell r="L514">
            <v>6.1437225341796884</v>
          </cell>
        </row>
        <row r="515">
          <cell r="L515">
            <v>6.1662759780883789</v>
          </cell>
        </row>
        <row r="516">
          <cell r="L516">
            <v>6.212425708770752</v>
          </cell>
        </row>
        <row r="517">
          <cell r="L517">
            <v>6.1794171333312988</v>
          </cell>
        </row>
        <row r="518">
          <cell r="L518">
            <v>6.1341114044189453</v>
          </cell>
        </row>
        <row r="519">
          <cell r="L519">
            <v>6.079810619354248</v>
          </cell>
        </row>
        <row r="520">
          <cell r="L520">
            <v>6.0315914154052734</v>
          </cell>
        </row>
        <row r="521">
          <cell r="L521">
            <v>5.9672198295593262</v>
          </cell>
        </row>
        <row r="522">
          <cell r="L522">
            <v>5.9239306449890137</v>
          </cell>
        </row>
        <row r="523">
          <cell r="L523">
            <v>5.8531284332275391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definedNames>
      <definedName name="GPSdatanaarOntwerp"/>
      <definedName name="StraalCorrBZK"/>
      <definedName name="XYdata_naar_Ontwerp"/>
      <definedName name="YeenCelnaarLinks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jst"/>
      <sheetName val="OUDzGPSdataNV"/>
      <sheetName val="Klanten"/>
      <sheetName val="Vars"/>
    </sheetNames>
    <sheetDataSet>
      <sheetData sheetId="0">
        <row r="3">
          <cell r="A3"/>
          <cell r="B3"/>
          <cell r="C3"/>
          <cell r="D3"/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>
            <v>0</v>
          </cell>
          <cell r="Y3">
            <v>0</v>
          </cell>
          <cell r="AD3" t="str">
            <v>Lengte</v>
          </cell>
          <cell r="AE3">
            <v>0.71</v>
          </cell>
        </row>
        <row r="4">
          <cell r="A4" t="str">
            <v>CC24RZ38-01</v>
          </cell>
          <cell r="B4" t="str">
            <v>CC24RZ38-01 BUR-AFF BZ030 Buren, Concorde</v>
          </cell>
          <cell r="C4" t="str">
            <v>CC24RZ38</v>
          </cell>
          <cell r="D4">
            <v>1</v>
          </cell>
          <cell r="E4" t="str">
            <v>Buren</v>
          </cell>
          <cell r="F4" t="str">
            <v>Concorde</v>
          </cell>
          <cell r="G4">
            <v>11</v>
          </cell>
          <cell r="H4" t="str">
            <v>Buren 7 kernen_11-09-2024_export 1.csv</v>
          </cell>
          <cell r="I4" t="str">
            <v>C &amp; C Cable &amp; Communication B.V.</v>
          </cell>
          <cell r="J4"/>
          <cell r="K4" t="str">
            <v>BUR-AFF BZ030</v>
          </cell>
          <cell r="L4">
            <v>45545</v>
          </cell>
          <cell r="M4">
            <v>7.5</v>
          </cell>
          <cell r="N4">
            <v>5</v>
          </cell>
          <cell r="O4">
            <v>1</v>
          </cell>
          <cell r="P4">
            <v>63</v>
          </cell>
          <cell r="Q4" t="str">
            <v xml:space="preserve">PE100 </v>
          </cell>
          <cell r="R4">
            <v>151695.43599999999</v>
          </cell>
          <cell r="S4">
            <v>435329.61700000003</v>
          </cell>
          <cell r="T4">
            <v>3.786</v>
          </cell>
          <cell r="U4">
            <v>151693.63099999999</v>
          </cell>
          <cell r="V4">
            <v>435343.16</v>
          </cell>
          <cell r="W4">
            <v>3.87</v>
          </cell>
          <cell r="X4">
            <v>8.4000000000000075E-2</v>
          </cell>
          <cell r="Y4">
            <v>3.8280000000000003</v>
          </cell>
          <cell r="Z4">
            <v>13.662754992992333</v>
          </cell>
          <cell r="AA4" t="str">
            <v>151695.436,435329.617</v>
          </cell>
          <cell r="AB4" t="str">
            <v>151693.631,435343.16</v>
          </cell>
          <cell r="AC4">
            <v>13.54840759680792</v>
          </cell>
          <cell r="AD4">
            <v>1.0084399140908158</v>
          </cell>
          <cell r="AE4">
            <v>0.71</v>
          </cell>
          <cell r="AF4">
            <v>70.12</v>
          </cell>
          <cell r="AG4">
            <v>4.9496151974405027</v>
          </cell>
          <cell r="AH4">
            <v>64.232650534858635</v>
          </cell>
          <cell r="AI4">
            <v>6.7542498428203759</v>
          </cell>
          <cell r="AJ4">
            <v>4.2396151974405027</v>
          </cell>
          <cell r="AK4">
            <v>64.943108022607717</v>
          </cell>
          <cell r="AL4">
            <v>6.7941577539875437</v>
          </cell>
          <cell r="AM4">
            <v>13.54840759680792</v>
          </cell>
          <cell r="AN4">
            <v>1.0084399140908158</v>
          </cell>
          <cell r="AO4" t="e">
            <v>#REF!</v>
          </cell>
          <cell r="AP4" t="e">
            <v>#REF!</v>
          </cell>
          <cell r="AQ4" t="e">
            <v>#REF!</v>
          </cell>
          <cell r="AR4" t="e">
            <v>#REF!</v>
          </cell>
          <cell r="AS4" t="e">
            <v>#REF!</v>
          </cell>
          <cell r="AT4" t="e">
            <v>#REF!</v>
          </cell>
          <cell r="AU4" t="e">
            <v>#REF!</v>
          </cell>
          <cell r="AV4" t="e">
            <v>#REF!</v>
          </cell>
          <cell r="AW4">
            <v>1.0084399140908158</v>
          </cell>
          <cell r="AX4">
            <v>1.0084399140908158</v>
          </cell>
          <cell r="AY4">
            <v>1.0084399140908158</v>
          </cell>
          <cell r="AZ4" t="e">
            <v>#REF!</v>
          </cell>
          <cell r="BE4">
            <v>151694.53349999999</v>
          </cell>
          <cell r="BF4">
            <v>435336.3885</v>
          </cell>
        </row>
        <row r="5">
          <cell r="A5" t="str">
            <v>CC24RZ38-02</v>
          </cell>
          <cell r="B5" t="str">
            <v>CC24RZ38-02 BUR-AFF BZ031 Buren, Concorde</v>
          </cell>
          <cell r="C5" t="str">
            <v>CC24RZ38</v>
          </cell>
          <cell r="D5">
            <v>2</v>
          </cell>
          <cell r="E5" t="str">
            <v>Buren</v>
          </cell>
          <cell r="F5" t="str">
            <v>Concorde</v>
          </cell>
          <cell r="G5">
            <v>13</v>
          </cell>
          <cell r="H5" t="str">
            <v>Buren 7 kernen_11-09-2024_export 2.csv</v>
          </cell>
          <cell r="I5" t="str">
            <v>C &amp; C Cable &amp; Communication B.V.</v>
          </cell>
          <cell r="J5"/>
          <cell r="K5" t="str">
            <v>BUR-AFF BZ031</v>
          </cell>
          <cell r="L5">
            <v>45545</v>
          </cell>
          <cell r="M5">
            <v>7.5</v>
          </cell>
          <cell r="N5">
            <v>5</v>
          </cell>
          <cell r="O5">
            <v>1</v>
          </cell>
          <cell r="P5">
            <v>63</v>
          </cell>
          <cell r="Q5" t="str">
            <v xml:space="preserve">PE100 </v>
          </cell>
          <cell r="R5">
            <v>151725.91200000001</v>
          </cell>
          <cell r="S5">
            <v>435335.77600000001</v>
          </cell>
          <cell r="T5">
            <v>3.794</v>
          </cell>
          <cell r="U5">
            <v>151724.16200000001</v>
          </cell>
          <cell r="V5">
            <v>435349.07699999999</v>
          </cell>
          <cell r="W5">
            <v>3.7719999999999998</v>
          </cell>
          <cell r="X5">
            <v>-2.2000000000000242E-2</v>
          </cell>
          <cell r="Y5">
            <v>3.7829999999999999</v>
          </cell>
          <cell r="Z5">
            <v>13.415628982623417</v>
          </cell>
          <cell r="AA5" t="str">
            <v>151725.912,435335.776</v>
          </cell>
          <cell r="AB5" t="str">
            <v>151724.162,435349.077</v>
          </cell>
          <cell r="AC5">
            <v>13.497835684783571</v>
          </cell>
          <cell r="AD5">
            <v>0.99390963825016576</v>
          </cell>
          <cell r="AE5">
            <v>0.71</v>
          </cell>
          <cell r="AF5">
            <v>70.12</v>
          </cell>
          <cell r="AG5">
            <v>4.9496151974405027</v>
          </cell>
          <cell r="AH5">
            <v>64.232650534858635</v>
          </cell>
          <cell r="AI5">
            <v>6.7542498428203759</v>
          </cell>
          <cell r="AJ5">
            <v>4.2396151974405027</v>
          </cell>
          <cell r="AK5">
            <v>64.045878957173358</v>
          </cell>
          <cell r="AL5">
            <v>6.7435858419631955</v>
          </cell>
          <cell r="AM5">
            <v>13.497835684783571</v>
          </cell>
          <cell r="AN5">
            <v>0.99390963825016576</v>
          </cell>
          <cell r="AO5" t="e">
            <v>#REF!</v>
          </cell>
          <cell r="AP5" t="e">
            <v>#REF!</v>
          </cell>
          <cell r="AQ5" t="e">
            <v>#REF!</v>
          </cell>
          <cell r="AR5" t="e">
            <v>#REF!</v>
          </cell>
          <cell r="AS5" t="e">
            <v>#REF!</v>
          </cell>
          <cell r="AT5" t="e">
            <v>#REF!</v>
          </cell>
          <cell r="AU5" t="e">
            <v>#REF!</v>
          </cell>
          <cell r="AV5" t="e">
            <v>#REF!</v>
          </cell>
          <cell r="AW5">
            <v>0.99390963825016576</v>
          </cell>
          <cell r="AX5">
            <v>0.99390963825016576</v>
          </cell>
          <cell r="AY5">
            <v>0.99390963825016576</v>
          </cell>
          <cell r="AZ5" t="e">
            <v>#REF!</v>
          </cell>
          <cell r="BE5">
            <v>151725.03700000001</v>
          </cell>
          <cell r="BF5">
            <v>435342.4265</v>
          </cell>
        </row>
        <row r="6">
          <cell r="A6" t="str">
            <v>CC24RZ38-03</v>
          </cell>
          <cell r="B6" t="str">
            <v>CC24RZ38-03 BUR-AFF BZ032 Buren, Concorde</v>
          </cell>
          <cell r="C6" t="str">
            <v>CC24RZ38</v>
          </cell>
          <cell r="D6">
            <v>3</v>
          </cell>
          <cell r="E6" t="str">
            <v>Buren</v>
          </cell>
          <cell r="F6" t="str">
            <v>Concorde</v>
          </cell>
          <cell r="G6">
            <v>15</v>
          </cell>
          <cell r="H6" t="str">
            <v>Buren 7 kernen_11-09-2024_export 3.csv</v>
          </cell>
          <cell r="I6" t="str">
            <v>C &amp; C Cable &amp; Communication B.V.</v>
          </cell>
          <cell r="J6"/>
          <cell r="K6" t="str">
            <v>BUR-AFF BZ032</v>
          </cell>
          <cell r="L6">
            <v>45545</v>
          </cell>
          <cell r="M6">
            <v>7.5</v>
          </cell>
          <cell r="N6">
            <v>5</v>
          </cell>
          <cell r="O6">
            <v>1</v>
          </cell>
          <cell r="P6">
            <v>63</v>
          </cell>
          <cell r="Q6" t="str">
            <v xml:space="preserve">PE100 </v>
          </cell>
          <cell r="R6">
            <v>151783.15700000001</v>
          </cell>
          <cell r="S6">
            <v>435346.408</v>
          </cell>
          <cell r="T6">
            <v>3.6989999999999998</v>
          </cell>
          <cell r="U6">
            <v>151781.163</v>
          </cell>
          <cell r="V6">
            <v>435359.864</v>
          </cell>
          <cell r="W6">
            <v>3.6429999999999998</v>
          </cell>
          <cell r="X6">
            <v>-5.600000000000005E-2</v>
          </cell>
          <cell r="Y6">
            <v>3.6709999999999998</v>
          </cell>
          <cell r="Z6">
            <v>13.602939829322723</v>
          </cell>
          <cell r="AA6" t="str">
            <v>151783.157,435346.408</v>
          </cell>
          <cell r="AB6" t="str">
            <v>151781.163,435359.864</v>
          </cell>
          <cell r="AC6">
            <v>13.481180185952553</v>
          </cell>
          <cell r="AD6">
            <v>1.0090318237491585</v>
          </cell>
          <cell r="AE6">
            <v>0.71</v>
          </cell>
          <cell r="AF6">
            <v>70.12</v>
          </cell>
          <cell r="AG6">
            <v>4.9496151974405027</v>
          </cell>
          <cell r="AH6">
            <v>64.232650534858635</v>
          </cell>
          <cell r="AI6">
            <v>6.7542498428203759</v>
          </cell>
          <cell r="AJ6">
            <v>4.2396151974405027</v>
          </cell>
          <cell r="AK6">
            <v>63.756646927777595</v>
          </cell>
          <cell r="AL6">
            <v>6.7269303431321781</v>
          </cell>
          <cell r="AM6">
            <v>13.481180185952553</v>
          </cell>
          <cell r="AN6">
            <v>1.0090318237491585</v>
          </cell>
          <cell r="AO6" t="e">
            <v>#REF!</v>
          </cell>
          <cell r="AP6" t="e">
            <v>#REF!</v>
          </cell>
          <cell r="AQ6" t="e">
            <v>#REF!</v>
          </cell>
          <cell r="AR6" t="e">
            <v>#REF!</v>
          </cell>
          <cell r="AS6" t="e">
            <v>#REF!</v>
          </cell>
          <cell r="AT6" t="e">
            <v>#REF!</v>
          </cell>
          <cell r="AU6" t="e">
            <v>#REF!</v>
          </cell>
          <cell r="AV6" t="e">
            <v>#REF!</v>
          </cell>
          <cell r="AW6">
            <v>1.0090318237491585</v>
          </cell>
          <cell r="AX6">
            <v>1.0090318237491585</v>
          </cell>
          <cell r="AY6">
            <v>1.0090318237491585</v>
          </cell>
          <cell r="AZ6" t="e">
            <v>#REF!</v>
          </cell>
          <cell r="BE6">
            <v>151782.16</v>
          </cell>
          <cell r="BF6">
            <v>435353.136</v>
          </cell>
        </row>
        <row r="7">
          <cell r="A7" t="str">
            <v>CC24RZ38-04</v>
          </cell>
          <cell r="B7" t="str">
            <v>CC24RZ38-04 BUR-AFF BZ033 Buren, Concorde</v>
          </cell>
          <cell r="C7" t="str">
            <v>CC24RZ38</v>
          </cell>
          <cell r="D7">
            <v>4</v>
          </cell>
          <cell r="E7" t="str">
            <v>Buren</v>
          </cell>
          <cell r="F7" t="str">
            <v>Concorde</v>
          </cell>
          <cell r="G7">
            <v>17</v>
          </cell>
          <cell r="H7" t="str">
            <v>Buren 7 kernen_11-09-2024_export 4.csv</v>
          </cell>
          <cell r="I7" t="str">
            <v>C &amp; C Cable &amp; Communication B.V.</v>
          </cell>
          <cell r="J7"/>
          <cell r="K7" t="str">
            <v>BUR-AFF BZ033</v>
          </cell>
          <cell r="L7">
            <v>45545</v>
          </cell>
          <cell r="M7">
            <v>7.5</v>
          </cell>
          <cell r="N7">
            <v>5</v>
          </cell>
          <cell r="O7">
            <v>1</v>
          </cell>
          <cell r="P7">
            <v>63</v>
          </cell>
          <cell r="Q7" t="str">
            <v xml:space="preserve">PE100 </v>
          </cell>
          <cell r="R7">
            <v>151808.99100000001</v>
          </cell>
          <cell r="S7">
            <v>435351.00400000002</v>
          </cell>
          <cell r="T7">
            <v>3.9420000000000002</v>
          </cell>
          <cell r="U7">
            <v>151805.96400000001</v>
          </cell>
          <cell r="V7">
            <v>435363.59600000002</v>
          </cell>
          <cell r="W7">
            <v>3.6909999999999998</v>
          </cell>
          <cell r="X7">
            <v>-0.25100000000000033</v>
          </cell>
          <cell r="Y7">
            <v>3.8165</v>
          </cell>
          <cell r="Z7">
            <v>12.950721717345209</v>
          </cell>
          <cell r="AA7" t="str">
            <v>151808.991,435351.004</v>
          </cell>
          <cell r="AB7" t="str">
            <v>151805.964,435363.596</v>
          </cell>
          <cell r="AC7">
            <v>13.381479789665001</v>
          </cell>
          <cell r="AD7">
            <v>0.96780938438120412</v>
          </cell>
          <cell r="AE7">
            <v>0.71</v>
          </cell>
          <cell r="AF7">
            <v>70.12</v>
          </cell>
          <cell r="AG7">
            <v>4.9496151974405027</v>
          </cell>
          <cell r="AH7">
            <v>64.232650534858635</v>
          </cell>
          <cell r="AI7">
            <v>6.7542498428203759</v>
          </cell>
          <cell r="AJ7">
            <v>4.2396151974405027</v>
          </cell>
          <cell r="AK7">
            <v>62.083478002168789</v>
          </cell>
          <cell r="AL7">
            <v>6.6272299468446239</v>
          </cell>
          <cell r="AM7">
            <v>13.381479789665001</v>
          </cell>
          <cell r="AN7">
            <v>0.96780938438120412</v>
          </cell>
          <cell r="AO7" t="e">
            <v>#REF!</v>
          </cell>
          <cell r="AP7" t="e">
            <v>#REF!</v>
          </cell>
          <cell r="AQ7" t="e">
            <v>#REF!</v>
          </cell>
          <cell r="AR7" t="e">
            <v>#REF!</v>
          </cell>
          <cell r="AS7" t="e">
            <v>#REF!</v>
          </cell>
          <cell r="AT7" t="e">
            <v>#REF!</v>
          </cell>
          <cell r="AU7" t="e">
            <v>#REF!</v>
          </cell>
          <cell r="AV7" t="e">
            <v>#REF!</v>
          </cell>
          <cell r="AW7">
            <v>0.96780938438120412</v>
          </cell>
          <cell r="AX7">
            <v>0.96780938438120412</v>
          </cell>
          <cell r="AY7">
            <v>0.96780938438120412</v>
          </cell>
          <cell r="AZ7" t="e">
            <v>#REF!</v>
          </cell>
          <cell r="BE7">
            <v>151807.47750000001</v>
          </cell>
          <cell r="BF7">
            <v>435357.30000000005</v>
          </cell>
        </row>
        <row r="8">
          <cell r="A8" t="str">
            <v>CC24RZ38-05</v>
          </cell>
          <cell r="B8" t="str">
            <v>CC24RZ38-05 BUR-AFF BZ034-1 Buren, Concorde</v>
          </cell>
          <cell r="C8" t="str">
            <v>CC24RZ38</v>
          </cell>
          <cell r="D8">
            <v>5</v>
          </cell>
          <cell r="E8" t="str">
            <v>Buren</v>
          </cell>
          <cell r="F8" t="str">
            <v>Concorde</v>
          </cell>
          <cell r="G8">
            <v>21</v>
          </cell>
          <cell r="H8" t="str">
            <v>Buren 7 kernen_11-09-2024_export 5.csv</v>
          </cell>
          <cell r="I8" t="str">
            <v>C &amp; C Cable &amp; Communication B.V.</v>
          </cell>
          <cell r="J8"/>
          <cell r="K8" t="str">
            <v>BUR-AFF BZ034-1</v>
          </cell>
          <cell r="L8">
            <v>45545</v>
          </cell>
          <cell r="M8">
            <v>7.5</v>
          </cell>
          <cell r="N8">
            <v>5</v>
          </cell>
          <cell r="O8">
            <v>1</v>
          </cell>
          <cell r="P8">
            <v>63</v>
          </cell>
          <cell r="Q8" t="str">
            <v xml:space="preserve">PE100 </v>
          </cell>
          <cell r="R8">
            <v>151845.77100000001</v>
          </cell>
          <cell r="S8">
            <v>435357.58600000001</v>
          </cell>
          <cell r="T8">
            <v>3.8809999999999998</v>
          </cell>
          <cell r="U8">
            <v>151845.136</v>
          </cell>
          <cell r="V8">
            <v>435370.15600000002</v>
          </cell>
          <cell r="W8">
            <v>3.2709999999999999</v>
          </cell>
          <cell r="X8">
            <v>-0.60999999999999988</v>
          </cell>
          <cell r="Y8">
            <v>3.5759999999999996</v>
          </cell>
          <cell r="Z8">
            <v>12.586028960724166</v>
          </cell>
          <cell r="AA8" t="str">
            <v>151845.771,435357.586</v>
          </cell>
          <cell r="AB8" t="str">
            <v>151845.136,435370.156</v>
          </cell>
          <cell r="AC8">
            <v>13.178432396275443</v>
          </cell>
          <cell r="AD8">
            <v>0.95504750354687817</v>
          </cell>
          <cell r="AE8">
            <v>0.71</v>
          </cell>
          <cell r="AF8">
            <v>70.12</v>
          </cell>
          <cell r="AG8">
            <v>4.9496151974405027</v>
          </cell>
          <cell r="AH8">
            <v>64.232650534858635</v>
          </cell>
          <cell r="AI8">
            <v>6.7542498428203759</v>
          </cell>
          <cell r="AJ8">
            <v>4.2396151974405027</v>
          </cell>
          <cell r="AK8">
            <v>58.932248269734124</v>
          </cell>
          <cell r="AL8">
            <v>6.4241825534550676</v>
          </cell>
          <cell r="AM8">
            <v>13.178432396275443</v>
          </cell>
          <cell r="AN8">
            <v>0.95504750354687817</v>
          </cell>
          <cell r="AO8" t="e">
            <v>#REF!</v>
          </cell>
          <cell r="AP8" t="e">
            <v>#REF!</v>
          </cell>
          <cell r="AQ8" t="e">
            <v>#REF!</v>
          </cell>
          <cell r="AR8" t="e">
            <v>#REF!</v>
          </cell>
          <cell r="AS8" t="e">
            <v>#REF!</v>
          </cell>
          <cell r="AT8" t="e">
            <v>#REF!</v>
          </cell>
          <cell r="AU8" t="e">
            <v>#REF!</v>
          </cell>
          <cell r="AV8" t="e">
            <v>#REF!</v>
          </cell>
          <cell r="AW8">
            <v>0.95504750354687817</v>
          </cell>
          <cell r="AX8">
            <v>0.95504750354687817</v>
          </cell>
          <cell r="AY8">
            <v>0.95504750354687817</v>
          </cell>
          <cell r="AZ8" t="e">
            <v>#REF!</v>
          </cell>
          <cell r="BE8">
            <v>151845.4535</v>
          </cell>
          <cell r="BF8">
            <v>435363.87100000004</v>
          </cell>
        </row>
        <row r="9">
          <cell r="A9" t="str">
            <v>CC24RZ38-06</v>
          </cell>
          <cell r="B9" t="str">
            <v>CC24RZ38-06 BUR-AFF BZ035-1 Buren, Concorde</v>
          </cell>
          <cell r="C9" t="str">
            <v>CC24RZ38</v>
          </cell>
          <cell r="D9">
            <v>6</v>
          </cell>
          <cell r="E9" t="str">
            <v>Buren</v>
          </cell>
          <cell r="F9" t="str">
            <v>Concorde</v>
          </cell>
          <cell r="G9">
            <v>25</v>
          </cell>
          <cell r="H9" t="str">
            <v>Buren 7 kernen_11-09-2024_export 6.csv</v>
          </cell>
          <cell r="I9" t="str">
            <v>C &amp; C Cable &amp; Communication B.V.</v>
          </cell>
          <cell r="J9"/>
          <cell r="K9" t="str">
            <v>BUR-AFF BZ035-1</v>
          </cell>
          <cell r="L9">
            <v>45545</v>
          </cell>
          <cell r="M9">
            <v>7.5</v>
          </cell>
          <cell r="N9">
            <v>5</v>
          </cell>
          <cell r="O9">
            <v>1</v>
          </cell>
          <cell r="P9">
            <v>63</v>
          </cell>
          <cell r="Q9" t="str">
            <v xml:space="preserve">PE100 </v>
          </cell>
          <cell r="R9">
            <v>151896.67000000001</v>
          </cell>
          <cell r="S9">
            <v>435366.88099999999</v>
          </cell>
          <cell r="T9">
            <v>3.9079999999999999</v>
          </cell>
          <cell r="U9">
            <v>151894.609</v>
          </cell>
          <cell r="V9">
            <v>435379.61</v>
          </cell>
          <cell r="W9">
            <v>3.2170000000000001</v>
          </cell>
          <cell r="X9">
            <v>-0.69099999999999984</v>
          </cell>
          <cell r="Y9">
            <v>3.5625</v>
          </cell>
          <cell r="Z9">
            <v>12.89477266181396</v>
          </cell>
          <cell r="AA9" t="str">
            <v>151896.67,435366.881</v>
          </cell>
          <cell r="AB9" t="str">
            <v>151894.609,435379.61</v>
          </cell>
          <cell r="AC9">
            <v>13.128930865593345</v>
          </cell>
          <cell r="AD9">
            <v>0.98216471651983195</v>
          </cell>
          <cell r="AE9">
            <v>0.71</v>
          </cell>
          <cell r="AF9">
            <v>70.12</v>
          </cell>
          <cell r="AG9">
            <v>4.9496151974405027</v>
          </cell>
          <cell r="AH9">
            <v>64.232650534858635</v>
          </cell>
          <cell r="AI9">
            <v>6.7542498428203759</v>
          </cell>
          <cell r="AJ9">
            <v>4.2396151974405027</v>
          </cell>
          <cell r="AK9">
            <v>58.207043855436929</v>
          </cell>
          <cell r="AL9">
            <v>6.3746810227729691</v>
          </cell>
          <cell r="AM9">
            <v>13.128930865593345</v>
          </cell>
          <cell r="AN9">
            <v>0.98216471651983195</v>
          </cell>
          <cell r="AO9" t="e">
            <v>#REF!</v>
          </cell>
          <cell r="AP9" t="e">
            <v>#REF!</v>
          </cell>
          <cell r="AQ9" t="e">
            <v>#REF!</v>
          </cell>
          <cell r="AR9" t="e">
            <v>#REF!</v>
          </cell>
          <cell r="AS9" t="e">
            <v>#REF!</v>
          </cell>
          <cell r="AT9" t="e">
            <v>#REF!</v>
          </cell>
          <cell r="AU9" t="e">
            <v>#REF!</v>
          </cell>
          <cell r="AV9" t="e">
            <v>#REF!</v>
          </cell>
          <cell r="AW9">
            <v>0.98216471651983195</v>
          </cell>
          <cell r="AX9">
            <v>0.98216471651983195</v>
          </cell>
          <cell r="AY9">
            <v>0.98216471651983195</v>
          </cell>
          <cell r="AZ9" t="e">
            <v>#REF!</v>
          </cell>
          <cell r="BE9">
            <v>151895.63949999999</v>
          </cell>
          <cell r="BF9">
            <v>435373.24549999996</v>
          </cell>
        </row>
        <row r="10">
          <cell r="A10" t="str">
            <v>CC24RZ38-07</v>
          </cell>
          <cell r="B10" t="str">
            <v>CC24RZ38-07 BUR-AFF BZ051 Buren, Brederode</v>
          </cell>
          <cell r="C10" t="str">
            <v>CC24RZ38</v>
          </cell>
          <cell r="D10">
            <v>7</v>
          </cell>
          <cell r="E10" t="str">
            <v>Buren</v>
          </cell>
          <cell r="F10" t="str">
            <v>Brederode</v>
          </cell>
          <cell r="G10">
            <v>11</v>
          </cell>
          <cell r="H10" t="str">
            <v>Buren 7 kernen_11-09-2024_export 7.csv</v>
          </cell>
          <cell r="I10" t="str">
            <v>C &amp; C Cable &amp; Communication B.V.</v>
          </cell>
          <cell r="J10"/>
          <cell r="K10" t="str">
            <v>BUR-AFF BZ051</v>
          </cell>
          <cell r="L10">
            <v>45544</v>
          </cell>
          <cell r="M10">
            <v>5</v>
          </cell>
          <cell r="N10">
            <v>10</v>
          </cell>
          <cell r="O10">
            <v>1</v>
          </cell>
          <cell r="P10">
            <v>63</v>
          </cell>
          <cell r="Q10" t="str">
            <v xml:space="preserve">PE100 </v>
          </cell>
          <cell r="R10">
            <v>151912.264</v>
          </cell>
          <cell r="S10">
            <v>435352.61499999999</v>
          </cell>
          <cell r="T10">
            <v>3.9249999999999998</v>
          </cell>
          <cell r="U10">
            <v>151916.291</v>
          </cell>
          <cell r="V10">
            <v>435356.37599999999</v>
          </cell>
          <cell r="W10">
            <v>3.819</v>
          </cell>
          <cell r="X10">
            <v>-0.10599999999999987</v>
          </cell>
          <cell r="Y10">
            <v>3.8719999999999999</v>
          </cell>
          <cell r="Z10">
            <v>5.5101587998899353</v>
          </cell>
          <cell r="AA10" t="str">
            <v>151912.264,435352.615</v>
          </cell>
          <cell r="AB10" t="str">
            <v>151916.291,435356.376</v>
          </cell>
          <cell r="AC10">
            <v>5.1595934879926713</v>
          </cell>
          <cell r="AD10">
            <v>1.0679443666856885</v>
          </cell>
          <cell r="AE10">
            <v>0.71</v>
          </cell>
          <cell r="AF10">
            <v>45.27</v>
          </cell>
          <cell r="AG10">
            <v>1.4811660994605473</v>
          </cell>
          <cell r="AH10">
            <v>32.245816678118366</v>
          </cell>
          <cell r="AI10">
            <v>2.6677638279368501</v>
          </cell>
          <cell r="AJ10">
            <v>0.77116609946054648</v>
          </cell>
          <cell r="AK10">
            <v>29.891949689882278</v>
          </cell>
          <cell r="AL10">
            <v>2.4918296600558207</v>
          </cell>
          <cell r="AM10">
            <v>5.1595934879926713</v>
          </cell>
          <cell r="AN10">
            <v>1.0679443666856885</v>
          </cell>
          <cell r="AO10" t="e">
            <v>#REF!</v>
          </cell>
          <cell r="AP10" t="e">
            <v>#REF!</v>
          </cell>
          <cell r="AQ10" t="e">
            <v>#REF!</v>
          </cell>
          <cell r="AR10" t="e">
            <v>#REF!</v>
          </cell>
          <cell r="AS10" t="e">
            <v>#REF!</v>
          </cell>
          <cell r="AT10" t="e">
            <v>#REF!</v>
          </cell>
          <cell r="AU10" t="e">
            <v>#REF!</v>
          </cell>
          <cell r="AV10" t="e">
            <v>#REF!</v>
          </cell>
          <cell r="AW10">
            <v>1.0679443666856885</v>
          </cell>
          <cell r="AX10">
            <v>1.0679443666856885</v>
          </cell>
          <cell r="AY10">
            <v>1.0679443666856885</v>
          </cell>
          <cell r="AZ10" t="e">
            <v>#REF!</v>
          </cell>
          <cell r="BE10">
            <v>151914.2775</v>
          </cell>
          <cell r="BF10">
            <v>435354.49549999996</v>
          </cell>
        </row>
        <row r="11">
          <cell r="A11" t="str">
            <v>CC24RZ39-01</v>
          </cell>
          <cell r="B11" t="str">
            <v>CC24RZ39-01 ABS-004 Haren Gn, Multatulilaan</v>
          </cell>
          <cell r="C11" t="str">
            <v>CC24RZ39</v>
          </cell>
          <cell r="D11">
            <v>1</v>
          </cell>
          <cell r="E11" t="str">
            <v>Haren Gn</v>
          </cell>
          <cell r="F11" t="str">
            <v>Multatulilaan</v>
          </cell>
          <cell r="G11" t="str">
            <v>4</v>
          </cell>
          <cell r="H11" t="str">
            <v>Haren_21-09-2024_export.csv</v>
          </cell>
          <cell r="I11" t="str">
            <v>C &amp; C Cable &amp; Communication B.V.</v>
          </cell>
          <cell r="J11"/>
          <cell r="K11" t="str">
            <v>ABS-004</v>
          </cell>
          <cell r="L11">
            <v>45433</v>
          </cell>
          <cell r="M11">
            <v>5</v>
          </cell>
          <cell r="N11">
            <v>8</v>
          </cell>
          <cell r="O11">
            <v>2</v>
          </cell>
          <cell r="P11">
            <v>63</v>
          </cell>
          <cell r="Q11" t="str">
            <v xml:space="preserve">PE100 </v>
          </cell>
          <cell r="R11">
            <v>235917.09599999999</v>
          </cell>
          <cell r="S11">
            <v>576835.625</v>
          </cell>
          <cell r="T11">
            <v>1.085</v>
          </cell>
          <cell r="U11">
            <v>235914.10399999999</v>
          </cell>
          <cell r="V11">
            <v>576842.00100000005</v>
          </cell>
          <cell r="W11">
            <v>1.1000000000000001</v>
          </cell>
          <cell r="X11">
            <v>1.5000000000000124E-2</v>
          </cell>
          <cell r="Y11">
            <v>1.0925</v>
          </cell>
          <cell r="Z11">
            <v>7.0431129481640387</v>
          </cell>
          <cell r="AA11" t="str">
            <v>235917.096,576835.625</v>
          </cell>
          <cell r="AB11" t="str">
            <v>235914.104,576842.001</v>
          </cell>
          <cell r="AC11">
            <v>7.0311774304429147</v>
          </cell>
          <cell r="AD11">
            <v>1.0016975133737127</v>
          </cell>
          <cell r="AE11">
            <v>0.71</v>
          </cell>
          <cell r="AF11">
            <v>55.21</v>
          </cell>
          <cell r="AG11">
            <v>2.1471487929040034</v>
          </cell>
          <cell r="AH11">
            <v>44.555576114520797</v>
          </cell>
          <cell r="AI11">
            <v>3.5080038876966197</v>
          </cell>
          <cell r="AJ11">
            <v>1.4371487929040034</v>
          </cell>
          <cell r="AK11">
            <v>44.800040259360749</v>
          </cell>
          <cell r="AL11">
            <v>3.5231735427462949</v>
          </cell>
          <cell r="AM11">
            <v>7.0311774304429147</v>
          </cell>
          <cell r="AN11">
            <v>1.0016975133737127</v>
          </cell>
          <cell r="AO11" t="e">
            <v>#REF!</v>
          </cell>
          <cell r="AP11" t="e">
            <v>#REF!</v>
          </cell>
          <cell r="AQ11" t="e">
            <v>#REF!</v>
          </cell>
          <cell r="AR11" t="e">
            <v>#REF!</v>
          </cell>
          <cell r="AS11" t="e">
            <v>#REF!</v>
          </cell>
          <cell r="AT11" t="e">
            <v>#REF!</v>
          </cell>
          <cell r="AU11" t="e">
            <v>#REF!</v>
          </cell>
          <cell r="AV11" t="e">
            <v>#REF!</v>
          </cell>
          <cell r="AW11">
            <v>1.0016975133737127</v>
          </cell>
          <cell r="AX11">
            <v>1.0016975133737127</v>
          </cell>
          <cell r="AY11">
            <v>1.0016975133737127</v>
          </cell>
          <cell r="AZ11" t="e">
            <v>#REF!</v>
          </cell>
          <cell r="BE11">
            <v>235915.59999999998</v>
          </cell>
          <cell r="BF11">
            <v>576838.81300000008</v>
          </cell>
        </row>
        <row r="12">
          <cell r="A12" t="str">
            <v>CC24RZ39-02</v>
          </cell>
          <cell r="B12" t="str">
            <v>CC24RZ39-02 ABX-007 Haren Gn, Westerse Drift</v>
          </cell>
          <cell r="C12" t="str">
            <v>CC24RZ39</v>
          </cell>
          <cell r="D12">
            <v>2</v>
          </cell>
          <cell r="E12" t="str">
            <v>Haren Gn</v>
          </cell>
          <cell r="F12" t="str">
            <v>Westerse Drift</v>
          </cell>
          <cell r="G12" t="str">
            <v>17</v>
          </cell>
          <cell r="H12" t="str">
            <v>Haren_21-09-2024_export.csv</v>
          </cell>
          <cell r="I12" t="str">
            <v>C &amp; C Cable &amp; Communication B.V.</v>
          </cell>
          <cell r="J12"/>
          <cell r="K12" t="str">
            <v>ABX-007</v>
          </cell>
          <cell r="L12">
            <v>45436</v>
          </cell>
          <cell r="M12">
            <v>7.5</v>
          </cell>
          <cell r="N12">
            <v>7</v>
          </cell>
          <cell r="O12">
            <v>1</v>
          </cell>
          <cell r="P12">
            <v>63</v>
          </cell>
          <cell r="Q12" t="str">
            <v xml:space="preserve">PE100 </v>
          </cell>
          <cell r="R12">
            <v>236116.378</v>
          </cell>
          <cell r="S12">
            <v>576669.38399999996</v>
          </cell>
          <cell r="T12">
            <v>1.839</v>
          </cell>
          <cell r="U12">
            <v>236109.253</v>
          </cell>
          <cell r="V12">
            <v>576676.54299999995</v>
          </cell>
          <cell r="W12">
            <v>1.84</v>
          </cell>
          <cell r="X12">
            <v>1.0000000000001119E-3</v>
          </cell>
          <cell r="Y12">
            <v>1.8395000000000001</v>
          </cell>
          <cell r="Z12">
            <v>10.100341875391479</v>
          </cell>
          <cell r="AA12" t="str">
            <v>236116.378,576669.384</v>
          </cell>
          <cell r="AB12" t="str">
            <v>236109.253,576676.543</v>
          </cell>
          <cell r="AC12">
            <v>12.090426187550683</v>
          </cell>
          <cell r="AD12">
            <v>0.8353999866267442</v>
          </cell>
          <cell r="AE12">
            <v>0.71</v>
          </cell>
          <cell r="AF12">
            <v>60.18</v>
          </cell>
          <cell r="AG12">
            <v>3.7704237147754038</v>
          </cell>
          <cell r="AH12">
            <v>53.704953176807514</v>
          </cell>
          <cell r="AI12">
            <v>6.0448459374636982</v>
          </cell>
          <cell r="AJ12">
            <v>3.0604237147754034</v>
          </cell>
          <cell r="AK12">
            <v>53.714431052689399</v>
          </cell>
          <cell r="AL12">
            <v>6.0455802500869851</v>
          </cell>
          <cell r="AM12">
            <v>12.090426187550683</v>
          </cell>
          <cell r="AN12">
            <v>0.8353999866267442</v>
          </cell>
          <cell r="AO12" t="e">
            <v>#REF!</v>
          </cell>
          <cell r="AP12" t="e">
            <v>#REF!</v>
          </cell>
          <cell r="AQ12" t="e">
            <v>#REF!</v>
          </cell>
          <cell r="AR12" t="e">
            <v>#REF!</v>
          </cell>
          <cell r="AS12" t="e">
            <v>#REF!</v>
          </cell>
          <cell r="AT12" t="e">
            <v>#REF!</v>
          </cell>
          <cell r="AU12" t="e">
            <v>#REF!</v>
          </cell>
          <cell r="AV12" t="e">
            <v>#REF!</v>
          </cell>
          <cell r="AW12">
            <v>0.8353999866267442</v>
          </cell>
          <cell r="AX12">
            <v>0.8353999866267442</v>
          </cell>
          <cell r="AY12">
            <v>0.8353999866267442</v>
          </cell>
          <cell r="AZ12" t="e">
            <v>#REF!</v>
          </cell>
          <cell r="BE12">
            <v>236112.8155</v>
          </cell>
          <cell r="BF12">
            <v>576672.96349999995</v>
          </cell>
        </row>
        <row r="13">
          <cell r="A13" t="str">
            <v>CC24RZ39-03</v>
          </cell>
          <cell r="B13" t="str">
            <v>CC24RZ39-03 ABV-104 Haren Gn, Emmalaan</v>
          </cell>
          <cell r="C13" t="str">
            <v>CC24RZ39</v>
          </cell>
          <cell r="D13">
            <v>3</v>
          </cell>
          <cell r="E13" t="str">
            <v>Haren Gn</v>
          </cell>
          <cell r="F13" t="str">
            <v>Emmalaan</v>
          </cell>
          <cell r="G13" t="str">
            <v>20</v>
          </cell>
          <cell r="H13" t="str">
            <v>Haren_21-09-2024_export.csv</v>
          </cell>
          <cell r="I13" t="str">
            <v>C &amp; C Cable &amp; Communication B.V.</v>
          </cell>
          <cell r="J13"/>
          <cell r="K13" t="str">
            <v>ABV-104</v>
          </cell>
          <cell r="L13">
            <v>45490</v>
          </cell>
          <cell r="M13">
            <v>5</v>
          </cell>
          <cell r="N13">
            <v>8</v>
          </cell>
          <cell r="O13">
            <v>3</v>
          </cell>
          <cell r="P13">
            <v>63</v>
          </cell>
          <cell r="Q13" t="str">
            <v xml:space="preserve">PE100 </v>
          </cell>
          <cell r="R13">
            <v>236302.74900000001</v>
          </cell>
          <cell r="S13">
            <v>576623.66899999999</v>
          </cell>
          <cell r="T13">
            <v>3.7469999999999999</v>
          </cell>
          <cell r="U13">
            <v>236308.736</v>
          </cell>
          <cell r="V13">
            <v>576614.65899999999</v>
          </cell>
          <cell r="W13">
            <v>3.7120000000000002</v>
          </cell>
          <cell r="X13">
            <v>-3.4999999999999698E-2</v>
          </cell>
          <cell r="Y13">
            <v>3.7294999999999998</v>
          </cell>
          <cell r="Z13">
            <v>10.817775603149316</v>
          </cell>
          <cell r="AA13" t="str">
            <v>236302.749,576623.669</v>
          </cell>
          <cell r="AB13" t="str">
            <v>236308.736,576614.659</v>
          </cell>
          <cell r="AC13">
            <v>6.9801022001869049</v>
          </cell>
          <cell r="AD13">
            <v>1.5498018929951558</v>
          </cell>
          <cell r="AE13">
            <v>0.71</v>
          </cell>
          <cell r="AF13">
            <v>55.21</v>
          </cell>
          <cell r="AG13">
            <v>2.1471487929040034</v>
          </cell>
          <cell r="AH13">
            <v>44.555576114520797</v>
          </cell>
          <cell r="AI13">
            <v>3.5080038876966197</v>
          </cell>
          <cell r="AJ13">
            <v>1.4371487929040034</v>
          </cell>
          <cell r="AK13">
            <v>43.980989835117313</v>
          </cell>
          <cell r="AL13">
            <v>3.4720983124902851</v>
          </cell>
          <cell r="AM13">
            <v>6.9801022001869049</v>
          </cell>
          <cell r="AN13">
            <v>1.5498018929951558</v>
          </cell>
          <cell r="AO13" t="e">
            <v>#REF!</v>
          </cell>
          <cell r="AP13" t="e">
            <v>#REF!</v>
          </cell>
          <cell r="AQ13" t="e">
            <v>#REF!</v>
          </cell>
          <cell r="AR13" t="e">
            <v>#REF!</v>
          </cell>
          <cell r="AS13" t="e">
            <v>#REF!</v>
          </cell>
          <cell r="AT13" t="e">
            <v>#REF!</v>
          </cell>
          <cell r="AU13" t="e">
            <v>#REF!</v>
          </cell>
          <cell r="AV13" t="e">
            <v>#REF!</v>
          </cell>
          <cell r="AW13">
            <v>1.5498018929951558</v>
          </cell>
          <cell r="AX13">
            <v>1.5498018929951558</v>
          </cell>
          <cell r="AY13">
            <v>1.5498018929951558</v>
          </cell>
          <cell r="AZ13" t="e">
            <v>#REF!</v>
          </cell>
          <cell r="BE13">
            <v>236305.74249999999</v>
          </cell>
          <cell r="BF13">
            <v>576619.16399999999</v>
          </cell>
        </row>
        <row r="14">
          <cell r="A14" t="str">
            <v>CC24RZ39-04</v>
          </cell>
          <cell r="B14" t="str">
            <v>CC24RZ39-04 ABV-101 Haren Gn, Westerse Drift</v>
          </cell>
          <cell r="C14" t="str">
            <v>CC24RZ39</v>
          </cell>
          <cell r="D14">
            <v>4</v>
          </cell>
          <cell r="E14" t="str">
            <v>Haren Gn</v>
          </cell>
          <cell r="F14" t="str">
            <v>Westerse Drift</v>
          </cell>
          <cell r="G14" t="str">
            <v>61</v>
          </cell>
          <cell r="H14" t="str">
            <v>Haren_21-09-2024_export.csv</v>
          </cell>
          <cell r="I14" t="str">
            <v>C &amp; C Cable &amp; Communication B.V.</v>
          </cell>
          <cell r="J14"/>
          <cell r="K14" t="str">
            <v>ABV-101</v>
          </cell>
          <cell r="L14">
            <v>45469</v>
          </cell>
          <cell r="M14">
            <v>5</v>
          </cell>
          <cell r="N14">
            <v>6</v>
          </cell>
          <cell r="O14">
            <v>1</v>
          </cell>
          <cell r="P14">
            <v>63</v>
          </cell>
          <cell r="Q14" t="str">
            <v xml:space="preserve">PE100 </v>
          </cell>
          <cell r="R14">
            <v>236260.109</v>
          </cell>
          <cell r="S14">
            <v>576445.30200000003</v>
          </cell>
          <cell r="T14">
            <v>1.95</v>
          </cell>
          <cell r="U14">
            <v>236262.739</v>
          </cell>
          <cell r="V14">
            <v>576453.02300000004</v>
          </cell>
          <cell r="W14">
            <v>1.9510000000000001</v>
          </cell>
          <cell r="X14">
            <v>1.0000000000001119E-3</v>
          </cell>
          <cell r="Y14">
            <v>1.9504999999999999</v>
          </cell>
          <cell r="Z14">
            <v>8.1566378490359916</v>
          </cell>
          <cell r="AA14" t="str">
            <v>236260.109,576445.302</v>
          </cell>
          <cell r="AB14" t="str">
            <v>236262.739,576453.023</v>
          </cell>
          <cell r="AC14">
            <v>8.2703929006209265</v>
          </cell>
          <cell r="AD14">
            <v>0.98624550816970324</v>
          </cell>
          <cell r="AE14">
            <v>0.71</v>
          </cell>
          <cell r="AF14">
            <v>65.150000000000006</v>
          </cell>
          <cell r="AG14">
            <v>2.8987794603804069</v>
          </cell>
          <cell r="AH14">
            <v>55.788864733010442</v>
          </cell>
          <cell r="AI14">
            <v>4.1348565969838562</v>
          </cell>
          <cell r="AJ14">
            <v>2.1887794603804061</v>
          </cell>
          <cell r="AK14">
            <v>55.802720369598042</v>
          </cell>
          <cell r="AL14">
            <v>4.1355363036370694</v>
          </cell>
          <cell r="AM14">
            <v>8.2703929006209265</v>
          </cell>
          <cell r="AN14">
            <v>0.98624550816970324</v>
          </cell>
          <cell r="AO14" t="e">
            <v>#REF!</v>
          </cell>
          <cell r="AP14" t="e">
            <v>#REF!</v>
          </cell>
          <cell r="AQ14" t="e">
            <v>#REF!</v>
          </cell>
          <cell r="AR14" t="e">
            <v>#REF!</v>
          </cell>
          <cell r="AS14" t="e">
            <v>#REF!</v>
          </cell>
          <cell r="AT14" t="e">
            <v>#REF!</v>
          </cell>
          <cell r="AU14" t="e">
            <v>#REF!</v>
          </cell>
          <cell r="AV14" t="e">
            <v>#REF!</v>
          </cell>
          <cell r="AW14">
            <v>0.98624550816970324</v>
          </cell>
          <cell r="AX14">
            <v>0.98624550816970324</v>
          </cell>
          <cell r="AY14">
            <v>0.98624550816970324</v>
          </cell>
          <cell r="AZ14" t="e">
            <v>#REF!</v>
          </cell>
          <cell r="BE14">
            <v>236261.424</v>
          </cell>
          <cell r="BF14">
            <v>576449.16250000009</v>
          </cell>
        </row>
        <row r="15">
          <cell r="A15" t="str">
            <v>CC24RZ39-05</v>
          </cell>
          <cell r="B15" t="str">
            <v>CC24RZ39-05 ABV-002 Haren Gn, Westerse Drift</v>
          </cell>
          <cell r="C15" t="str">
            <v>CC24RZ39</v>
          </cell>
          <cell r="D15">
            <v>5</v>
          </cell>
          <cell r="E15" t="str">
            <v>Haren Gn</v>
          </cell>
          <cell r="F15" t="str">
            <v>Westerse Drift</v>
          </cell>
          <cell r="G15" t="str">
            <v>54a</v>
          </cell>
          <cell r="H15" t="str">
            <v>Haren_21-09-2024_export.csv</v>
          </cell>
          <cell r="I15" t="str">
            <v>C &amp; C Cable &amp; Communication B.V.</v>
          </cell>
          <cell r="J15"/>
          <cell r="K15" t="str">
            <v>ABV-002</v>
          </cell>
          <cell r="L15">
            <v>45469</v>
          </cell>
          <cell r="M15">
            <v>5</v>
          </cell>
          <cell r="N15">
            <v>4</v>
          </cell>
          <cell r="O15">
            <v>1</v>
          </cell>
          <cell r="P15">
            <v>63</v>
          </cell>
          <cell r="Q15" t="str">
            <v xml:space="preserve">PE100 </v>
          </cell>
          <cell r="R15">
            <v>236346.06700000001</v>
          </cell>
          <cell r="S15">
            <v>576371.18700000003</v>
          </cell>
          <cell r="T15">
            <v>1.89</v>
          </cell>
          <cell r="U15">
            <v>236353.323</v>
          </cell>
          <cell r="V15">
            <v>576375.76899999997</v>
          </cell>
          <cell r="W15">
            <v>1.91</v>
          </cell>
          <cell r="X15">
            <v>2.0000000000000018E-2</v>
          </cell>
          <cell r="Y15">
            <v>1.9</v>
          </cell>
          <cell r="Z15">
            <v>8.5816233895068947</v>
          </cell>
          <cell r="AA15" t="str">
            <v>236346.067,576371.187</v>
          </cell>
          <cell r="AB15" t="str">
            <v>236353.323,576375.769</v>
          </cell>
          <cell r="AC15">
            <v>9.1768556987645731</v>
          </cell>
          <cell r="AD15">
            <v>0.93513766274674981</v>
          </cell>
          <cell r="AE15">
            <v>0.71</v>
          </cell>
          <cell r="AF15">
            <v>75.09</v>
          </cell>
          <cell r="AG15">
            <v>3.7134927315927495</v>
          </cell>
          <cell r="AH15">
            <v>66.465483763104672</v>
          </cell>
          <cell r="AI15">
            <v>4.5840984639509026</v>
          </cell>
          <cell r="AJ15">
            <v>3.0034927315927495</v>
          </cell>
          <cell r="AK15">
            <v>66.715223720581449</v>
          </cell>
          <cell r="AL15">
            <v>4.5927572348136705</v>
          </cell>
          <cell r="AM15">
            <v>9.1768556987645731</v>
          </cell>
          <cell r="AN15">
            <v>0.93513766274674981</v>
          </cell>
          <cell r="AO15" t="e">
            <v>#REF!</v>
          </cell>
          <cell r="AP15" t="e">
            <v>#REF!</v>
          </cell>
          <cell r="AQ15" t="e">
            <v>#REF!</v>
          </cell>
          <cell r="AR15" t="e">
            <v>#REF!</v>
          </cell>
          <cell r="AS15" t="e">
            <v>#REF!</v>
          </cell>
          <cell r="AT15" t="e">
            <v>#REF!</v>
          </cell>
          <cell r="AU15" t="e">
            <v>#REF!</v>
          </cell>
          <cell r="AV15" t="e">
            <v>#REF!</v>
          </cell>
          <cell r="AW15">
            <v>0.93513766274674981</v>
          </cell>
          <cell r="AX15">
            <v>0.93513766274674981</v>
          </cell>
          <cell r="AY15">
            <v>0.93513766274674981</v>
          </cell>
          <cell r="AZ15" t="e">
            <v>#REF!</v>
          </cell>
          <cell r="BE15">
            <v>236349.69500000001</v>
          </cell>
          <cell r="BF15">
            <v>576373.478</v>
          </cell>
        </row>
        <row r="16">
          <cell r="A16" t="str">
            <v>CC24RZ39-06</v>
          </cell>
          <cell r="B16" t="str">
            <v>CC24RZ39-06 ABV-102  Haren Gn, Westerse Drift</v>
          </cell>
          <cell r="C16" t="str">
            <v>CC24RZ39</v>
          </cell>
          <cell r="D16">
            <v>6</v>
          </cell>
          <cell r="E16" t="str">
            <v>Haren Gn</v>
          </cell>
          <cell r="F16" t="str">
            <v>Westerse Drift</v>
          </cell>
          <cell r="G16" t="str">
            <v>76</v>
          </cell>
          <cell r="H16" t="str">
            <v>Haren_21-09-2024_export.csv</v>
          </cell>
          <cell r="I16" t="str">
            <v>C &amp; C Cable &amp; Communication B.V.</v>
          </cell>
          <cell r="J16"/>
          <cell r="K16" t="str">
            <v xml:space="preserve">ABV-102 </v>
          </cell>
          <cell r="L16">
            <v>45463</v>
          </cell>
          <cell r="M16">
            <v>7.5</v>
          </cell>
          <cell r="N16">
            <v>9</v>
          </cell>
          <cell r="O16">
            <v>1</v>
          </cell>
          <cell r="P16">
            <v>63</v>
          </cell>
          <cell r="Q16" t="str">
            <v xml:space="preserve">PE100 </v>
          </cell>
          <cell r="R16">
            <v>236435.58100000001</v>
          </cell>
          <cell r="S16">
            <v>576246.82700000005</v>
          </cell>
          <cell r="T16">
            <v>2.169</v>
          </cell>
          <cell r="U16">
            <v>236439.481</v>
          </cell>
          <cell r="V16">
            <v>576239.21</v>
          </cell>
          <cell r="W16">
            <v>2.1579999999999999</v>
          </cell>
          <cell r="X16">
            <v>-1.1000000000000121E-2</v>
          </cell>
          <cell r="Y16">
            <v>2.1635</v>
          </cell>
          <cell r="Z16">
            <v>8.5573762919051237</v>
          </cell>
          <cell r="AA16" t="str">
            <v>236435.581,576246.827</v>
          </cell>
          <cell r="AB16" t="str">
            <v>236439.481,576239.21</v>
          </cell>
          <cell r="AC16">
            <v>10.171429705443614</v>
          </cell>
          <cell r="AD16">
            <v>0.84131499107989993</v>
          </cell>
          <cell r="AE16">
            <v>0.71</v>
          </cell>
          <cell r="AF16">
            <v>50.24</v>
          </cell>
          <cell r="AG16">
            <v>2.7032011465900645</v>
          </cell>
          <cell r="AH16">
            <v>42.756976848292624</v>
          </cell>
          <cell r="AI16">
            <v>5.0916761864913411</v>
          </cell>
          <cell r="AJ16">
            <v>1.9932011465900645</v>
          </cell>
          <cell r="AK16">
            <v>42.633050645744916</v>
          </cell>
          <cell r="AL16">
            <v>5.0797535189522733</v>
          </cell>
          <cell r="AM16">
            <v>10.171429705443614</v>
          </cell>
          <cell r="AN16">
            <v>0.84131499107989993</v>
          </cell>
          <cell r="AO16" t="e">
            <v>#REF!</v>
          </cell>
          <cell r="AP16" t="e">
            <v>#REF!</v>
          </cell>
          <cell r="AQ16" t="e">
            <v>#REF!</v>
          </cell>
          <cell r="AR16" t="e">
            <v>#REF!</v>
          </cell>
          <cell r="AS16" t="e">
            <v>#REF!</v>
          </cell>
          <cell r="AT16" t="e">
            <v>#REF!</v>
          </cell>
          <cell r="AU16" t="e">
            <v>#REF!</v>
          </cell>
          <cell r="AV16" t="e">
            <v>#REF!</v>
          </cell>
          <cell r="AW16">
            <v>0.84131499107989993</v>
          </cell>
          <cell r="AX16">
            <v>0.84131499107989993</v>
          </cell>
          <cell r="AY16">
            <v>0.84131499107989993</v>
          </cell>
          <cell r="AZ16" t="e">
            <v>#REF!</v>
          </cell>
          <cell r="BE16">
            <v>236437.53100000002</v>
          </cell>
          <cell r="BF16">
            <v>576243.01850000001</v>
          </cell>
        </row>
        <row r="17">
          <cell r="A17" t="str">
            <v>CC24RZ39-07</v>
          </cell>
          <cell r="B17" t="str">
            <v>CC24RZ39-07 ABV-002 Haren Gn, Beatrixlaan</v>
          </cell>
          <cell r="C17" t="str">
            <v>CC24RZ39</v>
          </cell>
          <cell r="D17">
            <v>7</v>
          </cell>
          <cell r="E17" t="str">
            <v>Haren Gn</v>
          </cell>
          <cell r="F17" t="str">
            <v>Beatrixlaan</v>
          </cell>
          <cell r="G17" t="str">
            <v>9</v>
          </cell>
          <cell r="H17" t="str">
            <v>Haren_21-09-2024_export.csv</v>
          </cell>
          <cell r="I17" t="str">
            <v>C &amp; C Cable &amp; Communication B.V.</v>
          </cell>
          <cell r="J17"/>
          <cell r="K17" t="str">
            <v>ABV-002</v>
          </cell>
          <cell r="L17">
            <v>45463</v>
          </cell>
          <cell r="M17">
            <v>5</v>
          </cell>
          <cell r="N17">
            <v>7</v>
          </cell>
          <cell r="O17">
            <v>1</v>
          </cell>
          <cell r="P17">
            <v>63</v>
          </cell>
          <cell r="Q17" t="str">
            <v xml:space="preserve">PE100 </v>
          </cell>
          <cell r="R17">
            <v>236590.59400000001</v>
          </cell>
          <cell r="S17">
            <v>576269.23</v>
          </cell>
          <cell r="T17">
            <v>3.448</v>
          </cell>
          <cell r="U17">
            <v>236597.326</v>
          </cell>
          <cell r="V17">
            <v>576272.91200000001</v>
          </cell>
          <cell r="W17">
            <v>3.5190000000000001</v>
          </cell>
          <cell r="X17">
            <v>7.1000000000000174E-2</v>
          </cell>
          <cell r="Y17">
            <v>3.4835000000000003</v>
          </cell>
          <cell r="Z17">
            <v>7.6731315641055007</v>
          </cell>
          <cell r="AA17" t="str">
            <v>236590.594,576269.23</v>
          </cell>
          <cell r="AB17" t="str">
            <v>236597.326,576272.912</v>
          </cell>
          <cell r="AC17">
            <v>7.7476994870775044</v>
          </cell>
          <cell r="AD17">
            <v>0.99037547557228101</v>
          </cell>
          <cell r="AE17">
            <v>0.71</v>
          </cell>
          <cell r="AF17">
            <v>60.18</v>
          </cell>
          <cell r="AG17">
            <v>2.5136158098502692</v>
          </cell>
          <cell r="AH17">
            <v>50.262083753567481</v>
          </cell>
          <cell r="AI17">
            <v>3.8448833674067213</v>
          </cell>
          <cell r="AJ17">
            <v>1.8036158098502693</v>
          </cell>
          <cell r="AK17">
            <v>51.31217261731237</v>
          </cell>
          <cell r="AL17">
            <v>3.9028161196707831</v>
          </cell>
          <cell r="AM17">
            <v>7.7476994870775044</v>
          </cell>
          <cell r="AN17">
            <v>0.99037547557228101</v>
          </cell>
          <cell r="AO17" t="e">
            <v>#REF!</v>
          </cell>
          <cell r="AP17" t="e">
            <v>#REF!</v>
          </cell>
          <cell r="AQ17" t="e">
            <v>#REF!</v>
          </cell>
          <cell r="AR17" t="e">
            <v>#REF!</v>
          </cell>
          <cell r="AS17" t="e">
            <v>#REF!</v>
          </cell>
          <cell r="AT17" t="e">
            <v>#REF!</v>
          </cell>
          <cell r="AU17" t="e">
            <v>#REF!</v>
          </cell>
          <cell r="AV17" t="e">
            <v>#REF!</v>
          </cell>
          <cell r="AW17">
            <v>0.99037547557228101</v>
          </cell>
          <cell r="AX17">
            <v>0.99037547557228101</v>
          </cell>
          <cell r="AY17">
            <v>0.99037547557228101</v>
          </cell>
          <cell r="AZ17" t="e">
            <v>#REF!</v>
          </cell>
          <cell r="BE17">
            <v>236593.96000000002</v>
          </cell>
          <cell r="BF17">
            <v>576271.071</v>
          </cell>
        </row>
        <row r="18">
          <cell r="A18" t="str">
            <v>CC24RZ39-08</v>
          </cell>
          <cell r="B18" t="str">
            <v>CC24RZ39-08 ABW-001 Haren Gn, Hemsterhuislaan</v>
          </cell>
          <cell r="C18" t="str">
            <v>CC24RZ39</v>
          </cell>
          <cell r="D18">
            <v>8</v>
          </cell>
          <cell r="E18" t="str">
            <v>Haren Gn</v>
          </cell>
          <cell r="F18" t="str">
            <v>Hemsterhuislaan</v>
          </cell>
          <cell r="G18" t="str">
            <v>7</v>
          </cell>
          <cell r="H18" t="str">
            <v>Haren_21-09-2024_export.csv</v>
          </cell>
          <cell r="I18" t="str">
            <v>C &amp; C Cable &amp; Communication B.V.</v>
          </cell>
          <cell r="J18"/>
          <cell r="K18" t="str">
            <v>ABW-001</v>
          </cell>
          <cell r="L18">
            <v>45475</v>
          </cell>
          <cell r="M18">
            <v>5</v>
          </cell>
          <cell r="N18">
            <v>8</v>
          </cell>
          <cell r="O18">
            <v>1</v>
          </cell>
          <cell r="P18">
            <v>63</v>
          </cell>
          <cell r="Q18" t="str">
            <v xml:space="preserve">PE100 </v>
          </cell>
          <cell r="R18">
            <v>236146.30100000001</v>
          </cell>
          <cell r="S18">
            <v>576372.98800000001</v>
          </cell>
          <cell r="T18">
            <v>1.21</v>
          </cell>
          <cell r="U18">
            <v>236142.80499999999</v>
          </cell>
          <cell r="V18">
            <v>576379.78099999996</v>
          </cell>
          <cell r="W18">
            <v>1.1839999999999999</v>
          </cell>
          <cell r="X18">
            <v>-2.6000000000000023E-2</v>
          </cell>
          <cell r="Y18">
            <v>1.1970000000000001</v>
          </cell>
          <cell r="Z18">
            <v>7.6398210057156986</v>
          </cell>
          <cell r="AA18" t="str">
            <v>236146.301,576372.988</v>
          </cell>
          <cell r="AB18" t="str">
            <v>236142.805,576379.781</v>
          </cell>
          <cell r="AC18">
            <v>6.9894040389756427</v>
          </cell>
          <cell r="AD18">
            <v>1.0930575715916662</v>
          </cell>
          <cell r="AE18">
            <v>0.71</v>
          </cell>
          <cell r="AF18">
            <v>55.21</v>
          </cell>
          <cell r="AG18">
            <v>2.1471487929040034</v>
          </cell>
          <cell r="AH18">
            <v>44.555576114520797</v>
          </cell>
          <cell r="AI18">
            <v>3.5080038876966197</v>
          </cell>
          <cell r="AJ18">
            <v>1.4371487929040034</v>
          </cell>
          <cell r="AK18">
            <v>44.129307039860052</v>
          </cell>
          <cell r="AL18">
            <v>3.4814001512790234</v>
          </cell>
          <cell r="AM18">
            <v>6.9894040389756427</v>
          </cell>
          <cell r="AN18">
            <v>1.0930575715916662</v>
          </cell>
          <cell r="AO18" t="e">
            <v>#REF!</v>
          </cell>
          <cell r="AP18" t="e">
            <v>#REF!</v>
          </cell>
          <cell r="AQ18" t="e">
            <v>#REF!</v>
          </cell>
          <cell r="AR18" t="e">
            <v>#REF!</v>
          </cell>
          <cell r="AS18" t="e">
            <v>#REF!</v>
          </cell>
          <cell r="AT18" t="e">
            <v>#REF!</v>
          </cell>
          <cell r="AU18" t="e">
            <v>#REF!</v>
          </cell>
          <cell r="AV18" t="e">
            <v>#REF!</v>
          </cell>
          <cell r="AW18">
            <v>1.0930575715916662</v>
          </cell>
          <cell r="AX18">
            <v>1.0930575715916662</v>
          </cell>
          <cell r="AY18">
            <v>1.0930575715916662</v>
          </cell>
          <cell r="AZ18" t="e">
            <v>#REF!</v>
          </cell>
          <cell r="BE18">
            <v>236144.55300000001</v>
          </cell>
          <cell r="BF18">
            <v>576376.38449999993</v>
          </cell>
        </row>
        <row r="19">
          <cell r="A19" t="str">
            <v>CC24RZ39-09</v>
          </cell>
          <cell r="B19" t="str">
            <v>CC24RZ39-09 ABW-001 Haren Gn, Hemsterhuislaan</v>
          </cell>
          <cell r="C19" t="str">
            <v>CC24RZ39</v>
          </cell>
          <cell r="D19">
            <v>9</v>
          </cell>
          <cell r="E19" t="str">
            <v>Haren Gn</v>
          </cell>
          <cell r="F19" t="str">
            <v>Hemsterhuislaan</v>
          </cell>
          <cell r="G19" t="str">
            <v>13</v>
          </cell>
          <cell r="H19" t="str">
            <v>Haren_21-09-2024_export.csv</v>
          </cell>
          <cell r="I19" t="str">
            <v>C &amp; C Cable &amp; Communication B.V.</v>
          </cell>
          <cell r="J19"/>
          <cell r="K19" t="str">
            <v>ABW-001</v>
          </cell>
          <cell r="L19">
            <v>45475</v>
          </cell>
          <cell r="M19">
            <v>5</v>
          </cell>
          <cell r="N19">
            <v>8</v>
          </cell>
          <cell r="O19">
            <v>1</v>
          </cell>
          <cell r="P19">
            <v>63</v>
          </cell>
          <cell r="Q19" t="str">
            <v xml:space="preserve">PE100 </v>
          </cell>
          <cell r="R19">
            <v>236192.33300000001</v>
          </cell>
          <cell r="S19">
            <v>576388.22400000005</v>
          </cell>
          <cell r="T19">
            <v>1.2849999999999999</v>
          </cell>
          <cell r="U19">
            <v>236199.21799999999</v>
          </cell>
          <cell r="V19">
            <v>576392.43700000003</v>
          </cell>
          <cell r="W19">
            <v>1.3340000000000001</v>
          </cell>
          <cell r="X19">
            <v>4.9000000000000155E-2</v>
          </cell>
          <cell r="Y19">
            <v>1.3094999999999999</v>
          </cell>
          <cell r="Z19">
            <v>8.0717156788153357</v>
          </cell>
          <cell r="AA19" t="str">
            <v>236192.333,576388.224</v>
          </cell>
          <cell r="AB19" t="str">
            <v>236199.218,576392.437</v>
          </cell>
          <cell r="AC19">
            <v>7.0650883250399339</v>
          </cell>
          <cell r="AD19">
            <v>1.1424790897811901</v>
          </cell>
          <cell r="AE19">
            <v>0.71</v>
          </cell>
          <cell r="AF19">
            <v>55.21</v>
          </cell>
          <cell r="AG19">
            <v>2.1471487929040034</v>
          </cell>
          <cell r="AH19">
            <v>44.555576114520797</v>
          </cell>
          <cell r="AI19">
            <v>3.5080038876966197</v>
          </cell>
          <cell r="AJ19">
            <v>1.4371487929040034</v>
          </cell>
          <cell r="AK19">
            <v>45.350314425939544</v>
          </cell>
          <cell r="AL19">
            <v>3.5570844373433146</v>
          </cell>
          <cell r="AM19">
            <v>7.0650883250399339</v>
          </cell>
          <cell r="AN19">
            <v>1.1424790897811901</v>
          </cell>
          <cell r="AO19" t="e">
            <v>#REF!</v>
          </cell>
          <cell r="AP19" t="e">
            <v>#REF!</v>
          </cell>
          <cell r="AQ19" t="e">
            <v>#REF!</v>
          </cell>
          <cell r="AR19" t="e">
            <v>#REF!</v>
          </cell>
          <cell r="AS19" t="e">
            <v>#REF!</v>
          </cell>
          <cell r="AT19" t="e">
            <v>#REF!</v>
          </cell>
          <cell r="AU19" t="e">
            <v>#REF!</v>
          </cell>
          <cell r="AV19" t="e">
            <v>#REF!</v>
          </cell>
          <cell r="AW19">
            <v>1.1424790897811901</v>
          </cell>
          <cell r="AX19">
            <v>1.1424790897811901</v>
          </cell>
          <cell r="AY19">
            <v>1.1424790897811901</v>
          </cell>
          <cell r="AZ19" t="e">
            <v>#REF!</v>
          </cell>
          <cell r="BE19">
            <v>236195.77549999999</v>
          </cell>
          <cell r="BF19">
            <v>576390.33050000004</v>
          </cell>
        </row>
        <row r="20">
          <cell r="A20" t="str">
            <v>CC24RZ39-10</v>
          </cell>
          <cell r="B20" t="str">
            <v>CC24RZ39-10 ABW-001 Haren Gn, Bollandweg</v>
          </cell>
          <cell r="C20" t="str">
            <v>CC24RZ39</v>
          </cell>
          <cell r="D20">
            <v>10</v>
          </cell>
          <cell r="E20" t="str">
            <v>Haren Gn</v>
          </cell>
          <cell r="F20" t="str">
            <v>Bollandweg</v>
          </cell>
          <cell r="G20" t="str">
            <v>19</v>
          </cell>
          <cell r="H20" t="str">
            <v>Haren_21-09-2024_export.csv</v>
          </cell>
          <cell r="I20" t="str">
            <v>C &amp; C Cable &amp; Communication B.V.</v>
          </cell>
          <cell r="J20"/>
          <cell r="K20" t="str">
            <v>ABW-001</v>
          </cell>
          <cell r="L20">
            <v>45475</v>
          </cell>
          <cell r="M20">
            <v>5</v>
          </cell>
          <cell r="N20">
            <v>8</v>
          </cell>
          <cell r="O20">
            <v>1</v>
          </cell>
          <cell r="P20">
            <v>63</v>
          </cell>
          <cell r="Q20" t="str">
            <v xml:space="preserve">PE100 </v>
          </cell>
          <cell r="R20">
            <v>236253.24299999999</v>
          </cell>
          <cell r="S20">
            <v>576282.071</v>
          </cell>
          <cell r="T20">
            <v>1.1759999999999999</v>
          </cell>
          <cell r="U20">
            <v>236260.71400000001</v>
          </cell>
          <cell r="V20">
            <v>576286.201</v>
          </cell>
          <cell r="W20">
            <v>1.2150000000000001</v>
          </cell>
          <cell r="X20">
            <v>3.9000000000000146E-2</v>
          </cell>
          <cell r="Y20">
            <v>1.1955</v>
          </cell>
          <cell r="Z20">
            <v>8.5365532271714137</v>
          </cell>
          <cell r="AA20" t="str">
            <v>236253.243,576282.071</v>
          </cell>
          <cell r="AB20" t="str">
            <v>236260.714,576286.201</v>
          </cell>
          <cell r="AC20">
            <v>7.0551820154832807</v>
          </cell>
          <cell r="AD20">
            <v>1.2099692408271141</v>
          </cell>
          <cell r="AE20">
            <v>0.71</v>
          </cell>
          <cell r="AF20">
            <v>55.21</v>
          </cell>
          <cell r="AG20">
            <v>2.1471487929040034</v>
          </cell>
          <cell r="AH20">
            <v>44.555576114520797</v>
          </cell>
          <cell r="AI20">
            <v>3.5080038876966197</v>
          </cell>
          <cell r="AJ20">
            <v>1.4371487929040034</v>
          </cell>
          <cell r="AK20">
            <v>45.189014808570981</v>
          </cell>
          <cell r="AL20">
            <v>3.547178127786661</v>
          </cell>
          <cell r="AM20">
            <v>7.0551820154832807</v>
          </cell>
          <cell r="AN20">
            <v>1.2099692408271141</v>
          </cell>
          <cell r="AO20" t="e">
            <v>#REF!</v>
          </cell>
          <cell r="AP20" t="e">
            <v>#REF!</v>
          </cell>
          <cell r="AQ20" t="e">
            <v>#REF!</v>
          </cell>
          <cell r="AR20" t="e">
            <v>#REF!</v>
          </cell>
          <cell r="AS20" t="e">
            <v>#REF!</v>
          </cell>
          <cell r="AT20" t="e">
            <v>#REF!</v>
          </cell>
          <cell r="AU20" t="e">
            <v>#REF!</v>
          </cell>
          <cell r="AV20" t="e">
            <v>#REF!</v>
          </cell>
          <cell r="AW20">
            <v>1.2099692408271141</v>
          </cell>
          <cell r="AX20">
            <v>1.2099692408271141</v>
          </cell>
          <cell r="AY20">
            <v>1.2099692408271141</v>
          </cell>
          <cell r="AZ20" t="e">
            <v>#REF!</v>
          </cell>
          <cell r="BE20">
            <v>236256.9785</v>
          </cell>
          <cell r="BF20">
            <v>576284.13599999994</v>
          </cell>
        </row>
        <row r="21">
          <cell r="A21" t="str">
            <v>CC24RZ39-11</v>
          </cell>
          <cell r="B21" t="str">
            <v>CC24RZ39-11 ABW-101 Haren Gn, Hemsterhuislaan</v>
          </cell>
          <cell r="C21" t="str">
            <v>CC24RZ39</v>
          </cell>
          <cell r="D21">
            <v>11</v>
          </cell>
          <cell r="E21" t="str">
            <v>Haren Gn</v>
          </cell>
          <cell r="F21" t="str">
            <v>Hemsterhuislaan</v>
          </cell>
          <cell r="G21" t="str">
            <v>22</v>
          </cell>
          <cell r="H21" t="str">
            <v>Haren_21-09-2024_export.csv</v>
          </cell>
          <cell r="I21" t="str">
            <v>C &amp; C Cable &amp; Communication B.V.</v>
          </cell>
          <cell r="J21"/>
          <cell r="K21" t="str">
            <v>ABW-101</v>
          </cell>
          <cell r="L21">
            <v>45475</v>
          </cell>
          <cell r="M21">
            <v>7.5</v>
          </cell>
          <cell r="N21">
            <v>9</v>
          </cell>
          <cell r="O21">
            <v>1</v>
          </cell>
          <cell r="P21">
            <v>63</v>
          </cell>
          <cell r="Q21" t="str">
            <v xml:space="preserve">PE100 </v>
          </cell>
          <cell r="R21">
            <v>236307.402</v>
          </cell>
          <cell r="S21">
            <v>576185.47900000005</v>
          </cell>
          <cell r="T21">
            <v>1.264</v>
          </cell>
          <cell r="U21">
            <v>236314.57699999999</v>
          </cell>
          <cell r="V21">
            <v>576189.36199999996</v>
          </cell>
          <cell r="W21">
            <v>1.3089999999999999</v>
          </cell>
          <cell r="X21">
            <v>4.4999999999999929E-2</v>
          </cell>
          <cell r="Y21">
            <v>1.2865</v>
          </cell>
          <cell r="Z21">
            <v>8.158327892354384</v>
          </cell>
          <cell r="AA21" t="str">
            <v>236307.402,576185.479</v>
          </cell>
          <cell r="AB21" t="str">
            <v>236314.577,576189.362</v>
          </cell>
          <cell r="AC21">
            <v>10.231593820548323</v>
          </cell>
          <cell r="AD21">
            <v>0.79736627894374035</v>
          </cell>
          <cell r="AE21">
            <v>0.71</v>
          </cell>
          <cell r="AF21">
            <v>50.24</v>
          </cell>
          <cell r="AG21">
            <v>2.7032011465900645</v>
          </cell>
          <cell r="AH21">
            <v>42.756976848292624</v>
          </cell>
          <cell r="AI21">
            <v>5.0916761864913411</v>
          </cell>
          <cell r="AJ21">
            <v>1.9932011465900645</v>
          </cell>
          <cell r="AK21">
            <v>43.260963519159141</v>
          </cell>
          <cell r="AL21">
            <v>5.1399176340569808</v>
          </cell>
          <cell r="AM21">
            <v>10.231593820548323</v>
          </cell>
          <cell r="AN21">
            <v>0.79736627894374035</v>
          </cell>
          <cell r="AO21" t="e">
            <v>#REF!</v>
          </cell>
          <cell r="AP21" t="e">
            <v>#REF!</v>
          </cell>
          <cell r="AQ21" t="e">
            <v>#REF!</v>
          </cell>
          <cell r="AR21" t="e">
            <v>#REF!</v>
          </cell>
          <cell r="AS21" t="e">
            <v>#REF!</v>
          </cell>
          <cell r="AT21" t="e">
            <v>#REF!</v>
          </cell>
          <cell r="AU21" t="e">
            <v>#REF!</v>
          </cell>
          <cell r="AV21" t="e">
            <v>#REF!</v>
          </cell>
          <cell r="AW21">
            <v>0.79736627894374035</v>
          </cell>
          <cell r="AX21">
            <v>0.79736627894374035</v>
          </cell>
          <cell r="AY21">
            <v>0.79736627894374035</v>
          </cell>
          <cell r="AZ21" t="e">
            <v>#REF!</v>
          </cell>
          <cell r="BE21">
            <v>236310.9895</v>
          </cell>
          <cell r="BF21">
            <v>576187.42050000001</v>
          </cell>
        </row>
        <row r="22">
          <cell r="A22" t="str">
            <v>CC24RZ39-12</v>
          </cell>
          <cell r="B22" t="str">
            <v>CC24RZ39-12 ABW-101 Haren Gn, Hemsterhuislaan</v>
          </cell>
          <cell r="C22" t="str">
            <v>CC24RZ39</v>
          </cell>
          <cell r="D22">
            <v>12</v>
          </cell>
          <cell r="E22" t="str">
            <v>Haren Gn</v>
          </cell>
          <cell r="F22" t="str">
            <v>Hemsterhuislaan</v>
          </cell>
          <cell r="G22" t="str">
            <v>53</v>
          </cell>
          <cell r="H22" t="str">
            <v>Haren_21-09-2024_export.csv</v>
          </cell>
          <cell r="I22" t="str">
            <v>C &amp; C Cable &amp; Communication B.V.</v>
          </cell>
          <cell r="J22"/>
          <cell r="K22" t="str">
            <v>ABW-101</v>
          </cell>
          <cell r="L22">
            <v>45476</v>
          </cell>
          <cell r="M22">
            <v>5</v>
          </cell>
          <cell r="N22">
            <v>8</v>
          </cell>
          <cell r="O22">
            <v>2</v>
          </cell>
          <cell r="P22">
            <v>63</v>
          </cell>
          <cell r="Q22" t="str">
            <v xml:space="preserve">PE100 </v>
          </cell>
          <cell r="R22">
            <v>236303.291</v>
          </cell>
          <cell r="S22">
            <v>576163.98899999994</v>
          </cell>
          <cell r="T22">
            <v>1.28</v>
          </cell>
          <cell r="U22">
            <v>236299.924</v>
          </cell>
          <cell r="V22">
            <v>576170.22100000002</v>
          </cell>
          <cell r="W22">
            <v>1.39</v>
          </cell>
          <cell r="X22">
            <v>0.10999999999999988</v>
          </cell>
          <cell r="Y22">
            <v>1.335</v>
          </cell>
          <cell r="Z22">
            <v>7.0833969958587577</v>
          </cell>
          <cell r="AA22" t="str">
            <v>236303.291,576163.989</v>
          </cell>
          <cell r="AB22" t="str">
            <v>236299.924,576170.221</v>
          </cell>
          <cell r="AC22">
            <v>7.124330551820826</v>
          </cell>
          <cell r="AD22">
            <v>0.99425439967105311</v>
          </cell>
          <cell r="AE22">
            <v>0.71</v>
          </cell>
          <cell r="AF22">
            <v>55.21</v>
          </cell>
          <cell r="AG22">
            <v>2.1471487929040034</v>
          </cell>
          <cell r="AH22">
            <v>44.555576114520797</v>
          </cell>
          <cell r="AI22">
            <v>3.5080038876966197</v>
          </cell>
          <cell r="AJ22">
            <v>1.4371487929040034</v>
          </cell>
          <cell r="AK22">
            <v>46.32473461751291</v>
          </cell>
          <cell r="AL22">
            <v>3.6163266641242062</v>
          </cell>
          <cell r="AM22">
            <v>7.124330551820826</v>
          </cell>
          <cell r="AN22">
            <v>0.99425439967105311</v>
          </cell>
          <cell r="AO22" t="e">
            <v>#REF!</v>
          </cell>
          <cell r="AP22" t="e">
            <v>#REF!</v>
          </cell>
          <cell r="AQ22" t="e">
            <v>#REF!</v>
          </cell>
          <cell r="AR22" t="e">
            <v>#REF!</v>
          </cell>
          <cell r="AS22" t="e">
            <v>#REF!</v>
          </cell>
          <cell r="AT22" t="e">
            <v>#REF!</v>
          </cell>
          <cell r="AU22" t="e">
            <v>#REF!</v>
          </cell>
          <cell r="AV22" t="e">
            <v>#REF!</v>
          </cell>
          <cell r="AW22">
            <v>0.99425439967105311</v>
          </cell>
          <cell r="AX22">
            <v>0.99425439967105311</v>
          </cell>
          <cell r="AY22">
            <v>0.99425439967105311</v>
          </cell>
          <cell r="AZ22" t="e">
            <v>#REF!</v>
          </cell>
          <cell r="BE22">
            <v>236301.60749999998</v>
          </cell>
          <cell r="BF22">
            <v>576167.10499999998</v>
          </cell>
        </row>
        <row r="23">
          <cell r="A23" t="str">
            <v>CC24RZ39-13</v>
          </cell>
          <cell r="B23" t="str">
            <v>CC24RZ39-13 ABV-108 Haren Gn, Meerweg</v>
          </cell>
          <cell r="C23" t="str">
            <v>CC24RZ39</v>
          </cell>
          <cell r="D23">
            <v>13</v>
          </cell>
          <cell r="E23" t="str">
            <v>Haren Gn</v>
          </cell>
          <cell r="F23" t="str">
            <v>Meerweg</v>
          </cell>
          <cell r="G23" t="str">
            <v>51</v>
          </cell>
          <cell r="H23" t="str">
            <v>Haren_21-09-2024_export.csv</v>
          </cell>
          <cell r="I23" t="str">
            <v>C &amp; C Cable &amp; Communication B.V.</v>
          </cell>
          <cell r="J23"/>
          <cell r="K23" t="str">
            <v>ABV-108</v>
          </cell>
          <cell r="L23">
            <v>45467</v>
          </cell>
          <cell r="M23">
            <v>5</v>
          </cell>
          <cell r="N23">
            <v>7</v>
          </cell>
          <cell r="O23">
            <v>1</v>
          </cell>
          <cell r="P23">
            <v>63</v>
          </cell>
          <cell r="Q23" t="str">
            <v xml:space="preserve">PE100 </v>
          </cell>
          <cell r="R23">
            <v>236139.43799999999</v>
          </cell>
          <cell r="S23">
            <v>576859.47699999996</v>
          </cell>
          <cell r="T23">
            <v>3.3980000000000001</v>
          </cell>
          <cell r="U23">
            <v>236135.489</v>
          </cell>
          <cell r="V23">
            <v>576866.46600000001</v>
          </cell>
          <cell r="W23">
            <v>3.5990000000000002</v>
          </cell>
          <cell r="X23">
            <v>0.20100000000000007</v>
          </cell>
          <cell r="Y23">
            <v>3.4984999999999999</v>
          </cell>
          <cell r="Z23">
            <v>8.0274978667564802</v>
          </cell>
          <cell r="AA23" t="str">
            <v>236139.438,576859.477</v>
          </cell>
          <cell r="AB23" t="str">
            <v>236135.489,576866.466</v>
          </cell>
          <cell r="AC23">
            <v>7.8483410671209377</v>
          </cell>
          <cell r="AD23">
            <v>1.0228273463275042</v>
          </cell>
          <cell r="AE23">
            <v>0.71</v>
          </cell>
          <cell r="AF23">
            <v>60.18</v>
          </cell>
          <cell r="AG23">
            <v>2.5136158098502692</v>
          </cell>
          <cell r="AH23">
            <v>50.262083753567481</v>
          </cell>
          <cell r="AI23">
            <v>3.8448833674067213</v>
          </cell>
          <cell r="AJ23">
            <v>1.8036158098502693</v>
          </cell>
          <cell r="AK23">
            <v>53.196190388617154</v>
          </cell>
          <cell r="AL23">
            <v>4.0034576997142164</v>
          </cell>
          <cell r="AM23">
            <v>7.8483410671209377</v>
          </cell>
          <cell r="AN23">
            <v>1.0228273463275042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  <cell r="AU23" t="e">
            <v>#REF!</v>
          </cell>
          <cell r="AV23" t="e">
            <v>#REF!</v>
          </cell>
          <cell r="AW23">
            <v>1.0228273463275042</v>
          </cell>
          <cell r="AX23">
            <v>1.0228273463275042</v>
          </cell>
          <cell r="AY23">
            <v>1.0228273463275042</v>
          </cell>
          <cell r="AZ23" t="e">
            <v>#REF!</v>
          </cell>
          <cell r="BE23">
            <v>236137.46350000001</v>
          </cell>
          <cell r="BF23">
            <v>576862.97149999999</v>
          </cell>
        </row>
        <row r="24">
          <cell r="A24" t="str">
            <v>CC24RZ39-14</v>
          </cell>
          <cell r="B24" t="str">
            <v>CC24RZ39-14 ABV-007  Haren Gn, Meerweg</v>
          </cell>
          <cell r="C24" t="str">
            <v>CC24RZ39</v>
          </cell>
          <cell r="D24">
            <v>14</v>
          </cell>
          <cell r="E24" t="str">
            <v>Haren Gn</v>
          </cell>
          <cell r="F24" t="str">
            <v>Meerweg</v>
          </cell>
          <cell r="G24" t="str">
            <v>5a</v>
          </cell>
          <cell r="H24" t="str">
            <v>Haren_21-09-2024_export.csv</v>
          </cell>
          <cell r="I24" t="str">
            <v>C &amp; C Cable &amp; Communication B.V.</v>
          </cell>
          <cell r="J24"/>
          <cell r="K24" t="str">
            <v xml:space="preserve">ABV-007 </v>
          </cell>
          <cell r="L24">
            <v>45464</v>
          </cell>
          <cell r="M24">
            <v>5</v>
          </cell>
          <cell r="N24">
            <v>8</v>
          </cell>
          <cell r="O24">
            <v>1</v>
          </cell>
          <cell r="P24">
            <v>63</v>
          </cell>
          <cell r="Q24" t="str">
            <v xml:space="preserve">PE100 </v>
          </cell>
          <cell r="R24">
            <v>236268.96400000001</v>
          </cell>
          <cell r="S24">
            <v>576933.96</v>
          </cell>
          <cell r="T24">
            <v>5.8230000000000004</v>
          </cell>
          <cell r="U24">
            <v>236265.45499999999</v>
          </cell>
          <cell r="V24">
            <v>576939.09600000002</v>
          </cell>
          <cell r="W24">
            <v>5.8289999999999997</v>
          </cell>
          <cell r="X24">
            <v>5.9999999999993392E-3</v>
          </cell>
          <cell r="Y24">
            <v>5.8260000000000005</v>
          </cell>
          <cell r="Z24">
            <v>6.220255380667588</v>
          </cell>
          <cell r="AA24" t="str">
            <v>236268.964,576933.96</v>
          </cell>
          <cell r="AB24" t="str">
            <v>236265.455,576939.096</v>
          </cell>
          <cell r="AC24">
            <v>7.0220911789544438</v>
          </cell>
          <cell r="AD24">
            <v>0.88581239151522306</v>
          </cell>
          <cell r="AE24">
            <v>0.71</v>
          </cell>
          <cell r="AF24">
            <v>55.21</v>
          </cell>
          <cell r="AG24">
            <v>2.1471487929040034</v>
          </cell>
          <cell r="AH24">
            <v>44.555576114520797</v>
          </cell>
          <cell r="AI24">
            <v>3.5080038876966197</v>
          </cell>
          <cell r="AJ24">
            <v>1.4371487929040034</v>
          </cell>
          <cell r="AK24">
            <v>44.653488427151551</v>
          </cell>
          <cell r="AL24">
            <v>3.514087291257824</v>
          </cell>
          <cell r="AM24">
            <v>7.0220911789544438</v>
          </cell>
          <cell r="AN24">
            <v>0.88581239151522306</v>
          </cell>
          <cell r="AO24" t="e">
            <v>#REF!</v>
          </cell>
          <cell r="AP24" t="e">
            <v>#REF!</v>
          </cell>
          <cell r="AQ24" t="e">
            <v>#REF!</v>
          </cell>
          <cell r="AR24" t="e">
            <v>#REF!</v>
          </cell>
          <cell r="AS24" t="e">
            <v>#REF!</v>
          </cell>
          <cell r="AT24" t="e">
            <v>#REF!</v>
          </cell>
          <cell r="AU24" t="e">
            <v>#REF!</v>
          </cell>
          <cell r="AV24" t="e">
            <v>#REF!</v>
          </cell>
          <cell r="AW24">
            <v>0.88581239151522306</v>
          </cell>
          <cell r="AX24">
            <v>0.88581239151522306</v>
          </cell>
          <cell r="AY24">
            <v>0.88581239151522306</v>
          </cell>
          <cell r="AZ24" t="e">
            <v>#REF!</v>
          </cell>
          <cell r="BE24">
            <v>236267.2095</v>
          </cell>
          <cell r="BF24">
            <v>576936.52799999993</v>
          </cell>
        </row>
        <row r="25">
          <cell r="A25" t="str">
            <v>CC24RZ39-15</v>
          </cell>
          <cell r="B25" t="str">
            <v>CC24RZ39-15 ABV-107 Haren Gn, Meerweg</v>
          </cell>
          <cell r="C25" t="str">
            <v>CC24RZ39</v>
          </cell>
          <cell r="D25">
            <v>15</v>
          </cell>
          <cell r="E25" t="str">
            <v>Haren Gn</v>
          </cell>
          <cell r="F25" t="str">
            <v>Meerweg</v>
          </cell>
          <cell r="G25" t="str">
            <v>1</v>
          </cell>
          <cell r="H25" t="str">
            <v>Haren_21-09-2024_export.csv</v>
          </cell>
          <cell r="I25" t="str">
            <v>C &amp; C Cable &amp; Communication B.V.</v>
          </cell>
          <cell r="J25"/>
          <cell r="K25" t="str">
            <v>ABV-107</v>
          </cell>
          <cell r="L25">
            <v>45464</v>
          </cell>
          <cell r="M25">
            <v>5</v>
          </cell>
          <cell r="N25">
            <v>8</v>
          </cell>
          <cell r="O25">
            <v>1</v>
          </cell>
          <cell r="P25">
            <v>63</v>
          </cell>
          <cell r="Q25" t="str">
            <v xml:space="preserve">PE100 </v>
          </cell>
          <cell r="R25">
            <v>236290.18599999999</v>
          </cell>
          <cell r="S25">
            <v>576949.35199999996</v>
          </cell>
          <cell r="T25">
            <v>6.4320000000000004</v>
          </cell>
          <cell r="U25">
            <v>236286.09400000001</v>
          </cell>
          <cell r="V25">
            <v>576954.71299999999</v>
          </cell>
          <cell r="W25">
            <v>6.2640000000000002</v>
          </cell>
          <cell r="X25">
            <v>-0.16800000000000015</v>
          </cell>
          <cell r="Y25">
            <v>6.3480000000000008</v>
          </cell>
          <cell r="Z25">
            <v>6.7442408764927428</v>
          </cell>
          <cell r="AA25" t="str">
            <v>236290.186,576949.352</v>
          </cell>
          <cell r="AB25" t="str">
            <v>236286.094,576954.713</v>
          </cell>
          <cell r="AC25">
            <v>6.836779829467158</v>
          </cell>
          <cell r="AD25">
            <v>0.98646454101453385</v>
          </cell>
          <cell r="AE25">
            <v>0.71</v>
          </cell>
          <cell r="AF25">
            <v>55.21</v>
          </cell>
          <cell r="AG25">
            <v>2.1471487929040034</v>
          </cell>
          <cell r="AH25">
            <v>44.555576114520797</v>
          </cell>
          <cell r="AI25">
            <v>3.5080038876966197</v>
          </cell>
          <cell r="AJ25">
            <v>1.4371487929040034</v>
          </cell>
          <cell r="AK25">
            <v>41.740287493325027</v>
          </cell>
          <cell r="AL25">
            <v>3.3287759417705387</v>
          </cell>
          <cell r="AM25">
            <v>6.836779829467158</v>
          </cell>
          <cell r="AN25">
            <v>0.98646454101453385</v>
          </cell>
          <cell r="AO25" t="e">
            <v>#REF!</v>
          </cell>
          <cell r="AP25" t="e">
            <v>#REF!</v>
          </cell>
          <cell r="AQ25" t="e">
            <v>#REF!</v>
          </cell>
          <cell r="AR25" t="e">
            <v>#REF!</v>
          </cell>
          <cell r="AS25" t="e">
            <v>#REF!</v>
          </cell>
          <cell r="AT25" t="e">
            <v>#REF!</v>
          </cell>
          <cell r="AU25" t="e">
            <v>#REF!</v>
          </cell>
          <cell r="AV25" t="e">
            <v>#REF!</v>
          </cell>
          <cell r="AW25">
            <v>0.98646454101453385</v>
          </cell>
          <cell r="AX25">
            <v>0.98646454101453385</v>
          </cell>
          <cell r="AY25">
            <v>0.98646454101453385</v>
          </cell>
          <cell r="AZ25" t="e">
            <v>#REF!</v>
          </cell>
          <cell r="BE25">
            <v>236288.14</v>
          </cell>
          <cell r="BF25">
            <v>576952.03249999997</v>
          </cell>
        </row>
        <row r="26">
          <cell r="A26" t="str">
            <v>CC24RZ39-16</v>
          </cell>
          <cell r="B26" t="str">
            <v>CC24RZ39-16 ABV-105 Haren Gn, Torenlaan</v>
          </cell>
          <cell r="C26" t="str">
            <v>CC24RZ39</v>
          </cell>
          <cell r="D26">
            <v>16</v>
          </cell>
          <cell r="E26" t="str">
            <v>Haren Gn</v>
          </cell>
          <cell r="F26" t="str">
            <v>Torenlaan</v>
          </cell>
          <cell r="G26" t="str">
            <v>15</v>
          </cell>
          <cell r="H26" t="str">
            <v>Haren_21-09-2024_export.csv</v>
          </cell>
          <cell r="I26" t="str">
            <v>C &amp; C Cable &amp; Communication B.V.</v>
          </cell>
          <cell r="J26"/>
          <cell r="K26" t="str">
            <v>ABV-105</v>
          </cell>
          <cell r="L26">
            <v>45470</v>
          </cell>
          <cell r="M26">
            <v>5</v>
          </cell>
          <cell r="N26">
            <v>8</v>
          </cell>
          <cell r="O26">
            <v>1</v>
          </cell>
          <cell r="P26">
            <v>63</v>
          </cell>
          <cell r="Q26" t="str">
            <v xml:space="preserve">PE100 </v>
          </cell>
          <cell r="R26">
            <v>236174.35500000001</v>
          </cell>
          <cell r="S26">
            <v>576780.25100000005</v>
          </cell>
          <cell r="T26">
            <v>3.2480000000000002</v>
          </cell>
          <cell r="U26">
            <v>236177.304</v>
          </cell>
          <cell r="V26">
            <v>576774.62199999997</v>
          </cell>
          <cell r="W26">
            <v>3.2330000000000001</v>
          </cell>
          <cell r="X26">
            <v>-1.5000000000000124E-2</v>
          </cell>
          <cell r="Y26">
            <v>3.2404999999999999</v>
          </cell>
          <cell r="Z26">
            <v>6.3547023534378448</v>
          </cell>
          <cell r="AA26" t="str">
            <v>236174.355,576780.251</v>
          </cell>
          <cell r="AB26" t="str">
            <v>236177.304,576774.622</v>
          </cell>
          <cell r="AC26">
            <v>7.0007078173021222</v>
          </cell>
          <cell r="AD26">
            <v>0.90772283592986314</v>
          </cell>
          <cell r="AE26">
            <v>0.71</v>
          </cell>
          <cell r="AF26">
            <v>55.21</v>
          </cell>
          <cell r="AG26">
            <v>2.1471487929040034</v>
          </cell>
          <cell r="AH26">
            <v>44.555576114520797</v>
          </cell>
          <cell r="AI26">
            <v>3.5080038876966197</v>
          </cell>
          <cell r="AJ26">
            <v>1.4371487929040034</v>
          </cell>
          <cell r="AK26">
            <v>44.310047976529532</v>
          </cell>
          <cell r="AL26">
            <v>3.4927039296055025</v>
          </cell>
          <cell r="AM26">
            <v>7.0007078173021222</v>
          </cell>
          <cell r="AN26">
            <v>0.90772283592986314</v>
          </cell>
          <cell r="AO26" t="e">
            <v>#REF!</v>
          </cell>
          <cell r="AP26" t="e">
            <v>#REF!</v>
          </cell>
          <cell r="AQ26" t="e">
            <v>#REF!</v>
          </cell>
          <cell r="AR26" t="e">
            <v>#REF!</v>
          </cell>
          <cell r="AS26" t="e">
            <v>#REF!</v>
          </cell>
          <cell r="AT26" t="e">
            <v>#REF!</v>
          </cell>
          <cell r="AU26" t="e">
            <v>#REF!</v>
          </cell>
          <cell r="AV26" t="e">
            <v>#REF!</v>
          </cell>
          <cell r="AW26">
            <v>0.90772283592986314</v>
          </cell>
          <cell r="AX26">
            <v>0.90772283592986314</v>
          </cell>
          <cell r="AY26">
            <v>0.90772283592986314</v>
          </cell>
          <cell r="AZ26" t="e">
            <v>#REF!</v>
          </cell>
          <cell r="BE26">
            <v>236175.82949999999</v>
          </cell>
          <cell r="BF26">
            <v>576777.43650000007</v>
          </cell>
        </row>
        <row r="27">
          <cell r="A27" t="str">
            <v>CC24RZ39-17</v>
          </cell>
          <cell r="B27" t="str">
            <v>CC24RZ39-17 ABV-005 Haren Gn, Torenlaan</v>
          </cell>
          <cell r="C27" t="str">
            <v>CC24RZ39</v>
          </cell>
          <cell r="D27">
            <v>17</v>
          </cell>
          <cell r="E27" t="str">
            <v>Haren Gn</v>
          </cell>
          <cell r="F27" t="str">
            <v>Torenlaan</v>
          </cell>
          <cell r="G27" t="str">
            <v>1-5</v>
          </cell>
          <cell r="H27" t="str">
            <v>Haren_21-09-2024_export.csv</v>
          </cell>
          <cell r="I27" t="str">
            <v>C &amp; C Cable &amp; Communication B.V.</v>
          </cell>
          <cell r="J27"/>
          <cell r="K27" t="str">
            <v>ABV-005</v>
          </cell>
          <cell r="L27">
            <v>45470</v>
          </cell>
          <cell r="M27">
            <v>5</v>
          </cell>
          <cell r="N27">
            <v>7</v>
          </cell>
          <cell r="O27">
            <v>2</v>
          </cell>
          <cell r="P27">
            <v>63</v>
          </cell>
          <cell r="Q27" t="str">
            <v xml:space="preserve">PE100 </v>
          </cell>
          <cell r="R27">
            <v>236241.08199999999</v>
          </cell>
          <cell r="S27">
            <v>576806.54700000002</v>
          </cell>
          <cell r="T27">
            <v>4.718</v>
          </cell>
          <cell r="U27">
            <v>236244.84299999999</v>
          </cell>
          <cell r="V27">
            <v>576801.125</v>
          </cell>
          <cell r="W27">
            <v>4.62</v>
          </cell>
          <cell r="X27">
            <v>-9.7999999999999865E-2</v>
          </cell>
          <cell r="Y27">
            <v>4.6690000000000005</v>
          </cell>
          <cell r="Z27">
            <v>6.5987275288658251</v>
          </cell>
          <cell r="AA27" t="str">
            <v>236241.082,576806.547</v>
          </cell>
          <cell r="AB27" t="str">
            <v>236244.843,576801.125</v>
          </cell>
          <cell r="AC27">
            <v>7.6061375209692672</v>
          </cell>
          <cell r="AD27">
            <v>0.86755301369109805</v>
          </cell>
          <cell r="AE27">
            <v>0.71</v>
          </cell>
          <cell r="AF27">
            <v>60.18</v>
          </cell>
          <cell r="AG27">
            <v>2.5136158098502692</v>
          </cell>
          <cell r="AH27">
            <v>50.262083753567481</v>
          </cell>
          <cell r="AI27">
            <v>3.8448833674067213</v>
          </cell>
          <cell r="AJ27">
            <v>1.8036158098502693</v>
          </cell>
          <cell r="AK27">
            <v>48.785729769540978</v>
          </cell>
          <cell r="AL27">
            <v>3.7612541535625459</v>
          </cell>
          <cell r="AM27">
            <v>7.6061375209692672</v>
          </cell>
          <cell r="AN27">
            <v>0.86755301369109805</v>
          </cell>
          <cell r="AO27" t="e">
            <v>#REF!</v>
          </cell>
          <cell r="AP27" t="e">
            <v>#REF!</v>
          </cell>
          <cell r="AQ27" t="e">
            <v>#REF!</v>
          </cell>
          <cell r="AR27" t="e">
            <v>#REF!</v>
          </cell>
          <cell r="AS27" t="e">
            <v>#REF!</v>
          </cell>
          <cell r="AT27" t="e">
            <v>#REF!</v>
          </cell>
          <cell r="AU27" t="e">
            <v>#REF!</v>
          </cell>
          <cell r="AV27" t="e">
            <v>#REF!</v>
          </cell>
          <cell r="AW27">
            <v>0.86755301369109805</v>
          </cell>
          <cell r="AX27">
            <v>0.86755301369109805</v>
          </cell>
          <cell r="AY27">
            <v>0.86755301369109805</v>
          </cell>
          <cell r="AZ27" t="e">
            <v>#REF!</v>
          </cell>
          <cell r="BE27">
            <v>236242.96249999999</v>
          </cell>
          <cell r="BF27">
            <v>576803.83600000001</v>
          </cell>
        </row>
        <row r="28">
          <cell r="A28" t="str">
            <v>CC24RZ39-18</v>
          </cell>
          <cell r="B28" t="str">
            <v>CC24RZ39-18 ABV-005 Haren Gn, Torenlaan</v>
          </cell>
          <cell r="C28" t="str">
            <v>CC24RZ39</v>
          </cell>
          <cell r="D28">
            <v>18</v>
          </cell>
          <cell r="E28" t="str">
            <v>Haren Gn</v>
          </cell>
          <cell r="F28" t="str">
            <v>Torenlaan</v>
          </cell>
          <cell r="G28" t="str">
            <v>34</v>
          </cell>
          <cell r="H28" t="str">
            <v>Haren_21-09-2024_export.csv</v>
          </cell>
          <cell r="I28" t="str">
            <v>C &amp; C Cable &amp; Communication B.V.</v>
          </cell>
          <cell r="J28"/>
          <cell r="K28" t="str">
            <v>ABV-005</v>
          </cell>
          <cell r="L28">
            <v>45470</v>
          </cell>
          <cell r="M28">
            <v>5</v>
          </cell>
          <cell r="N28">
            <v>8</v>
          </cell>
          <cell r="O28">
            <v>2</v>
          </cell>
          <cell r="P28">
            <v>63</v>
          </cell>
          <cell r="Q28" t="str">
            <v xml:space="preserve">PE100 </v>
          </cell>
          <cell r="R28">
            <v>236254.67499999999</v>
          </cell>
          <cell r="S28">
            <v>576780.34400000004</v>
          </cell>
          <cell r="T28">
            <v>4.5110000000000001</v>
          </cell>
          <cell r="U28">
            <v>236249.77299999999</v>
          </cell>
          <cell r="V28">
            <v>576777.74600000004</v>
          </cell>
          <cell r="W28">
            <v>4.5919999999999996</v>
          </cell>
          <cell r="X28">
            <v>8.0999999999999517E-2</v>
          </cell>
          <cell r="Y28">
            <v>4.5514999999999999</v>
          </cell>
          <cell r="Z28">
            <v>5.5479012247883954</v>
          </cell>
          <cell r="AA28" t="str">
            <v>236254.675,576780.344</v>
          </cell>
          <cell r="AB28" t="str">
            <v>236249.773,576777.746</v>
          </cell>
          <cell r="AC28">
            <v>7.096417488669081</v>
          </cell>
          <cell r="AD28">
            <v>0.78178901306846493</v>
          </cell>
          <cell r="AE28">
            <v>0.71</v>
          </cell>
          <cell r="AF28">
            <v>55.21</v>
          </cell>
          <cell r="AG28">
            <v>2.1471487929040034</v>
          </cell>
          <cell r="AH28">
            <v>44.555576114520797</v>
          </cell>
          <cell r="AI28">
            <v>3.5080038876966197</v>
          </cell>
          <cell r="AJ28">
            <v>1.4371487929040034</v>
          </cell>
          <cell r="AK28">
            <v>45.863491443881443</v>
          </cell>
          <cell r="AL28">
            <v>3.5884136009724612</v>
          </cell>
          <cell r="AM28">
            <v>7.096417488669081</v>
          </cell>
          <cell r="AN28">
            <v>0.78178901306846493</v>
          </cell>
          <cell r="AO28" t="e">
            <v>#REF!</v>
          </cell>
          <cell r="AP28" t="e">
            <v>#REF!</v>
          </cell>
          <cell r="AQ28" t="e">
            <v>#REF!</v>
          </cell>
          <cell r="AR28" t="e">
            <v>#REF!</v>
          </cell>
          <cell r="AS28" t="e">
            <v>#REF!</v>
          </cell>
          <cell r="AT28" t="e">
            <v>#REF!</v>
          </cell>
          <cell r="AU28" t="e">
            <v>#REF!</v>
          </cell>
          <cell r="AV28" t="e">
            <v>#REF!</v>
          </cell>
          <cell r="AW28">
            <v>0.78178901306846493</v>
          </cell>
          <cell r="AX28">
            <v>0.78178901306846493</v>
          </cell>
          <cell r="AY28">
            <v>0.78178901306846493</v>
          </cell>
          <cell r="AZ28" t="e">
            <v>#REF!</v>
          </cell>
          <cell r="BE28">
            <v>236252.22399999999</v>
          </cell>
          <cell r="BF28">
            <v>576779.04500000004</v>
          </cell>
        </row>
        <row r="29">
          <cell r="A29" t="str">
            <v>CC24RZ39-19</v>
          </cell>
          <cell r="B29" t="str">
            <v>CC24RZ39-19 ABV-005 Haren Gn, De Holten</v>
          </cell>
          <cell r="C29" t="str">
            <v>CC24RZ39</v>
          </cell>
          <cell r="D29">
            <v>19</v>
          </cell>
          <cell r="E29" t="str">
            <v>Haren Gn</v>
          </cell>
          <cell r="F29" t="str">
            <v>De Holten</v>
          </cell>
          <cell r="G29" t="str">
            <v>3</v>
          </cell>
          <cell r="H29" t="str">
            <v>Haren_21-09-2024_export.csv</v>
          </cell>
          <cell r="I29" t="str">
            <v>C &amp; C Cable &amp; Communication B.V.</v>
          </cell>
          <cell r="J29"/>
          <cell r="K29" t="str">
            <v>ABV-005</v>
          </cell>
          <cell r="L29">
            <v>45462</v>
          </cell>
          <cell r="M29">
            <v>7.5</v>
          </cell>
          <cell r="N29">
            <v>7</v>
          </cell>
          <cell r="O29">
            <v>1</v>
          </cell>
          <cell r="P29">
            <v>63</v>
          </cell>
          <cell r="Q29" t="str">
            <v xml:space="preserve">PE100 </v>
          </cell>
          <cell r="R29">
            <v>236310.149</v>
          </cell>
          <cell r="S29">
            <v>576747.45400000003</v>
          </cell>
          <cell r="T29">
            <v>4.782</v>
          </cell>
          <cell r="U29">
            <v>236317.815</v>
          </cell>
          <cell r="V29">
            <v>576740.57499999995</v>
          </cell>
          <cell r="W29">
            <v>4.9939999999999998</v>
          </cell>
          <cell r="X29">
            <v>0.21199999999999974</v>
          </cell>
          <cell r="Y29">
            <v>4.8879999999999999</v>
          </cell>
          <cell r="Z29">
            <v>10.299912475403515</v>
          </cell>
          <cell r="AA29" t="str">
            <v>236310.149,576747.454</v>
          </cell>
          <cell r="AB29" t="str">
            <v>236317.815,576740.575</v>
          </cell>
          <cell r="AC29">
            <v>12.239811534834406</v>
          </cell>
          <cell r="AD29">
            <v>0.84150907439138634</v>
          </cell>
          <cell r="AE29">
            <v>0.71</v>
          </cell>
          <cell r="AF29">
            <v>60.18</v>
          </cell>
          <cell r="AG29">
            <v>3.7704237147754038</v>
          </cell>
          <cell r="AH29">
            <v>53.704953176807514</v>
          </cell>
          <cell r="AI29">
            <v>6.0448459374636982</v>
          </cell>
          <cell r="AJ29">
            <v>3.0604237147754034</v>
          </cell>
          <cell r="AK29">
            <v>55.689541055054463</v>
          </cell>
          <cell r="AL29">
            <v>6.1949655973707065</v>
          </cell>
          <cell r="AM29">
            <v>12.239811534834406</v>
          </cell>
          <cell r="AN29">
            <v>0.84150907439138634</v>
          </cell>
          <cell r="AO29" t="e">
            <v>#REF!</v>
          </cell>
          <cell r="AP29" t="e">
            <v>#REF!</v>
          </cell>
          <cell r="AQ29" t="e">
            <v>#REF!</v>
          </cell>
          <cell r="AR29" t="e">
            <v>#REF!</v>
          </cell>
          <cell r="AS29" t="e">
            <v>#REF!</v>
          </cell>
          <cell r="AT29" t="e">
            <v>#REF!</v>
          </cell>
          <cell r="AU29" t="e">
            <v>#REF!</v>
          </cell>
          <cell r="AV29" t="e">
            <v>#REF!</v>
          </cell>
          <cell r="AW29">
            <v>0.84150907439138634</v>
          </cell>
          <cell r="AX29">
            <v>0.84150907439138634</v>
          </cell>
          <cell r="AY29">
            <v>0.84150907439138634</v>
          </cell>
          <cell r="AZ29" t="e">
            <v>#REF!</v>
          </cell>
          <cell r="BE29">
            <v>236313.98200000002</v>
          </cell>
          <cell r="BF29">
            <v>576744.01450000005</v>
          </cell>
        </row>
        <row r="30">
          <cell r="A30" t="str">
            <v>CC24RZ39-20</v>
          </cell>
          <cell r="B30" t="str">
            <v>CC24RZ39-20 ABV-001 Haren Gn, Wilhelminalaan</v>
          </cell>
          <cell r="C30" t="str">
            <v>CC24RZ39</v>
          </cell>
          <cell r="D30">
            <v>20</v>
          </cell>
          <cell r="E30" t="str">
            <v>Haren Gn</v>
          </cell>
          <cell r="F30" t="str">
            <v>Wilhelminalaan</v>
          </cell>
          <cell r="G30" t="str">
            <v>1</v>
          </cell>
          <cell r="H30" t="str">
            <v>Haren_21-09-2024_export.csv</v>
          </cell>
          <cell r="I30" t="str">
            <v>C &amp; C Cable &amp; Communication B.V.</v>
          </cell>
          <cell r="J30"/>
          <cell r="K30" t="str">
            <v>ABV-001</v>
          </cell>
          <cell r="L30">
            <v>45463</v>
          </cell>
          <cell r="M30">
            <v>5</v>
          </cell>
          <cell r="N30">
            <v>8</v>
          </cell>
          <cell r="O30">
            <v>3</v>
          </cell>
          <cell r="P30">
            <v>63</v>
          </cell>
          <cell r="Q30" t="str">
            <v xml:space="preserve">PE100 </v>
          </cell>
          <cell r="R30">
            <v>236454.27799999999</v>
          </cell>
          <cell r="S30">
            <v>576578.50300000003</v>
          </cell>
          <cell r="T30">
            <v>4.4569999999999999</v>
          </cell>
          <cell r="U30">
            <v>236448.09099999999</v>
          </cell>
          <cell r="V30">
            <v>576580.71900000004</v>
          </cell>
          <cell r="W30">
            <v>4.45</v>
          </cell>
          <cell r="X30">
            <v>-6.9999999999996732E-3</v>
          </cell>
          <cell r="Y30">
            <v>4.4535</v>
          </cell>
          <cell r="Z30">
            <v>6.5718813896883672</v>
          </cell>
          <cell r="AA30" t="str">
            <v>236454.278,576578.503</v>
          </cell>
          <cell r="AB30" t="str">
            <v>236448.091,576580.719</v>
          </cell>
          <cell r="AC30">
            <v>7.0088841140390254</v>
          </cell>
          <cell r="AD30">
            <v>0.93765017123405892</v>
          </cell>
          <cell r="AE30">
            <v>0.71</v>
          </cell>
          <cell r="AF30">
            <v>55.21</v>
          </cell>
          <cell r="AG30">
            <v>2.1471487929040034</v>
          </cell>
          <cell r="AH30">
            <v>44.555576114520797</v>
          </cell>
          <cell r="AI30">
            <v>3.5080038876966197</v>
          </cell>
          <cell r="AJ30">
            <v>1.4371487929040034</v>
          </cell>
          <cell r="AK30">
            <v>44.441129844126095</v>
          </cell>
          <cell r="AL30">
            <v>3.5008802263424057</v>
          </cell>
          <cell r="AM30">
            <v>7.0088841140390254</v>
          </cell>
          <cell r="AN30">
            <v>0.93765017123405892</v>
          </cell>
          <cell r="AO30" t="e">
            <v>#REF!</v>
          </cell>
          <cell r="AP30" t="e">
            <v>#REF!</v>
          </cell>
          <cell r="AQ30" t="e">
            <v>#REF!</v>
          </cell>
          <cell r="AR30" t="e">
            <v>#REF!</v>
          </cell>
          <cell r="AS30" t="e">
            <v>#REF!</v>
          </cell>
          <cell r="AT30" t="e">
            <v>#REF!</v>
          </cell>
          <cell r="AU30" t="e">
            <v>#REF!</v>
          </cell>
          <cell r="AV30" t="e">
            <v>#REF!</v>
          </cell>
          <cell r="AW30">
            <v>0.93765017123405892</v>
          </cell>
          <cell r="AX30">
            <v>0.93765017123405892</v>
          </cell>
          <cell r="AY30">
            <v>0.93765017123405892</v>
          </cell>
          <cell r="AZ30" t="e">
            <v>#REF!</v>
          </cell>
          <cell r="BE30">
            <v>236451.18449999997</v>
          </cell>
          <cell r="BF30">
            <v>576579.61100000003</v>
          </cell>
        </row>
        <row r="31">
          <cell r="A31" t="str">
            <v>CC24RZ39-21</v>
          </cell>
          <cell r="B31" t="str">
            <v>CC24RZ39-21 ABW-005  Haren Gn, Westerse Drift</v>
          </cell>
          <cell r="C31" t="str">
            <v>CC24RZ39</v>
          </cell>
          <cell r="D31">
            <v>21</v>
          </cell>
          <cell r="E31" t="str">
            <v>Haren Gn</v>
          </cell>
          <cell r="F31" t="str">
            <v>Westerse Drift</v>
          </cell>
          <cell r="G31" t="str">
            <v>125</v>
          </cell>
          <cell r="H31" t="str">
            <v>Haren_21-09-2024_export.csv</v>
          </cell>
          <cell r="I31" t="str">
            <v>C &amp; C Cable &amp; Communication B.V.</v>
          </cell>
          <cell r="J31"/>
          <cell r="K31" t="str">
            <v xml:space="preserve">ABW-005 </v>
          </cell>
          <cell r="L31">
            <v>45537</v>
          </cell>
          <cell r="M31">
            <v>7.5</v>
          </cell>
          <cell r="N31">
            <v>8</v>
          </cell>
          <cell r="O31">
            <v>1</v>
          </cell>
          <cell r="P31">
            <v>63</v>
          </cell>
          <cell r="Q31" t="str">
            <v xml:space="preserve">PE100 </v>
          </cell>
          <cell r="R31">
            <v>236496.68799999999</v>
          </cell>
          <cell r="S31">
            <v>575979.51800000004</v>
          </cell>
          <cell r="T31">
            <v>1.532</v>
          </cell>
          <cell r="U31">
            <v>236497.98300000001</v>
          </cell>
          <cell r="V31">
            <v>575972.02899999998</v>
          </cell>
          <cell r="W31">
            <v>1.512</v>
          </cell>
          <cell r="X31">
            <v>-2.0000000000000018E-2</v>
          </cell>
          <cell r="Y31">
            <v>1.522</v>
          </cell>
          <cell r="Z31">
            <v>7.6001411829600851</v>
          </cell>
          <cell r="AA31" t="str">
            <v>236496.688,575979.518</v>
          </cell>
          <cell r="AB31" t="str">
            <v>236497.983,575972.029</v>
          </cell>
          <cell r="AC31">
            <v>11.181601211229083</v>
          </cell>
          <cell r="AD31">
            <v>0.67970061169125495</v>
          </cell>
          <cell r="AE31">
            <v>0.71</v>
          </cell>
          <cell r="AF31">
            <v>55.21</v>
          </cell>
          <cell r="AG31">
            <v>3.2207231893560051</v>
          </cell>
          <cell r="AH31">
            <v>48.299497098536229</v>
          </cell>
          <cell r="AI31">
            <v>5.5997425750448642</v>
          </cell>
          <cell r="AJ31">
            <v>2.5107231893560051</v>
          </cell>
          <cell r="AK31">
            <v>48.094532827930877</v>
          </cell>
          <cell r="AL31">
            <v>5.5818586361842177</v>
          </cell>
          <cell r="AM31">
            <v>11.181601211229083</v>
          </cell>
          <cell r="AN31">
            <v>0.67970061169125495</v>
          </cell>
          <cell r="AO31" t="e">
            <v>#REF!</v>
          </cell>
          <cell r="AP31" t="e">
            <v>#REF!</v>
          </cell>
          <cell r="AQ31" t="e">
            <v>#REF!</v>
          </cell>
          <cell r="AR31" t="e">
            <v>#REF!</v>
          </cell>
          <cell r="AS31" t="e">
            <v>#REF!</v>
          </cell>
          <cell r="AT31" t="e">
            <v>#REF!</v>
          </cell>
          <cell r="AU31" t="e">
            <v>#REF!</v>
          </cell>
          <cell r="AV31" t="e">
            <v>#REF!</v>
          </cell>
          <cell r="AW31">
            <v>0.67970061169125495</v>
          </cell>
          <cell r="AX31">
            <v>0.67970061169125495</v>
          </cell>
          <cell r="AY31">
            <v>0.67970061169125495</v>
          </cell>
          <cell r="AZ31" t="e">
            <v>#REF!</v>
          </cell>
          <cell r="BE31">
            <v>236497.33549999999</v>
          </cell>
          <cell r="BF31">
            <v>575975.77350000001</v>
          </cell>
        </row>
        <row r="32">
          <cell r="A32" t="str">
            <v>CC24RZ39-22</v>
          </cell>
          <cell r="B32" t="str">
            <v>CC24RZ39-22 ABW-003  Haren Gn, Agricolahof</v>
          </cell>
          <cell r="C32" t="str">
            <v>CC24RZ39</v>
          </cell>
          <cell r="D32">
            <v>22</v>
          </cell>
          <cell r="E32" t="str">
            <v>Haren Gn</v>
          </cell>
          <cell r="F32" t="str">
            <v>Agricolahof</v>
          </cell>
          <cell r="G32" t="str">
            <v>19</v>
          </cell>
          <cell r="H32" t="str">
            <v>Haren_21-09-2024_export.csv</v>
          </cell>
          <cell r="I32" t="str">
            <v>C &amp; C Cable &amp; Communication B.V.</v>
          </cell>
          <cell r="J32"/>
          <cell r="K32" t="str">
            <v xml:space="preserve">ABW-003 </v>
          </cell>
          <cell r="L32">
            <v>45532</v>
          </cell>
          <cell r="M32">
            <v>7.5</v>
          </cell>
          <cell r="N32">
            <v>7</v>
          </cell>
          <cell r="O32">
            <v>2</v>
          </cell>
          <cell r="P32">
            <v>63</v>
          </cell>
          <cell r="Q32" t="str">
            <v xml:space="preserve">PE100 </v>
          </cell>
          <cell r="R32">
            <v>236365.39300000001</v>
          </cell>
          <cell r="S32">
            <v>575930.89300000004</v>
          </cell>
          <cell r="T32">
            <v>1.123</v>
          </cell>
          <cell r="U32">
            <v>236367.98499999999</v>
          </cell>
          <cell r="V32">
            <v>575923.25800000003</v>
          </cell>
          <cell r="W32">
            <v>1.099</v>
          </cell>
          <cell r="X32">
            <v>-2.4000000000000021E-2</v>
          </cell>
          <cell r="Y32">
            <v>1.111</v>
          </cell>
          <cell r="Z32">
            <v>8.0629826367178214</v>
          </cell>
          <cell r="AA32" t="str">
            <v>236365.393,575930.893</v>
          </cell>
          <cell r="AB32" t="str">
            <v>236367.985,575923.258</v>
          </cell>
          <cell r="AC32">
            <v>12.07199175832954</v>
          </cell>
          <cell r="AD32">
            <v>0.66790822907532665</v>
          </cell>
          <cell r="AE32">
            <v>0.71</v>
          </cell>
          <cell r="AF32">
            <v>60.18</v>
          </cell>
          <cell r="AG32">
            <v>3.7704237147754038</v>
          </cell>
          <cell r="AH32">
            <v>53.704953176807514</v>
          </cell>
          <cell r="AI32">
            <v>6.0448459374636982</v>
          </cell>
          <cell r="AJ32">
            <v>3.0604237147754034</v>
          </cell>
          <cell r="AK32">
            <v>53.477137100689461</v>
          </cell>
          <cell r="AL32">
            <v>6.0271458208658419</v>
          </cell>
          <cell r="AM32">
            <v>12.07199175832954</v>
          </cell>
          <cell r="AN32">
            <v>0.66790822907532665</v>
          </cell>
          <cell r="AO32" t="e">
            <v>#REF!</v>
          </cell>
          <cell r="AP32" t="e">
            <v>#REF!</v>
          </cell>
          <cell r="AQ32" t="e">
            <v>#REF!</v>
          </cell>
          <cell r="AR32" t="e">
            <v>#REF!</v>
          </cell>
          <cell r="AS32" t="e">
            <v>#REF!</v>
          </cell>
          <cell r="AT32" t="e">
            <v>#REF!</v>
          </cell>
          <cell r="AU32" t="e">
            <v>#REF!</v>
          </cell>
          <cell r="AV32" t="e">
            <v>#REF!</v>
          </cell>
          <cell r="AW32">
            <v>0.66790822907532665</v>
          </cell>
          <cell r="AX32">
            <v>0.66790822907532665</v>
          </cell>
          <cell r="AY32">
            <v>0.66790822907532665</v>
          </cell>
          <cell r="AZ32" t="e">
            <v>#REF!</v>
          </cell>
          <cell r="BE32">
            <v>236366.68900000001</v>
          </cell>
          <cell r="BF32">
            <v>575927.07550000004</v>
          </cell>
        </row>
        <row r="33">
          <cell r="A33" t="str">
            <v>CC24RZ39-23</v>
          </cell>
          <cell r="B33" t="str">
            <v>CC24RZ39-23 ABW-003 Haren Gn, Spinozalaan</v>
          </cell>
          <cell r="C33" t="str">
            <v>CC24RZ39</v>
          </cell>
          <cell r="D33">
            <v>23</v>
          </cell>
          <cell r="E33" t="str">
            <v>Haren Gn</v>
          </cell>
          <cell r="F33" t="str">
            <v>Spinozalaan</v>
          </cell>
          <cell r="G33" t="str">
            <v>62</v>
          </cell>
          <cell r="H33" t="str">
            <v>Haren_21-09-2024_export.csv</v>
          </cell>
          <cell r="I33" t="str">
            <v>C &amp; C Cable &amp; Communication B.V.</v>
          </cell>
          <cell r="J33"/>
          <cell r="K33" t="str">
            <v>ABW-003</v>
          </cell>
          <cell r="L33">
            <v>45482</v>
          </cell>
          <cell r="M33">
            <v>5</v>
          </cell>
          <cell r="N33">
            <v>8</v>
          </cell>
          <cell r="O33">
            <v>1</v>
          </cell>
          <cell r="P33">
            <v>63</v>
          </cell>
          <cell r="Q33" t="str">
            <v xml:space="preserve">PE100 </v>
          </cell>
          <cell r="R33">
            <v>236357.891</v>
          </cell>
          <cell r="S33">
            <v>575909.63699999999</v>
          </cell>
          <cell r="T33">
            <v>1.1399999999999999</v>
          </cell>
          <cell r="U33">
            <v>236364.73800000001</v>
          </cell>
          <cell r="V33">
            <v>575912.31499999994</v>
          </cell>
          <cell r="W33">
            <v>1.2490000000000001</v>
          </cell>
          <cell r="X33">
            <v>0.10900000000000021</v>
          </cell>
          <cell r="Y33">
            <v>1.1945000000000001</v>
          </cell>
          <cell r="Z33">
            <v>7.352080861897992</v>
          </cell>
          <cell r="AA33" t="str">
            <v>236357.891,575909.637</v>
          </cell>
          <cell r="AB33" t="str">
            <v>236364.738,575912.315</v>
          </cell>
          <cell r="AC33">
            <v>7.1233754922818981</v>
          </cell>
          <cell r="AD33">
            <v>1.0321063195199935</v>
          </cell>
          <cell r="AE33">
            <v>0.71</v>
          </cell>
          <cell r="AF33">
            <v>55.21</v>
          </cell>
          <cell r="AG33">
            <v>2.1471487929040034</v>
          </cell>
          <cell r="AH33">
            <v>44.555576114520797</v>
          </cell>
          <cell r="AI33">
            <v>3.5080038876966197</v>
          </cell>
          <cell r="AJ33">
            <v>1.4371487929040034</v>
          </cell>
          <cell r="AK33">
            <v>46.308888884735111</v>
          </cell>
          <cell r="AL33">
            <v>3.6153716045852784</v>
          </cell>
          <cell r="AM33">
            <v>7.1233754922818981</v>
          </cell>
          <cell r="AN33">
            <v>1.0321063195199935</v>
          </cell>
          <cell r="AO33" t="e">
            <v>#REF!</v>
          </cell>
          <cell r="AP33" t="e">
            <v>#REF!</v>
          </cell>
          <cell r="AQ33" t="e">
            <v>#REF!</v>
          </cell>
          <cell r="AR33" t="e">
            <v>#REF!</v>
          </cell>
          <cell r="AS33" t="e">
            <v>#REF!</v>
          </cell>
          <cell r="AT33" t="e">
            <v>#REF!</v>
          </cell>
          <cell r="AU33" t="e">
            <v>#REF!</v>
          </cell>
          <cell r="AV33" t="e">
            <v>#REF!</v>
          </cell>
          <cell r="AW33">
            <v>1.0321063195199935</v>
          </cell>
          <cell r="AX33">
            <v>1.0321063195199935</v>
          </cell>
          <cell r="AY33">
            <v>1.0321063195199935</v>
          </cell>
          <cell r="AZ33" t="e">
            <v>#REF!</v>
          </cell>
          <cell r="BE33">
            <v>236361.31450000001</v>
          </cell>
          <cell r="BF33">
            <v>575910.97600000002</v>
          </cell>
        </row>
        <row r="34">
          <cell r="A34" t="str">
            <v>CC24RZ39-24</v>
          </cell>
          <cell r="B34" t="str">
            <v>CC24RZ39-24 ABW-003 Haren Gn, Van Leeuwenhoeklaan</v>
          </cell>
          <cell r="C34" t="str">
            <v>CC24RZ39</v>
          </cell>
          <cell r="D34">
            <v>24</v>
          </cell>
          <cell r="E34" t="str">
            <v>Haren Gn</v>
          </cell>
          <cell r="F34" t="str">
            <v>Van Leeuwenhoeklaan</v>
          </cell>
          <cell r="G34" t="str">
            <v>1</v>
          </cell>
          <cell r="H34" t="str">
            <v>Haren_21-09-2024_export.csv</v>
          </cell>
          <cell r="I34" t="str">
            <v>C &amp; C Cable &amp; Communication B.V.</v>
          </cell>
          <cell r="J34"/>
          <cell r="K34" t="str">
            <v>ABW-003</v>
          </cell>
          <cell r="L34">
            <v>45482</v>
          </cell>
          <cell r="M34">
            <v>5</v>
          </cell>
          <cell r="N34">
            <v>7</v>
          </cell>
          <cell r="O34">
            <v>1</v>
          </cell>
          <cell r="P34">
            <v>63</v>
          </cell>
          <cell r="Q34" t="str">
            <v xml:space="preserve">PE100 </v>
          </cell>
          <cell r="R34">
            <v>236366.16</v>
          </cell>
          <cell r="S34">
            <v>575886.80200000003</v>
          </cell>
          <cell r="T34">
            <v>1.0580000000000001</v>
          </cell>
          <cell r="U34">
            <v>236370.52</v>
          </cell>
          <cell r="V34">
            <v>575879.06499999994</v>
          </cell>
          <cell r="W34">
            <v>1.079</v>
          </cell>
          <cell r="X34">
            <v>2.0999999999999908E-2</v>
          </cell>
          <cell r="Y34">
            <v>1.0685</v>
          </cell>
          <cell r="Z34">
            <v>8.8809216301649663</v>
          </cell>
          <cell r="AA34" t="str">
            <v>236366.16,575886.802</v>
          </cell>
          <cell r="AB34" t="str">
            <v>236370.52,575879.065</v>
          </cell>
          <cell r="AC34">
            <v>7.7071282126938678</v>
          </cell>
          <cell r="AD34">
            <v>1.1522997133404147</v>
          </cell>
          <cell r="AE34">
            <v>0.71</v>
          </cell>
          <cell r="AF34">
            <v>60.18</v>
          </cell>
          <cell r="AG34">
            <v>2.5136158098502692</v>
          </cell>
          <cell r="AH34">
            <v>50.262083753567481</v>
          </cell>
          <cell r="AI34">
            <v>3.8448833674067213</v>
          </cell>
          <cell r="AJ34">
            <v>1.8036158098502693</v>
          </cell>
          <cell r="AK34">
            <v>50.574316367046833</v>
          </cell>
          <cell r="AL34">
            <v>3.8622448452871465</v>
          </cell>
          <cell r="AM34">
            <v>7.7071282126938678</v>
          </cell>
          <cell r="AN34">
            <v>1.1522997133404147</v>
          </cell>
          <cell r="AO34" t="e">
            <v>#REF!</v>
          </cell>
          <cell r="AP34" t="e">
            <v>#REF!</v>
          </cell>
          <cell r="AQ34" t="e">
            <v>#REF!</v>
          </cell>
          <cell r="AR34" t="e">
            <v>#REF!</v>
          </cell>
          <cell r="AS34" t="e">
            <v>#REF!</v>
          </cell>
          <cell r="AT34" t="e">
            <v>#REF!</v>
          </cell>
          <cell r="AU34" t="e">
            <v>#REF!</v>
          </cell>
          <cell r="AV34" t="e">
            <v>#REF!</v>
          </cell>
          <cell r="AW34">
            <v>1.1522997133404147</v>
          </cell>
          <cell r="AX34">
            <v>1.1522997133404147</v>
          </cell>
          <cell r="AY34">
            <v>1.1522997133404147</v>
          </cell>
          <cell r="AZ34" t="e">
            <v>#REF!</v>
          </cell>
          <cell r="BE34">
            <v>236368.34</v>
          </cell>
          <cell r="BF34">
            <v>575882.93350000004</v>
          </cell>
        </row>
        <row r="35">
          <cell r="A35" t="str">
            <v>CC24RZ39-25</v>
          </cell>
          <cell r="B35" t="str">
            <v>CC24RZ39-25 ABW-003  Haren Gn, Van Leeuwenhoeklaan</v>
          </cell>
          <cell r="C35" t="str">
            <v>CC24RZ39</v>
          </cell>
          <cell r="D35">
            <v>25</v>
          </cell>
          <cell r="E35" t="str">
            <v>Haren Gn</v>
          </cell>
          <cell r="F35" t="str">
            <v>Van Leeuwenhoeklaan</v>
          </cell>
          <cell r="G35" t="str">
            <v>12</v>
          </cell>
          <cell r="H35" t="str">
            <v>Haren_21-09-2024_export.csv</v>
          </cell>
          <cell r="I35" t="str">
            <v>C &amp; C Cable &amp; Communication B.V.</v>
          </cell>
          <cell r="J35"/>
          <cell r="K35" t="str">
            <v xml:space="preserve">ABW-003 </v>
          </cell>
          <cell r="L35">
            <v>45483</v>
          </cell>
          <cell r="M35">
            <v>5</v>
          </cell>
          <cell r="N35">
            <v>8</v>
          </cell>
          <cell r="O35">
            <v>1</v>
          </cell>
          <cell r="P35">
            <v>63</v>
          </cell>
          <cell r="Q35" t="str">
            <v xml:space="preserve">PE100 </v>
          </cell>
          <cell r="R35">
            <v>236339.231</v>
          </cell>
          <cell r="S35">
            <v>575799.90700000001</v>
          </cell>
          <cell r="T35">
            <v>1.0580000000000001</v>
          </cell>
          <cell r="U35">
            <v>236347.228</v>
          </cell>
          <cell r="V35">
            <v>575803.74199999997</v>
          </cell>
          <cell r="W35">
            <v>1.419</v>
          </cell>
          <cell r="X35">
            <v>0.36099999999999999</v>
          </cell>
          <cell r="Y35">
            <v>1.2385000000000002</v>
          </cell>
          <cell r="Z35">
            <v>8.8690041154440031</v>
          </cell>
          <cell r="AA35" t="str">
            <v>236339.231,575799.907</v>
          </cell>
          <cell r="AB35" t="str">
            <v>236347.228,575803.742</v>
          </cell>
          <cell r="AC35">
            <v>7.3483357545562935</v>
          </cell>
          <cell r="AD35">
            <v>1.2069405116586878</v>
          </cell>
          <cell r="AE35">
            <v>0.71</v>
          </cell>
          <cell r="AF35">
            <v>55.21</v>
          </cell>
          <cell r="AG35">
            <v>2.1471487929040034</v>
          </cell>
          <cell r="AH35">
            <v>44.555576114520797</v>
          </cell>
          <cell r="AI35">
            <v>3.5080038876966197</v>
          </cell>
          <cell r="AJ35">
            <v>1.4371487929040034</v>
          </cell>
          <cell r="AK35">
            <v>50.180566987891588</v>
          </cell>
          <cell r="AL35">
            <v>3.8403318668596742</v>
          </cell>
          <cell r="AM35">
            <v>7.3483357545562935</v>
          </cell>
          <cell r="AN35">
            <v>1.2069405116586878</v>
          </cell>
          <cell r="AO35" t="e">
            <v>#REF!</v>
          </cell>
          <cell r="AP35" t="e">
            <v>#REF!</v>
          </cell>
          <cell r="AQ35" t="e">
            <v>#REF!</v>
          </cell>
          <cell r="AR35" t="e">
            <v>#REF!</v>
          </cell>
          <cell r="AS35" t="e">
            <v>#REF!</v>
          </cell>
          <cell r="AT35" t="e">
            <v>#REF!</v>
          </cell>
          <cell r="AU35" t="e">
            <v>#REF!</v>
          </cell>
          <cell r="AV35" t="e">
            <v>#REF!</v>
          </cell>
          <cell r="AW35">
            <v>1.2069405116586878</v>
          </cell>
          <cell r="AX35">
            <v>1.2069405116586878</v>
          </cell>
          <cell r="AY35">
            <v>1.2069405116586878</v>
          </cell>
          <cell r="AZ35" t="e">
            <v>#REF!</v>
          </cell>
          <cell r="BE35">
            <v>236343.22950000002</v>
          </cell>
          <cell r="BF35">
            <v>575801.82449999999</v>
          </cell>
        </row>
        <row r="36">
          <cell r="A36" t="str">
            <v>CC24RZ39-26</v>
          </cell>
          <cell r="B36" t="str">
            <v>CC24RZ39-26 ABW-005  Haren Gn, Zernikelaan</v>
          </cell>
          <cell r="C36" t="str">
            <v>CC24RZ39</v>
          </cell>
          <cell r="D36">
            <v>26</v>
          </cell>
          <cell r="E36" t="str">
            <v>Haren Gn</v>
          </cell>
          <cell r="F36" t="str">
            <v>Zernikelaan</v>
          </cell>
          <cell r="G36" t="str">
            <v>2</v>
          </cell>
          <cell r="H36" t="str">
            <v>Haren_21-09-2024_export.csv</v>
          </cell>
          <cell r="I36" t="str">
            <v>C &amp; C Cable &amp; Communication B.V.</v>
          </cell>
          <cell r="J36"/>
          <cell r="K36" t="str">
            <v xml:space="preserve">ABW-005 </v>
          </cell>
          <cell r="L36">
            <v>45532</v>
          </cell>
          <cell r="M36">
            <v>5</v>
          </cell>
          <cell r="N36">
            <v>6</v>
          </cell>
          <cell r="O36">
            <v>1</v>
          </cell>
          <cell r="P36">
            <v>63</v>
          </cell>
          <cell r="Q36" t="str">
            <v xml:space="preserve">PE100 </v>
          </cell>
          <cell r="R36">
            <v>236451.38800000001</v>
          </cell>
          <cell r="S36">
            <v>575968.77</v>
          </cell>
          <cell r="T36">
            <v>1.2390000000000001</v>
          </cell>
          <cell r="U36">
            <v>236454.79500000001</v>
          </cell>
          <cell r="V36">
            <v>575961.04599999997</v>
          </cell>
          <cell r="W36">
            <v>1.3680000000000001</v>
          </cell>
          <cell r="X36">
            <v>0.129</v>
          </cell>
          <cell r="Y36">
            <v>1.3035000000000001</v>
          </cell>
          <cell r="Z36">
            <v>8.4420273039566389</v>
          </cell>
          <cell r="AA36" t="str">
            <v>236451.388,575968.77</v>
          </cell>
          <cell r="AB36" t="str">
            <v>236454.795,575961.046</v>
          </cell>
          <cell r="AC36">
            <v>8.3545358474533487</v>
          </cell>
          <cell r="AD36">
            <v>1.0104723300133973</v>
          </cell>
          <cell r="AE36">
            <v>0.71</v>
          </cell>
          <cell r="AF36">
            <v>65.150000000000006</v>
          </cell>
          <cell r="AG36">
            <v>2.8987794603804069</v>
          </cell>
          <cell r="AH36">
            <v>55.788864733010442</v>
          </cell>
          <cell r="AI36">
            <v>4.1348565969838562</v>
          </cell>
          <cell r="AJ36">
            <v>2.1887794603804061</v>
          </cell>
          <cell r="AK36">
            <v>57.558099646136093</v>
          </cell>
          <cell r="AL36">
            <v>4.2196792504694915</v>
          </cell>
          <cell r="AM36">
            <v>8.3545358474533487</v>
          </cell>
          <cell r="AN36">
            <v>1.0104723300133973</v>
          </cell>
          <cell r="AO36" t="e">
            <v>#REF!</v>
          </cell>
          <cell r="AP36" t="e">
            <v>#REF!</v>
          </cell>
          <cell r="AQ36" t="e">
            <v>#REF!</v>
          </cell>
          <cell r="AR36" t="e">
            <v>#REF!</v>
          </cell>
          <cell r="AS36" t="e">
            <v>#REF!</v>
          </cell>
          <cell r="AT36" t="e">
            <v>#REF!</v>
          </cell>
          <cell r="AU36" t="e">
            <v>#REF!</v>
          </cell>
          <cell r="AV36" t="e">
            <v>#REF!</v>
          </cell>
          <cell r="AW36">
            <v>1.0104723300133973</v>
          </cell>
          <cell r="AX36">
            <v>1.0104723300133973</v>
          </cell>
          <cell r="AY36">
            <v>1.0104723300133973</v>
          </cell>
          <cell r="AZ36" t="e">
            <v>#REF!</v>
          </cell>
          <cell r="BE36">
            <v>236453.09150000001</v>
          </cell>
          <cell r="BF36">
            <v>575964.90800000005</v>
          </cell>
        </row>
        <row r="37">
          <cell r="A37" t="str">
            <v>CC24RZ39-27</v>
          </cell>
          <cell r="B37" t="str">
            <v>CC24RZ39-27 ABW-005 Haren Gn, Hemsterhuislaan</v>
          </cell>
          <cell r="C37" t="str">
            <v>CC24RZ39</v>
          </cell>
          <cell r="D37">
            <v>27</v>
          </cell>
          <cell r="E37" t="str">
            <v>Haren Gn</v>
          </cell>
          <cell r="F37" t="str">
            <v>Hemsterhuislaan</v>
          </cell>
          <cell r="G37" t="str">
            <v>89</v>
          </cell>
          <cell r="H37" t="str">
            <v>Haren_21-09-2024_export.csv</v>
          </cell>
          <cell r="I37" t="str">
            <v>C &amp; C Cable &amp; Communication B.V.</v>
          </cell>
          <cell r="J37"/>
          <cell r="K37" t="str">
            <v>ABW-005</v>
          </cell>
          <cell r="L37">
            <v>45476</v>
          </cell>
          <cell r="M37">
            <v>5</v>
          </cell>
          <cell r="N37">
            <v>6</v>
          </cell>
          <cell r="O37">
            <v>1</v>
          </cell>
          <cell r="P37">
            <v>63</v>
          </cell>
          <cell r="Q37" t="str">
            <v xml:space="preserve">PE100 </v>
          </cell>
          <cell r="R37">
            <v>236432.28599999999</v>
          </cell>
          <cell r="S37">
            <v>575973.58799999999</v>
          </cell>
          <cell r="T37">
            <v>1.304</v>
          </cell>
          <cell r="U37">
            <v>236425.976</v>
          </cell>
          <cell r="V37">
            <v>575970.429</v>
          </cell>
          <cell r="W37">
            <v>1.2529999999999999</v>
          </cell>
          <cell r="X37">
            <v>-5.1000000000000156E-2</v>
          </cell>
          <cell r="Y37">
            <v>1.2785</v>
          </cell>
          <cell r="Z37">
            <v>7.0565842303395252</v>
          </cell>
          <cell r="AA37" t="str">
            <v>236432.286,575973.588</v>
          </cell>
          <cell r="AB37" t="str">
            <v>236425.976,575970.429</v>
          </cell>
          <cell r="AC37">
            <v>8.2345753169181535</v>
          </cell>
          <cell r="AD37">
            <v>0.8569457390038786</v>
          </cell>
          <cell r="AE37">
            <v>0.71</v>
          </cell>
          <cell r="AF37">
            <v>65.150000000000006</v>
          </cell>
          <cell r="AG37">
            <v>2.8987794603804069</v>
          </cell>
          <cell r="AH37">
            <v>55.788864733010442</v>
          </cell>
          <cell r="AI37">
            <v>4.1348565969838562</v>
          </cell>
          <cell r="AJ37">
            <v>2.1887794603804061</v>
          </cell>
          <cell r="AK37">
            <v>55.079162706707464</v>
          </cell>
          <cell r="AL37">
            <v>4.0997187199342982</v>
          </cell>
          <cell r="AM37">
            <v>8.2345753169181535</v>
          </cell>
          <cell r="AN37">
            <v>0.8569457390038786</v>
          </cell>
          <cell r="AO37" t="e">
            <v>#REF!</v>
          </cell>
          <cell r="AP37" t="e">
            <v>#REF!</v>
          </cell>
          <cell r="AQ37" t="e">
            <v>#REF!</v>
          </cell>
          <cell r="AR37" t="e">
            <v>#REF!</v>
          </cell>
          <cell r="AS37" t="e">
            <v>#REF!</v>
          </cell>
          <cell r="AT37" t="e">
            <v>#REF!</v>
          </cell>
          <cell r="AU37" t="e">
            <v>#REF!</v>
          </cell>
          <cell r="AV37" t="e">
            <v>#REF!</v>
          </cell>
          <cell r="AW37">
            <v>0.8569457390038786</v>
          </cell>
          <cell r="AX37">
            <v>0.8569457390038786</v>
          </cell>
          <cell r="AY37">
            <v>0.8569457390038786</v>
          </cell>
          <cell r="AZ37" t="e">
            <v>#REF!</v>
          </cell>
          <cell r="BE37">
            <v>236429.13099999999</v>
          </cell>
          <cell r="BF37">
            <v>575972.0085</v>
          </cell>
        </row>
        <row r="38">
          <cell r="A38" t="str">
            <v>CC24RZ39-28</v>
          </cell>
          <cell r="B38" t="str">
            <v>CC24RZ39-28 ABW-101 Haren Gn, Keesomweg</v>
          </cell>
          <cell r="C38" t="str">
            <v>CC24RZ39</v>
          </cell>
          <cell r="D38">
            <v>28</v>
          </cell>
          <cell r="E38" t="str">
            <v>Haren Gn</v>
          </cell>
          <cell r="F38" t="str">
            <v>Keesomweg</v>
          </cell>
          <cell r="G38" t="str">
            <v>19</v>
          </cell>
          <cell r="H38" t="str">
            <v>Haren_21-09-2024_export.csv</v>
          </cell>
          <cell r="I38" t="str">
            <v>C &amp; C Cable &amp; Communication B.V.</v>
          </cell>
          <cell r="J38"/>
          <cell r="K38" t="str">
            <v>ABW-101</v>
          </cell>
          <cell r="L38">
            <v>45477</v>
          </cell>
          <cell r="M38">
            <v>5</v>
          </cell>
          <cell r="N38">
            <v>8</v>
          </cell>
          <cell r="O38">
            <v>2</v>
          </cell>
          <cell r="P38">
            <v>63</v>
          </cell>
          <cell r="Q38" t="str">
            <v xml:space="preserve">PE100 </v>
          </cell>
          <cell r="R38">
            <v>236344.43</v>
          </cell>
          <cell r="S38">
            <v>576150.04200000002</v>
          </cell>
          <cell r="T38">
            <v>1.218</v>
          </cell>
          <cell r="U38">
            <v>236350.89799999999</v>
          </cell>
          <cell r="V38">
            <v>576153.92500000005</v>
          </cell>
          <cell r="W38">
            <v>1.272</v>
          </cell>
          <cell r="X38">
            <v>5.4000000000000048E-2</v>
          </cell>
          <cell r="Y38">
            <v>1.2450000000000001</v>
          </cell>
          <cell r="Z38">
            <v>7.5440514977135695</v>
          </cell>
          <cell r="AA38" t="str">
            <v>236344.43,576150.042</v>
          </cell>
          <cell r="AB38" t="str">
            <v>236350.898,576153.925</v>
          </cell>
          <cell r="AC38">
            <v>7.070020620737183</v>
          </cell>
          <cell r="AD38">
            <v>1.0670480190094496</v>
          </cell>
          <cell r="AE38">
            <v>0.71</v>
          </cell>
          <cell r="AF38">
            <v>55.21</v>
          </cell>
          <cell r="AG38">
            <v>2.1471487929040034</v>
          </cell>
          <cell r="AH38">
            <v>44.555576114520797</v>
          </cell>
          <cell r="AI38">
            <v>3.5080038876966197</v>
          </cell>
          <cell r="AJ38">
            <v>1.4371487929040034</v>
          </cell>
          <cell r="AK38">
            <v>45.430796173172709</v>
          </cell>
          <cell r="AL38">
            <v>3.5620167330405632</v>
          </cell>
          <cell r="AM38">
            <v>7.070020620737183</v>
          </cell>
          <cell r="AN38">
            <v>1.0670480190094496</v>
          </cell>
          <cell r="AO38" t="e">
            <v>#REF!</v>
          </cell>
          <cell r="AP38" t="e">
            <v>#REF!</v>
          </cell>
          <cell r="AQ38" t="e">
            <v>#REF!</v>
          </cell>
          <cell r="AR38" t="e">
            <v>#REF!</v>
          </cell>
          <cell r="AS38" t="e">
            <v>#REF!</v>
          </cell>
          <cell r="AT38" t="e">
            <v>#REF!</v>
          </cell>
          <cell r="AU38" t="e">
            <v>#REF!</v>
          </cell>
          <cell r="AV38" t="e">
            <v>#REF!</v>
          </cell>
          <cell r="AW38">
            <v>1.0670480190094496</v>
          </cell>
          <cell r="AX38">
            <v>1.0670480190094496</v>
          </cell>
          <cell r="AY38">
            <v>1.0670480190094496</v>
          </cell>
          <cell r="AZ38" t="e">
            <v>#REF!</v>
          </cell>
          <cell r="BE38">
            <v>236347.66399999999</v>
          </cell>
          <cell r="BF38">
            <v>576151.98350000009</v>
          </cell>
        </row>
        <row r="39">
          <cell r="A39" t="str">
            <v>CC24RZ39-29</v>
          </cell>
          <cell r="B39" t="str">
            <v>CC24RZ39-29 ABW-003 Haren Gn, Heymanshof</v>
          </cell>
          <cell r="C39" t="str">
            <v>CC24RZ39</v>
          </cell>
          <cell r="D39">
            <v>29</v>
          </cell>
          <cell r="E39" t="str">
            <v>Haren Gn</v>
          </cell>
          <cell r="F39" t="str">
            <v>Heymanshof</v>
          </cell>
          <cell r="G39" t="str">
            <v>1</v>
          </cell>
          <cell r="H39" t="str">
            <v>Haren_21-09-2024_export.csv</v>
          </cell>
          <cell r="I39" t="str">
            <v>C &amp; C Cable &amp; Communication B.V.</v>
          </cell>
          <cell r="J39"/>
          <cell r="K39" t="str">
            <v>ABW-003</v>
          </cell>
          <cell r="L39">
            <v>45482</v>
          </cell>
          <cell r="M39">
            <v>5</v>
          </cell>
          <cell r="N39">
            <v>8</v>
          </cell>
          <cell r="O39">
            <v>1</v>
          </cell>
          <cell r="P39">
            <v>63</v>
          </cell>
          <cell r="Q39" t="str">
            <v xml:space="preserve">PE100 </v>
          </cell>
          <cell r="R39">
            <v>236236.27299999999</v>
          </cell>
          <cell r="S39">
            <v>576128.72900000005</v>
          </cell>
          <cell r="T39">
            <v>0.98599999999999999</v>
          </cell>
          <cell r="U39">
            <v>236233.87400000001</v>
          </cell>
          <cell r="V39">
            <v>576134.52399999998</v>
          </cell>
          <cell r="W39">
            <v>1.0109999999999999</v>
          </cell>
          <cell r="X39">
            <v>2.4999999999999911E-2</v>
          </cell>
          <cell r="Y39">
            <v>0.99849999999999994</v>
          </cell>
          <cell r="Z39">
            <v>6.271939572334885</v>
          </cell>
          <cell r="AA39" t="str">
            <v>236236.273,576128.729</v>
          </cell>
          <cell r="AB39" t="str">
            <v>236233.874,576134.524</v>
          </cell>
          <cell r="AC39">
            <v>7.0412189726368792</v>
          </cell>
          <cell r="AD39">
            <v>0.89074627514191551</v>
          </cell>
          <cell r="AE39">
            <v>0.71</v>
          </cell>
          <cell r="AF39">
            <v>55.21</v>
          </cell>
          <cell r="AG39">
            <v>2.1471487929040034</v>
          </cell>
          <cell r="AH39">
            <v>44.555576114520797</v>
          </cell>
          <cell r="AI39">
            <v>3.5080038876966197</v>
          </cell>
          <cell r="AJ39">
            <v>1.4371487929040034</v>
          </cell>
          <cell r="AK39">
            <v>44.962434209524019</v>
          </cell>
          <cell r="AL39">
            <v>3.5332150849402595</v>
          </cell>
          <cell r="AM39">
            <v>7.0412189726368792</v>
          </cell>
          <cell r="AN39">
            <v>0.89074627514191551</v>
          </cell>
          <cell r="AO39" t="e">
            <v>#REF!</v>
          </cell>
          <cell r="AP39" t="e">
            <v>#REF!</v>
          </cell>
          <cell r="AQ39" t="e">
            <v>#REF!</v>
          </cell>
          <cell r="AR39" t="e">
            <v>#REF!</v>
          </cell>
          <cell r="AS39" t="e">
            <v>#REF!</v>
          </cell>
          <cell r="AT39" t="e">
            <v>#REF!</v>
          </cell>
          <cell r="AU39" t="e">
            <v>#REF!</v>
          </cell>
          <cell r="AV39" t="e">
            <v>#REF!</v>
          </cell>
          <cell r="AW39">
            <v>0.89074627514191551</v>
          </cell>
          <cell r="AX39">
            <v>0.89074627514191551</v>
          </cell>
          <cell r="AY39">
            <v>0.89074627514191551</v>
          </cell>
          <cell r="AZ39" t="e">
            <v>#REF!</v>
          </cell>
          <cell r="BE39">
            <v>236235.0735</v>
          </cell>
          <cell r="BF39">
            <v>576131.62650000001</v>
          </cell>
        </row>
        <row r="40">
          <cell r="A40" t="str">
            <v>CC24RZ39-30</v>
          </cell>
          <cell r="B40" t="str">
            <v>CC24RZ39-30 ABW-103 Haren Gn, Spinozalaan</v>
          </cell>
          <cell r="C40" t="str">
            <v>CC24RZ39</v>
          </cell>
          <cell r="D40">
            <v>30</v>
          </cell>
          <cell r="E40" t="str">
            <v>Haren Gn</v>
          </cell>
          <cell r="F40" t="str">
            <v>Spinozalaan</v>
          </cell>
          <cell r="G40" t="str">
            <v>49</v>
          </cell>
          <cell r="H40" t="str">
            <v>Haren_21-09-2024_export.csv</v>
          </cell>
          <cell r="I40" t="str">
            <v>C &amp; C Cable &amp; Communication B.V.</v>
          </cell>
          <cell r="J40"/>
          <cell r="K40" t="str">
            <v>ABW-103</v>
          </cell>
          <cell r="L40">
            <v>45453</v>
          </cell>
          <cell r="M40">
            <v>5</v>
          </cell>
          <cell r="N40">
            <v>8</v>
          </cell>
          <cell r="O40">
            <v>1</v>
          </cell>
          <cell r="P40">
            <v>63</v>
          </cell>
          <cell r="Q40" t="str">
            <v xml:space="preserve">PE100 </v>
          </cell>
          <cell r="R40">
            <v>236254.916</v>
          </cell>
          <cell r="S40">
            <v>575931.55299999996</v>
          </cell>
          <cell r="T40">
            <v>0.879</v>
          </cell>
          <cell r="U40">
            <v>236251.655</v>
          </cell>
          <cell r="V40">
            <v>575937.91599999997</v>
          </cell>
          <cell r="W40">
            <v>0.66100000000000003</v>
          </cell>
          <cell r="X40">
            <v>-0.21799999999999997</v>
          </cell>
          <cell r="Y40">
            <v>0.77</v>
          </cell>
          <cell r="Z40">
            <v>7.1499573425402314</v>
          </cell>
          <cell r="AA40" t="str">
            <v>236254.916,575931.553</v>
          </cell>
          <cell r="AB40" t="str">
            <v>236251.655,575937.916</v>
          </cell>
          <cell r="AC40">
            <v>6.7798786025658702</v>
          </cell>
          <cell r="AD40">
            <v>1.0545848623062815</v>
          </cell>
          <cell r="AE40">
            <v>0.71</v>
          </cell>
          <cell r="AF40">
            <v>55.21</v>
          </cell>
          <cell r="AG40">
            <v>2.1471487929040034</v>
          </cell>
          <cell r="AH40">
            <v>44.555576114520797</v>
          </cell>
          <cell r="AI40">
            <v>3.5080038876966197</v>
          </cell>
          <cell r="AJ40">
            <v>1.4371487929040034</v>
          </cell>
          <cell r="AK40">
            <v>40.872271798526235</v>
          </cell>
          <cell r="AL40">
            <v>3.2718747148692504</v>
          </cell>
          <cell r="AM40">
            <v>6.7798786025658702</v>
          </cell>
          <cell r="AN40">
            <v>1.0545848623062815</v>
          </cell>
          <cell r="AO40" t="e">
            <v>#REF!</v>
          </cell>
          <cell r="AP40" t="e">
            <v>#REF!</v>
          </cell>
          <cell r="AQ40" t="e">
            <v>#REF!</v>
          </cell>
          <cell r="AR40" t="e">
            <v>#REF!</v>
          </cell>
          <cell r="AS40" t="e">
            <v>#REF!</v>
          </cell>
          <cell r="AT40" t="e">
            <v>#REF!</v>
          </cell>
          <cell r="AU40" t="e">
            <v>#REF!</v>
          </cell>
          <cell r="AV40" t="e">
            <v>#REF!</v>
          </cell>
          <cell r="AW40">
            <v>1.0545848623062815</v>
          </cell>
          <cell r="AX40">
            <v>1.0545848623062815</v>
          </cell>
          <cell r="AY40">
            <v>1.0545848623062815</v>
          </cell>
          <cell r="AZ40" t="e">
            <v>#REF!</v>
          </cell>
          <cell r="BE40">
            <v>236253.2855</v>
          </cell>
          <cell r="BF40">
            <v>575934.73450000002</v>
          </cell>
        </row>
        <row r="41">
          <cell r="A41" t="str">
            <v>CC24RZ39-31</v>
          </cell>
          <cell r="B41" t="str">
            <v>CC24RZ39-31 ABW-103 Haren Gn, Erasmuslaan</v>
          </cell>
          <cell r="C41" t="str">
            <v>CC24RZ39</v>
          </cell>
          <cell r="D41">
            <v>31</v>
          </cell>
          <cell r="E41" t="str">
            <v>Haren Gn</v>
          </cell>
          <cell r="F41" t="str">
            <v>Erasmuslaan</v>
          </cell>
          <cell r="G41" t="str">
            <v>39</v>
          </cell>
          <cell r="H41" t="str">
            <v>Haren_21-09-2024_export.csv</v>
          </cell>
          <cell r="I41" t="str">
            <v>C &amp; C Cable &amp; Communication B.V.</v>
          </cell>
          <cell r="J41"/>
          <cell r="K41" t="str">
            <v>ABW-103</v>
          </cell>
          <cell r="L41">
            <v>45453</v>
          </cell>
          <cell r="M41">
            <v>5</v>
          </cell>
          <cell r="N41">
            <v>8</v>
          </cell>
          <cell r="O41">
            <v>1</v>
          </cell>
          <cell r="P41">
            <v>63</v>
          </cell>
          <cell r="Q41" t="str">
            <v xml:space="preserve">PE100 </v>
          </cell>
          <cell r="R41">
            <v>236226.399</v>
          </cell>
          <cell r="S41">
            <v>575914.68299999996</v>
          </cell>
          <cell r="T41">
            <v>0.92</v>
          </cell>
          <cell r="U41">
            <v>236223.122</v>
          </cell>
          <cell r="V41">
            <v>575922.95299999998</v>
          </cell>
          <cell r="W41">
            <v>0.86099999999999999</v>
          </cell>
          <cell r="X41">
            <v>-5.9000000000000052E-2</v>
          </cell>
          <cell r="Y41">
            <v>0.89050000000000007</v>
          </cell>
          <cell r="Z41">
            <v>8.8955960452529705</v>
          </cell>
          <cell r="AA41" t="str">
            <v>236226.399,575914.683</v>
          </cell>
          <cell r="AB41" t="str">
            <v>236223.122,575922.953</v>
          </cell>
          <cell r="AC41">
            <v>6.9550597087789052</v>
          </cell>
          <cell r="AD41">
            <v>1.2790107371795323</v>
          </cell>
          <cell r="AE41">
            <v>0.71</v>
          </cell>
          <cell r="AF41">
            <v>55.21</v>
          </cell>
          <cell r="AG41">
            <v>2.1471487929040034</v>
          </cell>
          <cell r="AH41">
            <v>44.555576114520797</v>
          </cell>
          <cell r="AI41">
            <v>3.5080038876966197</v>
          </cell>
          <cell r="AJ41">
            <v>1.4371487929040034</v>
          </cell>
          <cell r="AK41">
            <v>43.583515471339147</v>
          </cell>
          <cell r="AL41">
            <v>3.4470558210822855</v>
          </cell>
          <cell r="AM41">
            <v>6.9550597087789052</v>
          </cell>
          <cell r="AN41">
            <v>1.2790107371795323</v>
          </cell>
          <cell r="AO41" t="e">
            <v>#REF!</v>
          </cell>
          <cell r="AP41" t="e">
            <v>#REF!</v>
          </cell>
          <cell r="AQ41" t="e">
            <v>#REF!</v>
          </cell>
          <cell r="AR41" t="e">
            <v>#REF!</v>
          </cell>
          <cell r="AS41" t="e">
            <v>#REF!</v>
          </cell>
          <cell r="AT41" t="e">
            <v>#REF!</v>
          </cell>
          <cell r="AU41" t="e">
            <v>#REF!</v>
          </cell>
          <cell r="AV41" t="e">
            <v>#REF!</v>
          </cell>
          <cell r="AW41">
            <v>1.2790107371795323</v>
          </cell>
          <cell r="AX41">
            <v>1.2790107371795323</v>
          </cell>
          <cell r="AY41">
            <v>1.2790107371795323</v>
          </cell>
          <cell r="AZ41" t="e">
            <v>#REF!</v>
          </cell>
          <cell r="BE41">
            <v>236224.7605</v>
          </cell>
          <cell r="BF41">
            <v>575918.81799999997</v>
          </cell>
        </row>
        <row r="42">
          <cell r="A42" t="str">
            <v>CC24RZ39-32</v>
          </cell>
          <cell r="B42" t="str">
            <v>CC24RZ39-32 ABW-103 Haren Gn, Erasmuslaan</v>
          </cell>
          <cell r="C42" t="str">
            <v>CC24RZ39</v>
          </cell>
          <cell r="D42">
            <v>32</v>
          </cell>
          <cell r="E42" t="str">
            <v>Haren Gn</v>
          </cell>
          <cell r="F42" t="str">
            <v>Erasmuslaan</v>
          </cell>
          <cell r="G42" t="str">
            <v>23a-10</v>
          </cell>
          <cell r="H42" t="str">
            <v>Haren_21-09-2024_export.csv</v>
          </cell>
          <cell r="I42" t="str">
            <v>C &amp; C Cable &amp; Communication B.V.</v>
          </cell>
          <cell r="J42"/>
          <cell r="K42" t="str">
            <v>ABW-103</v>
          </cell>
          <cell r="L42">
            <v>45533</v>
          </cell>
          <cell r="M42">
            <v>7.5</v>
          </cell>
          <cell r="N42">
            <v>8</v>
          </cell>
          <cell r="O42">
            <v>1</v>
          </cell>
          <cell r="P42">
            <v>63</v>
          </cell>
          <cell r="Q42" t="str">
            <v xml:space="preserve">PE100 </v>
          </cell>
          <cell r="R42">
            <v>236190.851</v>
          </cell>
          <cell r="S42">
            <v>575895.60499999998</v>
          </cell>
          <cell r="T42">
            <v>0.441</v>
          </cell>
          <cell r="U42">
            <v>236187.81899999999</v>
          </cell>
          <cell r="V42">
            <v>575904.56000000006</v>
          </cell>
          <cell r="W42">
            <v>0.88100000000000001</v>
          </cell>
          <cell r="X42">
            <v>0.44</v>
          </cell>
          <cell r="Y42">
            <v>0.66100000000000003</v>
          </cell>
          <cell r="Z42">
            <v>9.4543666631548575</v>
          </cell>
          <cell r="AA42" t="str">
            <v>236190.851,575895.605</v>
          </cell>
          <cell r="AB42" t="str">
            <v>236187.819,575904.56</v>
          </cell>
          <cell r="AC42">
            <v>11.562466826604449</v>
          </cell>
          <cell r="AD42">
            <v>0.81767730060863852</v>
          </cell>
          <cell r="AE42">
            <v>0.71</v>
          </cell>
          <cell r="AF42">
            <v>55.21</v>
          </cell>
          <cell r="AG42">
            <v>3.2207231893560051</v>
          </cell>
          <cell r="AH42">
            <v>48.299497098536229</v>
          </cell>
          <cell r="AI42">
            <v>5.5997425750448642</v>
          </cell>
          <cell r="AJ42">
            <v>2.5107231893560051</v>
          </cell>
          <cell r="AK42">
            <v>52.658079886717999</v>
          </cell>
          <cell r="AL42">
            <v>5.9627242515595844</v>
          </cell>
          <cell r="AM42">
            <v>11.562466826604449</v>
          </cell>
          <cell r="AN42">
            <v>0.81767730060863852</v>
          </cell>
          <cell r="AO42" t="e">
            <v>#REF!</v>
          </cell>
          <cell r="AP42" t="e">
            <v>#REF!</v>
          </cell>
          <cell r="AQ42" t="e">
            <v>#REF!</v>
          </cell>
          <cell r="AR42" t="e">
            <v>#REF!</v>
          </cell>
          <cell r="AS42" t="e">
            <v>#REF!</v>
          </cell>
          <cell r="AT42" t="e">
            <v>#REF!</v>
          </cell>
          <cell r="AU42" t="e">
            <v>#REF!</v>
          </cell>
          <cell r="AV42" t="e">
            <v>#REF!</v>
          </cell>
          <cell r="AW42">
            <v>0.81767730060863852</v>
          </cell>
          <cell r="AX42">
            <v>0.81767730060863852</v>
          </cell>
          <cell r="AY42">
            <v>0.81767730060863852</v>
          </cell>
          <cell r="AZ42" t="e">
            <v>#REF!</v>
          </cell>
          <cell r="BE42">
            <v>236189.33499999999</v>
          </cell>
          <cell r="BF42">
            <v>575900.08250000002</v>
          </cell>
        </row>
        <row r="43">
          <cell r="A43" t="str">
            <v>CC24RZ39-33</v>
          </cell>
          <cell r="B43" t="str">
            <v>CC24RZ39-33 ABW-004 Haren Gn, Erasmuslaan</v>
          </cell>
          <cell r="C43" t="str">
            <v>CC24RZ39</v>
          </cell>
          <cell r="D43">
            <v>33</v>
          </cell>
          <cell r="E43" t="str">
            <v>Haren Gn</v>
          </cell>
          <cell r="F43" t="str">
            <v>Erasmuslaan</v>
          </cell>
          <cell r="G43" t="str">
            <v>21</v>
          </cell>
          <cell r="H43" t="str">
            <v>Haren_21-09-2024_export.csv</v>
          </cell>
          <cell r="I43" t="str">
            <v>C &amp; C Cable &amp; Communication B.V.</v>
          </cell>
          <cell r="J43"/>
          <cell r="K43" t="str">
            <v>ABW-004</v>
          </cell>
          <cell r="L43">
            <v>45483</v>
          </cell>
          <cell r="M43">
            <v>5</v>
          </cell>
          <cell r="N43">
            <v>8</v>
          </cell>
          <cell r="O43">
            <v>1</v>
          </cell>
          <cell r="P43">
            <v>63</v>
          </cell>
          <cell r="Q43" t="str">
            <v xml:space="preserve">PE100 </v>
          </cell>
          <cell r="R43">
            <v>236128.94200000001</v>
          </cell>
          <cell r="S43">
            <v>575947.91500000004</v>
          </cell>
          <cell r="T43">
            <v>0.85899999999999999</v>
          </cell>
          <cell r="U43">
            <v>236132.04</v>
          </cell>
          <cell r="V43">
            <v>575956.57700000005</v>
          </cell>
          <cell r="W43">
            <v>0.81399999999999995</v>
          </cell>
          <cell r="X43">
            <v>-4.500000000000004E-2</v>
          </cell>
          <cell r="Y43">
            <v>0.83650000000000002</v>
          </cell>
          <cell r="Z43">
            <v>9.1993395415204713</v>
          </cell>
          <cell r="AA43" t="str">
            <v>236128.942,575947.915</v>
          </cell>
          <cell r="AB43" t="str">
            <v>236132.04,575956.577</v>
          </cell>
          <cell r="AC43">
            <v>6.9697100663686271</v>
          </cell>
          <cell r="AD43">
            <v>1.3199027583529783</v>
          </cell>
          <cell r="AE43">
            <v>0.71</v>
          </cell>
          <cell r="AF43">
            <v>55.21</v>
          </cell>
          <cell r="AG43">
            <v>2.1471487929040034</v>
          </cell>
          <cell r="AH43">
            <v>44.555576114520797</v>
          </cell>
          <cell r="AI43">
            <v>3.5080038876966197</v>
          </cell>
          <cell r="AJ43">
            <v>1.4371487929040034</v>
          </cell>
          <cell r="AK43">
            <v>43.81572489330452</v>
          </cell>
          <cell r="AL43">
            <v>3.4617061786720078</v>
          </cell>
          <cell r="AM43">
            <v>6.9697100663686271</v>
          </cell>
          <cell r="AN43">
            <v>1.3199027583529783</v>
          </cell>
          <cell r="AO43" t="e">
            <v>#REF!</v>
          </cell>
          <cell r="AP43" t="e">
            <v>#REF!</v>
          </cell>
          <cell r="AQ43" t="e">
            <v>#REF!</v>
          </cell>
          <cell r="AR43" t="e">
            <v>#REF!</v>
          </cell>
          <cell r="AS43" t="e">
            <v>#REF!</v>
          </cell>
          <cell r="AT43" t="e">
            <v>#REF!</v>
          </cell>
          <cell r="AU43" t="e">
            <v>#REF!</v>
          </cell>
          <cell r="AV43" t="e">
            <v>#REF!</v>
          </cell>
          <cell r="AW43">
            <v>1.3199027583529783</v>
          </cell>
          <cell r="AX43">
            <v>1.3199027583529783</v>
          </cell>
          <cell r="AY43">
            <v>1.3199027583529783</v>
          </cell>
          <cell r="AZ43" t="e">
            <v>#REF!</v>
          </cell>
          <cell r="BE43">
            <v>236130.49100000001</v>
          </cell>
          <cell r="BF43">
            <v>575952.24600000004</v>
          </cell>
        </row>
        <row r="44">
          <cell r="A44" t="str">
            <v>CC24RZ39-34</v>
          </cell>
          <cell r="B44" t="str">
            <v>CC24RZ39-34 ABW-004 Haren Gn, Erasmuslaan</v>
          </cell>
          <cell r="C44" t="str">
            <v>CC24RZ39</v>
          </cell>
          <cell r="D44">
            <v>34</v>
          </cell>
          <cell r="E44" t="str">
            <v>Haren Gn</v>
          </cell>
          <cell r="F44" t="str">
            <v>Erasmuslaan</v>
          </cell>
          <cell r="G44" t="str">
            <v>16</v>
          </cell>
          <cell r="H44" t="str">
            <v>Haren_21-09-2024_export.csv</v>
          </cell>
          <cell r="I44" t="str">
            <v>C &amp; C Cable &amp; Communication B.V.</v>
          </cell>
          <cell r="J44"/>
          <cell r="K44" t="str">
            <v>ABW-004</v>
          </cell>
          <cell r="L44">
            <v>45483</v>
          </cell>
          <cell r="M44">
            <v>5</v>
          </cell>
          <cell r="N44">
            <v>8</v>
          </cell>
          <cell r="O44">
            <v>1</v>
          </cell>
          <cell r="P44">
            <v>63</v>
          </cell>
          <cell r="Q44" t="str">
            <v xml:space="preserve">PE100 </v>
          </cell>
          <cell r="R44">
            <v>236140.052</v>
          </cell>
          <cell r="S44">
            <v>575965.15</v>
          </cell>
          <cell r="T44">
            <v>1.0669999999999999</v>
          </cell>
          <cell r="U44">
            <v>236137.913</v>
          </cell>
          <cell r="V44">
            <v>575970.23199999996</v>
          </cell>
          <cell r="W44">
            <v>0.85</v>
          </cell>
          <cell r="X44">
            <v>-0.21699999999999997</v>
          </cell>
          <cell r="Y44">
            <v>0.95849999999999991</v>
          </cell>
          <cell r="Z44">
            <v>5.5138049475237505</v>
          </cell>
          <cell r="AA44" t="str">
            <v>236140.052,575965.15</v>
          </cell>
          <cell r="AB44" t="str">
            <v>236137.913,575970.232</v>
          </cell>
          <cell r="AC44">
            <v>6.7810338069327605</v>
          </cell>
          <cell r="AD44">
            <v>0.81312158359785391</v>
          </cell>
          <cell r="AE44">
            <v>0.71</v>
          </cell>
          <cell r="AF44">
            <v>55.21</v>
          </cell>
          <cell r="AG44">
            <v>2.1471487929040034</v>
          </cell>
          <cell r="AH44">
            <v>44.555576114520797</v>
          </cell>
          <cell r="AI44">
            <v>3.5080038876966197</v>
          </cell>
          <cell r="AJ44">
            <v>1.4371487929040034</v>
          </cell>
          <cell r="AK44">
            <v>40.889780313094555</v>
          </cell>
          <cell r="AL44">
            <v>3.2730299192361407</v>
          </cell>
          <cell r="AM44">
            <v>6.7810338069327605</v>
          </cell>
          <cell r="AN44">
            <v>0.81312158359785391</v>
          </cell>
          <cell r="AO44" t="e">
            <v>#REF!</v>
          </cell>
          <cell r="AP44" t="e">
            <v>#REF!</v>
          </cell>
          <cell r="AQ44" t="e">
            <v>#REF!</v>
          </cell>
          <cell r="AR44" t="e">
            <v>#REF!</v>
          </cell>
          <cell r="AS44" t="e">
            <v>#REF!</v>
          </cell>
          <cell r="AT44" t="e">
            <v>#REF!</v>
          </cell>
          <cell r="AU44" t="e">
            <v>#REF!</v>
          </cell>
          <cell r="AV44" t="e">
            <v>#REF!</v>
          </cell>
          <cell r="AW44">
            <v>0.81312158359785391</v>
          </cell>
          <cell r="AX44">
            <v>0.81312158359785391</v>
          </cell>
          <cell r="AY44">
            <v>0.81312158359785391</v>
          </cell>
          <cell r="AZ44" t="e">
            <v>#REF!</v>
          </cell>
          <cell r="BE44">
            <v>236138.98249999998</v>
          </cell>
          <cell r="BF44">
            <v>575967.69099999999</v>
          </cell>
        </row>
        <row r="45">
          <cell r="A45" t="str">
            <v>CC24RZ39-35</v>
          </cell>
          <cell r="B45" t="str">
            <v>CC24RZ39-35 ABW-004 Haren Gn, Zeemanweg</v>
          </cell>
          <cell r="C45" t="str">
            <v>CC24RZ39</v>
          </cell>
          <cell r="D45">
            <v>35</v>
          </cell>
          <cell r="E45" t="str">
            <v>Haren Gn</v>
          </cell>
          <cell r="F45" t="str">
            <v>Zeemanweg</v>
          </cell>
          <cell r="G45" t="str">
            <v>14</v>
          </cell>
          <cell r="H45" t="str">
            <v>Haren_21-09-2024_export.csv</v>
          </cell>
          <cell r="I45" t="str">
            <v>C &amp; C Cable &amp; Communication B.V.</v>
          </cell>
          <cell r="J45"/>
          <cell r="K45" t="str">
            <v>ABW-004</v>
          </cell>
          <cell r="L45">
            <v>45488</v>
          </cell>
          <cell r="M45">
            <v>5</v>
          </cell>
          <cell r="N45">
            <v>8</v>
          </cell>
          <cell r="O45">
            <v>1</v>
          </cell>
          <cell r="P45">
            <v>63</v>
          </cell>
          <cell r="Q45" t="str">
            <v xml:space="preserve">PE100 </v>
          </cell>
          <cell r="R45">
            <v>236161.454</v>
          </cell>
          <cell r="S45">
            <v>575965.67299999995</v>
          </cell>
          <cell r="T45">
            <v>0.94599999999999995</v>
          </cell>
          <cell r="U45">
            <v>236158.63200000001</v>
          </cell>
          <cell r="V45">
            <v>575970.77300000004</v>
          </cell>
          <cell r="W45">
            <v>0.995</v>
          </cell>
          <cell r="X45">
            <v>4.9000000000000044E-2</v>
          </cell>
          <cell r="Y45">
            <v>0.97049999999999992</v>
          </cell>
          <cell r="Z45">
            <v>5.8286948797195137</v>
          </cell>
          <cell r="AA45" t="str">
            <v>236161.454,575965.673</v>
          </cell>
          <cell r="AB45" t="str">
            <v>236158.632,575970.773</v>
          </cell>
          <cell r="AC45">
            <v>7.0650883250399348</v>
          </cell>
          <cell r="AD45">
            <v>0.82499957701329485</v>
          </cell>
          <cell r="AE45">
            <v>0.71</v>
          </cell>
          <cell r="AF45">
            <v>55.21</v>
          </cell>
          <cell r="AG45">
            <v>2.1471487929040034</v>
          </cell>
          <cell r="AH45">
            <v>44.555576114520797</v>
          </cell>
          <cell r="AI45">
            <v>3.5080038876966197</v>
          </cell>
          <cell r="AJ45">
            <v>1.4371487929040034</v>
          </cell>
          <cell r="AK45">
            <v>45.350314425939551</v>
          </cell>
          <cell r="AL45">
            <v>3.557084437343315</v>
          </cell>
          <cell r="AM45">
            <v>7.0650883250399348</v>
          </cell>
          <cell r="AN45">
            <v>0.82499957701329485</v>
          </cell>
          <cell r="AO45" t="e">
            <v>#REF!</v>
          </cell>
          <cell r="AP45" t="e">
            <v>#REF!</v>
          </cell>
          <cell r="AQ45" t="e">
            <v>#REF!</v>
          </cell>
          <cell r="AR45" t="e">
            <v>#REF!</v>
          </cell>
          <cell r="AS45" t="e">
            <v>#REF!</v>
          </cell>
          <cell r="AT45" t="e">
            <v>#REF!</v>
          </cell>
          <cell r="AU45" t="e">
            <v>#REF!</v>
          </cell>
          <cell r="AV45" t="e">
            <v>#REF!</v>
          </cell>
          <cell r="AW45">
            <v>0.82499957701329485</v>
          </cell>
          <cell r="AX45">
            <v>0.82499957701329485</v>
          </cell>
          <cell r="AY45">
            <v>0.82499957701329485</v>
          </cell>
          <cell r="AZ45" t="e">
            <v>#REF!</v>
          </cell>
          <cell r="BE45">
            <v>236160.04300000001</v>
          </cell>
          <cell r="BF45">
            <v>575968.223</v>
          </cell>
        </row>
        <row r="46">
          <cell r="A46" t="str">
            <v>CC24RZ39-36</v>
          </cell>
          <cell r="B46" t="str">
            <v>CC24RZ39-36 ABW-004 Haren Gn, Zeemanweg</v>
          </cell>
          <cell r="C46" t="str">
            <v>CC24RZ39</v>
          </cell>
          <cell r="D46">
            <v>36</v>
          </cell>
          <cell r="E46" t="str">
            <v>Haren Gn</v>
          </cell>
          <cell r="F46" t="str">
            <v>Zeemanweg</v>
          </cell>
          <cell r="G46" t="str">
            <v>12</v>
          </cell>
          <cell r="H46" t="str">
            <v>Haren_21-09-2024_export.csv</v>
          </cell>
          <cell r="I46" t="str">
            <v>C &amp; C Cable &amp; Communication B.V.</v>
          </cell>
          <cell r="J46"/>
          <cell r="K46" t="str">
            <v>ABW-004</v>
          </cell>
          <cell r="L46">
            <v>45488</v>
          </cell>
          <cell r="M46">
            <v>5</v>
          </cell>
          <cell r="N46">
            <v>8</v>
          </cell>
          <cell r="O46">
            <v>1</v>
          </cell>
          <cell r="P46">
            <v>63</v>
          </cell>
          <cell r="Q46" t="str">
            <v xml:space="preserve">PE100 </v>
          </cell>
          <cell r="R46">
            <v>236188.234</v>
          </cell>
          <cell r="S46">
            <v>575980.76</v>
          </cell>
          <cell r="T46">
            <v>1.0249999999999999</v>
          </cell>
          <cell r="U46">
            <v>236183.49400000001</v>
          </cell>
          <cell r="V46">
            <v>575983.94299999997</v>
          </cell>
          <cell r="W46">
            <v>1.0449999999999999</v>
          </cell>
          <cell r="X46">
            <v>2.0000000000000018E-2</v>
          </cell>
          <cell r="Y46">
            <v>1.0349999999999999</v>
          </cell>
          <cell r="Z46">
            <v>5.7095611915157454</v>
          </cell>
          <cell r="AA46" t="str">
            <v>236188.234,575980.76</v>
          </cell>
          <cell r="AB46" t="str">
            <v>236183.494,575983.943</v>
          </cell>
          <cell r="AC46">
            <v>7.0362053168072709</v>
          </cell>
          <cell r="AD46">
            <v>0.8114546029345403</v>
          </cell>
          <cell r="AE46">
            <v>0.71</v>
          </cell>
          <cell r="AF46">
            <v>55.21</v>
          </cell>
          <cell r="AG46">
            <v>2.1471487929040034</v>
          </cell>
          <cell r="AH46">
            <v>44.555576114520797</v>
          </cell>
          <cell r="AI46">
            <v>3.5080038876966197</v>
          </cell>
          <cell r="AJ46">
            <v>1.4371487929040034</v>
          </cell>
          <cell r="AK46">
            <v>44.881295007745365</v>
          </cell>
          <cell r="AL46">
            <v>3.5282014291106512</v>
          </cell>
          <cell r="AM46">
            <v>7.0362053168072709</v>
          </cell>
          <cell r="AN46">
            <v>0.8114546029345403</v>
          </cell>
          <cell r="AO46" t="e">
            <v>#REF!</v>
          </cell>
          <cell r="AP46" t="e">
            <v>#REF!</v>
          </cell>
          <cell r="AQ46" t="e">
            <v>#REF!</v>
          </cell>
          <cell r="AR46" t="e">
            <v>#REF!</v>
          </cell>
          <cell r="AS46" t="e">
            <v>#REF!</v>
          </cell>
          <cell r="AT46" t="e">
            <v>#REF!</v>
          </cell>
          <cell r="AU46" t="e">
            <v>#REF!</v>
          </cell>
          <cell r="AV46" t="e">
            <v>#REF!</v>
          </cell>
          <cell r="AW46">
            <v>0.8114546029345403</v>
          </cell>
          <cell r="AX46">
            <v>0.8114546029345403</v>
          </cell>
          <cell r="AY46">
            <v>0.8114546029345403</v>
          </cell>
          <cell r="AZ46" t="e">
            <v>#REF!</v>
          </cell>
          <cell r="BE46">
            <v>236185.864</v>
          </cell>
          <cell r="BF46">
            <v>575982.35149999999</v>
          </cell>
        </row>
        <row r="47">
          <cell r="A47" t="str">
            <v>CC24RZ39-37</v>
          </cell>
          <cell r="B47" t="str">
            <v>CC24RZ39-37 ABW-004 Haren Gn, Zeemanweg</v>
          </cell>
          <cell r="C47" t="str">
            <v>CC24RZ39</v>
          </cell>
          <cell r="D47">
            <v>37</v>
          </cell>
          <cell r="E47" t="str">
            <v>Haren Gn</v>
          </cell>
          <cell r="F47" t="str">
            <v>Zeemanweg</v>
          </cell>
          <cell r="G47" t="str">
            <v>12</v>
          </cell>
          <cell r="H47" t="str">
            <v>Haren_21-09-2024_export.csv</v>
          </cell>
          <cell r="I47" t="str">
            <v>C &amp; C Cable &amp; Communication B.V.</v>
          </cell>
          <cell r="J47"/>
          <cell r="K47" t="str">
            <v>ABW-004</v>
          </cell>
          <cell r="L47">
            <v>45489</v>
          </cell>
          <cell r="M47">
            <v>5</v>
          </cell>
          <cell r="N47">
            <v>8</v>
          </cell>
          <cell r="O47">
            <v>1</v>
          </cell>
          <cell r="P47">
            <v>63</v>
          </cell>
          <cell r="Q47" t="str">
            <v xml:space="preserve">PE100 </v>
          </cell>
          <cell r="R47">
            <v>236190.52499999999</v>
          </cell>
          <cell r="S47">
            <v>575989.03099999996</v>
          </cell>
          <cell r="T47">
            <v>1.02</v>
          </cell>
          <cell r="U47">
            <v>236183.56</v>
          </cell>
          <cell r="V47">
            <v>575987.23100000003</v>
          </cell>
          <cell r="W47">
            <v>0.96699999999999997</v>
          </cell>
          <cell r="X47">
            <v>-5.3000000000000047E-2</v>
          </cell>
          <cell r="Y47">
            <v>0.99350000000000005</v>
          </cell>
          <cell r="Z47">
            <v>7.1938324278300989</v>
          </cell>
          <cell r="AA47" t="str">
            <v>236190.525,575989.031</v>
          </cell>
          <cell r="AB47" t="str">
            <v>236183.56,575987.231</v>
          </cell>
          <cell r="AC47">
            <v>6.9613529937301273</v>
          </cell>
          <cell r="AD47">
            <v>1.0333957255592927</v>
          </cell>
          <cell r="AE47">
            <v>0.71</v>
          </cell>
          <cell r="AF47">
            <v>55.21</v>
          </cell>
          <cell r="AG47">
            <v>2.1471487929040034</v>
          </cell>
          <cell r="AH47">
            <v>44.555576114520797</v>
          </cell>
          <cell r="AI47">
            <v>3.5080038876966197</v>
          </cell>
          <cell r="AJ47">
            <v>1.4371487929040034</v>
          </cell>
          <cell r="AK47">
            <v>43.683154432841292</v>
          </cell>
          <cell r="AL47">
            <v>3.4533491060335075</v>
          </cell>
          <cell r="AM47">
            <v>6.9613529937301273</v>
          </cell>
          <cell r="AN47">
            <v>1.0333957255592927</v>
          </cell>
          <cell r="AO47" t="e">
            <v>#REF!</v>
          </cell>
          <cell r="AP47" t="e">
            <v>#REF!</v>
          </cell>
          <cell r="AQ47" t="e">
            <v>#REF!</v>
          </cell>
          <cell r="AR47" t="e">
            <v>#REF!</v>
          </cell>
          <cell r="AS47" t="e">
            <v>#REF!</v>
          </cell>
          <cell r="AT47" t="e">
            <v>#REF!</v>
          </cell>
          <cell r="AU47" t="e">
            <v>#REF!</v>
          </cell>
          <cell r="AV47" t="e">
            <v>#REF!</v>
          </cell>
          <cell r="AW47">
            <v>1.0333957255592927</v>
          </cell>
          <cell r="AX47">
            <v>1.0333957255592927</v>
          </cell>
          <cell r="AY47">
            <v>1.0333957255592927</v>
          </cell>
          <cell r="AZ47" t="e">
            <v>#REF!</v>
          </cell>
          <cell r="BE47">
            <v>236187.04249999998</v>
          </cell>
          <cell r="BF47">
            <v>575988.13100000005</v>
          </cell>
        </row>
        <row r="48">
          <cell r="A48" t="str">
            <v>CC24RZ39-38</v>
          </cell>
          <cell r="B48" t="str">
            <v>CC24RZ39-38 ABW-004 Haren Gn, Zeemanweg</v>
          </cell>
          <cell r="C48" t="str">
            <v>CC24RZ39</v>
          </cell>
          <cell r="D48">
            <v>38</v>
          </cell>
          <cell r="E48" t="str">
            <v>Haren Gn</v>
          </cell>
          <cell r="F48" t="str">
            <v>Zeemanweg</v>
          </cell>
          <cell r="G48" t="str">
            <v>5</v>
          </cell>
          <cell r="H48" t="str">
            <v>Haren_21-09-2024_export.csv</v>
          </cell>
          <cell r="I48" t="str">
            <v>C &amp; C Cable &amp; Communication B.V.</v>
          </cell>
          <cell r="J48"/>
          <cell r="K48" t="str">
            <v>ABW-004</v>
          </cell>
          <cell r="L48">
            <v>45489</v>
          </cell>
          <cell r="M48">
            <v>5</v>
          </cell>
          <cell r="N48">
            <v>8</v>
          </cell>
          <cell r="O48">
            <v>1</v>
          </cell>
          <cell r="P48">
            <v>63</v>
          </cell>
          <cell r="Q48" t="str">
            <v xml:space="preserve">PE100 </v>
          </cell>
          <cell r="R48">
            <v>236172.715</v>
          </cell>
          <cell r="S48">
            <v>576022.50100000005</v>
          </cell>
          <cell r="T48">
            <v>0.97699999999999998</v>
          </cell>
          <cell r="U48">
            <v>236167.10500000001</v>
          </cell>
          <cell r="V48">
            <v>576019.10600000003</v>
          </cell>
          <cell r="W48">
            <v>1.006</v>
          </cell>
          <cell r="X48">
            <v>2.9000000000000026E-2</v>
          </cell>
          <cell r="Y48">
            <v>0.99150000000000005</v>
          </cell>
          <cell r="Z48">
            <v>6.5572955553314607</v>
          </cell>
          <cell r="AA48" t="str">
            <v>236172.715,576022.501</v>
          </cell>
          <cell r="AB48" t="str">
            <v>236167.105,576019.106</v>
          </cell>
          <cell r="AC48">
            <v>7.0452196919848129</v>
          </cell>
          <cell r="AD48">
            <v>0.9307439429875477</v>
          </cell>
          <cell r="AE48">
            <v>0.71</v>
          </cell>
          <cell r="AF48">
            <v>55.21</v>
          </cell>
          <cell r="AG48">
            <v>2.1471487929040034</v>
          </cell>
          <cell r="AH48">
            <v>44.555576114520797</v>
          </cell>
          <cell r="AI48">
            <v>3.5080038876966197</v>
          </cell>
          <cell r="AJ48">
            <v>1.4371487929040034</v>
          </cell>
          <cell r="AK48">
            <v>45.027262816773643</v>
          </cell>
          <cell r="AL48">
            <v>3.5372158042881932</v>
          </cell>
          <cell r="AM48">
            <v>7.0452196919848129</v>
          </cell>
          <cell r="AN48">
            <v>0.9307439429875477</v>
          </cell>
          <cell r="AO48" t="e">
            <v>#REF!</v>
          </cell>
          <cell r="AP48" t="e">
            <v>#REF!</v>
          </cell>
          <cell r="AQ48" t="e">
            <v>#REF!</v>
          </cell>
          <cell r="AR48" t="e">
            <v>#REF!</v>
          </cell>
          <cell r="AS48" t="e">
            <v>#REF!</v>
          </cell>
          <cell r="AT48" t="e">
            <v>#REF!</v>
          </cell>
          <cell r="AU48" t="e">
            <v>#REF!</v>
          </cell>
          <cell r="AV48" t="e">
            <v>#REF!</v>
          </cell>
          <cell r="AW48">
            <v>0.9307439429875477</v>
          </cell>
          <cell r="AX48">
            <v>0.9307439429875477</v>
          </cell>
          <cell r="AY48">
            <v>0.9307439429875477</v>
          </cell>
          <cell r="AZ48" t="e">
            <v>#REF!</v>
          </cell>
          <cell r="BE48">
            <v>236169.91</v>
          </cell>
          <cell r="BF48">
            <v>576020.80350000004</v>
          </cell>
        </row>
        <row r="49">
          <cell r="A49" t="str">
            <v>CC24RZ39-39</v>
          </cell>
          <cell r="B49" t="str">
            <v>CC24RZ39-39 ABW-004 Haren Gn, Zeemanweg</v>
          </cell>
          <cell r="C49" t="str">
            <v>CC24RZ39</v>
          </cell>
          <cell r="D49">
            <v>39</v>
          </cell>
          <cell r="E49" t="str">
            <v>Haren Gn</v>
          </cell>
          <cell r="F49" t="str">
            <v>Zeemanweg</v>
          </cell>
          <cell r="G49" t="str">
            <v>6</v>
          </cell>
          <cell r="H49" t="str">
            <v>Haren_21-09-2024_export.csv</v>
          </cell>
          <cell r="I49" t="str">
            <v>C &amp; C Cable &amp; Communication B.V.</v>
          </cell>
          <cell r="J49"/>
          <cell r="K49" t="str">
            <v>ABW-004</v>
          </cell>
          <cell r="L49">
            <v>45490</v>
          </cell>
          <cell r="M49">
            <v>5</v>
          </cell>
          <cell r="N49">
            <v>9</v>
          </cell>
          <cell r="O49">
            <v>1</v>
          </cell>
          <cell r="P49">
            <v>63</v>
          </cell>
          <cell r="Q49" t="str">
            <v xml:space="preserve">PE100 </v>
          </cell>
          <cell r="R49">
            <v>236156.01699999999</v>
          </cell>
          <cell r="S49">
            <v>576054.70799999998</v>
          </cell>
          <cell r="T49">
            <v>0.93100000000000005</v>
          </cell>
          <cell r="U49">
            <v>236150.019</v>
          </cell>
          <cell r="V49">
            <v>576051.23899999994</v>
          </cell>
          <cell r="W49">
            <v>1.2809999999999999</v>
          </cell>
          <cell r="X49">
            <v>0.34999999999999987</v>
          </cell>
          <cell r="Y49">
            <v>1.1059999999999999</v>
          </cell>
          <cell r="Z49">
            <v>6.928922354897054</v>
          </cell>
          <cell r="AA49" t="str">
            <v>236156.017,576054.708</v>
          </cell>
          <cell r="AB49" t="str">
            <v>236150.019,576051.239</v>
          </cell>
          <cell r="AC49">
            <v>6.6321277751636298</v>
          </cell>
          <cell r="AD49">
            <v>1.0447510346294711</v>
          </cell>
          <cell r="AE49">
            <v>0.71</v>
          </cell>
          <cell r="AF49">
            <v>50.24</v>
          </cell>
          <cell r="AG49">
            <v>1.80213409772671</v>
          </cell>
          <cell r="AH49">
            <v>38.595159149554647</v>
          </cell>
          <cell r="AI49">
            <v>3.1190678238617648</v>
          </cell>
          <cell r="AJ49">
            <v>1.09213409772671</v>
          </cell>
          <cell r="AK49">
            <v>44.636941811934754</v>
          </cell>
          <cell r="AL49">
            <v>3.5130599513018645</v>
          </cell>
          <cell r="AM49">
            <v>6.6321277751636298</v>
          </cell>
          <cell r="AN49">
            <v>1.0447510346294711</v>
          </cell>
          <cell r="AO49" t="e">
            <v>#REF!</v>
          </cell>
          <cell r="AP49" t="e">
            <v>#REF!</v>
          </cell>
          <cell r="AQ49" t="e">
            <v>#REF!</v>
          </cell>
          <cell r="AR49" t="e">
            <v>#REF!</v>
          </cell>
          <cell r="AS49" t="e">
            <v>#REF!</v>
          </cell>
          <cell r="AT49" t="e">
            <v>#REF!</v>
          </cell>
          <cell r="AU49" t="e">
            <v>#REF!</v>
          </cell>
          <cell r="AV49" t="e">
            <v>#REF!</v>
          </cell>
          <cell r="AW49">
            <v>1.0447510346294711</v>
          </cell>
          <cell r="AX49">
            <v>1.0447510346294711</v>
          </cell>
          <cell r="AY49">
            <v>1.0447510346294711</v>
          </cell>
          <cell r="AZ49" t="e">
            <v>#REF!</v>
          </cell>
          <cell r="BE49">
            <v>236153.01799999998</v>
          </cell>
          <cell r="BF49">
            <v>576052.97349999996</v>
          </cell>
        </row>
        <row r="50">
          <cell r="A50" t="str">
            <v>CC24RZ39-40</v>
          </cell>
          <cell r="B50" t="str">
            <v>CC24RZ39-40 ABW-004  Haren Gn, Zeemanweg</v>
          </cell>
          <cell r="C50" t="str">
            <v>CC24RZ39</v>
          </cell>
          <cell r="D50">
            <v>40</v>
          </cell>
          <cell r="E50" t="str">
            <v>Haren Gn</v>
          </cell>
          <cell r="F50" t="str">
            <v>Zeemanweg</v>
          </cell>
          <cell r="G50" t="str">
            <v>3</v>
          </cell>
          <cell r="H50" t="str">
            <v>Haren_21-09-2024_export.csv</v>
          </cell>
          <cell r="I50" t="str">
            <v>C &amp; C Cable &amp; Communication B.V.</v>
          </cell>
          <cell r="J50"/>
          <cell r="K50" t="str">
            <v xml:space="preserve">ABW-004 </v>
          </cell>
          <cell r="L50">
            <v>45490</v>
          </cell>
          <cell r="M50">
            <v>5</v>
          </cell>
          <cell r="N50">
            <v>9</v>
          </cell>
          <cell r="O50">
            <v>1</v>
          </cell>
          <cell r="P50">
            <v>63</v>
          </cell>
          <cell r="Q50" t="str">
            <v xml:space="preserve">PE100 </v>
          </cell>
          <cell r="R50">
            <v>236134.58100000001</v>
          </cell>
          <cell r="S50">
            <v>576058.72400000005</v>
          </cell>
          <cell r="T50">
            <v>0.85799999999999998</v>
          </cell>
          <cell r="U50">
            <v>236136.70300000001</v>
          </cell>
          <cell r="V50">
            <v>576052.60199999996</v>
          </cell>
          <cell r="W50">
            <v>1.337</v>
          </cell>
          <cell r="X50">
            <v>0.47899999999999998</v>
          </cell>
          <cell r="Y50">
            <v>1.0974999999999999</v>
          </cell>
          <cell r="Z50">
            <v>6.4793339164700372</v>
          </cell>
          <cell r="AA50" t="str">
            <v>236134.581,576058.724</v>
          </cell>
          <cell r="AB50" t="str">
            <v>236136.703,576052.602</v>
          </cell>
          <cell r="AC50">
            <v>6.7581444408386018</v>
          </cell>
          <cell r="AD50">
            <v>0.95874451533119831</v>
          </cell>
          <cell r="AE50">
            <v>0.71</v>
          </cell>
          <cell r="AF50">
            <v>50.24</v>
          </cell>
          <cell r="AG50">
            <v>1.80213409772671</v>
          </cell>
          <cell r="AH50">
            <v>38.595159149554647</v>
          </cell>
          <cell r="AI50">
            <v>3.1190678238617648</v>
          </cell>
          <cell r="AJ50">
            <v>1.09213409772671</v>
          </cell>
          <cell r="AK50">
            <v>46.703556214934416</v>
          </cell>
          <cell r="AL50">
            <v>3.6390766169768369</v>
          </cell>
          <cell r="AM50">
            <v>6.7581444408386018</v>
          </cell>
          <cell r="AN50">
            <v>0.95874451533119831</v>
          </cell>
          <cell r="AO50" t="e">
            <v>#REF!</v>
          </cell>
          <cell r="AP50" t="e">
            <v>#REF!</v>
          </cell>
          <cell r="AQ50" t="e">
            <v>#REF!</v>
          </cell>
          <cell r="AR50" t="e">
            <v>#REF!</v>
          </cell>
          <cell r="AS50" t="e">
            <v>#REF!</v>
          </cell>
          <cell r="AT50" t="e">
            <v>#REF!</v>
          </cell>
          <cell r="AU50" t="e">
            <v>#REF!</v>
          </cell>
          <cell r="AV50" t="e">
            <v>#REF!</v>
          </cell>
          <cell r="AW50">
            <v>0.95874451533119831</v>
          </cell>
          <cell r="AX50">
            <v>0.95874451533119831</v>
          </cell>
          <cell r="AY50">
            <v>0.95874451533119831</v>
          </cell>
          <cell r="AZ50" t="e">
            <v>#REF!</v>
          </cell>
          <cell r="BE50">
            <v>236135.64199999999</v>
          </cell>
          <cell r="BF50">
            <v>576055.66299999994</v>
          </cell>
        </row>
        <row r="51">
          <cell r="A51" t="str">
            <v>CC24RZ39-41</v>
          </cell>
          <cell r="B51" t="str">
            <v>CC24RZ39-41 ABW-004 Haren Gn, Zeemanweg</v>
          </cell>
          <cell r="C51" t="str">
            <v>CC24RZ39</v>
          </cell>
          <cell r="D51">
            <v>41</v>
          </cell>
          <cell r="E51" t="str">
            <v>Haren Gn</v>
          </cell>
          <cell r="F51" t="str">
            <v>Zeemanweg</v>
          </cell>
          <cell r="G51" t="str">
            <v>3</v>
          </cell>
          <cell r="H51" t="str">
            <v>Haren_21-09-2024_export.csv</v>
          </cell>
          <cell r="I51" t="str">
            <v>C &amp; C Cable &amp; Communication B.V.</v>
          </cell>
          <cell r="J51"/>
          <cell r="K51" t="str">
            <v>ABW-004</v>
          </cell>
          <cell r="L51">
            <v>45490</v>
          </cell>
          <cell r="M51">
            <v>5</v>
          </cell>
          <cell r="N51">
            <v>8</v>
          </cell>
          <cell r="O51">
            <v>1</v>
          </cell>
          <cell r="P51">
            <v>63</v>
          </cell>
          <cell r="Q51" t="str">
            <v xml:space="preserve">PE100 </v>
          </cell>
          <cell r="R51">
            <v>236128.81400000001</v>
          </cell>
          <cell r="S51">
            <v>576049.10400000005</v>
          </cell>
          <cell r="T51">
            <v>1.0129999999999999</v>
          </cell>
          <cell r="U51">
            <v>236126.38699999999</v>
          </cell>
          <cell r="V51">
            <v>576054.31000000006</v>
          </cell>
          <cell r="W51">
            <v>0.36599999999999999</v>
          </cell>
          <cell r="X51">
            <v>-0.64699999999999991</v>
          </cell>
          <cell r="Y51">
            <v>0.6895</v>
          </cell>
          <cell r="Z51">
            <v>5.7439328861138543</v>
          </cell>
          <cell r="AA51" t="str">
            <v>236128.814,576049.104</v>
          </cell>
          <cell r="AB51" t="str">
            <v>236126.387,576054.31</v>
          </cell>
          <cell r="AC51">
            <v>6.2056237300970229</v>
          </cell>
          <cell r="AD51">
            <v>0.92560121849734678</v>
          </cell>
          <cell r="AE51">
            <v>0.71</v>
          </cell>
          <cell r="AF51">
            <v>55.21</v>
          </cell>
          <cell r="AG51">
            <v>2.1471487929040034</v>
          </cell>
          <cell r="AH51">
            <v>44.555576114520797</v>
          </cell>
          <cell r="AI51">
            <v>3.5080038876966197</v>
          </cell>
          <cell r="AJ51">
            <v>1.4371487929040034</v>
          </cell>
          <cell r="AK51">
            <v>32.651239196569584</v>
          </cell>
          <cell r="AL51">
            <v>2.6976198424004032</v>
          </cell>
          <cell r="AM51">
            <v>6.2056237300970229</v>
          </cell>
          <cell r="AN51">
            <v>0.92560121849734678</v>
          </cell>
          <cell r="AO51" t="e">
            <v>#REF!</v>
          </cell>
          <cell r="AP51" t="e">
            <v>#REF!</v>
          </cell>
          <cell r="AQ51" t="e">
            <v>#REF!</v>
          </cell>
          <cell r="AR51" t="e">
            <v>#REF!</v>
          </cell>
          <cell r="AS51" t="e">
            <v>#REF!</v>
          </cell>
          <cell r="AT51" t="e">
            <v>#REF!</v>
          </cell>
          <cell r="AU51" t="e">
            <v>#REF!</v>
          </cell>
          <cell r="AV51" t="e">
            <v>#REF!</v>
          </cell>
          <cell r="AW51">
            <v>0.92560121849734678</v>
          </cell>
          <cell r="AX51">
            <v>0.92560121849734678</v>
          </cell>
          <cell r="AY51">
            <v>0.92560121849734678</v>
          </cell>
          <cell r="AZ51" t="e">
            <v>#REF!</v>
          </cell>
          <cell r="BE51">
            <v>236127.6005</v>
          </cell>
          <cell r="BF51">
            <v>576051.70700000005</v>
          </cell>
        </row>
        <row r="52">
          <cell r="A52" t="str">
            <v>CC24RZ39-42</v>
          </cell>
          <cell r="B52" t="str">
            <v>CC24RZ39-42 ABW-004 Haren Gn, Zeemanweg</v>
          </cell>
          <cell r="C52" t="str">
            <v>CC24RZ39</v>
          </cell>
          <cell r="D52">
            <v>42</v>
          </cell>
          <cell r="E52" t="str">
            <v>Haren Gn</v>
          </cell>
          <cell r="F52" t="str">
            <v>Zeemanweg</v>
          </cell>
          <cell r="G52" t="str">
            <v>1</v>
          </cell>
          <cell r="H52" t="str">
            <v>Haren_21-09-2024_export.csv</v>
          </cell>
          <cell r="I52" t="str">
            <v>C &amp; C Cable &amp; Communication B.V.</v>
          </cell>
          <cell r="J52"/>
          <cell r="K52" t="str">
            <v>ABW-004</v>
          </cell>
          <cell r="L52">
            <v>45490</v>
          </cell>
          <cell r="M52">
            <v>5</v>
          </cell>
          <cell r="N52">
            <v>8</v>
          </cell>
          <cell r="O52">
            <v>1</v>
          </cell>
          <cell r="P52">
            <v>63</v>
          </cell>
          <cell r="Q52" t="str">
            <v xml:space="preserve">PE100 </v>
          </cell>
          <cell r="R52">
            <v>236107.079</v>
          </cell>
          <cell r="S52">
            <v>576037.27599999995</v>
          </cell>
          <cell r="T52">
            <v>0.879</v>
          </cell>
          <cell r="U52">
            <v>236105.08499999999</v>
          </cell>
          <cell r="V52">
            <v>576043.33700000006</v>
          </cell>
          <cell r="W52">
            <v>1.1120000000000001</v>
          </cell>
          <cell r="X52">
            <v>0.2330000000000001</v>
          </cell>
          <cell r="Y52">
            <v>0.99550000000000005</v>
          </cell>
          <cell r="Z52">
            <v>6.3805765414480593</v>
          </cell>
          <cell r="AA52" t="str">
            <v>236107.079,576037.276</v>
          </cell>
          <cell r="AB52" t="str">
            <v>236105.085,576043.337</v>
          </cell>
          <cell r="AC52">
            <v>7.2378954328492844</v>
          </cell>
          <cell r="AD52">
            <v>0.88155135710993116</v>
          </cell>
          <cell r="AE52">
            <v>0.71</v>
          </cell>
          <cell r="AF52">
            <v>55.21</v>
          </cell>
          <cell r="AG52">
            <v>2.1471487929040034</v>
          </cell>
          <cell r="AH52">
            <v>44.555576114520797</v>
          </cell>
          <cell r="AI52">
            <v>3.5080038876966197</v>
          </cell>
          <cell r="AJ52">
            <v>1.4371487929040034</v>
          </cell>
          <cell r="AK52">
            <v>48.243197216810472</v>
          </cell>
          <cell r="AL52">
            <v>3.7298915451526646</v>
          </cell>
          <cell r="AM52">
            <v>7.2378954328492844</v>
          </cell>
          <cell r="AN52">
            <v>0.88155135710993116</v>
          </cell>
          <cell r="AO52" t="e">
            <v>#REF!</v>
          </cell>
          <cell r="AP52" t="e">
            <v>#REF!</v>
          </cell>
          <cell r="AQ52" t="e">
            <v>#REF!</v>
          </cell>
          <cell r="AR52" t="e">
            <v>#REF!</v>
          </cell>
          <cell r="AS52" t="e">
            <v>#REF!</v>
          </cell>
          <cell r="AT52" t="e">
            <v>#REF!</v>
          </cell>
          <cell r="AU52" t="e">
            <v>#REF!</v>
          </cell>
          <cell r="AV52" t="e">
            <v>#REF!</v>
          </cell>
          <cell r="AW52">
            <v>0.88155135710993116</v>
          </cell>
          <cell r="AX52">
            <v>0.88155135710993116</v>
          </cell>
          <cell r="AY52">
            <v>0.88155135710993116</v>
          </cell>
          <cell r="AZ52" t="e">
            <v>#REF!</v>
          </cell>
          <cell r="BE52">
            <v>236106.08199999999</v>
          </cell>
          <cell r="BF52">
            <v>576040.30649999995</v>
          </cell>
        </row>
        <row r="53">
          <cell r="A53" t="str">
            <v>CC24RZ39-43</v>
          </cell>
          <cell r="B53" t="str">
            <v>CC24RZ39-43 ABW-004 Haren Gn, Westerse Drift</v>
          </cell>
          <cell r="C53" t="str">
            <v>CC24RZ39</v>
          </cell>
          <cell r="D53">
            <v>43</v>
          </cell>
          <cell r="E53" t="str">
            <v>Haren Gn</v>
          </cell>
          <cell r="F53" t="str">
            <v>Westerse Drift</v>
          </cell>
          <cell r="G53" t="str">
            <v>102</v>
          </cell>
          <cell r="H53" t="str">
            <v>Haren_21-09-2024_export.csv</v>
          </cell>
          <cell r="I53" t="str">
            <v>C &amp; C Cable &amp; Communication B.V.</v>
          </cell>
          <cell r="J53"/>
          <cell r="K53" t="str">
            <v>ABW-004</v>
          </cell>
          <cell r="L53">
            <v>45483</v>
          </cell>
          <cell r="M53">
            <v>5</v>
          </cell>
          <cell r="N53">
            <v>8</v>
          </cell>
          <cell r="O53">
            <v>1</v>
          </cell>
          <cell r="P53">
            <v>63</v>
          </cell>
          <cell r="Q53" t="str">
            <v xml:space="preserve">PE100 </v>
          </cell>
          <cell r="R53">
            <v>236558.19099999999</v>
          </cell>
          <cell r="S53">
            <v>575983.97900000005</v>
          </cell>
          <cell r="T53">
            <v>1.6259999999999999</v>
          </cell>
          <cell r="U53">
            <v>236555.76300000001</v>
          </cell>
          <cell r="V53">
            <v>575989.69700000004</v>
          </cell>
          <cell r="W53">
            <v>1.6559999999999999</v>
          </cell>
          <cell r="X53">
            <v>3.0000000000000027E-2</v>
          </cell>
          <cell r="Y53">
            <v>1.641</v>
          </cell>
          <cell r="Z53">
            <v>6.2121419816239083</v>
          </cell>
          <cell r="AA53" t="str">
            <v>236558.191,575983.979</v>
          </cell>
          <cell r="AB53" t="str">
            <v>236555.763,575989.697</v>
          </cell>
          <cell r="AC53">
            <v>7.0462184584258107</v>
          </cell>
          <cell r="AD53">
            <v>0.88162778634765138</v>
          </cell>
          <cell r="AE53">
            <v>0.71</v>
          </cell>
          <cell r="AF53">
            <v>55.21</v>
          </cell>
          <cell r="AG53">
            <v>2.1471487929040034</v>
          </cell>
          <cell r="AH53">
            <v>44.555576114520797</v>
          </cell>
          <cell r="AI53">
            <v>3.5080038876966197</v>
          </cell>
          <cell r="AJ53">
            <v>1.4371487929040034</v>
          </cell>
          <cell r="AK53">
            <v>45.04345851826308</v>
          </cell>
          <cell r="AL53">
            <v>3.538214570729191</v>
          </cell>
          <cell r="AM53">
            <v>7.0462184584258107</v>
          </cell>
          <cell r="AN53">
            <v>0.88162778634765138</v>
          </cell>
          <cell r="AO53" t="e">
            <v>#REF!</v>
          </cell>
          <cell r="AP53" t="e">
            <v>#REF!</v>
          </cell>
          <cell r="AQ53" t="e">
            <v>#REF!</v>
          </cell>
          <cell r="AR53" t="e">
            <v>#REF!</v>
          </cell>
          <cell r="AS53" t="e">
            <v>#REF!</v>
          </cell>
          <cell r="AT53" t="e">
            <v>#REF!</v>
          </cell>
          <cell r="AU53" t="e">
            <v>#REF!</v>
          </cell>
          <cell r="AV53" t="e">
            <v>#REF!</v>
          </cell>
          <cell r="AW53">
            <v>0.88162778634765138</v>
          </cell>
          <cell r="AX53">
            <v>0.88162778634765138</v>
          </cell>
          <cell r="AY53">
            <v>0.88162778634765138</v>
          </cell>
          <cell r="AZ53" t="e">
            <v>#REF!</v>
          </cell>
          <cell r="BE53">
            <v>236556.97700000001</v>
          </cell>
          <cell r="BF53">
            <v>575986.83799999999</v>
          </cell>
        </row>
        <row r="54">
          <cell r="A54" t="str">
            <v>CC24RZ39-44</v>
          </cell>
          <cell r="B54" t="str">
            <v>CC24RZ39-44 ABW-004 Haren Gn, Ruitersteeg</v>
          </cell>
          <cell r="C54" t="str">
            <v>CC24RZ39</v>
          </cell>
          <cell r="D54">
            <v>44</v>
          </cell>
          <cell r="E54" t="str">
            <v>Haren Gn</v>
          </cell>
          <cell r="F54" t="str">
            <v>Ruitersteeg</v>
          </cell>
          <cell r="G54" t="str">
            <v>8</v>
          </cell>
          <cell r="H54" t="str">
            <v>Haren_21-09-2024_export.csv</v>
          </cell>
          <cell r="I54" t="str">
            <v>C &amp; C Cable &amp; Communication B.V.</v>
          </cell>
          <cell r="J54"/>
          <cell r="K54" t="str">
            <v>ABW-004</v>
          </cell>
          <cell r="L54">
            <v>45534</v>
          </cell>
          <cell r="M54">
            <v>5</v>
          </cell>
          <cell r="N54">
            <v>8</v>
          </cell>
          <cell r="O54">
            <v>1</v>
          </cell>
          <cell r="P54">
            <v>63</v>
          </cell>
          <cell r="Q54" t="str">
            <v xml:space="preserve">PE100 </v>
          </cell>
          <cell r="R54">
            <v>236646.128</v>
          </cell>
          <cell r="S54">
            <v>576019.62100000004</v>
          </cell>
          <cell r="T54">
            <v>1.984</v>
          </cell>
          <cell r="U54">
            <v>236643.56299999999</v>
          </cell>
          <cell r="V54">
            <v>576025.63899999997</v>
          </cell>
          <cell r="W54">
            <v>2.0609999999999999</v>
          </cell>
          <cell r="X54">
            <v>7.6999999999999957E-2</v>
          </cell>
          <cell r="Y54">
            <v>2.0225</v>
          </cell>
          <cell r="Z54">
            <v>6.5418307070034132</v>
          </cell>
          <cell r="AA54" t="str">
            <v>236646.128,576019.621</v>
          </cell>
          <cell r="AB54" t="str">
            <v>236643.563,576025.639</v>
          </cell>
          <cell r="AC54">
            <v>7.0925319405910843</v>
          </cell>
          <cell r="AD54">
            <v>0.92235477567101709</v>
          </cell>
          <cell r="AE54">
            <v>0.71</v>
          </cell>
          <cell r="AF54">
            <v>55.21</v>
          </cell>
          <cell r="AG54">
            <v>2.1471487929040034</v>
          </cell>
          <cell r="AH54">
            <v>44.555576114520797</v>
          </cell>
          <cell r="AI54">
            <v>3.5080038876966197</v>
          </cell>
          <cell r="AJ54">
            <v>1.4371487929040034</v>
          </cell>
          <cell r="AK54">
            <v>45.7995893224493</v>
          </cell>
          <cell r="AL54">
            <v>3.5845280528944645</v>
          </cell>
          <cell r="AM54">
            <v>7.0925319405910843</v>
          </cell>
          <cell r="AN54">
            <v>0.92235477567101709</v>
          </cell>
          <cell r="AO54" t="e">
            <v>#REF!</v>
          </cell>
          <cell r="AP54" t="e">
            <v>#REF!</v>
          </cell>
          <cell r="AQ54" t="e">
            <v>#REF!</v>
          </cell>
          <cell r="AR54" t="e">
            <v>#REF!</v>
          </cell>
          <cell r="AS54" t="e">
            <v>#REF!</v>
          </cell>
          <cell r="AT54" t="e">
            <v>#REF!</v>
          </cell>
          <cell r="AU54" t="e">
            <v>#REF!</v>
          </cell>
          <cell r="AV54" t="e">
            <v>#REF!</v>
          </cell>
          <cell r="AW54">
            <v>0.92235477567101709</v>
          </cell>
          <cell r="AX54">
            <v>0.92235477567101709</v>
          </cell>
          <cell r="AY54">
            <v>0.92235477567101709</v>
          </cell>
          <cell r="AZ54" t="e">
            <v>#REF!</v>
          </cell>
          <cell r="BE54">
            <v>236644.8455</v>
          </cell>
          <cell r="BF54">
            <v>576022.63</v>
          </cell>
        </row>
        <row r="55">
          <cell r="A55" t="str">
            <v>CC24RZ39-45</v>
          </cell>
          <cell r="B55" t="str">
            <v>CC24RZ39-45 ABW-004 Haren Gn, Ruitersteeg</v>
          </cell>
          <cell r="C55" t="str">
            <v>CC24RZ39</v>
          </cell>
          <cell r="D55">
            <v>45</v>
          </cell>
          <cell r="E55" t="str">
            <v>Haren Gn</v>
          </cell>
          <cell r="F55" t="str">
            <v>Ruitersteeg</v>
          </cell>
          <cell r="G55" t="str">
            <v>5</v>
          </cell>
          <cell r="H55" t="str">
            <v>Haren_21-09-2024_export.csv</v>
          </cell>
          <cell r="I55" t="str">
            <v>C &amp; C Cable &amp; Communication B.V.</v>
          </cell>
          <cell r="J55"/>
          <cell r="K55" t="str">
            <v>ABW-004</v>
          </cell>
          <cell r="L55">
            <v>45534</v>
          </cell>
          <cell r="M55">
            <v>5</v>
          </cell>
          <cell r="N55">
            <v>8</v>
          </cell>
          <cell r="O55">
            <v>1</v>
          </cell>
          <cell r="P55">
            <v>63</v>
          </cell>
          <cell r="Q55" t="str">
            <v xml:space="preserve">PE100 </v>
          </cell>
          <cell r="R55">
            <v>236700.348</v>
          </cell>
          <cell r="S55">
            <v>576093.04200000002</v>
          </cell>
          <cell r="T55">
            <v>2.72</v>
          </cell>
          <cell r="U55">
            <v>236694.42800000001</v>
          </cell>
          <cell r="V55">
            <v>576095.37800000003</v>
          </cell>
          <cell r="W55">
            <v>2.63</v>
          </cell>
          <cell r="X55">
            <v>-9.0000000000000302E-2</v>
          </cell>
          <cell r="Y55">
            <v>2.6749999999999998</v>
          </cell>
          <cell r="Z55">
            <v>6.3642199836158158</v>
          </cell>
          <cell r="AA55" t="str">
            <v>236700.348,576093.042</v>
          </cell>
          <cell r="AB55" t="str">
            <v>236694.428,576095.378</v>
          </cell>
          <cell r="AC55">
            <v>6.922191647445243</v>
          </cell>
          <cell r="AD55">
            <v>0.91939378563213336</v>
          </cell>
          <cell r="AE55">
            <v>0.71</v>
          </cell>
          <cell r="AF55">
            <v>55.21</v>
          </cell>
          <cell r="AG55">
            <v>2.1471487929040034</v>
          </cell>
          <cell r="AH55">
            <v>44.555576114520797</v>
          </cell>
          <cell r="AI55">
            <v>3.5080038876966197</v>
          </cell>
          <cell r="AJ55">
            <v>1.4371487929040034</v>
          </cell>
          <cell r="AK55">
            <v>43.065779274342425</v>
          </cell>
          <cell r="AL55">
            <v>3.4141877597486232</v>
          </cell>
          <cell r="AM55">
            <v>6.922191647445243</v>
          </cell>
          <cell r="AN55">
            <v>0.91939378563213336</v>
          </cell>
          <cell r="AO55" t="e">
            <v>#REF!</v>
          </cell>
          <cell r="AP55" t="e">
            <v>#REF!</v>
          </cell>
          <cell r="AQ55" t="e">
            <v>#REF!</v>
          </cell>
          <cell r="AR55" t="e">
            <v>#REF!</v>
          </cell>
          <cell r="AS55" t="e">
            <v>#REF!</v>
          </cell>
          <cell r="AT55" t="e">
            <v>#REF!</v>
          </cell>
          <cell r="AU55" t="e">
            <v>#REF!</v>
          </cell>
          <cell r="AV55" t="e">
            <v>#REF!</v>
          </cell>
          <cell r="AW55">
            <v>0.91939378563213336</v>
          </cell>
          <cell r="AX55">
            <v>0.91939378563213336</v>
          </cell>
          <cell r="AY55">
            <v>0.91939378563213336</v>
          </cell>
          <cell r="AZ55" t="e">
            <v>#REF!</v>
          </cell>
          <cell r="BE55">
            <v>236697.38800000001</v>
          </cell>
          <cell r="BF55">
            <v>576094.21</v>
          </cell>
        </row>
        <row r="56">
          <cell r="A56" t="str">
            <v>CC24RZ39-46</v>
          </cell>
          <cell r="B56" t="str">
            <v>CC24RZ39-46 ABW-004  Haren Gn, Ruitersteeg</v>
          </cell>
          <cell r="C56" t="str">
            <v>CC24RZ39</v>
          </cell>
          <cell r="D56">
            <v>46</v>
          </cell>
          <cell r="E56" t="str">
            <v>Haren Gn</v>
          </cell>
          <cell r="F56" t="str">
            <v>Ruitersteeg</v>
          </cell>
          <cell r="G56" t="str">
            <v>4</v>
          </cell>
          <cell r="H56" t="str">
            <v>Haren_21-09-2024_export.csv</v>
          </cell>
          <cell r="I56" t="str">
            <v>C &amp; C Cable &amp; Communication B.V.</v>
          </cell>
          <cell r="J56"/>
          <cell r="K56" t="str">
            <v xml:space="preserve">ABW-004 </v>
          </cell>
          <cell r="L56">
            <v>45534</v>
          </cell>
          <cell r="M56">
            <v>5</v>
          </cell>
          <cell r="N56">
            <v>8</v>
          </cell>
          <cell r="O56">
            <v>1</v>
          </cell>
          <cell r="P56">
            <v>63</v>
          </cell>
          <cell r="Q56" t="str">
            <v xml:space="preserve">PE100 </v>
          </cell>
          <cell r="R56">
            <v>236716.72099999999</v>
          </cell>
          <cell r="S56">
            <v>576136.09</v>
          </cell>
          <cell r="T56">
            <v>2.9790000000000001</v>
          </cell>
          <cell r="U56">
            <v>236710.394</v>
          </cell>
          <cell r="V56">
            <v>576138.35199999996</v>
          </cell>
          <cell r="W56">
            <v>2.9180000000000001</v>
          </cell>
          <cell r="X56">
            <v>-6.0999999999999943E-2</v>
          </cell>
          <cell r="Y56">
            <v>2.9485000000000001</v>
          </cell>
          <cell r="Z56">
            <v>6.7191943713380908</v>
          </cell>
          <cell r="AA56" t="str">
            <v>236716.721,576136.09</v>
          </cell>
          <cell r="AB56" t="str">
            <v>236710.394,576138.352</v>
          </cell>
          <cell r="AC56">
            <v>6.9529570700822507</v>
          </cell>
          <cell r="AD56">
            <v>0.96637938414002111</v>
          </cell>
          <cell r="AE56">
            <v>0.71</v>
          </cell>
          <cell r="AF56">
            <v>55.21</v>
          </cell>
          <cell r="AG56">
            <v>2.1471487929040034</v>
          </cell>
          <cell r="AH56">
            <v>44.555576114520797</v>
          </cell>
          <cell r="AI56">
            <v>3.5080038876966197</v>
          </cell>
          <cell r="AJ56">
            <v>1.4371487929040034</v>
          </cell>
          <cell r="AK56">
            <v>43.550262016286524</v>
          </cell>
          <cell r="AL56">
            <v>3.4449531823856305</v>
          </cell>
          <cell r="AM56">
            <v>6.9529570700822507</v>
          </cell>
          <cell r="AN56">
            <v>0.96637938414002111</v>
          </cell>
          <cell r="AO56" t="e">
            <v>#REF!</v>
          </cell>
          <cell r="AP56" t="e">
            <v>#REF!</v>
          </cell>
          <cell r="AQ56" t="e">
            <v>#REF!</v>
          </cell>
          <cell r="AR56" t="e">
            <v>#REF!</v>
          </cell>
          <cell r="AS56" t="e">
            <v>#REF!</v>
          </cell>
          <cell r="AT56" t="e">
            <v>#REF!</v>
          </cell>
          <cell r="AU56" t="e">
            <v>#REF!</v>
          </cell>
          <cell r="AV56" t="e">
            <v>#REF!</v>
          </cell>
          <cell r="AW56">
            <v>0.96637938414002111</v>
          </cell>
          <cell r="AX56">
            <v>0.96637938414002111</v>
          </cell>
          <cell r="AY56">
            <v>0.96637938414002111</v>
          </cell>
          <cell r="AZ56" t="e">
            <v>#REF!</v>
          </cell>
          <cell r="BE56">
            <v>236713.5575</v>
          </cell>
          <cell r="BF56">
            <v>576137.2209999999</v>
          </cell>
        </row>
        <row r="57">
          <cell r="A57" t="str">
            <v>CC24RZ39-47</v>
          </cell>
          <cell r="B57" t="str">
            <v>CC24RZ39-47 ABW-007  Haren Gn, Reigerweg</v>
          </cell>
          <cell r="C57" t="str">
            <v>CC24RZ39</v>
          </cell>
          <cell r="D57">
            <v>47</v>
          </cell>
          <cell r="E57" t="str">
            <v>Haren Gn</v>
          </cell>
          <cell r="F57" t="str">
            <v>Reigerweg</v>
          </cell>
          <cell r="G57" t="str">
            <v>2</v>
          </cell>
          <cell r="H57" t="str">
            <v>Haren_21-09-2024_export.csv</v>
          </cell>
          <cell r="I57" t="str">
            <v>C &amp; C Cable &amp; Communication B.V.</v>
          </cell>
          <cell r="J57"/>
          <cell r="K57" t="str">
            <v xml:space="preserve">ABW-007 </v>
          </cell>
          <cell r="L57">
            <v>45540</v>
          </cell>
          <cell r="M57">
            <v>5</v>
          </cell>
          <cell r="N57">
            <v>8</v>
          </cell>
          <cell r="O57">
            <v>1</v>
          </cell>
          <cell r="P57">
            <v>63</v>
          </cell>
          <cell r="Q57" t="str">
            <v xml:space="preserve">PE100 </v>
          </cell>
          <cell r="R57">
            <v>236852.954</v>
          </cell>
          <cell r="S57">
            <v>575669.20700000005</v>
          </cell>
          <cell r="T57">
            <v>2.6930000000000001</v>
          </cell>
          <cell r="U57">
            <v>236850.10800000001</v>
          </cell>
          <cell r="V57">
            <v>575675.05799999996</v>
          </cell>
          <cell r="W57">
            <v>2.6469999999999998</v>
          </cell>
          <cell r="X57">
            <v>-4.6000000000000263E-2</v>
          </cell>
          <cell r="Y57">
            <v>2.67</v>
          </cell>
          <cell r="Z57">
            <v>6.5064519516297619</v>
          </cell>
          <cell r="AA57" t="str">
            <v>236852.954,575669.207</v>
          </cell>
          <cell r="AB57" t="str">
            <v>236850.108,575675.058</v>
          </cell>
          <cell r="AC57">
            <v>6.9686675473205595</v>
          </cell>
          <cell r="AD57">
            <v>0.93367231360197134</v>
          </cell>
          <cell r="AE57">
            <v>0.71</v>
          </cell>
          <cell r="AF57">
            <v>55.21</v>
          </cell>
          <cell r="AG57">
            <v>2.1471487929040034</v>
          </cell>
          <cell r="AH57">
            <v>44.555576114520797</v>
          </cell>
          <cell r="AI57">
            <v>3.5080038876966197</v>
          </cell>
          <cell r="AJ57">
            <v>1.4371487929040034</v>
          </cell>
          <cell r="AK57">
            <v>43.799171088624057</v>
          </cell>
          <cell r="AL57">
            <v>3.4606636596239397</v>
          </cell>
          <cell r="AM57">
            <v>6.9686675473205595</v>
          </cell>
          <cell r="AN57">
            <v>0.93367231360197134</v>
          </cell>
          <cell r="AO57" t="e">
            <v>#REF!</v>
          </cell>
          <cell r="AP57" t="e">
            <v>#REF!</v>
          </cell>
          <cell r="AQ57" t="e">
            <v>#REF!</v>
          </cell>
          <cell r="AR57" t="e">
            <v>#REF!</v>
          </cell>
          <cell r="AS57" t="e">
            <v>#REF!</v>
          </cell>
          <cell r="AT57" t="e">
            <v>#REF!</v>
          </cell>
          <cell r="AU57" t="e">
            <v>#REF!</v>
          </cell>
          <cell r="AV57" t="e">
            <v>#REF!</v>
          </cell>
          <cell r="AW57">
            <v>0.93367231360197134</v>
          </cell>
          <cell r="AX57">
            <v>0.93367231360197134</v>
          </cell>
          <cell r="AY57">
            <v>0.93367231360197134</v>
          </cell>
          <cell r="AZ57" t="e">
            <v>#REF!</v>
          </cell>
          <cell r="BE57">
            <v>236851.53100000002</v>
          </cell>
          <cell r="BF57">
            <v>575672.13250000007</v>
          </cell>
        </row>
        <row r="58">
          <cell r="A58" t="str">
            <v>CC24RZ39-48</v>
          </cell>
          <cell r="B58" t="str">
            <v>CC24RZ39-48 ABW-007 Haren Gn, Reigerweg</v>
          </cell>
          <cell r="C58" t="str">
            <v>CC24RZ39</v>
          </cell>
          <cell r="D58">
            <v>48</v>
          </cell>
          <cell r="E58" t="str">
            <v>Haren Gn</v>
          </cell>
          <cell r="F58" t="str">
            <v>Reigerweg</v>
          </cell>
          <cell r="G58" t="str">
            <v>4</v>
          </cell>
          <cell r="H58" t="str">
            <v>Haren_21-09-2024_export.csv</v>
          </cell>
          <cell r="I58" t="str">
            <v>C &amp; C Cable &amp; Communication B.V.</v>
          </cell>
          <cell r="J58"/>
          <cell r="K58" t="str">
            <v>ABW-007</v>
          </cell>
          <cell r="L58">
            <v>45540</v>
          </cell>
          <cell r="M58">
            <v>5</v>
          </cell>
          <cell r="N58">
            <v>8</v>
          </cell>
          <cell r="O58">
            <v>1</v>
          </cell>
          <cell r="P58">
            <v>63</v>
          </cell>
          <cell r="Q58" t="str">
            <v xml:space="preserve">PE100 </v>
          </cell>
          <cell r="R58">
            <v>236843.622</v>
          </cell>
          <cell r="S58">
            <v>575664.74899999995</v>
          </cell>
          <cell r="T58">
            <v>2.4300000000000002</v>
          </cell>
          <cell r="U58">
            <v>236840.83600000001</v>
          </cell>
          <cell r="V58">
            <v>575670.82999999996</v>
          </cell>
          <cell r="W58">
            <v>2.6070000000000002</v>
          </cell>
          <cell r="X58">
            <v>0.17700000000000005</v>
          </cell>
          <cell r="Y58">
            <v>2.5185000000000004</v>
          </cell>
          <cell r="Z58">
            <v>6.6888232896397959</v>
          </cell>
          <cell r="AA58" t="str">
            <v>236843.622,575664.749</v>
          </cell>
          <cell r="AB58" t="str">
            <v>236840.836,575670.83</v>
          </cell>
          <cell r="AC58">
            <v>7.1871357966401659</v>
          </cell>
          <cell r="AD58">
            <v>0.93066605096938326</v>
          </cell>
          <cell r="AE58">
            <v>0.71</v>
          </cell>
          <cell r="AF58">
            <v>55.21</v>
          </cell>
          <cell r="AG58">
            <v>2.1471487929040034</v>
          </cell>
          <cell r="AH58">
            <v>44.555576114520797</v>
          </cell>
          <cell r="AI58">
            <v>3.5080038876966197</v>
          </cell>
          <cell r="AJ58">
            <v>1.4371487929040034</v>
          </cell>
          <cell r="AK58">
            <v>47.377090482399169</v>
          </cell>
          <cell r="AL58">
            <v>3.6791319089435461</v>
          </cell>
          <cell r="AM58">
            <v>7.1871357966401659</v>
          </cell>
          <cell r="AN58">
            <v>0.93066605096938326</v>
          </cell>
          <cell r="AO58" t="e">
            <v>#REF!</v>
          </cell>
          <cell r="AP58" t="e">
            <v>#REF!</v>
          </cell>
          <cell r="AQ58" t="e">
            <v>#REF!</v>
          </cell>
          <cell r="AR58" t="e">
            <v>#REF!</v>
          </cell>
          <cell r="AS58" t="e">
            <v>#REF!</v>
          </cell>
          <cell r="AT58" t="e">
            <v>#REF!</v>
          </cell>
          <cell r="AU58" t="e">
            <v>#REF!</v>
          </cell>
          <cell r="AV58" t="e">
            <v>#REF!</v>
          </cell>
          <cell r="AW58">
            <v>0.93066605096938326</v>
          </cell>
          <cell r="AX58">
            <v>0.93066605096938326</v>
          </cell>
          <cell r="AY58">
            <v>0.93066605096938326</v>
          </cell>
          <cell r="AZ58" t="e">
            <v>#REF!</v>
          </cell>
          <cell r="BE58">
            <v>236842.22899999999</v>
          </cell>
          <cell r="BF58">
            <v>575667.78949999996</v>
          </cell>
        </row>
        <row r="59">
          <cell r="A59" t="str">
            <v>CC24RZ39-49</v>
          </cell>
          <cell r="B59" t="str">
            <v>CC24RZ39-49 ABW-007 Haren Gn, Reigerweg</v>
          </cell>
          <cell r="C59" t="str">
            <v>CC24RZ39</v>
          </cell>
          <cell r="D59">
            <v>49</v>
          </cell>
          <cell r="E59" t="str">
            <v>Haren Gn</v>
          </cell>
          <cell r="F59" t="str">
            <v>Reigerweg</v>
          </cell>
          <cell r="G59" t="str">
            <v>6</v>
          </cell>
          <cell r="H59" t="str">
            <v>Haren_21-09-2024_export.csv</v>
          </cell>
          <cell r="I59" t="str">
            <v>C &amp; C Cable &amp; Communication B.V.</v>
          </cell>
          <cell r="J59"/>
          <cell r="K59" t="str">
            <v>ABW-007</v>
          </cell>
          <cell r="L59">
            <v>45539</v>
          </cell>
          <cell r="M59">
            <v>5</v>
          </cell>
          <cell r="N59">
            <v>8.5</v>
          </cell>
          <cell r="O59">
            <v>1</v>
          </cell>
          <cell r="P59">
            <v>63</v>
          </cell>
          <cell r="Q59" t="str">
            <v xml:space="preserve">PE100 </v>
          </cell>
          <cell r="R59">
            <v>236828.633</v>
          </cell>
          <cell r="S59">
            <v>575657.72</v>
          </cell>
          <cell r="T59">
            <v>2.3740000000000001</v>
          </cell>
          <cell r="U59">
            <v>236825.9</v>
          </cell>
          <cell r="V59">
            <v>575663.83600000001</v>
          </cell>
          <cell r="W59">
            <v>2.5350000000000001</v>
          </cell>
          <cell r="X59">
            <v>0.16100000000000003</v>
          </cell>
          <cell r="Y59">
            <v>2.4545000000000003</v>
          </cell>
          <cell r="Z59">
            <v>6.6988614704670368</v>
          </cell>
          <cell r="AA59" t="str">
            <v>236828.633,575657.72</v>
          </cell>
          <cell r="AB59" t="str">
            <v>236825.9,575663.836</v>
          </cell>
          <cell r="AC59">
            <v>6.8138785901321128</v>
          </cell>
          <cell r="AD59">
            <v>0.98312016891060483</v>
          </cell>
          <cell r="AE59">
            <v>0.71</v>
          </cell>
          <cell r="AF59">
            <v>52.725000000000001</v>
          </cell>
          <cell r="AG59">
            <v>1.9717937409646229</v>
          </cell>
          <cell r="AH59">
            <v>41.613533130385669</v>
          </cell>
          <cell r="AI59">
            <v>3.3205141115358519</v>
          </cell>
          <cell r="AJ59">
            <v>1.2617937409646229</v>
          </cell>
          <cell r="AK59">
            <v>44.320626974505082</v>
          </cell>
          <cell r="AL59">
            <v>3.493364478596261</v>
          </cell>
          <cell r="AM59">
            <v>6.8138785901321128</v>
          </cell>
          <cell r="AN59">
            <v>0.98312016891060483</v>
          </cell>
          <cell r="AO59" t="e">
            <v>#REF!</v>
          </cell>
          <cell r="AP59" t="e">
            <v>#REF!</v>
          </cell>
          <cell r="AQ59" t="e">
            <v>#REF!</v>
          </cell>
          <cell r="AR59" t="e">
            <v>#REF!</v>
          </cell>
          <cell r="AS59" t="e">
            <v>#REF!</v>
          </cell>
          <cell r="AT59" t="e">
            <v>#REF!</v>
          </cell>
          <cell r="AU59" t="e">
            <v>#REF!</v>
          </cell>
          <cell r="AV59" t="e">
            <v>#REF!</v>
          </cell>
          <cell r="AW59">
            <v>0.98312016891060483</v>
          </cell>
          <cell r="AX59">
            <v>0.98312016891060483</v>
          </cell>
          <cell r="AY59">
            <v>0.98312016891060483</v>
          </cell>
          <cell r="AZ59" t="e">
            <v>#REF!</v>
          </cell>
          <cell r="BE59">
            <v>236827.2665</v>
          </cell>
          <cell r="BF59">
            <v>575660.77799999993</v>
          </cell>
        </row>
        <row r="60">
          <cell r="A60" t="str">
            <v>CC24RZ39-50</v>
          </cell>
          <cell r="B60" t="str">
            <v>CC24RZ39-50 ABW-007 Haren Gn, Reigerweg</v>
          </cell>
          <cell r="C60" t="str">
            <v>CC24RZ39</v>
          </cell>
          <cell r="D60">
            <v>50</v>
          </cell>
          <cell r="E60" t="str">
            <v>Haren Gn</v>
          </cell>
          <cell r="F60" t="str">
            <v>Reigerweg</v>
          </cell>
          <cell r="G60" t="str">
            <v>8</v>
          </cell>
          <cell r="H60" t="str">
            <v>Haren_21-09-2024_export.csv</v>
          </cell>
          <cell r="I60" t="str">
            <v>C &amp; C Cable &amp; Communication B.V.</v>
          </cell>
          <cell r="J60"/>
          <cell r="K60" t="str">
            <v>ABW-007</v>
          </cell>
          <cell r="L60">
            <v>45539</v>
          </cell>
          <cell r="M60">
            <v>5</v>
          </cell>
          <cell r="N60">
            <v>9</v>
          </cell>
          <cell r="O60">
            <v>1</v>
          </cell>
          <cell r="P60">
            <v>63</v>
          </cell>
          <cell r="Q60" t="str">
            <v xml:space="preserve">PE100 </v>
          </cell>
          <cell r="R60">
            <v>236813.50099999999</v>
          </cell>
          <cell r="S60">
            <v>575650.26100000006</v>
          </cell>
          <cell r="T60">
            <v>2.7949999999999999</v>
          </cell>
          <cell r="U60">
            <v>236810.64</v>
          </cell>
          <cell r="V60">
            <v>575656.69799999997</v>
          </cell>
          <cell r="W60">
            <v>2.456</v>
          </cell>
          <cell r="X60">
            <v>-0.33899999999999997</v>
          </cell>
          <cell r="Y60">
            <v>2.6254999999999997</v>
          </cell>
          <cell r="Z60">
            <v>7.0441670904943532</v>
          </cell>
          <cell r="AA60" t="str">
            <v>236813.501,575650.261</v>
          </cell>
          <cell r="AB60" t="str">
            <v>236810.64,575656.698</v>
          </cell>
          <cell r="AC60">
            <v>5.7580316371999611</v>
          </cell>
          <cell r="AD60">
            <v>1.2233637350974715</v>
          </cell>
          <cell r="AE60">
            <v>0.71</v>
          </cell>
          <cell r="AF60">
            <v>50.24</v>
          </cell>
          <cell r="AG60">
            <v>1.80213409772671</v>
          </cell>
          <cell r="AH60">
            <v>38.595159149554647</v>
          </cell>
          <cell r="AI60">
            <v>3.1190678238617648</v>
          </cell>
          <cell r="AJ60">
            <v>1.09213409772671</v>
          </cell>
          <cell r="AK60">
            <v>31.856441647370954</v>
          </cell>
          <cell r="AL60">
            <v>2.6389638133381959</v>
          </cell>
          <cell r="AM60">
            <v>5.7580316371999611</v>
          </cell>
          <cell r="AN60">
            <v>1.2233637350974715</v>
          </cell>
          <cell r="AO60" t="e">
            <v>#REF!</v>
          </cell>
          <cell r="AP60" t="e">
            <v>#REF!</v>
          </cell>
          <cell r="AQ60" t="e">
            <v>#REF!</v>
          </cell>
          <cell r="AR60" t="e">
            <v>#REF!</v>
          </cell>
          <cell r="AS60" t="e">
            <v>#REF!</v>
          </cell>
          <cell r="AT60" t="e">
            <v>#REF!</v>
          </cell>
          <cell r="AU60" t="e">
            <v>#REF!</v>
          </cell>
          <cell r="AV60" t="e">
            <v>#REF!</v>
          </cell>
          <cell r="AW60">
            <v>1.2233637350974715</v>
          </cell>
          <cell r="AX60">
            <v>1.2233637350974715</v>
          </cell>
          <cell r="AY60">
            <v>1.2233637350974715</v>
          </cell>
          <cell r="AZ60" t="e">
            <v>#REF!</v>
          </cell>
          <cell r="BE60">
            <v>236812.0705</v>
          </cell>
          <cell r="BF60">
            <v>575653.47950000002</v>
          </cell>
        </row>
        <row r="61">
          <cell r="A61" t="str">
            <v>CC24RZ39-51</v>
          </cell>
          <cell r="B61" t="str">
            <v>CC24RZ39-51 ABW-007 Haren Gn, Reigerweg</v>
          </cell>
          <cell r="C61" t="str">
            <v>CC24RZ39</v>
          </cell>
          <cell r="D61">
            <v>51</v>
          </cell>
          <cell r="E61" t="str">
            <v>Haren Gn</v>
          </cell>
          <cell r="F61" t="str">
            <v>Reigerweg</v>
          </cell>
          <cell r="G61" t="str">
            <v>10</v>
          </cell>
          <cell r="H61" t="str">
            <v>Haren_21-09-2024_export.csv</v>
          </cell>
          <cell r="I61" t="str">
            <v>C &amp; C Cable &amp; Communication B.V.</v>
          </cell>
          <cell r="J61"/>
          <cell r="K61" t="str">
            <v>ABW-007</v>
          </cell>
          <cell r="L61">
            <v>45539</v>
          </cell>
          <cell r="M61">
            <v>5</v>
          </cell>
          <cell r="N61">
            <v>9</v>
          </cell>
          <cell r="O61">
            <v>1</v>
          </cell>
          <cell r="P61">
            <v>63</v>
          </cell>
          <cell r="Q61" t="str">
            <v xml:space="preserve">PE100 </v>
          </cell>
          <cell r="R61">
            <v>236799.24299999999</v>
          </cell>
          <cell r="S61">
            <v>575644.027</v>
          </cell>
          <cell r="T61">
            <v>0.81899999999999995</v>
          </cell>
          <cell r="U61">
            <v>236795.946</v>
          </cell>
          <cell r="V61">
            <v>575649.603</v>
          </cell>
          <cell r="W61">
            <v>2.391</v>
          </cell>
          <cell r="X61">
            <v>1.5720000000000001</v>
          </cell>
          <cell r="Y61">
            <v>1.605</v>
          </cell>
          <cell r="Z61">
            <v>6.4778071135187085</v>
          </cell>
          <cell r="AA61" t="str">
            <v>236799.243,575644.027</v>
          </cell>
          <cell r="AB61" t="str">
            <v>236795.946,575649.603</v>
          </cell>
          <cell r="AC61">
            <v>7.5398969866543046</v>
          </cell>
          <cell r="AD61">
            <v>0.85913734961956301</v>
          </cell>
          <cell r="AE61">
            <v>0.71</v>
          </cell>
          <cell r="AF61">
            <v>50.24</v>
          </cell>
          <cell r="AG61">
            <v>1.80213409772671</v>
          </cell>
          <cell r="AH61">
            <v>38.595159149554647</v>
          </cell>
          <cell r="AI61">
            <v>3.1190678238617648</v>
          </cell>
          <cell r="AJ61">
            <v>1.09213409772671</v>
          </cell>
          <cell r="AK61">
            <v>62.149042535850469</v>
          </cell>
          <cell r="AL61">
            <v>4.4208291627925398</v>
          </cell>
          <cell r="AM61">
            <v>7.5398969866543046</v>
          </cell>
          <cell r="AN61">
            <v>0.85913734961956301</v>
          </cell>
          <cell r="AO61" t="e">
            <v>#REF!</v>
          </cell>
          <cell r="AP61" t="e">
            <v>#REF!</v>
          </cell>
          <cell r="AQ61" t="e">
            <v>#REF!</v>
          </cell>
          <cell r="AR61" t="e">
            <v>#REF!</v>
          </cell>
          <cell r="AS61" t="e">
            <v>#REF!</v>
          </cell>
          <cell r="AT61" t="e">
            <v>#REF!</v>
          </cell>
          <cell r="AU61" t="e">
            <v>#REF!</v>
          </cell>
          <cell r="AV61" t="e">
            <v>#REF!</v>
          </cell>
          <cell r="AW61">
            <v>0.85913734961956301</v>
          </cell>
          <cell r="AX61">
            <v>0.85913734961956301</v>
          </cell>
          <cell r="AY61">
            <v>0.85913734961956301</v>
          </cell>
          <cell r="AZ61" t="e">
            <v>#REF!</v>
          </cell>
          <cell r="BE61">
            <v>236797.59450000001</v>
          </cell>
          <cell r="BF61">
            <v>575646.81499999994</v>
          </cell>
        </row>
        <row r="62">
          <cell r="A62" t="str">
            <v>CC24RZ39-52</v>
          </cell>
          <cell r="B62" t="str">
            <v>CC24RZ39-52 ABW-007 Haren Gn, Fuutweg</v>
          </cell>
          <cell r="C62" t="str">
            <v>CC24RZ39</v>
          </cell>
          <cell r="D62">
            <v>52</v>
          </cell>
          <cell r="E62" t="str">
            <v>Haren Gn</v>
          </cell>
          <cell r="F62" t="str">
            <v>Fuutweg</v>
          </cell>
          <cell r="G62" t="str">
            <v>6</v>
          </cell>
          <cell r="H62" t="str">
            <v>Haren_21-09-2024_export.csv</v>
          </cell>
          <cell r="I62" t="str">
            <v>C &amp; C Cable &amp; Communication B.V.</v>
          </cell>
          <cell r="J62"/>
          <cell r="K62" t="str">
            <v>ABW-007</v>
          </cell>
          <cell r="L62">
            <v>45540</v>
          </cell>
          <cell r="M62">
            <v>5</v>
          </cell>
          <cell r="N62">
            <v>8</v>
          </cell>
          <cell r="O62">
            <v>1</v>
          </cell>
          <cell r="P62">
            <v>63</v>
          </cell>
          <cell r="Q62" t="str">
            <v xml:space="preserve">PE100 </v>
          </cell>
          <cell r="R62">
            <v>236862.37299999999</v>
          </cell>
          <cell r="S62">
            <v>575598.77399999998</v>
          </cell>
          <cell r="T62">
            <v>2.4039999999999999</v>
          </cell>
          <cell r="U62">
            <v>236860.478</v>
          </cell>
          <cell r="V62">
            <v>575604.85499999998</v>
          </cell>
          <cell r="W62">
            <v>2.5139999999999998</v>
          </cell>
          <cell r="X62">
            <v>0.10999999999999988</v>
          </cell>
          <cell r="Y62">
            <v>2.4589999999999996</v>
          </cell>
          <cell r="Z62">
            <v>6.3694258767983358</v>
          </cell>
          <cell r="AA62" t="str">
            <v>236862.373,575598.774</v>
          </cell>
          <cell r="AB62" t="str">
            <v>236860.478,575604.855</v>
          </cell>
          <cell r="AC62">
            <v>7.1243305518208278</v>
          </cell>
          <cell r="AD62">
            <v>0.89403851077213781</v>
          </cell>
          <cell r="AE62">
            <v>0.71</v>
          </cell>
          <cell r="AF62">
            <v>55.21</v>
          </cell>
          <cell r="AG62">
            <v>2.1471487929040034</v>
          </cell>
          <cell r="AH62">
            <v>44.555576114520797</v>
          </cell>
          <cell r="AI62">
            <v>3.5080038876966197</v>
          </cell>
          <cell r="AJ62">
            <v>1.4371487929040034</v>
          </cell>
          <cell r="AK62">
            <v>46.324734617512924</v>
          </cell>
          <cell r="AL62">
            <v>3.616326664124208</v>
          </cell>
          <cell r="AM62">
            <v>7.1243305518208278</v>
          </cell>
          <cell r="AN62">
            <v>0.89403851077213781</v>
          </cell>
          <cell r="AO62" t="e">
            <v>#REF!</v>
          </cell>
          <cell r="AP62" t="e">
            <v>#REF!</v>
          </cell>
          <cell r="AQ62" t="e">
            <v>#REF!</v>
          </cell>
          <cell r="AR62" t="e">
            <v>#REF!</v>
          </cell>
          <cell r="AS62" t="e">
            <v>#REF!</v>
          </cell>
          <cell r="AT62" t="e">
            <v>#REF!</v>
          </cell>
          <cell r="AU62" t="e">
            <v>#REF!</v>
          </cell>
          <cell r="AV62" t="e">
            <v>#REF!</v>
          </cell>
          <cell r="AW62">
            <v>0.89403851077213781</v>
          </cell>
          <cell r="AX62">
            <v>0.89403851077213781</v>
          </cell>
          <cell r="AY62">
            <v>0.89403851077213781</v>
          </cell>
          <cell r="AZ62" t="e">
            <v>#REF!</v>
          </cell>
          <cell r="BE62">
            <v>236861.42550000001</v>
          </cell>
          <cell r="BF62">
            <v>575601.81449999998</v>
          </cell>
        </row>
        <row r="63">
          <cell r="A63" t="str">
            <v>CC24RZ41-01</v>
          </cell>
          <cell r="B63" t="str">
            <v>CC24RZ41-01 20034 Scherpenzeel, Industrielaan</v>
          </cell>
          <cell r="C63" t="str">
            <v>CC24RZ41</v>
          </cell>
          <cell r="D63">
            <v>1</v>
          </cell>
          <cell r="E63" t="str">
            <v>Scherpenzeel</v>
          </cell>
          <cell r="F63" t="str">
            <v>Industrielaan</v>
          </cell>
          <cell r="G63">
            <v>1</v>
          </cell>
          <cell r="H63" t="str">
            <v>20034.Scherpenzeel_10-10-2024_export.xlsx</v>
          </cell>
          <cell r="I63" t="str">
            <v>C &amp; C Cable &amp; Communication B.V.</v>
          </cell>
          <cell r="J63"/>
          <cell r="K63">
            <v>20034</v>
          </cell>
          <cell r="L63">
            <v>45565</v>
          </cell>
          <cell r="M63">
            <v>5</v>
          </cell>
          <cell r="N63">
            <v>5</v>
          </cell>
          <cell r="O63">
            <v>1</v>
          </cell>
          <cell r="P63">
            <v>63</v>
          </cell>
          <cell r="Q63" t="str">
            <v xml:space="preserve">PE100 </v>
          </cell>
          <cell r="R63">
            <v>161017.821</v>
          </cell>
          <cell r="S63">
            <v>454697.69900000002</v>
          </cell>
          <cell r="T63">
            <v>5.0869999999999997</v>
          </cell>
          <cell r="U63">
            <v>161026.601</v>
          </cell>
          <cell r="V63">
            <v>454693.93800000002</v>
          </cell>
          <cell r="W63">
            <v>5.0430000000000001</v>
          </cell>
          <cell r="X63">
            <v>-4.3999999999999595E-2</v>
          </cell>
          <cell r="Y63">
            <v>5.0649999999999995</v>
          </cell>
          <cell r="Z63">
            <v>9.5516239980418529</v>
          </cell>
          <cell r="AA63" t="str">
            <v>161017.821,454697.699</v>
          </cell>
          <cell r="AB63" t="str">
            <v>161026.601,454693.938</v>
          </cell>
          <cell r="AC63">
            <v>8.7369317516034144</v>
          </cell>
          <cell r="AD63">
            <v>1.0932469509434963</v>
          </cell>
          <cell r="AE63">
            <v>0.71</v>
          </cell>
          <cell r="AF63">
            <v>70.12</v>
          </cell>
          <cell r="AG63">
            <v>3.2997434649603354</v>
          </cell>
          <cell r="AH63">
            <v>61.180537975490623</v>
          </cell>
          <cell r="AI63">
            <v>4.3807149456793679</v>
          </cell>
          <cell r="AJ63">
            <v>2.5897434649603355</v>
          </cell>
          <cell r="AK63">
            <v>60.603449116901871</v>
          </cell>
          <cell r="AL63">
            <v>4.3562168059240465</v>
          </cell>
          <cell r="AM63">
            <v>8.7369317516034144</v>
          </cell>
          <cell r="AN63">
            <v>1.0932469509434963</v>
          </cell>
          <cell r="AO63" t="e">
            <v>#REF!</v>
          </cell>
          <cell r="AP63" t="e">
            <v>#REF!</v>
          </cell>
          <cell r="AQ63" t="e">
            <v>#REF!</v>
          </cell>
          <cell r="AR63" t="e">
            <v>#REF!</v>
          </cell>
          <cell r="AS63" t="e">
            <v>#REF!</v>
          </cell>
          <cell r="AT63" t="e">
            <v>#REF!</v>
          </cell>
          <cell r="AU63" t="e">
            <v>#REF!</v>
          </cell>
          <cell r="AV63" t="e">
            <v>#REF!</v>
          </cell>
          <cell r="AW63">
            <v>1.0932469509434963</v>
          </cell>
          <cell r="AX63">
            <v>1.0932469509434963</v>
          </cell>
          <cell r="AY63">
            <v>1.0932469509434963</v>
          </cell>
          <cell r="AZ63" t="e">
            <v>#REF!</v>
          </cell>
          <cell r="BE63">
            <v>161022.21100000001</v>
          </cell>
          <cell r="BF63">
            <v>454695.81850000005</v>
          </cell>
        </row>
        <row r="64">
          <cell r="A64" t="str">
            <v>CC24RZ43-01</v>
          </cell>
          <cell r="B64" t="str">
            <v>CC24RZ43-01 BUR-AAF BZ028 Buren, Concorde</v>
          </cell>
          <cell r="C64" t="str">
            <v>CC24RZ43</v>
          </cell>
          <cell r="D64">
            <v>1</v>
          </cell>
          <cell r="E64" t="str">
            <v>Buren</v>
          </cell>
          <cell r="F64" t="str">
            <v>Concorde</v>
          </cell>
          <cell r="G64">
            <v>7</v>
          </cell>
          <cell r="H64" t="str">
            <v>Coordinaten - BUR-AAF Deel 2.xlsx</v>
          </cell>
          <cell r="I64" t="str">
            <v>C &amp; C Cable &amp; Communication B.V.</v>
          </cell>
          <cell r="J64"/>
          <cell r="K64" t="str">
            <v>BUR-AAF BZ028</v>
          </cell>
          <cell r="L64">
            <v>45548</v>
          </cell>
          <cell r="M64">
            <v>7.5</v>
          </cell>
          <cell r="N64">
            <v>5</v>
          </cell>
          <cell r="O64">
            <v>1</v>
          </cell>
          <cell r="P64">
            <v>63</v>
          </cell>
          <cell r="Q64" t="str">
            <v xml:space="preserve">PE100 </v>
          </cell>
          <cell r="R64">
            <v>151660.68</v>
          </cell>
          <cell r="S64">
            <v>435318.47700000001</v>
          </cell>
          <cell r="T64">
            <v>3.8719999999999999</v>
          </cell>
          <cell r="U64">
            <v>151654.82399999999</v>
          </cell>
          <cell r="V64">
            <v>435330.73</v>
          </cell>
          <cell r="W64">
            <v>4.0789999999999997</v>
          </cell>
          <cell r="X64">
            <v>0.20699999999999985</v>
          </cell>
          <cell r="Y64">
            <v>3.9754999999999998</v>
          </cell>
          <cell r="Z64">
            <v>13.580454521083228</v>
          </cell>
          <cell r="AA64" t="str">
            <v>151660.68,435318.477</v>
          </cell>
          <cell r="AB64" t="str">
            <v>151654.824,435330.73</v>
          </cell>
          <cell r="AC64">
            <v>13.604566714870799</v>
          </cell>
          <cell r="AD64">
            <v>0.99822763971150841</v>
          </cell>
          <cell r="AE64">
            <v>0.71</v>
          </cell>
          <cell r="AF64">
            <v>70.12</v>
          </cell>
          <cell r="AG64">
            <v>4.9496151974405027</v>
          </cell>
          <cell r="AH64">
            <v>64.232650534858635</v>
          </cell>
          <cell r="AI64">
            <v>6.7542498428203759</v>
          </cell>
          <cell r="AJ64">
            <v>4.2396151974405027</v>
          </cell>
          <cell r="AK64">
            <v>65.976081469195691</v>
          </cell>
          <cell r="AL64">
            <v>6.8503168720504233</v>
          </cell>
          <cell r="AM64">
            <v>13.604566714870799</v>
          </cell>
          <cell r="AN64">
            <v>0.99822763971150841</v>
          </cell>
          <cell r="AO64" t="e">
            <v>#REF!</v>
          </cell>
          <cell r="AP64" t="e">
            <v>#REF!</v>
          </cell>
          <cell r="AQ64" t="e">
            <v>#REF!</v>
          </cell>
          <cell r="AR64" t="e">
            <v>#REF!</v>
          </cell>
          <cell r="AS64" t="e">
            <v>#REF!</v>
          </cell>
          <cell r="AT64" t="e">
            <v>#REF!</v>
          </cell>
          <cell r="AU64" t="e">
            <v>#REF!</v>
          </cell>
          <cell r="AV64" t="e">
            <v>#REF!</v>
          </cell>
          <cell r="AW64">
            <v>0.99822763971150841</v>
          </cell>
          <cell r="AX64">
            <v>0.99822763971150841</v>
          </cell>
          <cell r="AY64">
            <v>0.99822763971150841</v>
          </cell>
          <cell r="AZ64" t="e">
            <v>#REF!</v>
          </cell>
          <cell r="BE64">
            <v>151657.75199999998</v>
          </cell>
          <cell r="BF64">
            <v>435324.60349999997</v>
          </cell>
        </row>
        <row r="65">
          <cell r="A65" t="str">
            <v>CC24RZ43-02</v>
          </cell>
          <cell r="B65" t="str">
            <v>CC24RZ43-02 BUR-AAF BZ027 Buren, Concorde</v>
          </cell>
          <cell r="C65" t="str">
            <v>CC24RZ43</v>
          </cell>
          <cell r="D65">
            <v>2</v>
          </cell>
          <cell r="E65" t="str">
            <v>Buren</v>
          </cell>
          <cell r="F65" t="str">
            <v>Concorde</v>
          </cell>
          <cell r="G65">
            <v>5</v>
          </cell>
          <cell r="H65" t="str">
            <v>Coordinaten - BUR-AAF Deel 2.xlsx</v>
          </cell>
          <cell r="I65" t="str">
            <v>C &amp; C Cable &amp; Communication B.V.</v>
          </cell>
          <cell r="J65"/>
          <cell r="K65" t="str">
            <v>BUR-AAF BZ027</v>
          </cell>
          <cell r="L65">
            <v>45548</v>
          </cell>
          <cell r="M65">
            <v>7.5</v>
          </cell>
          <cell r="N65">
            <v>5</v>
          </cell>
          <cell r="O65">
            <v>1</v>
          </cell>
          <cell r="P65">
            <v>63</v>
          </cell>
          <cell r="Q65" t="str">
            <v xml:space="preserve">PE100 </v>
          </cell>
          <cell r="R65">
            <v>151650.06700000001</v>
          </cell>
          <cell r="S65">
            <v>435311.83799999999</v>
          </cell>
          <cell r="T65">
            <v>3.9849999999999999</v>
          </cell>
          <cell r="U65">
            <v>151643.43900000001</v>
          </cell>
          <cell r="V65">
            <v>435323.7</v>
          </cell>
          <cell r="W65">
            <v>3.609</v>
          </cell>
          <cell r="X65">
            <v>-0.37599999999999989</v>
          </cell>
          <cell r="Y65">
            <v>3.7969999999999997</v>
          </cell>
          <cell r="Z65">
            <v>13.588135560131169</v>
          </cell>
          <cell r="AA65" t="str">
            <v>151650.067,435311.838</v>
          </cell>
          <cell r="AB65" t="str">
            <v>151643.439,435323.7</v>
          </cell>
          <cell r="AC65">
            <v>13.313724331505757</v>
          </cell>
          <cell r="AD65">
            <v>1.0206111544593155</v>
          </cell>
          <cell r="AE65">
            <v>0.71</v>
          </cell>
          <cell r="AF65">
            <v>70.12</v>
          </cell>
          <cell r="AG65">
            <v>4.9496151974405027</v>
          </cell>
          <cell r="AH65">
            <v>64.232650534858635</v>
          </cell>
          <cell r="AI65">
            <v>6.7542498428203759</v>
          </cell>
          <cell r="AJ65">
            <v>4.2396151974405027</v>
          </cell>
          <cell r="AK65">
            <v>60.997269090743245</v>
          </cell>
          <cell r="AL65">
            <v>6.55947448868538</v>
          </cell>
          <cell r="AM65">
            <v>13.313724331505757</v>
          </cell>
          <cell r="AN65">
            <v>1.0206111544593155</v>
          </cell>
          <cell r="AO65" t="e">
            <v>#REF!</v>
          </cell>
          <cell r="AP65" t="e">
            <v>#REF!</v>
          </cell>
          <cell r="AQ65" t="e">
            <v>#REF!</v>
          </cell>
          <cell r="AR65" t="e">
            <v>#REF!</v>
          </cell>
          <cell r="AS65" t="e">
            <v>#REF!</v>
          </cell>
          <cell r="AT65" t="e">
            <v>#REF!</v>
          </cell>
          <cell r="AU65" t="e">
            <v>#REF!</v>
          </cell>
          <cell r="AV65" t="e">
            <v>#REF!</v>
          </cell>
          <cell r="AW65">
            <v>1.0206111544593155</v>
          </cell>
          <cell r="AX65">
            <v>1.0206111544593155</v>
          </cell>
          <cell r="AY65">
            <v>1.0206111544593155</v>
          </cell>
          <cell r="AZ65" t="e">
            <v>#REF!</v>
          </cell>
          <cell r="BE65">
            <v>151646.75300000003</v>
          </cell>
          <cell r="BF65">
            <v>435317.76899999997</v>
          </cell>
        </row>
        <row r="66">
          <cell r="A66" t="str">
            <v>CC24RZ43-03</v>
          </cell>
          <cell r="B66" t="str">
            <v>CC24RZ43-03 BUR-AAF BZ026 Buren, Concorde</v>
          </cell>
          <cell r="C66" t="str">
            <v>CC24RZ43</v>
          </cell>
          <cell r="D66">
            <v>3</v>
          </cell>
          <cell r="E66" t="str">
            <v>Buren</v>
          </cell>
          <cell r="F66" t="str">
            <v>Concorde</v>
          </cell>
          <cell r="G66">
            <v>3</v>
          </cell>
          <cell r="H66" t="str">
            <v>Coordinaten - BUR-AAF Deel 2.xlsx</v>
          </cell>
          <cell r="I66" t="str">
            <v>C &amp; C Cable &amp; Communication B.V.</v>
          </cell>
          <cell r="J66"/>
          <cell r="K66" t="str">
            <v>BUR-AAF BZ026</v>
          </cell>
          <cell r="L66">
            <v>45551</v>
          </cell>
          <cell r="M66">
            <v>7.5</v>
          </cell>
          <cell r="N66">
            <v>5</v>
          </cell>
          <cell r="O66">
            <v>1</v>
          </cell>
          <cell r="P66">
            <v>63</v>
          </cell>
          <cell r="Q66" t="str">
            <v xml:space="preserve">PE100 </v>
          </cell>
          <cell r="R66">
            <v>151627.03</v>
          </cell>
          <cell r="S66">
            <v>435293.52</v>
          </cell>
          <cell r="T66">
            <v>3.9049999999999998</v>
          </cell>
          <cell r="U66">
            <v>151619.04300000001</v>
          </cell>
          <cell r="V66">
            <v>435304.57500000001</v>
          </cell>
          <cell r="W66">
            <v>3.605</v>
          </cell>
          <cell r="X66">
            <v>-0.29999999999999982</v>
          </cell>
          <cell r="Y66">
            <v>3.7549999999999999</v>
          </cell>
          <cell r="Z66">
            <v>13.638372116926019</v>
          </cell>
          <cell r="AA66" t="str">
            <v>151627.03,435293.52</v>
          </cell>
          <cell r="AB66" t="str">
            <v>151619.043,435304.575</v>
          </cell>
          <cell r="AC66">
            <v>13.355284614559075</v>
          </cell>
          <cell r="AD66">
            <v>1.0211966656298992</v>
          </cell>
          <cell r="AE66">
            <v>0.71</v>
          </cell>
          <cell r="AF66">
            <v>70.12</v>
          </cell>
          <cell r="AG66">
            <v>4.9496151974405027</v>
          </cell>
          <cell r="AH66">
            <v>64.232650534858635</v>
          </cell>
          <cell r="AI66">
            <v>6.7542498428203759</v>
          </cell>
          <cell r="AJ66">
            <v>4.2396151974405027</v>
          </cell>
          <cell r="AK66">
            <v>61.659011087510557</v>
          </cell>
          <cell r="AL66">
            <v>6.6010347717386981</v>
          </cell>
          <cell r="AM66">
            <v>13.355284614559075</v>
          </cell>
          <cell r="AN66">
            <v>1.0211966656298992</v>
          </cell>
          <cell r="AO66" t="e">
            <v>#REF!</v>
          </cell>
          <cell r="AP66" t="e">
            <v>#REF!</v>
          </cell>
          <cell r="AQ66" t="e">
            <v>#REF!</v>
          </cell>
          <cell r="AR66" t="e">
            <v>#REF!</v>
          </cell>
          <cell r="AS66" t="e">
            <v>#REF!</v>
          </cell>
          <cell r="AT66" t="e">
            <v>#REF!</v>
          </cell>
          <cell r="AU66" t="e">
            <v>#REF!</v>
          </cell>
          <cell r="AV66" t="e">
            <v>#REF!</v>
          </cell>
          <cell r="AW66">
            <v>1.0211966656298992</v>
          </cell>
          <cell r="AX66">
            <v>1.0211966656298992</v>
          </cell>
          <cell r="AY66">
            <v>1.0211966656298992</v>
          </cell>
          <cell r="AZ66" t="e">
            <v>#REF!</v>
          </cell>
          <cell r="BE66">
            <v>151623.03649999999</v>
          </cell>
          <cell r="BF66">
            <v>435299.04749999999</v>
          </cell>
        </row>
        <row r="67">
          <cell r="A67" t="str">
            <v>CC24RZ43-04</v>
          </cell>
          <cell r="B67" t="str">
            <v>CC24RZ43-04 BUR-AAF BZ025 Buren, Concorde</v>
          </cell>
          <cell r="C67" t="str">
            <v>CC24RZ43</v>
          </cell>
          <cell r="D67">
            <v>4</v>
          </cell>
          <cell r="E67" t="str">
            <v>Buren</v>
          </cell>
          <cell r="F67" t="str">
            <v>Concorde</v>
          </cell>
          <cell r="G67">
            <v>1</v>
          </cell>
          <cell r="H67" t="str">
            <v>Coordinaten - BUR-AAF Deel 2.xlsx</v>
          </cell>
          <cell r="I67" t="str">
            <v>C &amp; C Cable &amp; Communication B.V.</v>
          </cell>
          <cell r="J67"/>
          <cell r="K67" t="str">
            <v>BUR-AAF BZ025</v>
          </cell>
          <cell r="L67">
            <v>45552</v>
          </cell>
          <cell r="M67">
            <v>7.5</v>
          </cell>
          <cell r="N67">
            <v>5</v>
          </cell>
          <cell r="O67">
            <v>1</v>
          </cell>
          <cell r="P67">
            <v>63</v>
          </cell>
          <cell r="Q67" t="str">
            <v xml:space="preserve">PE100 </v>
          </cell>
          <cell r="R67">
            <v>151611.484</v>
          </cell>
          <cell r="S67">
            <v>435280.98499999999</v>
          </cell>
          <cell r="T67">
            <v>3.8319999999999999</v>
          </cell>
          <cell r="U67">
            <v>151605.54399999999</v>
          </cell>
          <cell r="V67">
            <v>435293.00300000003</v>
          </cell>
          <cell r="W67">
            <v>3.6379999999999999</v>
          </cell>
          <cell r="X67">
            <v>-0.19399999999999995</v>
          </cell>
          <cell r="Y67">
            <v>3.7349999999999999</v>
          </cell>
          <cell r="Z67">
            <v>13.405816797233589</v>
          </cell>
          <cell r="AA67" t="str">
            <v>151611.484,435280.985</v>
          </cell>
          <cell r="AB67" t="str">
            <v>151605.544,435293.003</v>
          </cell>
          <cell r="AC67">
            <v>13.411368261163705</v>
          </cell>
          <cell r="AD67">
            <v>0.99958606282207674</v>
          </cell>
          <cell r="AE67">
            <v>0.71</v>
          </cell>
          <cell r="AF67">
            <v>70.12</v>
          </cell>
          <cell r="AG67">
            <v>4.9496151974405027</v>
          </cell>
          <cell r="AH67">
            <v>64.232650534858635</v>
          </cell>
          <cell r="AI67">
            <v>6.7542498428203759</v>
          </cell>
          <cell r="AJ67">
            <v>4.2396151974405027</v>
          </cell>
          <cell r="AK67">
            <v>62.57516028879467</v>
          </cell>
          <cell r="AL67">
            <v>6.6571184183433285</v>
          </cell>
          <cell r="AM67">
            <v>13.411368261163705</v>
          </cell>
          <cell r="AN67">
            <v>0.99958606282207674</v>
          </cell>
          <cell r="AO67" t="e">
            <v>#REF!</v>
          </cell>
          <cell r="AP67" t="e">
            <v>#REF!</v>
          </cell>
          <cell r="AQ67" t="e">
            <v>#REF!</v>
          </cell>
          <cell r="AR67" t="e">
            <v>#REF!</v>
          </cell>
          <cell r="AS67" t="e">
            <v>#REF!</v>
          </cell>
          <cell r="AT67" t="e">
            <v>#REF!</v>
          </cell>
          <cell r="AU67" t="e">
            <v>#REF!</v>
          </cell>
          <cell r="AV67" t="e">
            <v>#REF!</v>
          </cell>
          <cell r="AW67">
            <v>0.99958606282207674</v>
          </cell>
          <cell r="AX67">
            <v>0.99958606282207674</v>
          </cell>
          <cell r="AY67">
            <v>0.99958606282207674</v>
          </cell>
          <cell r="AZ67" t="e">
            <v>#REF!</v>
          </cell>
          <cell r="BE67">
            <v>151608.514</v>
          </cell>
          <cell r="BF67">
            <v>435286.99400000001</v>
          </cell>
        </row>
        <row r="68">
          <cell r="A68" t="str">
            <v>CC24RZ43-05</v>
          </cell>
          <cell r="B68" t="str">
            <v>CC24RZ43-05 BUR-AAF BZ049 Buren, Concorde</v>
          </cell>
          <cell r="C68" t="str">
            <v>CC24RZ43</v>
          </cell>
          <cell r="D68">
            <v>5</v>
          </cell>
          <cell r="E68" t="str">
            <v>Buren</v>
          </cell>
          <cell r="F68" t="str">
            <v>Concorde</v>
          </cell>
          <cell r="G68">
            <v>38</v>
          </cell>
          <cell r="H68" t="str">
            <v>Coordinaten - BUR-AAF Deel 2.xlsx</v>
          </cell>
          <cell r="I68" t="str">
            <v>C &amp; C Cable &amp; Communication B.V.</v>
          </cell>
          <cell r="J68"/>
          <cell r="K68" t="str">
            <v>BUR-AAF BZ049</v>
          </cell>
          <cell r="L68">
            <v>45554</v>
          </cell>
          <cell r="M68">
            <v>7.5</v>
          </cell>
          <cell r="N68">
            <v>6</v>
          </cell>
          <cell r="O68">
            <v>1</v>
          </cell>
          <cell r="P68">
            <v>63</v>
          </cell>
          <cell r="Q68" t="str">
            <v xml:space="preserve">PE100 </v>
          </cell>
          <cell r="R68">
            <v>151783.36900000001</v>
          </cell>
          <cell r="S68">
            <v>435334.049</v>
          </cell>
          <cell r="T68">
            <v>3.9609999999999999</v>
          </cell>
          <cell r="U68">
            <v>151796.18</v>
          </cell>
          <cell r="V68">
            <v>435334.66200000001</v>
          </cell>
          <cell r="W68">
            <v>3.8889999999999998</v>
          </cell>
          <cell r="X68">
            <v>-7.2000000000000064E-2</v>
          </cell>
          <cell r="Y68">
            <v>3.9249999999999998</v>
          </cell>
          <cell r="Z68">
            <v>12.825657488007419</v>
          </cell>
          <cell r="AA68" t="str">
            <v>151783.369,435334.049</v>
          </cell>
          <cell r="AB68" t="str">
            <v>151796.18,435334.662</v>
          </cell>
          <cell r="AC68">
            <v>12.814856905381934</v>
          </cell>
          <cell r="AD68">
            <v>1.0008428172632149</v>
          </cell>
          <cell r="AE68">
            <v>0.71</v>
          </cell>
          <cell r="AF68">
            <v>65.150000000000006</v>
          </cell>
          <cell r="AG68">
            <v>4.3481691905706104</v>
          </cell>
          <cell r="AH68">
            <v>59.008508777288249</v>
          </cell>
          <cell r="AI68">
            <v>6.4293283318976604</v>
          </cell>
          <cell r="AJ68">
            <v>3.6381691905706099</v>
          </cell>
          <cell r="AK68">
            <v>58.36468532329792</v>
          </cell>
          <cell r="AL68">
            <v>6.3855285734842733</v>
          </cell>
          <cell r="AM68">
            <v>12.814856905381934</v>
          </cell>
          <cell r="AN68">
            <v>1.0008428172632149</v>
          </cell>
          <cell r="AO68" t="e">
            <v>#REF!</v>
          </cell>
          <cell r="AP68" t="e">
            <v>#REF!</v>
          </cell>
          <cell r="AQ68" t="e">
            <v>#REF!</v>
          </cell>
          <cell r="AR68" t="e">
            <v>#REF!</v>
          </cell>
          <cell r="AS68" t="e">
            <v>#REF!</v>
          </cell>
          <cell r="AT68" t="e">
            <v>#REF!</v>
          </cell>
          <cell r="AU68" t="e">
            <v>#REF!</v>
          </cell>
          <cell r="AV68" t="e">
            <v>#REF!</v>
          </cell>
          <cell r="AW68">
            <v>1.0008428172632149</v>
          </cell>
          <cell r="AX68">
            <v>1.0008428172632149</v>
          </cell>
          <cell r="AY68">
            <v>1.0008428172632149</v>
          </cell>
          <cell r="AZ68" t="e">
            <v>#REF!</v>
          </cell>
          <cell r="BE68">
            <v>151789.7745</v>
          </cell>
          <cell r="BF68">
            <v>435334.35550000001</v>
          </cell>
        </row>
        <row r="69">
          <cell r="A69" t="str">
            <v>CC24RZ43-06</v>
          </cell>
          <cell r="B69" t="str">
            <v>CC24RZ43-06 BUR-AAF BZ094 Buren, Erichemseweg</v>
          </cell>
          <cell r="C69" t="str">
            <v>CC24RZ43</v>
          </cell>
          <cell r="D69">
            <v>6</v>
          </cell>
          <cell r="E69" t="str">
            <v>Buren</v>
          </cell>
          <cell r="F69" t="str">
            <v>Erichemseweg</v>
          </cell>
          <cell r="G69" t="str">
            <v>1e</v>
          </cell>
          <cell r="H69" t="str">
            <v>Coordinaten - BUR-AAF Deel 2.xlsx</v>
          </cell>
          <cell r="I69" t="str">
            <v>C &amp; C Cable &amp; Communication B.V.</v>
          </cell>
          <cell r="J69"/>
          <cell r="K69" t="str">
            <v>BUR-AAF BZ094</v>
          </cell>
          <cell r="L69">
            <v>45552</v>
          </cell>
          <cell r="M69">
            <v>5</v>
          </cell>
          <cell r="N69">
            <v>5</v>
          </cell>
          <cell r="O69">
            <v>1</v>
          </cell>
          <cell r="P69">
            <v>63</v>
          </cell>
          <cell r="Q69" t="str">
            <v xml:space="preserve">PE100 </v>
          </cell>
          <cell r="R69">
            <v>151602.50899999999</v>
          </cell>
          <cell r="S69">
            <v>435267.06800000003</v>
          </cell>
          <cell r="T69">
            <v>3.702</v>
          </cell>
          <cell r="U69">
            <v>151607.45000000001</v>
          </cell>
          <cell r="V69">
            <v>435270.98499999999</v>
          </cell>
          <cell r="W69">
            <v>3.7610000000000001</v>
          </cell>
          <cell r="X69">
            <v>5.9000000000000163E-2</v>
          </cell>
          <cell r="Y69">
            <v>3.7315</v>
          </cell>
          <cell r="Z69">
            <v>6.305265260072157</v>
          </cell>
          <cell r="AA69" t="str">
            <v>151602.509,435267.068</v>
          </cell>
          <cell r="AB69" t="str">
            <v>151607.45,435270.985</v>
          </cell>
          <cell r="AC69">
            <v>8.7933777139444977</v>
          </cell>
          <cell r="AD69">
            <v>0.71704701710621355</v>
          </cell>
          <cell r="AE69">
            <v>0.71</v>
          </cell>
          <cell r="AF69">
            <v>70.12</v>
          </cell>
          <cell r="AG69">
            <v>3.2997434649603354</v>
          </cell>
          <cell r="AH69">
            <v>61.180537975490623</v>
          </cell>
          <cell r="AI69">
            <v>4.3807149456793679</v>
          </cell>
          <cell r="AJ69">
            <v>2.5897434649603355</v>
          </cell>
          <cell r="AK69">
            <v>61.949389348607419</v>
          </cell>
          <cell r="AL69">
            <v>4.4126627682651289</v>
          </cell>
          <cell r="AM69">
            <v>8.7933777139444977</v>
          </cell>
          <cell r="AN69">
            <v>0.71704701710621355</v>
          </cell>
          <cell r="AO69" t="e">
            <v>#REF!</v>
          </cell>
          <cell r="AP69" t="e">
            <v>#REF!</v>
          </cell>
          <cell r="AQ69" t="e">
            <v>#REF!</v>
          </cell>
          <cell r="AR69" t="e">
            <v>#REF!</v>
          </cell>
          <cell r="AS69" t="e">
            <v>#REF!</v>
          </cell>
          <cell r="AT69" t="e">
            <v>#REF!</v>
          </cell>
          <cell r="AU69" t="e">
            <v>#REF!</v>
          </cell>
          <cell r="AV69" t="e">
            <v>#REF!</v>
          </cell>
          <cell r="AW69">
            <v>0.71704701710621355</v>
          </cell>
          <cell r="AX69">
            <v>0.71704701710621355</v>
          </cell>
          <cell r="AY69">
            <v>0.71704701710621355</v>
          </cell>
          <cell r="AZ69" t="e">
            <v>#REF!</v>
          </cell>
          <cell r="BE69">
            <v>151604.97950000002</v>
          </cell>
          <cell r="BF69">
            <v>435269.02650000004</v>
          </cell>
        </row>
        <row r="70">
          <cell r="A70" t="str">
            <v>CC24RZ43-07</v>
          </cell>
          <cell r="B70" t="str">
            <v>CC24RZ43-07 BUR-AAF BZ021 Buren, Erichemseweg</v>
          </cell>
          <cell r="C70" t="str">
            <v>CC24RZ43</v>
          </cell>
          <cell r="D70">
            <v>7</v>
          </cell>
          <cell r="E70" t="str">
            <v>Buren</v>
          </cell>
          <cell r="F70" t="str">
            <v>Erichemseweg</v>
          </cell>
          <cell r="G70" t="str">
            <v>6A</v>
          </cell>
          <cell r="H70" t="str">
            <v>Coordinaten - BUR-AAF Deel 2.xlsx</v>
          </cell>
          <cell r="I70" t="str">
            <v>C &amp; C Cable &amp; Communication B.V.</v>
          </cell>
          <cell r="J70"/>
          <cell r="K70" t="str">
            <v>BUR-AAF BZ021</v>
          </cell>
          <cell r="L70">
            <v>45553</v>
          </cell>
          <cell r="M70">
            <v>5</v>
          </cell>
          <cell r="N70">
            <v>3</v>
          </cell>
          <cell r="O70">
            <v>1</v>
          </cell>
          <cell r="P70">
            <v>63</v>
          </cell>
          <cell r="Q70" t="str">
            <v xml:space="preserve">PE100 </v>
          </cell>
          <cell r="R70">
            <v>151555.122</v>
          </cell>
          <cell r="S70">
            <v>435273.17700000003</v>
          </cell>
          <cell r="T70">
            <v>3.67</v>
          </cell>
          <cell r="U70">
            <v>151563.72700000001</v>
          </cell>
          <cell r="V70">
            <v>435278.14899999998</v>
          </cell>
          <cell r="W70">
            <v>3.7120000000000002</v>
          </cell>
          <cell r="X70">
            <v>4.2000000000000259E-2</v>
          </cell>
          <cell r="Y70">
            <v>3.6909999999999998</v>
          </cell>
          <cell r="Z70">
            <v>9.9381491737490784</v>
          </cell>
          <cell r="AA70" t="str">
            <v>151555.122,435273.177</v>
          </cell>
          <cell r="AB70" t="str">
            <v>151563.727,435278.149</v>
          </cell>
          <cell r="AC70">
            <v>9.5059028645982337</v>
          </cell>
          <cell r="AD70">
            <v>1.0454713576719379</v>
          </cell>
          <cell r="AE70">
            <v>0.71</v>
          </cell>
          <cell r="AF70">
            <v>80.06</v>
          </cell>
          <cell r="AG70">
            <v>4.1369160281259676</v>
          </cell>
          <cell r="AH70">
            <v>71.662318423271472</v>
          </cell>
          <cell r="AI70">
            <v>4.7460938483591972</v>
          </cell>
          <cell r="AJ70">
            <v>3.4269160281259676</v>
          </cell>
          <cell r="AK70">
            <v>72.168615850262768</v>
          </cell>
          <cell r="AL70">
            <v>4.7598090162390374</v>
          </cell>
          <cell r="AM70">
            <v>9.5059028645982337</v>
          </cell>
          <cell r="AN70">
            <v>1.0454713576719379</v>
          </cell>
          <cell r="AO70" t="e">
            <v>#REF!</v>
          </cell>
          <cell r="AP70" t="e">
            <v>#REF!</v>
          </cell>
          <cell r="AQ70" t="e">
            <v>#REF!</v>
          </cell>
          <cell r="AR70" t="e">
            <v>#REF!</v>
          </cell>
          <cell r="AS70" t="e">
            <v>#REF!</v>
          </cell>
          <cell r="AT70" t="e">
            <v>#REF!</v>
          </cell>
          <cell r="AU70" t="e">
            <v>#REF!</v>
          </cell>
          <cell r="AV70" t="e">
            <v>#REF!</v>
          </cell>
          <cell r="AW70">
            <v>1.0454713576719379</v>
          </cell>
          <cell r="AX70">
            <v>1.0454713576719379</v>
          </cell>
          <cell r="AY70">
            <v>1.0454713576719379</v>
          </cell>
          <cell r="AZ70" t="e">
            <v>#REF!</v>
          </cell>
          <cell r="BE70">
            <v>151559.42450000002</v>
          </cell>
          <cell r="BF70">
            <v>435275.663</v>
          </cell>
        </row>
        <row r="71">
          <cell r="A71" t="str">
            <v>CC24RZ43-08</v>
          </cell>
          <cell r="B71" t="str">
            <v>CC24RZ43-08 BUR-AAF  Buren, Ridder Alartlaan</v>
          </cell>
          <cell r="C71" t="str">
            <v>CC24RZ43</v>
          </cell>
          <cell r="D71">
            <v>8</v>
          </cell>
          <cell r="E71" t="str">
            <v>Buren</v>
          </cell>
          <cell r="F71" t="str">
            <v>Ridder Alartlaan</v>
          </cell>
          <cell r="G71">
            <v>92</v>
          </cell>
          <cell r="H71" t="str">
            <v>Coordinaten - BUR-AAF Deel 2.xlsx</v>
          </cell>
          <cell r="I71" t="str">
            <v>C &amp; C Cable &amp; Communication B.V.</v>
          </cell>
          <cell r="J71"/>
          <cell r="K71" t="str">
            <v xml:space="preserve">BUR-AAF </v>
          </cell>
          <cell r="L71">
            <v>45555</v>
          </cell>
          <cell r="M71">
            <v>5</v>
          </cell>
          <cell r="N71">
            <v>9</v>
          </cell>
          <cell r="O71">
            <v>1</v>
          </cell>
          <cell r="P71">
            <v>63</v>
          </cell>
          <cell r="Q71" t="str">
            <v xml:space="preserve">PE100 </v>
          </cell>
          <cell r="R71">
            <v>151491.174</v>
          </cell>
          <cell r="S71">
            <v>435356.11</v>
          </cell>
          <cell r="T71">
            <v>3.8290000000000002</v>
          </cell>
          <cell r="U71">
            <v>151497.45600000001</v>
          </cell>
          <cell r="V71">
            <v>435357.64</v>
          </cell>
          <cell r="W71">
            <v>3.8359999999999999</v>
          </cell>
          <cell r="X71">
            <v>6.9999999999996732E-3</v>
          </cell>
          <cell r="Y71">
            <v>3.8325</v>
          </cell>
          <cell r="Z71">
            <v>6.4656340756469826</v>
          </cell>
          <cell r="AA71" t="str">
            <v>151491.174,435356.11</v>
          </cell>
          <cell r="AB71" t="str">
            <v>151497.456,435357.64</v>
          </cell>
          <cell r="AC71">
            <v>6.2468857873119372</v>
          </cell>
          <cell r="AD71">
            <v>1.0350171742821592</v>
          </cell>
          <cell r="AE71">
            <v>0.71</v>
          </cell>
          <cell r="AF71">
            <v>50.24</v>
          </cell>
          <cell r="AG71">
            <v>1.80213409772671</v>
          </cell>
          <cell r="AH71">
            <v>38.595159149554647</v>
          </cell>
          <cell r="AI71">
            <v>3.1190678238617648</v>
          </cell>
          <cell r="AJ71">
            <v>1.09213409772671</v>
          </cell>
          <cell r="AK71">
            <v>38.723565623557448</v>
          </cell>
          <cell r="AL71">
            <v>3.1278179634501728</v>
          </cell>
          <cell r="AM71">
            <v>6.2468857873119372</v>
          </cell>
          <cell r="AN71">
            <v>1.0350171742821592</v>
          </cell>
          <cell r="AO71" t="e">
            <v>#REF!</v>
          </cell>
          <cell r="AP71" t="e">
            <v>#REF!</v>
          </cell>
          <cell r="AQ71" t="e">
            <v>#REF!</v>
          </cell>
          <cell r="AR71" t="e">
            <v>#REF!</v>
          </cell>
          <cell r="AS71" t="e">
            <v>#REF!</v>
          </cell>
          <cell r="AT71" t="e">
            <v>#REF!</v>
          </cell>
          <cell r="AU71" t="e">
            <v>#REF!</v>
          </cell>
          <cell r="AV71" t="e">
            <v>#REF!</v>
          </cell>
          <cell r="AW71">
            <v>1.0350171742821592</v>
          </cell>
          <cell r="AX71">
            <v>1.0350171742821592</v>
          </cell>
          <cell r="AY71">
            <v>1.0350171742821592</v>
          </cell>
          <cell r="AZ71" t="e">
            <v>#REF!</v>
          </cell>
          <cell r="BE71">
            <v>151494.315</v>
          </cell>
          <cell r="BF71">
            <v>435356.875</v>
          </cell>
        </row>
        <row r="72">
          <cell r="A72" t="str">
            <v>CC24RZ43-09</v>
          </cell>
          <cell r="B72" t="str">
            <v>CC24RZ43-09 BUR-AAF  Buren, Erichemseweg</v>
          </cell>
          <cell r="C72" t="str">
            <v>CC24RZ43</v>
          </cell>
          <cell r="D72">
            <v>9</v>
          </cell>
          <cell r="E72" t="str">
            <v>Buren</v>
          </cell>
          <cell r="F72" t="str">
            <v>Erichemseweg</v>
          </cell>
          <cell r="G72">
            <v>10</v>
          </cell>
          <cell r="H72" t="str">
            <v>Coordinaten - BUR-AAF Deel 2.xlsx</v>
          </cell>
          <cell r="I72" t="str">
            <v>C &amp; C Cable &amp; Communication B.V.</v>
          </cell>
          <cell r="J72"/>
          <cell r="K72" t="str">
            <v xml:space="preserve">BUR-AAF </v>
          </cell>
          <cell r="L72">
            <v>45555</v>
          </cell>
          <cell r="M72">
            <v>5</v>
          </cell>
          <cell r="N72">
            <v>6</v>
          </cell>
          <cell r="O72">
            <v>1</v>
          </cell>
          <cell r="P72">
            <v>63</v>
          </cell>
          <cell r="Q72" t="str">
            <v xml:space="preserve">PE100 </v>
          </cell>
          <cell r="R72">
            <v>151474.62400000001</v>
          </cell>
          <cell r="S72">
            <v>435424.68800000002</v>
          </cell>
          <cell r="T72">
            <v>3.399</v>
          </cell>
          <cell r="U72">
            <v>151467.489</v>
          </cell>
          <cell r="V72">
            <v>435422.54700000002</v>
          </cell>
          <cell r="W72">
            <v>3.508</v>
          </cell>
          <cell r="X72">
            <v>0.10899999999999999</v>
          </cell>
          <cell r="Y72">
            <v>3.4535</v>
          </cell>
          <cell r="Z72">
            <v>7.4493023834549001</v>
          </cell>
          <cell r="AA72" t="str">
            <v>151474.624,435424.688</v>
          </cell>
          <cell r="AB72" t="str">
            <v>151467.489,435422.547</v>
          </cell>
          <cell r="AC72">
            <v>8.3417561863795893</v>
          </cell>
          <cell r="AD72">
            <v>0.89301367925594777</v>
          </cell>
          <cell r="AE72">
            <v>0.71</v>
          </cell>
          <cell r="AF72">
            <v>65.150000000000006</v>
          </cell>
          <cell r="AG72">
            <v>2.8987794603804069</v>
          </cell>
          <cell r="AH72">
            <v>55.788864733010442</v>
          </cell>
          <cell r="AI72">
            <v>4.1348565969838562</v>
          </cell>
          <cell r="AJ72">
            <v>2.1887794603804061</v>
          </cell>
          <cell r="AK72">
            <v>57.286123685236582</v>
          </cell>
          <cell r="AL72">
            <v>4.2068995893957331</v>
          </cell>
          <cell r="AM72">
            <v>8.3417561863795893</v>
          </cell>
          <cell r="AN72">
            <v>0.89301367925594777</v>
          </cell>
          <cell r="AO72" t="e">
            <v>#REF!</v>
          </cell>
          <cell r="AP72" t="e">
            <v>#REF!</v>
          </cell>
          <cell r="AQ72" t="e">
            <v>#REF!</v>
          </cell>
          <cell r="AR72" t="e">
            <v>#REF!</v>
          </cell>
          <cell r="AS72" t="e">
            <v>#REF!</v>
          </cell>
          <cell r="AT72" t="e">
            <v>#REF!</v>
          </cell>
          <cell r="AU72" t="e">
            <v>#REF!</v>
          </cell>
          <cell r="AV72" t="e">
            <v>#REF!</v>
          </cell>
          <cell r="AW72">
            <v>0.89301367925594777</v>
          </cell>
          <cell r="AX72">
            <v>0.89301367925594777</v>
          </cell>
          <cell r="AY72">
            <v>0.89301367925594777</v>
          </cell>
          <cell r="AZ72" t="e">
            <v>#REF!</v>
          </cell>
          <cell r="BE72">
            <v>151471.05650000001</v>
          </cell>
          <cell r="BF72">
            <v>435423.61750000005</v>
          </cell>
        </row>
        <row r="73">
          <cell r="A73" t="str">
            <v>CC24RZ43-10</v>
          </cell>
          <cell r="B73" t="str">
            <v>CC24RZ43-10 BUR-AAF BZ053 Buren, Erichemseweg</v>
          </cell>
          <cell r="C73" t="str">
            <v>CC24RZ43</v>
          </cell>
          <cell r="D73">
            <v>10</v>
          </cell>
          <cell r="E73" t="str">
            <v>Buren</v>
          </cell>
          <cell r="F73" t="str">
            <v>Erichemseweg</v>
          </cell>
          <cell r="G73">
            <v>10</v>
          </cell>
          <cell r="H73" t="str">
            <v>Coordinaten - BUR-AAF Deel 2.xlsx</v>
          </cell>
          <cell r="I73" t="str">
            <v>C &amp; C Cable &amp; Communication B.V.</v>
          </cell>
          <cell r="J73"/>
          <cell r="K73" t="str">
            <v>BUR-AAF BZ053</v>
          </cell>
          <cell r="L73">
            <v>45559</v>
          </cell>
          <cell r="M73">
            <v>5</v>
          </cell>
          <cell r="N73">
            <v>8</v>
          </cell>
          <cell r="O73">
            <v>1</v>
          </cell>
          <cell r="P73">
            <v>63</v>
          </cell>
          <cell r="Q73" t="str">
            <v xml:space="preserve">PE100 </v>
          </cell>
          <cell r="R73">
            <v>151762.33300000001</v>
          </cell>
          <cell r="S73">
            <v>435102.36300000001</v>
          </cell>
          <cell r="T73">
            <v>3.7309999999999999</v>
          </cell>
          <cell r="U73">
            <v>151765.67800000001</v>
          </cell>
          <cell r="V73">
            <v>435096.489</v>
          </cell>
          <cell r="W73">
            <v>3.7869999999999999</v>
          </cell>
          <cell r="X73">
            <v>5.600000000000005E-2</v>
          </cell>
          <cell r="Y73">
            <v>3.7589999999999999</v>
          </cell>
          <cell r="Z73">
            <v>6.7596524319031088</v>
          </cell>
          <cell r="AA73" t="str">
            <v>151762.333,435102.363</v>
          </cell>
          <cell r="AB73" t="str">
            <v>151765.678,435096.489</v>
          </cell>
          <cell r="AC73">
            <v>7.0719896636628139</v>
          </cell>
          <cell r="AD73">
            <v>0.9558346029032605</v>
          </cell>
          <cell r="AE73">
            <v>0.71</v>
          </cell>
          <cell r="AF73">
            <v>55.21</v>
          </cell>
          <cell r="AG73">
            <v>2.1471487929040034</v>
          </cell>
          <cell r="AH73">
            <v>44.555576114520797</v>
          </cell>
          <cell r="AI73">
            <v>3.5080038876966197</v>
          </cell>
          <cell r="AJ73">
            <v>1.4371487929040034</v>
          </cell>
          <cell r="AK73">
            <v>45.462957698760853</v>
          </cell>
          <cell r="AL73">
            <v>3.5639857759661937</v>
          </cell>
          <cell r="AM73">
            <v>7.0719896636628139</v>
          </cell>
          <cell r="AN73">
            <v>0.9558346029032605</v>
          </cell>
          <cell r="AO73" t="e">
            <v>#REF!</v>
          </cell>
          <cell r="AP73" t="e">
            <v>#REF!</v>
          </cell>
          <cell r="AQ73" t="e">
            <v>#REF!</v>
          </cell>
          <cell r="AR73" t="e">
            <v>#REF!</v>
          </cell>
          <cell r="AS73" t="e">
            <v>#REF!</v>
          </cell>
          <cell r="AT73" t="e">
            <v>#REF!</v>
          </cell>
          <cell r="AU73" t="e">
            <v>#REF!</v>
          </cell>
          <cell r="AV73" t="e">
            <v>#REF!</v>
          </cell>
          <cell r="AW73">
            <v>0.9558346029032605</v>
          </cell>
          <cell r="AX73">
            <v>0.9558346029032605</v>
          </cell>
          <cell r="AY73">
            <v>0.9558346029032605</v>
          </cell>
          <cell r="AZ73" t="e">
            <v>#REF!</v>
          </cell>
          <cell r="BE73">
            <v>151764.00550000003</v>
          </cell>
          <cell r="BF73">
            <v>435099.42599999998</v>
          </cell>
        </row>
        <row r="74">
          <cell r="A74" t="str">
            <v>CC24RZ43-11</v>
          </cell>
          <cell r="B74" t="str">
            <v>CC24RZ43-11 BUR-AAF BZ038 Buren, Erichemseweg</v>
          </cell>
          <cell r="C74" t="str">
            <v>CC24RZ43</v>
          </cell>
          <cell r="D74">
            <v>11</v>
          </cell>
          <cell r="E74" t="str">
            <v>Buren</v>
          </cell>
          <cell r="F74" t="str">
            <v>Erichemseweg</v>
          </cell>
          <cell r="G74">
            <v>10</v>
          </cell>
          <cell r="H74" t="str">
            <v>Coordinaten - BUR-AAF Deel 2.xlsx</v>
          </cell>
          <cell r="I74" t="str">
            <v>C &amp; C Cable &amp; Communication B.V.</v>
          </cell>
          <cell r="J74"/>
          <cell r="K74" t="str">
            <v>BUR-AAF BZ038</v>
          </cell>
          <cell r="L74">
            <v>45558</v>
          </cell>
          <cell r="M74">
            <v>5</v>
          </cell>
          <cell r="N74">
            <v>4</v>
          </cell>
          <cell r="O74">
            <v>1</v>
          </cell>
          <cell r="P74">
            <v>63</v>
          </cell>
          <cell r="Q74" t="str">
            <v xml:space="preserve">PE100 </v>
          </cell>
          <cell r="R74">
            <v>151778.72099999999</v>
          </cell>
          <cell r="S74">
            <v>435102.38500000001</v>
          </cell>
          <cell r="T74">
            <v>3.7919999999999998</v>
          </cell>
          <cell r="U74">
            <v>151769.56200000001</v>
          </cell>
          <cell r="V74">
            <v>435098.74300000002</v>
          </cell>
          <cell r="W74">
            <v>3.86</v>
          </cell>
          <cell r="X74">
            <v>6.800000000000006E-2</v>
          </cell>
          <cell r="Y74">
            <v>3.8259999999999996</v>
          </cell>
          <cell r="Z74">
            <v>9.8565432581444483</v>
          </cell>
          <cell r="AA74" t="str">
            <v>151778.721,435102.385</v>
          </cell>
          <cell r="AB74" t="str">
            <v>151769.562,435098.743</v>
          </cell>
          <cell r="AC74">
            <v>9.1972166843849301</v>
          </cell>
          <cell r="AD74">
            <v>1.0716876198947149</v>
          </cell>
          <cell r="AE74">
            <v>0.71</v>
          </cell>
          <cell r="AF74">
            <v>75.09</v>
          </cell>
          <cell r="AG74">
            <v>3.7134927315927495</v>
          </cell>
          <cell r="AH74">
            <v>66.465483763104672</v>
          </cell>
          <cell r="AI74">
            <v>4.5840984639509026</v>
          </cell>
          <cell r="AJ74">
            <v>3.0034927315927495</v>
          </cell>
          <cell r="AK74">
            <v>67.312705732523639</v>
          </cell>
          <cell r="AL74">
            <v>4.6131182204340266</v>
          </cell>
          <cell r="AM74">
            <v>9.1972166843849301</v>
          </cell>
          <cell r="AN74">
            <v>1.0716876198947149</v>
          </cell>
          <cell r="AO74" t="e">
            <v>#REF!</v>
          </cell>
          <cell r="AP74" t="e">
            <v>#REF!</v>
          </cell>
          <cell r="AQ74" t="e">
            <v>#REF!</v>
          </cell>
          <cell r="AR74" t="e">
            <v>#REF!</v>
          </cell>
          <cell r="AS74" t="e">
            <v>#REF!</v>
          </cell>
          <cell r="AT74" t="e">
            <v>#REF!</v>
          </cell>
          <cell r="AU74" t="e">
            <v>#REF!</v>
          </cell>
          <cell r="AV74" t="e">
            <v>#REF!</v>
          </cell>
          <cell r="AW74">
            <v>1.0716876198947149</v>
          </cell>
          <cell r="AX74">
            <v>1.0716876198947149</v>
          </cell>
          <cell r="AY74">
            <v>1.0716876198947149</v>
          </cell>
          <cell r="AZ74" t="e">
            <v>#REF!</v>
          </cell>
          <cell r="BE74">
            <v>151774.1415</v>
          </cell>
          <cell r="BF74">
            <v>435100.56400000001</v>
          </cell>
        </row>
        <row r="75">
          <cell r="A75" t="str">
            <v>CC24RZ43-12</v>
          </cell>
          <cell r="B75" t="str">
            <v>CC24RZ43-12 BUR-AAF BZ059 Buren, Erichemseweg</v>
          </cell>
          <cell r="C75" t="str">
            <v>CC24RZ43</v>
          </cell>
          <cell r="D75">
            <v>12</v>
          </cell>
          <cell r="E75" t="str">
            <v>Buren</v>
          </cell>
          <cell r="F75" t="str">
            <v>Erichemseweg</v>
          </cell>
          <cell r="G75">
            <v>10</v>
          </cell>
          <cell r="H75" t="str">
            <v>Coordinaten - BUR-AAF Deel 2.xlsx</v>
          </cell>
          <cell r="I75" t="str">
            <v>C &amp; C Cable &amp; Communication B.V.</v>
          </cell>
          <cell r="J75"/>
          <cell r="K75" t="str">
            <v>BUR-AAF BZ059</v>
          </cell>
          <cell r="L75">
            <v>45558</v>
          </cell>
          <cell r="M75">
            <v>5</v>
          </cell>
          <cell r="N75">
            <v>10</v>
          </cell>
          <cell r="O75">
            <v>1</v>
          </cell>
          <cell r="P75">
            <v>63</v>
          </cell>
          <cell r="Q75" t="str">
            <v xml:space="preserve">PE100 </v>
          </cell>
          <cell r="R75">
            <v>151782.50200000001</v>
          </cell>
          <cell r="S75">
            <v>435076.82900000003</v>
          </cell>
          <cell r="T75">
            <v>3.74</v>
          </cell>
          <cell r="U75">
            <v>151785.42199999999</v>
          </cell>
          <cell r="V75">
            <v>435074.005</v>
          </cell>
          <cell r="W75">
            <v>3.75</v>
          </cell>
          <cell r="X75">
            <v>9.9999999999997868E-3</v>
          </cell>
          <cell r="Y75">
            <v>3.7450000000000001</v>
          </cell>
          <cell r="Z75">
            <v>4.0621885726823495</v>
          </cell>
          <cell r="AA75" t="str">
            <v>151782.502,435076.829</v>
          </cell>
          <cell r="AB75" t="str">
            <v>151785.422,435074.005</v>
          </cell>
          <cell r="AC75">
            <v>5.3513138125018962</v>
          </cell>
          <cell r="AD75">
            <v>0.75910116935997018</v>
          </cell>
          <cell r="AE75">
            <v>0.71</v>
          </cell>
          <cell r="AF75">
            <v>45.27</v>
          </cell>
          <cell r="AG75">
            <v>1.4811660994605473</v>
          </cell>
          <cell r="AH75">
            <v>32.245816678118366</v>
          </cell>
          <cell r="AI75">
            <v>2.6677638279368501</v>
          </cell>
          <cell r="AJ75">
            <v>0.77116609946054648</v>
          </cell>
          <cell r="AK75">
            <v>32.459953672612379</v>
          </cell>
          <cell r="AL75">
            <v>2.6835499845650457</v>
          </cell>
          <cell r="AM75">
            <v>5.3513138125018962</v>
          </cell>
          <cell r="AN75">
            <v>0.75910116935997018</v>
          </cell>
          <cell r="AO75" t="e">
            <v>#REF!</v>
          </cell>
          <cell r="AP75" t="e">
            <v>#REF!</v>
          </cell>
          <cell r="AQ75" t="e">
            <v>#REF!</v>
          </cell>
          <cell r="AR75" t="e">
            <v>#REF!</v>
          </cell>
          <cell r="AS75" t="e">
            <v>#REF!</v>
          </cell>
          <cell r="AT75" t="e">
            <v>#REF!</v>
          </cell>
          <cell r="AU75" t="e">
            <v>#REF!</v>
          </cell>
          <cell r="AV75" t="e">
            <v>#REF!</v>
          </cell>
          <cell r="AW75">
            <v>0.75910116935997018</v>
          </cell>
          <cell r="AX75">
            <v>0.75910116935997018</v>
          </cell>
          <cell r="AY75">
            <v>0.75910116935997018</v>
          </cell>
          <cell r="AZ75" t="e">
            <v>#REF!</v>
          </cell>
          <cell r="BE75">
            <v>151783.962</v>
          </cell>
          <cell r="BF75">
            <v>435075.41700000002</v>
          </cell>
        </row>
        <row r="76">
          <cell r="A76" t="str">
            <v>CC24RZ43-13</v>
          </cell>
          <cell r="B76" t="str">
            <v>CC24RZ43-13 HRN-ABW Haren Gn, Lutsborgsweg</v>
          </cell>
          <cell r="C76" t="str">
            <v>CC24RZ43</v>
          </cell>
          <cell r="D76">
            <v>13</v>
          </cell>
          <cell r="E76" t="str">
            <v>Haren Gn</v>
          </cell>
          <cell r="F76" t="str">
            <v>Lutsborgsweg</v>
          </cell>
          <cell r="G76" t="str">
            <v>52</v>
          </cell>
          <cell r="H76" t="str">
            <v>Coordinaten - HRN-ABW Deel 1.xlsx</v>
          </cell>
          <cell r="I76" t="str">
            <v>C &amp; C Cable &amp; Communication B.V.</v>
          </cell>
          <cell r="J76"/>
          <cell r="K76" t="str">
            <v>HRN-ABW</v>
          </cell>
          <cell r="L76">
            <v>45586</v>
          </cell>
          <cell r="M76">
            <v>5</v>
          </cell>
          <cell r="N76">
            <v>5</v>
          </cell>
          <cell r="O76">
            <v>1</v>
          </cell>
          <cell r="P76">
            <v>63</v>
          </cell>
          <cell r="Q76" t="str">
            <v xml:space="preserve">PE100 </v>
          </cell>
          <cell r="R76">
            <v>236782.408</v>
          </cell>
          <cell r="S76">
            <v>575499.58499999996</v>
          </cell>
          <cell r="T76">
            <v>1.206</v>
          </cell>
          <cell r="U76">
            <v>236774.35699999999</v>
          </cell>
          <cell r="V76">
            <v>575496.16899999999</v>
          </cell>
          <cell r="W76">
            <v>1.982</v>
          </cell>
          <cell r="X76">
            <v>0.77600000000000002</v>
          </cell>
          <cell r="Y76">
            <v>1.5939999999999999</v>
          </cell>
          <cell r="Z76">
            <v>8.7457222114524313</v>
          </cell>
          <cell r="AA76" t="str">
            <v>236782.408,575499.585</v>
          </cell>
          <cell r="AB76" t="str">
            <v>236774.357,575496.169</v>
          </cell>
          <cell r="AC76">
            <v>9.1060938275977428</v>
          </cell>
          <cell r="AD76">
            <v>0.96042522480351156</v>
          </cell>
          <cell r="AE76">
            <v>0.71</v>
          </cell>
          <cell r="AF76">
            <v>70.12</v>
          </cell>
          <cell r="AG76">
            <v>3.2997434649603354</v>
          </cell>
          <cell r="AH76">
            <v>61.180537975490623</v>
          </cell>
          <cell r="AI76">
            <v>4.3807149456793679</v>
          </cell>
          <cell r="AJ76">
            <v>2.5897434649603355</v>
          </cell>
          <cell r="AK76">
            <v>70.922226347216977</v>
          </cell>
          <cell r="AL76">
            <v>4.7253788819183749</v>
          </cell>
          <cell r="AM76">
            <v>9.1060938275977428</v>
          </cell>
          <cell r="AN76">
            <v>0.96042522480351156</v>
          </cell>
          <cell r="AO76" t="e">
            <v>#REF!</v>
          </cell>
          <cell r="AP76" t="e">
            <v>#REF!</v>
          </cell>
          <cell r="AQ76" t="e">
            <v>#REF!</v>
          </cell>
          <cell r="AR76" t="e">
            <v>#REF!</v>
          </cell>
          <cell r="AS76" t="e">
            <v>#REF!</v>
          </cell>
          <cell r="AT76" t="e">
            <v>#REF!</v>
          </cell>
          <cell r="AU76" t="e">
            <v>#REF!</v>
          </cell>
          <cell r="AV76" t="e">
            <v>#REF!</v>
          </cell>
          <cell r="AW76">
            <v>0.96042522480351156</v>
          </cell>
          <cell r="AX76">
            <v>0.96042522480351156</v>
          </cell>
          <cell r="AY76">
            <v>0.96042522480351156</v>
          </cell>
          <cell r="AZ76" t="e">
            <v>#REF!</v>
          </cell>
          <cell r="BE76">
            <v>236778.38250000001</v>
          </cell>
          <cell r="BF76">
            <v>575497.87699999998</v>
          </cell>
        </row>
        <row r="77">
          <cell r="A77" t="str">
            <v>CC24RZ43-14</v>
          </cell>
          <cell r="B77" t="str">
            <v>CC24RZ43-14 HRN-ABW Haren Gn, Reigerweg</v>
          </cell>
          <cell r="C77" t="str">
            <v>CC24RZ43</v>
          </cell>
          <cell r="D77">
            <v>14</v>
          </cell>
          <cell r="E77" t="str">
            <v>Haren Gn</v>
          </cell>
          <cell r="F77" t="str">
            <v>Reigerweg</v>
          </cell>
          <cell r="G77" t="str">
            <v>22</v>
          </cell>
          <cell r="H77" t="str">
            <v>Coordinaten - HRN-ABW Deel 1.xlsx</v>
          </cell>
          <cell r="I77" t="str">
            <v>C &amp; C Cable &amp; Communication B.V.</v>
          </cell>
          <cell r="J77"/>
          <cell r="K77" t="str">
            <v>HRN-ABW</v>
          </cell>
          <cell r="L77">
            <v>45606</v>
          </cell>
          <cell r="M77">
            <v>5</v>
          </cell>
          <cell r="N77">
            <v>8</v>
          </cell>
          <cell r="O77">
            <v>1</v>
          </cell>
          <cell r="P77">
            <v>63</v>
          </cell>
          <cell r="Q77" t="str">
            <v xml:space="preserve">PE100 </v>
          </cell>
          <cell r="R77">
            <v>236732.155</v>
          </cell>
          <cell r="S77">
            <v>575626.07200000004</v>
          </cell>
          <cell r="T77">
            <v>1.9019999999999999</v>
          </cell>
          <cell r="U77">
            <v>236725.07699999999</v>
          </cell>
          <cell r="V77">
            <v>575623.39599999995</v>
          </cell>
          <cell r="W77">
            <v>1.9390000000000001</v>
          </cell>
          <cell r="X77">
            <v>3.7000000000000144E-2</v>
          </cell>
          <cell r="Y77">
            <v>1.9205000000000001</v>
          </cell>
          <cell r="Z77">
            <v>7.5669716532193636</v>
          </cell>
          <cell r="AA77" t="str">
            <v>236732.155,575626.072</v>
          </cell>
          <cell r="AB77" t="str">
            <v>236725.077,575623.396</v>
          </cell>
          <cell r="AC77">
            <v>7.0531940469715355</v>
          </cell>
          <cell r="AD77">
            <v>1.0728432541095947</v>
          </cell>
          <cell r="AE77">
            <v>0.71</v>
          </cell>
          <cell r="AF77">
            <v>55.21</v>
          </cell>
          <cell r="AG77">
            <v>2.1471487929040034</v>
          </cell>
          <cell r="AH77">
            <v>44.555576114520797</v>
          </cell>
          <cell r="AI77">
            <v>3.5080038876966197</v>
          </cell>
          <cell r="AJ77">
            <v>1.4371487929040034</v>
          </cell>
          <cell r="AK77">
            <v>45.156700763008018</v>
          </cell>
          <cell r="AL77">
            <v>3.5451901592749158</v>
          </cell>
          <cell r="AM77">
            <v>7.0531940469715355</v>
          </cell>
          <cell r="AN77">
            <v>1.0728432541095947</v>
          </cell>
          <cell r="AO77" t="e">
            <v>#REF!</v>
          </cell>
          <cell r="AP77" t="e">
            <v>#REF!</v>
          </cell>
          <cell r="AQ77" t="e">
            <v>#REF!</v>
          </cell>
          <cell r="AR77" t="e">
            <v>#REF!</v>
          </cell>
          <cell r="AS77" t="e">
            <v>#REF!</v>
          </cell>
          <cell r="AT77" t="e">
            <v>#REF!</v>
          </cell>
          <cell r="AU77" t="e">
            <v>#REF!</v>
          </cell>
          <cell r="AV77" t="e">
            <v>#REF!</v>
          </cell>
          <cell r="AW77">
            <v>1.0728432541095947</v>
          </cell>
          <cell r="AX77">
            <v>1.0728432541095947</v>
          </cell>
          <cell r="AY77">
            <v>1.0728432541095947</v>
          </cell>
          <cell r="AZ77" t="e">
            <v>#REF!</v>
          </cell>
          <cell r="BE77">
            <v>236728.61599999998</v>
          </cell>
          <cell r="BF77">
            <v>575624.73399999994</v>
          </cell>
        </row>
        <row r="78">
          <cell r="A78" t="str">
            <v>CC24RZ43-15</v>
          </cell>
          <cell r="B78" t="str">
            <v>CC24RZ43-15 HRN-ABW Haren Gn, Lutsborgsweg</v>
          </cell>
          <cell r="C78" t="str">
            <v>CC24RZ43</v>
          </cell>
          <cell r="D78">
            <v>15</v>
          </cell>
          <cell r="E78" t="str">
            <v>Haren Gn</v>
          </cell>
          <cell r="F78" t="str">
            <v>Lutsborgsweg</v>
          </cell>
          <cell r="G78" t="str">
            <v>40</v>
          </cell>
          <cell r="H78" t="str">
            <v>Coordinaten - HRN-ABW Deel 1.xlsx</v>
          </cell>
          <cell r="I78" t="str">
            <v>C &amp; C Cable &amp; Communication B.V.</v>
          </cell>
          <cell r="J78"/>
          <cell r="K78" t="str">
            <v>HRN-ABW</v>
          </cell>
          <cell r="L78">
            <v>45575</v>
          </cell>
          <cell r="M78">
            <v>5</v>
          </cell>
          <cell r="N78">
            <v>9</v>
          </cell>
          <cell r="O78">
            <v>1</v>
          </cell>
          <cell r="P78">
            <v>63</v>
          </cell>
          <cell r="Q78" t="str">
            <v xml:space="preserve">PE100 </v>
          </cell>
          <cell r="R78">
            <v>236712.79300000001</v>
          </cell>
          <cell r="S78">
            <v>575658.10900000005</v>
          </cell>
          <cell r="T78">
            <v>1.972</v>
          </cell>
          <cell r="U78">
            <v>236708.285</v>
          </cell>
          <cell r="V78">
            <v>575654.38399999996</v>
          </cell>
          <cell r="W78">
            <v>1.94</v>
          </cell>
          <cell r="X78">
            <v>-3.2000000000000028E-2</v>
          </cell>
          <cell r="Y78">
            <v>1.956</v>
          </cell>
          <cell r="Z78">
            <v>5.847879017276993</v>
          </cell>
          <cell r="AA78" t="str">
            <v>236712.793,575658.109</v>
          </cell>
          <cell r="AB78" t="str">
            <v>236708.285,575654.384</v>
          </cell>
          <cell r="AC78">
            <v>6.1976156425750419</v>
          </cell>
          <cell r="AD78">
            <v>0.94356916506801358</v>
          </cell>
          <cell r="AE78">
            <v>0.71</v>
          </cell>
          <cell r="AF78">
            <v>50.24</v>
          </cell>
          <cell r="AG78">
            <v>1.80213409772671</v>
          </cell>
          <cell r="AH78">
            <v>38.595159149554647</v>
          </cell>
          <cell r="AI78">
            <v>3.1190678238617648</v>
          </cell>
          <cell r="AJ78">
            <v>1.09213409772671</v>
          </cell>
          <cell r="AK78">
            <v>38.003496562721224</v>
          </cell>
          <cell r="AL78">
            <v>3.0785478187132771</v>
          </cell>
          <cell r="AM78">
            <v>6.1976156425750419</v>
          </cell>
          <cell r="AN78">
            <v>0.94356916506801358</v>
          </cell>
          <cell r="AO78" t="e">
            <v>#REF!</v>
          </cell>
          <cell r="AP78" t="e">
            <v>#REF!</v>
          </cell>
          <cell r="AQ78" t="e">
            <v>#REF!</v>
          </cell>
          <cell r="AR78" t="e">
            <v>#REF!</v>
          </cell>
          <cell r="AS78" t="e">
            <v>#REF!</v>
          </cell>
          <cell r="AT78" t="e">
            <v>#REF!</v>
          </cell>
          <cell r="AU78" t="e">
            <v>#REF!</v>
          </cell>
          <cell r="AV78" t="e">
            <v>#REF!</v>
          </cell>
          <cell r="AW78">
            <v>0.94356916506801358</v>
          </cell>
          <cell r="AX78">
            <v>0.94356916506801358</v>
          </cell>
          <cell r="AY78">
            <v>0.94356916506801358</v>
          </cell>
          <cell r="AZ78" t="e">
            <v>#REF!</v>
          </cell>
          <cell r="BE78">
            <v>236710.53899999999</v>
          </cell>
          <cell r="BF78">
            <v>575656.24650000001</v>
          </cell>
        </row>
        <row r="79">
          <cell r="A79" t="str">
            <v>CC24RZ43-16</v>
          </cell>
          <cell r="B79" t="str">
            <v>CC24RZ43-16 HRN-ABW Haren Gn, Lutsborgsweg</v>
          </cell>
          <cell r="C79" t="str">
            <v>CC24RZ43</v>
          </cell>
          <cell r="D79">
            <v>16</v>
          </cell>
          <cell r="E79" t="str">
            <v>Haren Gn</v>
          </cell>
          <cell r="F79" t="str">
            <v>Lutsborgsweg</v>
          </cell>
          <cell r="G79" t="str">
            <v>34</v>
          </cell>
          <cell r="H79" t="str">
            <v>Coordinaten - HRN-ABW Deel 1.xlsx</v>
          </cell>
          <cell r="I79" t="str">
            <v>C &amp; C Cable &amp; Communication B.V.</v>
          </cell>
          <cell r="J79"/>
          <cell r="K79" t="str">
            <v>HRN-ABW</v>
          </cell>
          <cell r="L79">
            <v>45575</v>
          </cell>
          <cell r="M79">
            <v>5</v>
          </cell>
          <cell r="N79">
            <v>9</v>
          </cell>
          <cell r="O79">
            <v>1</v>
          </cell>
          <cell r="P79">
            <v>63</v>
          </cell>
          <cell r="Q79" t="str">
            <v xml:space="preserve">PE100 </v>
          </cell>
          <cell r="R79">
            <v>236680.47099999999</v>
          </cell>
          <cell r="S79">
            <v>575699.28099999996</v>
          </cell>
          <cell r="T79">
            <v>1.9259999999999999</v>
          </cell>
          <cell r="U79">
            <v>236675.85399999999</v>
          </cell>
          <cell r="V79">
            <v>575695.84199999995</v>
          </cell>
          <cell r="W79">
            <v>1.825</v>
          </cell>
          <cell r="X79">
            <v>-0.10099999999999998</v>
          </cell>
          <cell r="Y79">
            <v>1.8754999999999999</v>
          </cell>
          <cell r="Z79">
            <v>5.7570313530564201</v>
          </cell>
          <cell r="AA79" t="str">
            <v>236680.471,575699.281</v>
          </cell>
          <cell r="AB79" t="str">
            <v>236675.854,575695.842</v>
          </cell>
          <cell r="AC79">
            <v>6.1072100858015412</v>
          </cell>
          <cell r="AD79">
            <v>0.9426614234936439</v>
          </cell>
          <cell r="AE79">
            <v>0.71</v>
          </cell>
          <cell r="AF79">
            <v>50.24</v>
          </cell>
          <cell r="AG79">
            <v>1.80213409772671</v>
          </cell>
          <cell r="AH79">
            <v>38.595159149554647</v>
          </cell>
          <cell r="AI79">
            <v>3.1190678238617648</v>
          </cell>
          <cell r="AJ79">
            <v>1.09213409772671</v>
          </cell>
          <cell r="AK79">
            <v>36.70023620881274</v>
          </cell>
          <cell r="AL79">
            <v>2.9881422619397764</v>
          </cell>
          <cell r="AM79">
            <v>6.1072100858015412</v>
          </cell>
          <cell r="AN79">
            <v>0.9426614234936439</v>
          </cell>
          <cell r="AO79" t="e">
            <v>#REF!</v>
          </cell>
          <cell r="AP79" t="e">
            <v>#REF!</v>
          </cell>
          <cell r="AQ79" t="e">
            <v>#REF!</v>
          </cell>
          <cell r="AR79" t="e">
            <v>#REF!</v>
          </cell>
          <cell r="AS79" t="e">
            <v>#REF!</v>
          </cell>
          <cell r="AT79" t="e">
            <v>#REF!</v>
          </cell>
          <cell r="AU79" t="e">
            <v>#REF!</v>
          </cell>
          <cell r="AV79" t="e">
            <v>#REF!</v>
          </cell>
          <cell r="AW79">
            <v>0.9426614234936439</v>
          </cell>
          <cell r="AX79">
            <v>0.9426614234936439</v>
          </cell>
          <cell r="AY79">
            <v>0.9426614234936439</v>
          </cell>
          <cell r="AZ79" t="e">
            <v>#REF!</v>
          </cell>
          <cell r="BE79">
            <v>236678.16249999998</v>
          </cell>
          <cell r="BF79">
            <v>575697.56149999995</v>
          </cell>
        </row>
        <row r="80">
          <cell r="A80" t="str">
            <v>CC24RZ43-17</v>
          </cell>
          <cell r="B80" t="str">
            <v>CC24RZ43-17 HRN-ABW Haren Gn, Lutsborgsweg</v>
          </cell>
          <cell r="C80" t="str">
            <v>CC24RZ43</v>
          </cell>
          <cell r="D80">
            <v>17</v>
          </cell>
          <cell r="E80" t="str">
            <v>Haren Gn</v>
          </cell>
          <cell r="F80" t="str">
            <v>Lutsborgsweg</v>
          </cell>
          <cell r="G80" t="str">
            <v>13</v>
          </cell>
          <cell r="H80" t="str">
            <v>Coordinaten - HRN-ABW Deel 1.xlsx</v>
          </cell>
          <cell r="I80" t="str">
            <v>C &amp; C Cable &amp; Communication B.V.</v>
          </cell>
          <cell r="J80"/>
          <cell r="K80" t="str">
            <v>HRN-ABW</v>
          </cell>
          <cell r="L80">
            <v>45575</v>
          </cell>
          <cell r="M80">
            <v>5</v>
          </cell>
          <cell r="N80">
            <v>9</v>
          </cell>
          <cell r="O80">
            <v>1</v>
          </cell>
          <cell r="P80">
            <v>63</v>
          </cell>
          <cell r="Q80" t="str">
            <v xml:space="preserve">PE100 </v>
          </cell>
          <cell r="R80">
            <v>236580.10399999999</v>
          </cell>
          <cell r="S80">
            <v>575849.60900000005</v>
          </cell>
          <cell r="T80">
            <v>1.6020000000000001</v>
          </cell>
          <cell r="U80">
            <v>236575.04199999999</v>
          </cell>
          <cell r="V80">
            <v>575846.63699999999</v>
          </cell>
          <cell r="W80">
            <v>1.635</v>
          </cell>
          <cell r="X80">
            <v>3.2999999999999918E-2</v>
          </cell>
          <cell r="Y80">
            <v>1.6185</v>
          </cell>
          <cell r="Z80">
            <v>5.869976831338672</v>
          </cell>
          <cell r="AA80" t="str">
            <v>236580.104,575849.609</v>
          </cell>
          <cell r="AB80" t="str">
            <v>236575.042,575846.637</v>
          </cell>
          <cell r="AC80">
            <v>6.279038431225036</v>
          </cell>
          <cell r="AD80">
            <v>0.93485282748833942</v>
          </cell>
          <cell r="AE80">
            <v>0.71</v>
          </cell>
          <cell r="AF80">
            <v>50.24</v>
          </cell>
          <cell r="AG80">
            <v>1.80213409772671</v>
          </cell>
          <cell r="AH80">
            <v>38.595159149554647</v>
          </cell>
          <cell r="AI80">
            <v>3.1190678238617648</v>
          </cell>
          <cell r="AJ80">
            <v>1.09213409772671</v>
          </cell>
          <cell r="AK80">
            <v>39.197398914960615</v>
          </cell>
          <cell r="AL80">
            <v>3.1599706073632712</v>
          </cell>
          <cell r="AM80">
            <v>6.279038431225036</v>
          </cell>
          <cell r="AN80">
            <v>0.93485282748833942</v>
          </cell>
          <cell r="AO80" t="e">
            <v>#REF!</v>
          </cell>
          <cell r="AP80" t="e">
            <v>#REF!</v>
          </cell>
          <cell r="AQ80" t="e">
            <v>#REF!</v>
          </cell>
          <cell r="AR80" t="e">
            <v>#REF!</v>
          </cell>
          <cell r="AS80" t="e">
            <v>#REF!</v>
          </cell>
          <cell r="AT80" t="e">
            <v>#REF!</v>
          </cell>
          <cell r="AU80" t="e">
            <v>#REF!</v>
          </cell>
          <cell r="AV80" t="e">
            <v>#REF!</v>
          </cell>
          <cell r="AW80">
            <v>0.93485282748833942</v>
          </cell>
          <cell r="AX80">
            <v>0.93485282748833942</v>
          </cell>
          <cell r="AY80">
            <v>0.93485282748833942</v>
          </cell>
          <cell r="AZ80" t="e">
            <v>#REF!</v>
          </cell>
          <cell r="BE80">
            <v>236577.57299999997</v>
          </cell>
          <cell r="BF80">
            <v>575848.12300000002</v>
          </cell>
        </row>
        <row r="81">
          <cell r="A81" t="str">
            <v>CC24RZ43-18</v>
          </cell>
          <cell r="B81" t="str">
            <v>CC24RZ43-18 HRN-ABW Haren Gn, Reigerweg</v>
          </cell>
          <cell r="C81" t="str">
            <v>CC24RZ43</v>
          </cell>
          <cell r="D81">
            <v>18</v>
          </cell>
          <cell r="E81" t="str">
            <v>Haren Gn</v>
          </cell>
          <cell r="F81" t="str">
            <v>Reigerweg</v>
          </cell>
          <cell r="G81" t="str">
            <v>18</v>
          </cell>
          <cell r="H81" t="str">
            <v>Coordinaten - HRN-ABW Deel 1.xlsx</v>
          </cell>
          <cell r="I81" t="str">
            <v>C &amp; C Cable &amp; Communication B.V.</v>
          </cell>
          <cell r="J81"/>
          <cell r="K81" t="str">
            <v>HRN-ABW</v>
          </cell>
          <cell r="L81">
            <v>45579</v>
          </cell>
          <cell r="M81">
            <v>5</v>
          </cell>
          <cell r="N81">
            <v>9</v>
          </cell>
          <cell r="O81">
            <v>1</v>
          </cell>
          <cell r="P81">
            <v>63</v>
          </cell>
          <cell r="Q81" t="str">
            <v xml:space="preserve">PE100 </v>
          </cell>
          <cell r="R81">
            <v>236758.28099999999</v>
          </cell>
          <cell r="S81">
            <v>575633.16399999999</v>
          </cell>
          <cell r="T81">
            <v>1.996</v>
          </cell>
          <cell r="U81">
            <v>236760.38699999999</v>
          </cell>
          <cell r="V81">
            <v>575627.84900000005</v>
          </cell>
          <cell r="W81">
            <v>1.952</v>
          </cell>
          <cell r="X81">
            <v>-4.4000000000000039E-2</v>
          </cell>
          <cell r="Y81">
            <v>1.974</v>
          </cell>
          <cell r="Z81">
            <v>5.717032534401481</v>
          </cell>
          <cell r="AA81" t="str">
            <v>236758.281,575633.164</v>
          </cell>
          <cell r="AB81" t="str">
            <v>236760.387,575627.849</v>
          </cell>
          <cell r="AC81">
            <v>6.182196272107074</v>
          </cell>
          <cell r="AD81">
            <v>0.92475752673781553</v>
          </cell>
          <cell r="AE81">
            <v>0.71</v>
          </cell>
          <cell r="AF81">
            <v>50.24</v>
          </cell>
          <cell r="AG81">
            <v>1.80213409772671</v>
          </cell>
          <cell r="AH81">
            <v>38.595159149554647</v>
          </cell>
          <cell r="AI81">
            <v>3.1190678238617648</v>
          </cell>
          <cell r="AJ81">
            <v>1.09213409772671</v>
          </cell>
          <cell r="AK81">
            <v>37.779600528691546</v>
          </cell>
          <cell r="AL81">
            <v>3.0631284482453087</v>
          </cell>
          <cell r="AM81">
            <v>6.182196272107074</v>
          </cell>
          <cell r="AN81">
            <v>0.92475752673781553</v>
          </cell>
          <cell r="AO81" t="e">
            <v>#REF!</v>
          </cell>
          <cell r="AP81" t="e">
            <v>#REF!</v>
          </cell>
          <cell r="AQ81" t="e">
            <v>#REF!</v>
          </cell>
          <cell r="AR81" t="e">
            <v>#REF!</v>
          </cell>
          <cell r="AS81" t="e">
            <v>#REF!</v>
          </cell>
          <cell r="AT81" t="e">
            <v>#REF!</v>
          </cell>
          <cell r="AU81" t="e">
            <v>#REF!</v>
          </cell>
          <cell r="AV81" t="e">
            <v>#REF!</v>
          </cell>
          <cell r="AW81">
            <v>0.92475752673781553</v>
          </cell>
          <cell r="AX81">
            <v>0.92475752673781553</v>
          </cell>
          <cell r="AY81">
            <v>0.92475752673781553</v>
          </cell>
          <cell r="AZ81" t="e">
            <v>#REF!</v>
          </cell>
          <cell r="BE81">
            <v>236759.33399999997</v>
          </cell>
          <cell r="BF81">
            <v>575630.50650000002</v>
          </cell>
        </row>
        <row r="82">
          <cell r="A82" t="str">
            <v>CC24RZ43-19</v>
          </cell>
          <cell r="B82" t="str">
            <v>CC24RZ43-19 HRN-ABW Haren Gn, Reigerweg</v>
          </cell>
          <cell r="C82" t="str">
            <v>CC24RZ43</v>
          </cell>
          <cell r="D82">
            <v>19</v>
          </cell>
          <cell r="E82" t="str">
            <v>Haren Gn</v>
          </cell>
          <cell r="F82" t="str">
            <v>Reigerweg</v>
          </cell>
          <cell r="G82" t="str">
            <v>14</v>
          </cell>
          <cell r="H82" t="str">
            <v>Coordinaten - HRN-ABW Deel 1.xlsx</v>
          </cell>
          <cell r="I82" t="str">
            <v>C &amp; C Cable &amp; Communication B.V.</v>
          </cell>
          <cell r="J82"/>
          <cell r="K82" t="str">
            <v>HRN-ABW</v>
          </cell>
          <cell r="L82">
            <v>45579</v>
          </cell>
          <cell r="M82">
            <v>5</v>
          </cell>
          <cell r="N82">
            <v>9</v>
          </cell>
          <cell r="O82">
            <v>1</v>
          </cell>
          <cell r="P82">
            <v>63</v>
          </cell>
          <cell r="Q82" t="str">
            <v xml:space="preserve">PE100 </v>
          </cell>
          <cell r="R82">
            <v>236769.533</v>
          </cell>
          <cell r="S82">
            <v>575631.43799999997</v>
          </cell>
          <cell r="T82">
            <v>2.012</v>
          </cell>
          <cell r="U82">
            <v>236768.049</v>
          </cell>
          <cell r="V82">
            <v>575637.15399999998</v>
          </cell>
          <cell r="W82">
            <v>1.998</v>
          </cell>
          <cell r="X82">
            <v>-1.4000000000000012E-2</v>
          </cell>
          <cell r="Y82">
            <v>2.0049999999999999</v>
          </cell>
          <cell r="Z82">
            <v>5.9054984548436451</v>
          </cell>
          <cell r="AA82" t="str">
            <v>236769.533,575631.438</v>
          </cell>
          <cell r="AB82" t="str">
            <v>236768.049,575637.154</v>
          </cell>
          <cell r="AC82">
            <v>6.2205139131217582</v>
          </cell>
          <cell r="AD82">
            <v>0.9493586120571792</v>
          </cell>
          <cell r="AE82">
            <v>0.71</v>
          </cell>
          <cell r="AF82">
            <v>50.24</v>
          </cell>
          <cell r="AG82">
            <v>1.80213409772671</v>
          </cell>
          <cell r="AH82">
            <v>38.595159149554647</v>
          </cell>
          <cell r="AI82">
            <v>3.1190678238617648</v>
          </cell>
          <cell r="AJ82">
            <v>1.09213409772671</v>
          </cell>
          <cell r="AK82">
            <v>38.33725777033294</v>
          </cell>
          <cell r="AL82">
            <v>3.1014460892599938</v>
          </cell>
          <cell r="AM82">
            <v>6.2205139131217582</v>
          </cell>
          <cell r="AN82">
            <v>0.9493586120571792</v>
          </cell>
          <cell r="AO82" t="e">
            <v>#REF!</v>
          </cell>
          <cell r="AP82" t="e">
            <v>#REF!</v>
          </cell>
          <cell r="AQ82" t="e">
            <v>#REF!</v>
          </cell>
          <cell r="AR82" t="e">
            <v>#REF!</v>
          </cell>
          <cell r="AS82" t="e">
            <v>#REF!</v>
          </cell>
          <cell r="AT82" t="e">
            <v>#REF!</v>
          </cell>
          <cell r="AU82" t="e">
            <v>#REF!</v>
          </cell>
          <cell r="AV82" t="e">
            <v>#REF!</v>
          </cell>
          <cell r="AW82">
            <v>0.9493586120571792</v>
          </cell>
          <cell r="AX82">
            <v>0.9493586120571792</v>
          </cell>
          <cell r="AY82">
            <v>0.9493586120571792</v>
          </cell>
          <cell r="AZ82" t="e">
            <v>#REF!</v>
          </cell>
          <cell r="BE82">
            <v>236768.791</v>
          </cell>
          <cell r="BF82">
            <v>575634.29599999997</v>
          </cell>
        </row>
        <row r="83">
          <cell r="A83" t="str">
            <v>CC24RZ43-20</v>
          </cell>
          <cell r="B83" t="str">
            <v>CC24RZ43-20 HRN-ABW Haren Gn, 't Harde</v>
          </cell>
          <cell r="C83" t="str">
            <v>CC24RZ43</v>
          </cell>
          <cell r="D83">
            <v>20</v>
          </cell>
          <cell r="E83" t="str">
            <v>Haren Gn</v>
          </cell>
          <cell r="F83" t="str">
            <v>'t Harde</v>
          </cell>
          <cell r="G83" t="str">
            <v>30</v>
          </cell>
          <cell r="H83" t="str">
            <v>Coordinaten - HRN-ABW Deel 1.xlsx</v>
          </cell>
          <cell r="I83" t="str">
            <v>C &amp; C Cable &amp; Communication B.V.</v>
          </cell>
          <cell r="J83"/>
          <cell r="K83" t="str">
            <v>HRN-ABW</v>
          </cell>
          <cell r="L83">
            <v>45579</v>
          </cell>
          <cell r="M83">
            <v>5</v>
          </cell>
          <cell r="N83">
            <v>9</v>
          </cell>
          <cell r="O83">
            <v>1</v>
          </cell>
          <cell r="P83">
            <v>63</v>
          </cell>
          <cell r="Q83" t="str">
            <v xml:space="preserve">PE100 </v>
          </cell>
          <cell r="R83">
            <v>236857.592</v>
          </cell>
          <cell r="S83">
            <v>575685.81499999994</v>
          </cell>
          <cell r="T83">
            <v>2.4809999999999999</v>
          </cell>
          <cell r="U83">
            <v>236863.568</v>
          </cell>
          <cell r="V83">
            <v>575688.64500000002</v>
          </cell>
          <cell r="W83">
            <v>2.5190000000000001</v>
          </cell>
          <cell r="X83">
            <v>3.8000000000000256E-2</v>
          </cell>
          <cell r="Y83">
            <v>2.5</v>
          </cell>
          <cell r="Z83">
            <v>6.6122217143985171</v>
          </cell>
          <cell r="AA83" t="str">
            <v>236857.592,575685.815</v>
          </cell>
          <cell r="AB83" t="str">
            <v>236863.568,575688.645</v>
          </cell>
          <cell r="AC83">
            <v>6.2851597205733141</v>
          </cell>
          <cell r="AD83">
            <v>1.0520371809732418</v>
          </cell>
          <cell r="AE83">
            <v>0.71</v>
          </cell>
          <cell r="AF83">
            <v>50.24</v>
          </cell>
          <cell r="AG83">
            <v>1.80213409772671</v>
          </cell>
          <cell r="AH83">
            <v>38.595159149554647</v>
          </cell>
          <cell r="AI83">
            <v>3.1190678238617648</v>
          </cell>
          <cell r="AJ83">
            <v>1.09213409772671</v>
          </cell>
          <cell r="AK83">
            <v>39.287969894215486</v>
          </cell>
          <cell r="AL83">
            <v>3.1660918967115492</v>
          </cell>
          <cell r="AM83">
            <v>6.2851597205733141</v>
          </cell>
          <cell r="AN83">
            <v>1.0520371809732418</v>
          </cell>
          <cell r="AO83" t="e">
            <v>#REF!</v>
          </cell>
          <cell r="AP83" t="e">
            <v>#REF!</v>
          </cell>
          <cell r="AQ83" t="e">
            <v>#REF!</v>
          </cell>
          <cell r="AR83" t="e">
            <v>#REF!</v>
          </cell>
          <cell r="AS83" t="e">
            <v>#REF!</v>
          </cell>
          <cell r="AT83" t="e">
            <v>#REF!</v>
          </cell>
          <cell r="AU83" t="e">
            <v>#REF!</v>
          </cell>
          <cell r="AV83" t="e">
            <v>#REF!</v>
          </cell>
          <cell r="AW83">
            <v>1.0520371809732418</v>
          </cell>
          <cell r="AX83">
            <v>1.0520371809732418</v>
          </cell>
          <cell r="AY83">
            <v>1.0520371809732418</v>
          </cell>
          <cell r="AZ83" t="e">
            <v>#REF!</v>
          </cell>
          <cell r="BE83">
            <v>236860.58000000002</v>
          </cell>
          <cell r="BF83">
            <v>575687.23</v>
          </cell>
        </row>
        <row r="84">
          <cell r="A84" t="str">
            <v>CC24RZ43-21</v>
          </cell>
          <cell r="B84" t="str">
            <v>CC24RZ43-21 HRN-ABW Haren Gn, 't Harde</v>
          </cell>
          <cell r="C84" t="str">
            <v>CC24RZ43</v>
          </cell>
          <cell r="D84">
            <v>21</v>
          </cell>
          <cell r="E84" t="str">
            <v>Haren Gn</v>
          </cell>
          <cell r="F84" t="str">
            <v>'t Harde</v>
          </cell>
          <cell r="G84" t="str">
            <v>36</v>
          </cell>
          <cell r="H84" t="str">
            <v>Coordinaten - HRN-ABW Deel 1.xlsx</v>
          </cell>
          <cell r="I84" t="str">
            <v>C &amp; C Cable &amp; Communication B.V.</v>
          </cell>
          <cell r="J84"/>
          <cell r="K84" t="str">
            <v>HRN-ABW</v>
          </cell>
          <cell r="L84">
            <v>45580</v>
          </cell>
          <cell r="M84">
            <v>5</v>
          </cell>
          <cell r="N84">
            <v>5</v>
          </cell>
          <cell r="O84">
            <v>1</v>
          </cell>
          <cell r="P84">
            <v>63</v>
          </cell>
          <cell r="Q84" t="str">
            <v xml:space="preserve">PE100 </v>
          </cell>
          <cell r="R84">
            <v>236891.47200000001</v>
          </cell>
          <cell r="S84">
            <v>575634.83400000003</v>
          </cell>
          <cell r="T84">
            <v>2.6259999999999999</v>
          </cell>
          <cell r="U84">
            <v>236884.12599999999</v>
          </cell>
          <cell r="V84">
            <v>575630.95400000003</v>
          </cell>
          <cell r="W84">
            <v>2.673</v>
          </cell>
          <cell r="X84">
            <v>4.7000000000000153E-2</v>
          </cell>
          <cell r="Y84">
            <v>2.6494999999999997</v>
          </cell>
          <cell r="Z84">
            <v>8.3077142464292475</v>
          </cell>
          <cell r="AA84" t="str">
            <v>236891.472,575634.834</v>
          </cell>
          <cell r="AB84" t="str">
            <v>236884.126,575630.954</v>
          </cell>
          <cell r="AC84">
            <v>8.7869626179729181</v>
          </cell>
          <cell r="AD84">
            <v>0.94545915438818273</v>
          </cell>
          <cell r="AE84">
            <v>0.71</v>
          </cell>
          <cell r="AF84">
            <v>70.12</v>
          </cell>
          <cell r="AG84">
            <v>3.2997434649603354</v>
          </cell>
          <cell r="AH84">
            <v>61.180537975490623</v>
          </cell>
          <cell r="AI84">
            <v>4.3807149456793679</v>
          </cell>
          <cell r="AJ84">
            <v>2.5897434649603355</v>
          </cell>
          <cell r="AK84">
            <v>61.793463299817063</v>
          </cell>
          <cell r="AL84">
            <v>4.4062476722935493</v>
          </cell>
          <cell r="AM84">
            <v>8.7869626179729181</v>
          </cell>
          <cell r="AN84">
            <v>0.94545915438818273</v>
          </cell>
          <cell r="AO84" t="e">
            <v>#REF!</v>
          </cell>
          <cell r="AP84" t="e">
            <v>#REF!</v>
          </cell>
          <cell r="AQ84" t="e">
            <v>#REF!</v>
          </cell>
          <cell r="AR84" t="e">
            <v>#REF!</v>
          </cell>
          <cell r="AS84" t="e">
            <v>#REF!</v>
          </cell>
          <cell r="AT84" t="e">
            <v>#REF!</v>
          </cell>
          <cell r="AU84" t="e">
            <v>#REF!</v>
          </cell>
          <cell r="AV84" t="e">
            <v>#REF!</v>
          </cell>
          <cell r="AW84">
            <v>0.94545915438818273</v>
          </cell>
          <cell r="AX84">
            <v>0.94545915438818273</v>
          </cell>
          <cell r="AY84">
            <v>0.94545915438818273</v>
          </cell>
          <cell r="AZ84" t="e">
            <v>#REF!</v>
          </cell>
          <cell r="BE84">
            <v>236887.799</v>
          </cell>
          <cell r="BF84">
            <v>575632.89400000009</v>
          </cell>
        </row>
        <row r="85">
          <cell r="A85" t="str">
            <v>CC24RZ43-22</v>
          </cell>
          <cell r="B85" t="str">
            <v>CC24RZ43-22 HRN-ABW Haren Gn, Fuutweg</v>
          </cell>
          <cell r="C85" t="str">
            <v>CC24RZ43</v>
          </cell>
          <cell r="D85">
            <v>22</v>
          </cell>
          <cell r="E85" t="str">
            <v>Haren Gn</v>
          </cell>
          <cell r="F85" t="str">
            <v>Fuutweg</v>
          </cell>
          <cell r="G85" t="str">
            <v>2</v>
          </cell>
          <cell r="H85" t="str">
            <v>Coordinaten - HRN-ABW Deel 1.xlsx</v>
          </cell>
          <cell r="I85" t="str">
            <v>C &amp; C Cable &amp; Communication B.V.</v>
          </cell>
          <cell r="J85"/>
          <cell r="K85" t="str">
            <v>HRN-ABW</v>
          </cell>
          <cell r="L85">
            <v>45581</v>
          </cell>
          <cell r="M85">
            <v>5</v>
          </cell>
          <cell r="N85">
            <v>10</v>
          </cell>
          <cell r="O85">
            <v>1</v>
          </cell>
          <cell r="P85">
            <v>63</v>
          </cell>
          <cell r="Q85" t="str">
            <v xml:space="preserve">PE100 </v>
          </cell>
          <cell r="R85">
            <v>236882.51</v>
          </cell>
          <cell r="S85">
            <v>575608.473</v>
          </cell>
          <cell r="T85">
            <v>2.4820000000000002</v>
          </cell>
          <cell r="U85">
            <v>236880.54199999999</v>
          </cell>
          <cell r="V85">
            <v>575613.36800000002</v>
          </cell>
          <cell r="W85">
            <v>2.6539999999999999</v>
          </cell>
          <cell r="X85">
            <v>0.17199999999999971</v>
          </cell>
          <cell r="Y85">
            <v>2.5680000000000001</v>
          </cell>
          <cell r="Z85">
            <v>5.2757984230134536</v>
          </cell>
          <cell r="AA85" t="str">
            <v>236882.51,575608.473</v>
          </cell>
          <cell r="AB85" t="str">
            <v>236880.542,575613.368</v>
          </cell>
          <cell r="AC85">
            <v>5.5904507258843257</v>
          </cell>
          <cell r="AD85">
            <v>0.94371611193816596</v>
          </cell>
          <cell r="AE85">
            <v>0.71</v>
          </cell>
          <cell r="AF85">
            <v>45.27</v>
          </cell>
          <cell r="AG85">
            <v>1.4811660994605473</v>
          </cell>
          <cell r="AH85">
            <v>32.245816678118366</v>
          </cell>
          <cell r="AI85">
            <v>2.6677638279368501</v>
          </cell>
          <cell r="AJ85">
            <v>0.77116609946054648</v>
          </cell>
          <cell r="AK85">
            <v>35.770314721735581</v>
          </cell>
          <cell r="AL85">
            <v>2.922686897947476</v>
          </cell>
          <cell r="AM85">
            <v>5.5904507258843257</v>
          </cell>
          <cell r="AN85">
            <v>0.94371611193816596</v>
          </cell>
          <cell r="AO85" t="e">
            <v>#REF!</v>
          </cell>
          <cell r="AP85" t="e">
            <v>#REF!</v>
          </cell>
          <cell r="AQ85" t="e">
            <v>#REF!</v>
          </cell>
          <cell r="AR85" t="e">
            <v>#REF!</v>
          </cell>
          <cell r="AS85" t="e">
            <v>#REF!</v>
          </cell>
          <cell r="AT85" t="e">
            <v>#REF!</v>
          </cell>
          <cell r="AU85" t="e">
            <v>#REF!</v>
          </cell>
          <cell r="AV85" t="e">
            <v>#REF!</v>
          </cell>
          <cell r="AW85">
            <v>0.94371611193816596</v>
          </cell>
          <cell r="AX85">
            <v>0.94371611193816596</v>
          </cell>
          <cell r="AY85">
            <v>0.94371611193816596</v>
          </cell>
          <cell r="AZ85" t="e">
            <v>#REF!</v>
          </cell>
          <cell r="BE85">
            <v>236881.52600000001</v>
          </cell>
          <cell r="BF85">
            <v>575610.92050000001</v>
          </cell>
        </row>
        <row r="86">
          <cell r="A86" t="str">
            <v>CC24RZ43-23</v>
          </cell>
          <cell r="B86" t="str">
            <v>CC24RZ43-23 HRN-ABW Haren Gn, Fuutweg</v>
          </cell>
          <cell r="C86" t="str">
            <v>CC24RZ43</v>
          </cell>
          <cell r="D86">
            <v>23</v>
          </cell>
          <cell r="E86" t="str">
            <v>Haren Gn</v>
          </cell>
          <cell r="F86" t="str">
            <v>Fuutweg</v>
          </cell>
          <cell r="G86" t="str">
            <v>10</v>
          </cell>
          <cell r="H86" t="str">
            <v>Coordinaten - HRN-ABW Deel 1.xlsx</v>
          </cell>
          <cell r="I86" t="str">
            <v>C &amp; C Cable &amp; Communication B.V.</v>
          </cell>
          <cell r="J86"/>
          <cell r="K86" t="str">
            <v>HRN-ABW</v>
          </cell>
          <cell r="L86">
            <v>45581</v>
          </cell>
          <cell r="M86">
            <v>5</v>
          </cell>
          <cell r="N86">
            <v>10</v>
          </cell>
          <cell r="O86">
            <v>1</v>
          </cell>
          <cell r="P86">
            <v>63</v>
          </cell>
          <cell r="Q86" t="str">
            <v xml:space="preserve">PE100 </v>
          </cell>
          <cell r="R86">
            <v>236840.22</v>
          </cell>
          <cell r="S86">
            <v>575595.77300000004</v>
          </cell>
          <cell r="T86">
            <v>2.206</v>
          </cell>
          <cell r="U86">
            <v>236842.571</v>
          </cell>
          <cell r="V86">
            <v>575590.82299999997</v>
          </cell>
          <cell r="W86">
            <v>2.1629999999999998</v>
          </cell>
          <cell r="X86">
            <v>-4.3000000000000149E-2</v>
          </cell>
          <cell r="Y86">
            <v>2.1844999999999999</v>
          </cell>
          <cell r="Z86">
            <v>5.4799362223176029</v>
          </cell>
          <cell r="AA86" t="str">
            <v>236840.22,575595.773</v>
          </cell>
          <cell r="AB86" t="str">
            <v>236842.571,575590.823</v>
          </cell>
          <cell r="AC86">
            <v>5.2661162147777647</v>
          </cell>
          <cell r="AD86">
            <v>1.0406029792771792</v>
          </cell>
          <cell r="AE86">
            <v>0.71</v>
          </cell>
          <cell r="AF86">
            <v>45.27</v>
          </cell>
          <cell r="AG86">
            <v>1.4811660994605473</v>
          </cell>
          <cell r="AH86">
            <v>32.245816678118366</v>
          </cell>
          <cell r="AI86">
            <v>2.6677638279368501</v>
          </cell>
          <cell r="AJ86">
            <v>0.77116609946054648</v>
          </cell>
          <cell r="AK86">
            <v>31.310150367117949</v>
          </cell>
          <cell r="AL86">
            <v>2.5983523868409146</v>
          </cell>
          <cell r="AM86">
            <v>5.2661162147777647</v>
          </cell>
          <cell r="AN86">
            <v>1.0406029792771792</v>
          </cell>
          <cell r="AO86" t="e">
            <v>#REF!</v>
          </cell>
          <cell r="AP86" t="e">
            <v>#REF!</v>
          </cell>
          <cell r="AQ86" t="e">
            <v>#REF!</v>
          </cell>
          <cell r="AR86" t="e">
            <v>#REF!</v>
          </cell>
          <cell r="AS86" t="e">
            <v>#REF!</v>
          </cell>
          <cell r="AT86" t="e">
            <v>#REF!</v>
          </cell>
          <cell r="AU86" t="e">
            <v>#REF!</v>
          </cell>
          <cell r="AV86" t="e">
            <v>#REF!</v>
          </cell>
          <cell r="AW86">
            <v>1.0406029792771792</v>
          </cell>
          <cell r="AX86">
            <v>1.0406029792771792</v>
          </cell>
          <cell r="AY86">
            <v>1.0406029792771792</v>
          </cell>
          <cell r="AZ86" t="e">
            <v>#REF!</v>
          </cell>
          <cell r="BE86">
            <v>236841.39549999998</v>
          </cell>
          <cell r="BF86">
            <v>575593.29799999995</v>
          </cell>
        </row>
        <row r="87">
          <cell r="A87" t="str">
            <v>CC24RZ43-24</v>
          </cell>
          <cell r="B87" t="str">
            <v>CC24RZ43-24 HRN-ABW Haren Gn, Fuutweg</v>
          </cell>
          <cell r="C87" t="str">
            <v>CC24RZ43</v>
          </cell>
          <cell r="D87">
            <v>24</v>
          </cell>
          <cell r="E87" t="str">
            <v>Haren Gn</v>
          </cell>
          <cell r="F87" t="str">
            <v>Fuutweg</v>
          </cell>
          <cell r="G87" t="str">
            <v>16</v>
          </cell>
          <cell r="H87" t="str">
            <v>Coordinaten - HRN-ABW Deel 1.xlsx</v>
          </cell>
          <cell r="I87" t="str">
            <v>C &amp; C Cable &amp; Communication B.V.</v>
          </cell>
          <cell r="J87"/>
          <cell r="K87" t="str">
            <v>HRN-ABW</v>
          </cell>
          <cell r="L87">
            <v>45581</v>
          </cell>
          <cell r="M87">
            <v>5</v>
          </cell>
          <cell r="N87">
            <v>10</v>
          </cell>
          <cell r="O87">
            <v>1</v>
          </cell>
          <cell r="P87">
            <v>63</v>
          </cell>
          <cell r="Q87" t="str">
            <v xml:space="preserve">PE100 </v>
          </cell>
          <cell r="R87">
            <v>236817.05</v>
          </cell>
          <cell r="S87">
            <v>575585.18299999996</v>
          </cell>
          <cell r="T87">
            <v>2.129</v>
          </cell>
          <cell r="U87">
            <v>236819.13399999999</v>
          </cell>
          <cell r="V87">
            <v>575580.36800000002</v>
          </cell>
          <cell r="W87">
            <v>2.0219999999999998</v>
          </cell>
          <cell r="X87">
            <v>-0.10700000000000021</v>
          </cell>
          <cell r="Y87">
            <v>2.0754999999999999</v>
          </cell>
          <cell r="Z87">
            <v>5.2466447373033143</v>
          </cell>
          <cell r="AA87" t="str">
            <v>236817.05,575585.183</v>
          </cell>
          <cell r="AB87" t="str">
            <v>236819.134,575580.368</v>
          </cell>
          <cell r="AC87">
            <v>5.1578530606618198</v>
          </cell>
          <cell r="AD87">
            <v>1.0172148519155568</v>
          </cell>
          <cell r="AE87">
            <v>0.71</v>
          </cell>
          <cell r="AF87">
            <v>45.27</v>
          </cell>
          <cell r="AG87">
            <v>1.4811660994605473</v>
          </cell>
          <cell r="AH87">
            <v>32.245816678118366</v>
          </cell>
          <cell r="AI87">
            <v>2.6677638279368501</v>
          </cell>
          <cell r="AJ87">
            <v>0.77116609946054648</v>
          </cell>
          <cell r="AK87">
            <v>29.868948199903535</v>
          </cell>
          <cell r="AL87">
            <v>2.4900892327249693</v>
          </cell>
          <cell r="AM87">
            <v>5.1578530606618198</v>
          </cell>
          <cell r="AN87">
            <v>1.0172148519155568</v>
          </cell>
          <cell r="AO87" t="e">
            <v>#REF!</v>
          </cell>
          <cell r="AP87" t="e">
            <v>#REF!</v>
          </cell>
          <cell r="AQ87" t="e">
            <v>#REF!</v>
          </cell>
          <cell r="AR87" t="e">
            <v>#REF!</v>
          </cell>
          <cell r="AS87" t="e">
            <v>#REF!</v>
          </cell>
          <cell r="AT87" t="e">
            <v>#REF!</v>
          </cell>
          <cell r="AU87" t="e">
            <v>#REF!</v>
          </cell>
          <cell r="AV87" t="e">
            <v>#REF!</v>
          </cell>
          <cell r="AW87">
            <v>1.0172148519155568</v>
          </cell>
          <cell r="AX87">
            <v>1.0172148519155568</v>
          </cell>
          <cell r="AY87">
            <v>1.0172148519155568</v>
          </cell>
          <cell r="AZ87" t="e">
            <v>#REF!</v>
          </cell>
          <cell r="BE87">
            <v>236818.092</v>
          </cell>
          <cell r="BF87">
            <v>575582.77549999999</v>
          </cell>
        </row>
        <row r="88">
          <cell r="A88" t="str">
            <v>CC24RZ43-25</v>
          </cell>
          <cell r="B88" t="str">
            <v>CC24RZ43-25 HRN-ABW Haren Gn, Fuutweg</v>
          </cell>
          <cell r="C88" t="str">
            <v>CC24RZ43</v>
          </cell>
          <cell r="D88">
            <v>25</v>
          </cell>
          <cell r="E88" t="str">
            <v>Haren Gn</v>
          </cell>
          <cell r="F88" t="str">
            <v>Fuutweg</v>
          </cell>
          <cell r="G88" t="str">
            <v>18</v>
          </cell>
          <cell r="H88" t="str">
            <v>Coordinaten - HRN-ABW Deel 1.xlsx</v>
          </cell>
          <cell r="I88" t="str">
            <v>C &amp; C Cable &amp; Communication B.V.</v>
          </cell>
          <cell r="J88"/>
          <cell r="K88" t="str">
            <v>HRN-ABW</v>
          </cell>
          <cell r="L88">
            <v>45581</v>
          </cell>
          <cell r="M88">
            <v>5</v>
          </cell>
          <cell r="N88">
            <v>10</v>
          </cell>
          <cell r="O88">
            <v>1</v>
          </cell>
          <cell r="P88">
            <v>63</v>
          </cell>
          <cell r="Q88" t="str">
            <v xml:space="preserve">PE100 </v>
          </cell>
          <cell r="R88">
            <v>236801.42300000001</v>
          </cell>
          <cell r="S88">
            <v>575572.79399999999</v>
          </cell>
          <cell r="T88">
            <v>1.8740000000000001</v>
          </cell>
          <cell r="U88">
            <v>236799.30499999999</v>
          </cell>
          <cell r="V88">
            <v>575577.326</v>
          </cell>
          <cell r="W88">
            <v>1.986</v>
          </cell>
          <cell r="X88">
            <v>0.11199999999999988</v>
          </cell>
          <cell r="Y88">
            <v>1.9300000000000002</v>
          </cell>
          <cell r="Z88">
            <v>5.00249417792066</v>
          </cell>
          <cell r="AA88" t="str">
            <v>236801.423,575572.794</v>
          </cell>
          <cell r="AB88" t="str">
            <v>236799.305,575577.326</v>
          </cell>
          <cell r="AC88">
            <v>5.5053118249527788</v>
          </cell>
          <cell r="AD88">
            <v>0.90866681797149029</v>
          </cell>
          <cell r="AE88">
            <v>0.71</v>
          </cell>
          <cell r="AF88">
            <v>45.27</v>
          </cell>
          <cell r="AG88">
            <v>1.4811660994605473</v>
          </cell>
          <cell r="AH88">
            <v>32.245816678118366</v>
          </cell>
          <cell r="AI88">
            <v>2.6677638279368501</v>
          </cell>
          <cell r="AJ88">
            <v>0.77116609946054648</v>
          </cell>
          <cell r="AK88">
            <v>34.57674448999898</v>
          </cell>
          <cell r="AL88">
            <v>2.8375479970159292</v>
          </cell>
          <cell r="AM88">
            <v>5.5053118249527788</v>
          </cell>
          <cell r="AN88">
            <v>0.90866681797149029</v>
          </cell>
          <cell r="AO88" t="e">
            <v>#REF!</v>
          </cell>
          <cell r="AP88" t="e">
            <v>#REF!</v>
          </cell>
          <cell r="AQ88" t="e">
            <v>#REF!</v>
          </cell>
          <cell r="AR88" t="e">
            <v>#REF!</v>
          </cell>
          <cell r="AS88" t="e">
            <v>#REF!</v>
          </cell>
          <cell r="AT88" t="e">
            <v>#REF!</v>
          </cell>
          <cell r="AU88" t="e">
            <v>#REF!</v>
          </cell>
          <cell r="AV88" t="e">
            <v>#REF!</v>
          </cell>
          <cell r="AW88">
            <v>0.90866681797149029</v>
          </cell>
          <cell r="AX88">
            <v>0.90866681797149029</v>
          </cell>
          <cell r="AY88">
            <v>0.90866681797149029</v>
          </cell>
          <cell r="AZ88" t="e">
            <v>#REF!</v>
          </cell>
          <cell r="BE88">
            <v>236800.364</v>
          </cell>
          <cell r="BF88">
            <v>575575.06000000006</v>
          </cell>
        </row>
        <row r="89">
          <cell r="A89" t="str">
            <v>CC24RZ43-26</v>
          </cell>
          <cell r="B89" t="str">
            <v>CC24RZ43-26 HRN-ABW Haren Gn, Fuutweg</v>
          </cell>
          <cell r="C89" t="str">
            <v>CC24RZ43</v>
          </cell>
          <cell r="D89">
            <v>26</v>
          </cell>
          <cell r="E89" t="str">
            <v>Haren Gn</v>
          </cell>
          <cell r="F89" t="str">
            <v>Fuutweg</v>
          </cell>
          <cell r="G89" t="str">
            <v>24</v>
          </cell>
          <cell r="H89" t="str">
            <v>Coordinaten - HRN-ABW Deel 1.xlsx</v>
          </cell>
          <cell r="I89" t="str">
            <v>C &amp; C Cable &amp; Communication B.V.</v>
          </cell>
          <cell r="J89"/>
          <cell r="K89" t="str">
            <v>HRN-ABW</v>
          </cell>
          <cell r="L89">
            <v>45582</v>
          </cell>
          <cell r="M89">
            <v>5</v>
          </cell>
          <cell r="N89">
            <v>10</v>
          </cell>
          <cell r="O89">
            <v>1</v>
          </cell>
          <cell r="P89">
            <v>63</v>
          </cell>
          <cell r="Q89" t="str">
            <v xml:space="preserve">PE100 </v>
          </cell>
          <cell r="R89">
            <v>236789.20699999999</v>
          </cell>
          <cell r="S89">
            <v>575567.95700000005</v>
          </cell>
          <cell r="T89">
            <v>1.86</v>
          </cell>
          <cell r="U89">
            <v>236786.764</v>
          </cell>
          <cell r="V89">
            <v>575572.20400000003</v>
          </cell>
          <cell r="W89">
            <v>1.84</v>
          </cell>
          <cell r="X89">
            <v>-2.0000000000000018E-2</v>
          </cell>
          <cell r="Y89">
            <v>1.85</v>
          </cell>
          <cell r="Z89">
            <v>4.8995160985320876</v>
          </cell>
          <cell r="AA89" t="str">
            <v>236789.207,575567.957</v>
          </cell>
          <cell r="AB89" t="str">
            <v>236786.764,575572.204</v>
          </cell>
          <cell r="AC89">
            <v>5.3035579180786971</v>
          </cell>
          <cell r="AD89">
            <v>0.92381683658637592</v>
          </cell>
          <cell r="AE89">
            <v>0.71</v>
          </cell>
          <cell r="AF89">
            <v>45.27</v>
          </cell>
          <cell r="AG89">
            <v>1.4811660994605473</v>
          </cell>
          <cell r="AH89">
            <v>32.245816678118366</v>
          </cell>
          <cell r="AI89">
            <v>2.6677638279368501</v>
          </cell>
          <cell r="AJ89">
            <v>0.77116609946054648</v>
          </cell>
          <cell r="AK89">
            <v>31.813687840818503</v>
          </cell>
          <cell r="AL89">
            <v>2.6357940901418475</v>
          </cell>
          <cell r="AM89">
            <v>5.3035579180786971</v>
          </cell>
          <cell r="AN89">
            <v>0.92381683658637592</v>
          </cell>
          <cell r="AO89" t="e">
            <v>#REF!</v>
          </cell>
          <cell r="AP89" t="e">
            <v>#REF!</v>
          </cell>
          <cell r="AQ89" t="e">
            <v>#REF!</v>
          </cell>
          <cell r="AR89" t="e">
            <v>#REF!</v>
          </cell>
          <cell r="AS89" t="e">
            <v>#REF!</v>
          </cell>
          <cell r="AT89" t="e">
            <v>#REF!</v>
          </cell>
          <cell r="AU89" t="e">
            <v>#REF!</v>
          </cell>
          <cell r="AV89" t="e">
            <v>#REF!</v>
          </cell>
          <cell r="AW89">
            <v>0.92381683658637592</v>
          </cell>
          <cell r="AX89">
            <v>0.92381683658637592</v>
          </cell>
          <cell r="AY89">
            <v>0.92381683658637592</v>
          </cell>
          <cell r="AZ89" t="e">
            <v>#REF!</v>
          </cell>
          <cell r="BE89">
            <v>236787.98550000001</v>
          </cell>
          <cell r="BF89">
            <v>575570.08050000004</v>
          </cell>
        </row>
        <row r="90">
          <cell r="A90" t="str">
            <v>CC24RZ43-27</v>
          </cell>
          <cell r="B90" t="str">
            <v>CC24RZ43-27 HRN-ABW Haren Gn, Fuutweg</v>
          </cell>
          <cell r="C90" t="str">
            <v>CC24RZ43</v>
          </cell>
          <cell r="D90">
            <v>27</v>
          </cell>
          <cell r="E90" t="str">
            <v>Haren Gn</v>
          </cell>
          <cell r="F90" t="str">
            <v>Fuutweg</v>
          </cell>
          <cell r="G90" t="str">
            <v>28</v>
          </cell>
          <cell r="H90" t="str">
            <v>Coordinaten - HRN-ABW Deel 1.xlsx</v>
          </cell>
          <cell r="I90" t="str">
            <v>C &amp; C Cable &amp; Communication B.V.</v>
          </cell>
          <cell r="J90"/>
          <cell r="K90" t="str">
            <v>HRN-ABW</v>
          </cell>
          <cell r="L90">
            <v>45579</v>
          </cell>
          <cell r="M90">
            <v>5</v>
          </cell>
          <cell r="N90">
            <v>10</v>
          </cell>
          <cell r="O90">
            <v>1</v>
          </cell>
          <cell r="P90">
            <v>63</v>
          </cell>
          <cell r="Q90" t="str">
            <v xml:space="preserve">PE100 </v>
          </cell>
          <cell r="R90">
            <v>236778.125</v>
          </cell>
          <cell r="S90">
            <v>575563.478</v>
          </cell>
          <cell r="T90">
            <v>1.764</v>
          </cell>
          <cell r="U90">
            <v>236776.78400000001</v>
          </cell>
          <cell r="V90">
            <v>575567.99199999997</v>
          </cell>
          <cell r="W90">
            <v>1.8120000000000001</v>
          </cell>
          <cell r="X90">
            <v>4.8000000000000043E-2</v>
          </cell>
          <cell r="Y90">
            <v>1.788</v>
          </cell>
          <cell r="Z90">
            <v>4.7089783392641786</v>
          </cell>
          <cell r="AA90" t="str">
            <v>236778.125,575563.478</v>
          </cell>
          <cell r="AB90" t="str">
            <v>236776.784,575567.992</v>
          </cell>
          <cell r="AC90">
            <v>5.4101401507817029</v>
          </cell>
          <cell r="AD90">
            <v>0.87039858636264456</v>
          </cell>
          <cell r="AE90">
            <v>0.71</v>
          </cell>
          <cell r="AF90">
            <v>45.27</v>
          </cell>
          <cell r="AG90">
            <v>1.4811660994605473</v>
          </cell>
          <cell r="AH90">
            <v>32.245816678118366</v>
          </cell>
          <cell r="AI90">
            <v>2.6677638279368501</v>
          </cell>
          <cell r="AJ90">
            <v>0.77116609946054648</v>
          </cell>
          <cell r="AK90">
            <v>33.262472506423343</v>
          </cell>
          <cell r="AL90">
            <v>2.7423763228448528</v>
          </cell>
          <cell r="AM90">
            <v>5.4101401507817029</v>
          </cell>
          <cell r="AN90">
            <v>0.87039858636264456</v>
          </cell>
          <cell r="AO90" t="e">
            <v>#REF!</v>
          </cell>
          <cell r="AP90" t="e">
            <v>#REF!</v>
          </cell>
          <cell r="AQ90" t="e">
            <v>#REF!</v>
          </cell>
          <cell r="AR90" t="e">
            <v>#REF!</v>
          </cell>
          <cell r="AS90" t="e">
            <v>#REF!</v>
          </cell>
          <cell r="AT90" t="e">
            <v>#REF!</v>
          </cell>
          <cell r="AU90" t="e">
            <v>#REF!</v>
          </cell>
          <cell r="AV90" t="e">
            <v>#REF!</v>
          </cell>
          <cell r="AW90">
            <v>0.87039858636264456</v>
          </cell>
          <cell r="AX90">
            <v>0.87039858636264456</v>
          </cell>
          <cell r="AY90">
            <v>0.87039858636264456</v>
          </cell>
          <cell r="AZ90" t="e">
            <v>#REF!</v>
          </cell>
          <cell r="BE90">
            <v>236777.45449999999</v>
          </cell>
          <cell r="BF90">
            <v>575565.73499999999</v>
          </cell>
        </row>
        <row r="91">
          <cell r="A91" t="str">
            <v>CC24RZ43-28</v>
          </cell>
          <cell r="B91" t="str">
            <v>CC24RZ43-28 HRN-ABW Haren Gn, Fuutweg</v>
          </cell>
          <cell r="C91" t="str">
            <v>CC24RZ43</v>
          </cell>
          <cell r="D91">
            <v>28</v>
          </cell>
          <cell r="E91" t="str">
            <v>Haren Gn</v>
          </cell>
          <cell r="F91" t="str">
            <v>Fuutweg</v>
          </cell>
          <cell r="G91" t="str">
            <v>30</v>
          </cell>
          <cell r="H91" t="str">
            <v>Coordinaten - HRN-ABW Deel 1.xlsx</v>
          </cell>
          <cell r="I91" t="str">
            <v>C &amp; C Cable &amp; Communication B.V.</v>
          </cell>
          <cell r="J91"/>
          <cell r="K91" t="str">
            <v>HRN-ABW</v>
          </cell>
          <cell r="L91">
            <v>45583</v>
          </cell>
          <cell r="M91">
            <v>5</v>
          </cell>
          <cell r="N91">
            <v>10</v>
          </cell>
          <cell r="O91">
            <v>1</v>
          </cell>
          <cell r="P91">
            <v>63</v>
          </cell>
          <cell r="Q91" t="str">
            <v xml:space="preserve">PE100 </v>
          </cell>
          <cell r="R91">
            <v>236766.51800000001</v>
          </cell>
          <cell r="S91">
            <v>575558.90899999999</v>
          </cell>
          <cell r="T91">
            <v>1.734</v>
          </cell>
          <cell r="U91">
            <v>236765.12</v>
          </cell>
          <cell r="V91">
            <v>575564.12699999998</v>
          </cell>
          <cell r="W91">
            <v>1.94</v>
          </cell>
          <cell r="X91">
            <v>0.20599999999999996</v>
          </cell>
          <cell r="Y91">
            <v>1.837</v>
          </cell>
          <cell r="Z91">
            <v>5.4020299888075023</v>
          </cell>
          <cell r="AA91" t="str">
            <v>236766.518,575558.909</v>
          </cell>
          <cell r="AB91" t="str">
            <v>236765.12,575564.127</v>
          </cell>
          <cell r="AC91">
            <v>5.6370747595623225</v>
          </cell>
          <cell r="AD91">
            <v>0.95830376910362813</v>
          </cell>
          <cell r="AE91">
            <v>0.71</v>
          </cell>
          <cell r="AF91">
            <v>45.27</v>
          </cell>
          <cell r="AG91">
            <v>1.4811660994605473</v>
          </cell>
          <cell r="AH91">
            <v>32.245816678118366</v>
          </cell>
          <cell r="AI91">
            <v>2.6677638279368501</v>
          </cell>
          <cell r="AJ91">
            <v>0.77116609946054648</v>
          </cell>
          <cell r="AK91">
            <v>36.431562379108257</v>
          </cell>
          <cell r="AL91">
            <v>2.9693109316254724</v>
          </cell>
          <cell r="AM91">
            <v>5.6370747595623225</v>
          </cell>
          <cell r="AN91">
            <v>0.95830376910362813</v>
          </cell>
          <cell r="AO91" t="e">
            <v>#REF!</v>
          </cell>
          <cell r="AP91" t="e">
            <v>#REF!</v>
          </cell>
          <cell r="AQ91" t="e">
            <v>#REF!</v>
          </cell>
          <cell r="AR91" t="e">
            <v>#REF!</v>
          </cell>
          <cell r="AS91" t="e">
            <v>#REF!</v>
          </cell>
          <cell r="AT91" t="e">
            <v>#REF!</v>
          </cell>
          <cell r="AU91" t="e">
            <v>#REF!</v>
          </cell>
          <cell r="AV91" t="e">
            <v>#REF!</v>
          </cell>
          <cell r="AW91">
            <v>0.95830376910362813</v>
          </cell>
          <cell r="AX91">
            <v>0.95830376910362813</v>
          </cell>
          <cell r="AY91">
            <v>0.95830376910362813</v>
          </cell>
          <cell r="AZ91" t="e">
            <v>#REF!</v>
          </cell>
          <cell r="BE91">
            <v>236765.81900000002</v>
          </cell>
          <cell r="BF91">
            <v>575561.51799999992</v>
          </cell>
        </row>
        <row r="92">
          <cell r="A92" t="str">
            <v>CC24RZ43-29</v>
          </cell>
          <cell r="B92" t="str">
            <v>CC24RZ43-29 BUR-AAG BZ040 Buren, Dreef</v>
          </cell>
          <cell r="C92" t="str">
            <v>CC24RZ43</v>
          </cell>
          <cell r="D92">
            <v>29</v>
          </cell>
          <cell r="E92" t="str">
            <v>Buren</v>
          </cell>
          <cell r="F92" t="str">
            <v>Dreef</v>
          </cell>
          <cell r="G92" t="str">
            <v>1</v>
          </cell>
          <cell r="H92" t="str">
            <v>Coordinaten - BUR-AAG.xlsx</v>
          </cell>
          <cell r="I92" t="str">
            <v>C &amp; C Cable &amp; Communication B.V.</v>
          </cell>
          <cell r="J92"/>
          <cell r="K92" t="str">
            <v>BUR-AAG BZ040</v>
          </cell>
          <cell r="L92">
            <v>45562</v>
          </cell>
          <cell r="M92">
            <v>7.5</v>
          </cell>
          <cell r="N92">
            <v>6</v>
          </cell>
          <cell r="O92">
            <v>1</v>
          </cell>
          <cell r="P92">
            <v>63</v>
          </cell>
          <cell r="Q92" t="str">
            <v xml:space="preserve">PE100 </v>
          </cell>
          <cell r="R92">
            <v>151172.19099999999</v>
          </cell>
          <cell r="S92">
            <v>436029.45</v>
          </cell>
          <cell r="T92">
            <v>4.53</v>
          </cell>
          <cell r="U92">
            <v>151183.269</v>
          </cell>
          <cell r="V92">
            <v>436023.90899999999</v>
          </cell>
          <cell r="W92">
            <v>3.84</v>
          </cell>
          <cell r="X92">
            <v>-0.69000000000000039</v>
          </cell>
          <cell r="Y92">
            <v>4.1850000000000005</v>
          </cell>
          <cell r="Z92">
            <v>12.386475083755062</v>
          </cell>
          <cell r="AA92" t="str">
            <v>151172.191,436029.45</v>
          </cell>
          <cell r="AB92" t="str">
            <v>151183.269,436023.909</v>
          </cell>
          <cell r="AC92">
            <v>12.390103137435057</v>
          </cell>
          <cell r="AD92">
            <v>0.99970718131723757</v>
          </cell>
          <cell r="AE92">
            <v>0.71</v>
          </cell>
          <cell r="AF92">
            <v>65.150000000000006</v>
          </cell>
          <cell r="AG92">
            <v>4.3481691905706104</v>
          </cell>
          <cell r="AH92">
            <v>59.008508777288249</v>
          </cell>
          <cell r="AI92">
            <v>6.4293283318976604</v>
          </cell>
          <cell r="AJ92">
            <v>3.6381691905706099</v>
          </cell>
          <cell r="AK92">
            <v>52.63353451654671</v>
          </cell>
          <cell r="AL92">
            <v>5.9607748055373966</v>
          </cell>
          <cell r="AM92">
            <v>12.390103137435057</v>
          </cell>
          <cell r="AN92">
            <v>0.99970718131723757</v>
          </cell>
          <cell r="AO92" t="e">
            <v>#REF!</v>
          </cell>
          <cell r="AP92" t="e">
            <v>#REF!</v>
          </cell>
          <cell r="AQ92" t="e">
            <v>#REF!</v>
          </cell>
          <cell r="AR92" t="e">
            <v>#REF!</v>
          </cell>
          <cell r="AS92" t="e">
            <v>#REF!</v>
          </cell>
          <cell r="AT92" t="e">
            <v>#REF!</v>
          </cell>
          <cell r="AU92" t="e">
            <v>#REF!</v>
          </cell>
          <cell r="AV92" t="e">
            <v>#REF!</v>
          </cell>
          <cell r="AW92">
            <v>0.99970718131723757</v>
          </cell>
          <cell r="AX92">
            <v>0.99970718131723757</v>
          </cell>
          <cell r="AY92">
            <v>0.99970718131723757</v>
          </cell>
          <cell r="AZ92" t="e">
            <v>#REF!</v>
          </cell>
          <cell r="BE92">
            <v>151177.72999999998</v>
          </cell>
          <cell r="BF92">
            <v>436026.67949999997</v>
          </cell>
        </row>
        <row r="93">
          <cell r="A93" t="str">
            <v>CC24RZ43-30</v>
          </cell>
          <cell r="B93" t="str">
            <v>CC24RZ43-30 BUR-AAG BZ096 Buren, Buitenhuizenpoort</v>
          </cell>
          <cell r="C93" t="str">
            <v>CC24RZ43</v>
          </cell>
          <cell r="D93">
            <v>30</v>
          </cell>
          <cell r="E93" t="str">
            <v>Buren</v>
          </cell>
          <cell r="F93" t="str">
            <v>Buitenhuizenpoort</v>
          </cell>
          <cell r="G93" t="str">
            <v>25</v>
          </cell>
          <cell r="H93" t="str">
            <v>Coordinaten - BUR-AAG.xlsx</v>
          </cell>
          <cell r="I93" t="str">
            <v>C &amp; C Cable &amp; Communication B.V.</v>
          </cell>
          <cell r="J93"/>
          <cell r="K93" t="str">
            <v>BUR-AAG BZ096</v>
          </cell>
          <cell r="L93">
            <v>45562</v>
          </cell>
          <cell r="M93">
            <v>5</v>
          </cell>
          <cell r="N93">
            <v>10</v>
          </cell>
          <cell r="O93">
            <v>1</v>
          </cell>
          <cell r="P93">
            <v>63</v>
          </cell>
          <cell r="Q93" t="str">
            <v xml:space="preserve">PE100 </v>
          </cell>
          <cell r="R93">
            <v>151142.052</v>
          </cell>
          <cell r="S93">
            <v>435928.07500000001</v>
          </cell>
          <cell r="T93">
            <v>4.6260000000000003</v>
          </cell>
          <cell r="U93">
            <v>151145.91500000001</v>
          </cell>
          <cell r="V93">
            <v>435926.56400000001</v>
          </cell>
          <cell r="W93">
            <v>4.63</v>
          </cell>
          <cell r="X93">
            <v>3.9999999999995595E-3</v>
          </cell>
          <cell r="Y93">
            <v>4.6280000000000001</v>
          </cell>
          <cell r="Z93">
            <v>4.1479983124501532</v>
          </cell>
          <cell r="AA93" t="str">
            <v>151142.052,435928.075</v>
          </cell>
          <cell r="AB93" t="str">
            <v>151145.915,435926.564</v>
          </cell>
          <cell r="AC93">
            <v>5.341857789048273</v>
          </cell>
          <cell r="AD93">
            <v>0.77650856242453004</v>
          </cell>
          <cell r="AE93">
            <v>0.71</v>
          </cell>
          <cell r="AF93">
            <v>45.27</v>
          </cell>
          <cell r="AG93">
            <v>1.4811660994605473</v>
          </cell>
          <cell r="AH93">
            <v>32.245816678118366</v>
          </cell>
          <cell r="AI93">
            <v>2.6677638279368501</v>
          </cell>
          <cell r="AJ93">
            <v>0.77116609946054648</v>
          </cell>
          <cell r="AK93">
            <v>32.331623183745435</v>
          </cell>
          <cell r="AL93">
            <v>2.6740939611114234</v>
          </cell>
          <cell r="AM93">
            <v>5.341857789048273</v>
          </cell>
          <cell r="AN93">
            <v>0.77650856242453004</v>
          </cell>
          <cell r="AO93" t="e">
            <v>#REF!</v>
          </cell>
          <cell r="AP93" t="e">
            <v>#REF!</v>
          </cell>
          <cell r="AQ93" t="e">
            <v>#REF!</v>
          </cell>
          <cell r="AR93" t="e">
            <v>#REF!</v>
          </cell>
          <cell r="AS93" t="e">
            <v>#REF!</v>
          </cell>
          <cell r="AT93" t="e">
            <v>#REF!</v>
          </cell>
          <cell r="AU93" t="e">
            <v>#REF!</v>
          </cell>
          <cell r="AV93" t="e">
            <v>#REF!</v>
          </cell>
          <cell r="AW93">
            <v>0.77650856242453004</v>
          </cell>
          <cell r="AX93">
            <v>0.77650856242453004</v>
          </cell>
          <cell r="AY93">
            <v>0.77650856242453004</v>
          </cell>
          <cell r="AZ93" t="e">
            <v>#REF!</v>
          </cell>
          <cell r="BE93">
            <v>151143.9835</v>
          </cell>
          <cell r="BF93">
            <v>435927.31949999998</v>
          </cell>
        </row>
        <row r="94">
          <cell r="A94" t="str">
            <v>CC24RZ43-31</v>
          </cell>
          <cell r="B94" t="str">
            <v>CC24RZ43-31 BUR-AAG BZ058 Buren, Onderdreef</v>
          </cell>
          <cell r="C94" t="str">
            <v>CC24RZ43</v>
          </cell>
          <cell r="D94">
            <v>31</v>
          </cell>
          <cell r="E94" t="str">
            <v>Buren</v>
          </cell>
          <cell r="F94" t="str">
            <v>Onderdreef</v>
          </cell>
          <cell r="G94" t="str">
            <v>2A</v>
          </cell>
          <cell r="H94" t="str">
            <v>Coordinaten - BUR-AAG.xlsx</v>
          </cell>
          <cell r="I94" t="str">
            <v>C &amp; C Cable &amp; Communication B.V.</v>
          </cell>
          <cell r="J94"/>
          <cell r="K94" t="str">
            <v>BUR-AAG BZ058</v>
          </cell>
          <cell r="L94">
            <v>45562</v>
          </cell>
          <cell r="M94">
            <v>7.5</v>
          </cell>
          <cell r="N94">
            <v>9</v>
          </cell>
          <cell r="O94">
            <v>1</v>
          </cell>
          <cell r="P94">
            <v>63</v>
          </cell>
          <cell r="Q94" t="str">
            <v xml:space="preserve">PE100 </v>
          </cell>
          <cell r="R94">
            <v>151215.38399999999</v>
          </cell>
          <cell r="S94">
            <v>436002.04200000002</v>
          </cell>
          <cell r="T94">
            <v>3.6</v>
          </cell>
          <cell r="U94">
            <v>151220.092</v>
          </cell>
          <cell r="V94">
            <v>436012.11499999999</v>
          </cell>
          <cell r="W94">
            <v>3.5680000000000001</v>
          </cell>
          <cell r="X94">
            <v>-3.2000000000000028E-2</v>
          </cell>
          <cell r="Y94">
            <v>3.5840000000000001</v>
          </cell>
          <cell r="Z94">
            <v>11.118929489821328</v>
          </cell>
          <cell r="AA94" t="str">
            <v>151215.384,436002.042</v>
          </cell>
          <cell r="AB94" t="str">
            <v>151220.092,436012.115</v>
          </cell>
          <cell r="AC94">
            <v>10.148523748111602</v>
          </cell>
          <cell r="AD94">
            <v>1.0956203843825361</v>
          </cell>
          <cell r="AE94">
            <v>0.71</v>
          </cell>
          <cell r="AF94">
            <v>50.24</v>
          </cell>
          <cell r="AG94">
            <v>2.7032011465900645</v>
          </cell>
          <cell r="AH94">
            <v>42.756976848292624</v>
          </cell>
          <cell r="AI94">
            <v>5.0916761864913411</v>
          </cell>
          <cell r="AJ94">
            <v>1.9932011465900645</v>
          </cell>
          <cell r="AK94">
            <v>42.395651612510015</v>
          </cell>
          <cell r="AL94">
            <v>5.0568475616202608</v>
          </cell>
          <cell r="AM94">
            <v>10.148523748111602</v>
          </cell>
          <cell r="AN94">
            <v>1.0956203843825361</v>
          </cell>
          <cell r="AO94" t="e">
            <v>#REF!</v>
          </cell>
          <cell r="AP94" t="e">
            <v>#REF!</v>
          </cell>
          <cell r="AQ94" t="e">
            <v>#REF!</v>
          </cell>
          <cell r="AR94" t="e">
            <v>#REF!</v>
          </cell>
          <cell r="AS94" t="e">
            <v>#REF!</v>
          </cell>
          <cell r="AT94" t="e">
            <v>#REF!</v>
          </cell>
          <cell r="AU94" t="e">
            <v>#REF!</v>
          </cell>
          <cell r="AV94" t="e">
            <v>#REF!</v>
          </cell>
          <cell r="AW94">
            <v>1.0956203843825361</v>
          </cell>
          <cell r="AX94">
            <v>1.0956203843825361</v>
          </cell>
          <cell r="AY94">
            <v>1.0956203843825361</v>
          </cell>
          <cell r="AZ94" t="e">
            <v>#REF!</v>
          </cell>
          <cell r="BE94">
            <v>151217.73800000001</v>
          </cell>
          <cell r="BF94">
            <v>436007.0785</v>
          </cell>
        </row>
        <row r="95">
          <cell r="A95" t="str">
            <v>CC24RZ43-32</v>
          </cell>
          <cell r="B95" t="str">
            <v>CC24RZ43-32 BUR-AAG Buren, Galderie</v>
          </cell>
          <cell r="C95" t="str">
            <v>CC24RZ43</v>
          </cell>
          <cell r="D95">
            <v>32</v>
          </cell>
          <cell r="E95" t="str">
            <v>Buren</v>
          </cell>
          <cell r="F95" t="str">
            <v>Galderie</v>
          </cell>
          <cell r="G95" t="str">
            <v>2</v>
          </cell>
          <cell r="H95" t="str">
            <v>Coordinaten - BUR-AAG.xlsx</v>
          </cell>
          <cell r="I95" t="str">
            <v>C &amp; C Cable &amp; Communication B.V.</v>
          </cell>
          <cell r="J95"/>
          <cell r="K95" t="str">
            <v>BUR-AAG</v>
          </cell>
          <cell r="L95">
            <v>45562</v>
          </cell>
          <cell r="M95">
            <v>5</v>
          </cell>
          <cell r="N95">
            <v>7</v>
          </cell>
          <cell r="O95">
            <v>1</v>
          </cell>
          <cell r="P95">
            <v>63</v>
          </cell>
          <cell r="Q95" t="str">
            <v xml:space="preserve">PE100 </v>
          </cell>
          <cell r="R95">
            <v>150779.80499999999</v>
          </cell>
          <cell r="S95">
            <v>436266.1</v>
          </cell>
          <cell r="T95">
            <v>3.3860000000000001</v>
          </cell>
          <cell r="U95">
            <v>150773.04500000001</v>
          </cell>
          <cell r="V95">
            <v>436263.114</v>
          </cell>
          <cell r="W95">
            <v>3.4209999999999998</v>
          </cell>
          <cell r="X95">
            <v>3.4999999999999698E-2</v>
          </cell>
          <cell r="Y95">
            <v>3.4035000000000002</v>
          </cell>
          <cell r="Z95">
            <v>7.3901147487427448</v>
          </cell>
          <cell r="AA95" t="str">
            <v>150779.805,436266.1</v>
          </cell>
          <cell r="AB95" t="str">
            <v>150773.045,436263.114</v>
          </cell>
          <cell r="AC95">
            <v>7.7185960570974945</v>
          </cell>
          <cell r="AD95">
            <v>0.95744286837595283</v>
          </cell>
          <cell r="AE95">
            <v>0.71</v>
          </cell>
          <cell r="AF95">
            <v>60.18</v>
          </cell>
          <cell r="AG95">
            <v>2.5136158098502692</v>
          </cell>
          <cell r="AH95">
            <v>50.262083753567481</v>
          </cell>
          <cell r="AI95">
            <v>3.8448833674067213</v>
          </cell>
          <cell r="AJ95">
            <v>1.8036158098502693</v>
          </cell>
          <cell r="AK95">
            <v>50.781696005276238</v>
          </cell>
          <cell r="AL95">
            <v>3.8737126896907736</v>
          </cell>
          <cell r="AM95">
            <v>7.7185960570974945</v>
          </cell>
          <cell r="AN95">
            <v>0.95744286837595283</v>
          </cell>
          <cell r="AO95" t="e">
            <v>#REF!</v>
          </cell>
          <cell r="AP95" t="e">
            <v>#REF!</v>
          </cell>
          <cell r="AQ95" t="e">
            <v>#REF!</v>
          </cell>
          <cell r="AR95" t="e">
            <v>#REF!</v>
          </cell>
          <cell r="AS95" t="e">
            <v>#REF!</v>
          </cell>
          <cell r="AT95" t="e">
            <v>#REF!</v>
          </cell>
          <cell r="AU95" t="e">
            <v>#REF!</v>
          </cell>
          <cell r="AV95" t="e">
            <v>#REF!</v>
          </cell>
          <cell r="AW95">
            <v>0.95744286837595283</v>
          </cell>
          <cell r="AX95">
            <v>0.95744286837595283</v>
          </cell>
          <cell r="AY95">
            <v>0.95744286837595283</v>
          </cell>
          <cell r="AZ95" t="e">
            <v>#REF!</v>
          </cell>
          <cell r="BE95">
            <v>150776.42499999999</v>
          </cell>
          <cell r="BF95">
            <v>436264.60699999996</v>
          </cell>
        </row>
        <row r="96">
          <cell r="A96" t="str">
            <v>CC24RZ43-33</v>
          </cell>
          <cell r="B96" t="str">
            <v>CC24RZ43-33 Krkab-AAD Kerk-Avezaath, Achterstraat</v>
          </cell>
          <cell r="C96" t="str">
            <v>CC24RZ43</v>
          </cell>
          <cell r="D96">
            <v>33</v>
          </cell>
          <cell r="E96" t="str">
            <v>Kerk-Avezaath</v>
          </cell>
          <cell r="F96" t="str">
            <v>Achterstraat</v>
          </cell>
          <cell r="G96" t="str">
            <v>25</v>
          </cell>
          <cell r="H96" t="str">
            <v>Coordinaten - BUR-AAG.xlsx</v>
          </cell>
          <cell r="I96" t="str">
            <v>C &amp; C Cable &amp; Communication B.V.</v>
          </cell>
          <cell r="J96"/>
          <cell r="K96" t="str">
            <v>Krkab-AAD</v>
          </cell>
          <cell r="L96">
            <v>45569</v>
          </cell>
          <cell r="M96">
            <v>5</v>
          </cell>
          <cell r="N96">
            <v>3</v>
          </cell>
          <cell r="O96">
            <v>1</v>
          </cell>
          <cell r="P96">
            <v>63</v>
          </cell>
          <cell r="Q96" t="str">
            <v xml:space="preserve">PE100 </v>
          </cell>
          <cell r="R96">
            <v>154621.128</v>
          </cell>
          <cell r="S96">
            <v>434224.42200000002</v>
          </cell>
          <cell r="T96">
            <v>3.96</v>
          </cell>
          <cell r="U96">
            <v>154611.136</v>
          </cell>
          <cell r="V96">
            <v>434221.53499999997</v>
          </cell>
          <cell r="W96">
            <v>4.8920000000000003</v>
          </cell>
          <cell r="X96">
            <v>0.93200000000000038</v>
          </cell>
          <cell r="Y96">
            <v>4.4260000000000002</v>
          </cell>
          <cell r="Z96">
            <v>10.400713100563518</v>
          </cell>
          <cell r="AA96" t="str">
            <v>154621.128,434224.422</v>
          </cell>
          <cell r="AB96" t="str">
            <v>154611.136,434221.535</v>
          </cell>
          <cell r="AC96">
            <v>9.7048246679345276</v>
          </cell>
          <cell r="AD96">
            <v>1.0717054100862078</v>
          </cell>
          <cell r="AE96">
            <v>0.71</v>
          </cell>
          <cell r="AF96">
            <v>80.06</v>
          </cell>
          <cell r="AG96">
            <v>4.1369160281259676</v>
          </cell>
          <cell r="AH96">
            <v>71.662318423271472</v>
          </cell>
          <cell r="AI96">
            <v>4.7460938483591972</v>
          </cell>
          <cell r="AJ96">
            <v>3.4269160281259676</v>
          </cell>
          <cell r="AK96">
            <v>82.633440186298401</v>
          </cell>
          <cell r="AL96">
            <v>4.9587308195753295</v>
          </cell>
          <cell r="AM96">
            <v>9.7048246679345276</v>
          </cell>
          <cell r="AN96">
            <v>1.0717054100862078</v>
          </cell>
          <cell r="AO96" t="e">
            <v>#REF!</v>
          </cell>
          <cell r="AP96" t="e">
            <v>#REF!</v>
          </cell>
          <cell r="AQ96" t="e">
            <v>#REF!</v>
          </cell>
          <cell r="AR96" t="e">
            <v>#REF!</v>
          </cell>
          <cell r="AS96" t="e">
            <v>#REF!</v>
          </cell>
          <cell r="AT96" t="e">
            <v>#REF!</v>
          </cell>
          <cell r="AU96" t="e">
            <v>#REF!</v>
          </cell>
          <cell r="AV96" t="e">
            <v>#REF!</v>
          </cell>
          <cell r="AW96">
            <v>1.0717054100862078</v>
          </cell>
          <cell r="AX96">
            <v>1.0717054100862078</v>
          </cell>
          <cell r="AY96">
            <v>1.0717054100862078</v>
          </cell>
          <cell r="AZ96" t="e">
            <v>#REF!</v>
          </cell>
          <cell r="BE96">
            <v>154616.13199999998</v>
          </cell>
          <cell r="BF96">
            <v>434222.97849999997</v>
          </cell>
        </row>
        <row r="97">
          <cell r="A97" t="str">
            <v>CC24RZ43-34</v>
          </cell>
          <cell r="B97" t="str">
            <v>CC24RZ43-34 Krkab-AAD Kerk-Avezaath, Achterstraat</v>
          </cell>
          <cell r="C97" t="str">
            <v>CC24RZ43</v>
          </cell>
          <cell r="D97">
            <v>34</v>
          </cell>
          <cell r="E97" t="str">
            <v>Kerk-Avezaath</v>
          </cell>
          <cell r="F97" t="str">
            <v>Achterstraat</v>
          </cell>
          <cell r="G97" t="str">
            <v>20</v>
          </cell>
          <cell r="H97" t="str">
            <v>Coordinaten - BUR-AAG.xlsx</v>
          </cell>
          <cell r="I97" t="str">
            <v>C &amp; C Cable &amp; Communication B.V.</v>
          </cell>
          <cell r="J97"/>
          <cell r="K97" t="str">
            <v>Krkab-AAD</v>
          </cell>
          <cell r="L97">
            <v>45569</v>
          </cell>
          <cell r="M97">
            <v>5</v>
          </cell>
          <cell r="N97">
            <v>5</v>
          </cell>
          <cell r="O97">
            <v>1</v>
          </cell>
          <cell r="P97">
            <v>63</v>
          </cell>
          <cell r="Q97" t="str">
            <v xml:space="preserve">PE100 </v>
          </cell>
          <cell r="R97">
            <v>154606.91099999999</v>
          </cell>
          <cell r="S97">
            <v>434309.92499999999</v>
          </cell>
          <cell r="T97">
            <v>4.0670000000000002</v>
          </cell>
          <cell r="U97">
            <v>154599.13399999999</v>
          </cell>
          <cell r="V97">
            <v>434306.73599999998</v>
          </cell>
          <cell r="W97">
            <v>4.0359999999999996</v>
          </cell>
          <cell r="X97">
            <v>-3.1000000000000583E-2</v>
          </cell>
          <cell r="Y97">
            <v>4.0514999999999999</v>
          </cell>
          <cell r="Z97">
            <v>8.4054416897693205</v>
          </cell>
          <cell r="AA97" t="str">
            <v>154606.911,434309.925</v>
          </cell>
          <cell r="AB97" t="str">
            <v>154599.134,434306.736</v>
          </cell>
          <cell r="AC97">
            <v>8.7442303323975263</v>
          </cell>
          <cell r="AD97">
            <v>0.96125575039200561</v>
          </cell>
          <cell r="AE97">
            <v>0.71</v>
          </cell>
          <cell r="AF97">
            <v>70.12</v>
          </cell>
          <cell r="AG97">
            <v>3.2997434649603354</v>
          </cell>
          <cell r="AH97">
            <v>61.180537975490623</v>
          </cell>
          <cell r="AI97">
            <v>4.3807149456793679</v>
          </cell>
          <cell r="AJ97">
            <v>2.5897434649603355</v>
          </cell>
          <cell r="AK97">
            <v>60.774290277010898</v>
          </cell>
          <cell r="AL97">
            <v>4.3635153867181584</v>
          </cell>
          <cell r="AM97">
            <v>8.7442303323975263</v>
          </cell>
          <cell r="AN97">
            <v>0.96125575039200561</v>
          </cell>
          <cell r="AO97" t="e">
            <v>#REF!</v>
          </cell>
          <cell r="AP97" t="e">
            <v>#REF!</v>
          </cell>
          <cell r="AQ97" t="e">
            <v>#REF!</v>
          </cell>
          <cell r="AR97" t="e">
            <v>#REF!</v>
          </cell>
          <cell r="AS97" t="e">
            <v>#REF!</v>
          </cell>
          <cell r="AT97" t="e">
            <v>#REF!</v>
          </cell>
          <cell r="AU97" t="e">
            <v>#REF!</v>
          </cell>
          <cell r="AV97" t="e">
            <v>#REF!</v>
          </cell>
          <cell r="AW97">
            <v>0.96125575039200561</v>
          </cell>
          <cell r="AX97">
            <v>0.96125575039200561</v>
          </cell>
          <cell r="AY97">
            <v>0.96125575039200561</v>
          </cell>
          <cell r="AZ97" t="e">
            <v>#REF!</v>
          </cell>
          <cell r="BE97">
            <v>154603.02249999999</v>
          </cell>
          <cell r="BF97">
            <v>434308.33049999998</v>
          </cell>
        </row>
        <row r="98">
          <cell r="A98" t="str">
            <v>CC24RZ43-35</v>
          </cell>
          <cell r="B98" t="str">
            <v>CC24RZ43-35 Krkab-AAD Kerk-Avezaath, Achterstraat</v>
          </cell>
          <cell r="C98" t="str">
            <v>CC24RZ43</v>
          </cell>
          <cell r="D98">
            <v>35</v>
          </cell>
          <cell r="E98" t="str">
            <v>Kerk-Avezaath</v>
          </cell>
          <cell r="F98" t="str">
            <v>Achterstraat</v>
          </cell>
          <cell r="G98" t="str">
            <v>20</v>
          </cell>
          <cell r="H98" t="str">
            <v>Coordinaten - BUR-AAG.xlsx</v>
          </cell>
          <cell r="I98" t="str">
            <v>C &amp; C Cable &amp; Communication B.V.</v>
          </cell>
          <cell r="J98"/>
          <cell r="K98" t="str">
            <v>Krkab-AAD</v>
          </cell>
          <cell r="L98">
            <v>45568</v>
          </cell>
          <cell r="M98">
            <v>5</v>
          </cell>
          <cell r="N98">
            <v>5</v>
          </cell>
          <cell r="O98">
            <v>1</v>
          </cell>
          <cell r="P98">
            <v>63</v>
          </cell>
          <cell r="Q98" t="str">
            <v xml:space="preserve">PE100 </v>
          </cell>
          <cell r="R98">
            <v>154597.58300000001</v>
          </cell>
          <cell r="S98">
            <v>434309.67499999999</v>
          </cell>
          <cell r="T98">
            <v>4.0250000000000004</v>
          </cell>
          <cell r="U98">
            <v>154605.976</v>
          </cell>
          <cell r="V98">
            <v>434312.89899999998</v>
          </cell>
          <cell r="W98">
            <v>4.0419999999999998</v>
          </cell>
          <cell r="X98">
            <v>1.699999999999946E-2</v>
          </cell>
          <cell r="Y98">
            <v>4.0335000000000001</v>
          </cell>
          <cell r="Z98">
            <v>8.9909190297551937</v>
          </cell>
          <cell r="AA98" t="str">
            <v>154597.583,434309.675</v>
          </cell>
          <cell r="AB98" t="str">
            <v>154605.976,434312.899</v>
          </cell>
          <cell r="AC98">
            <v>8.7707403621763991</v>
          </cell>
          <cell r="AD98">
            <v>1.0251037721431489</v>
          </cell>
          <cell r="AE98">
            <v>0.71</v>
          </cell>
          <cell r="AF98">
            <v>70.12</v>
          </cell>
          <cell r="AG98">
            <v>3.2997434649603354</v>
          </cell>
          <cell r="AH98">
            <v>61.180537975490623</v>
          </cell>
          <cell r="AI98">
            <v>4.3807149456793679</v>
          </cell>
          <cell r="AJ98">
            <v>2.5897434649603355</v>
          </cell>
          <cell r="AK98">
            <v>61.402646256374652</v>
          </cell>
          <cell r="AL98">
            <v>4.3900254164970312</v>
          </cell>
          <cell r="AM98">
            <v>8.7707403621763991</v>
          </cell>
          <cell r="AN98">
            <v>1.0251037721431489</v>
          </cell>
          <cell r="AO98" t="e">
            <v>#REF!</v>
          </cell>
          <cell r="AP98" t="e">
            <v>#REF!</v>
          </cell>
          <cell r="AQ98" t="e">
            <v>#REF!</v>
          </cell>
          <cell r="AR98" t="e">
            <v>#REF!</v>
          </cell>
          <cell r="AS98" t="e">
            <v>#REF!</v>
          </cell>
          <cell r="AT98" t="e">
            <v>#REF!</v>
          </cell>
          <cell r="AU98" t="e">
            <v>#REF!</v>
          </cell>
          <cell r="AV98" t="e">
            <v>#REF!</v>
          </cell>
          <cell r="AW98">
            <v>1.0251037721431489</v>
          </cell>
          <cell r="AX98">
            <v>1.0251037721431489</v>
          </cell>
          <cell r="AY98">
            <v>1.0251037721431489</v>
          </cell>
          <cell r="AZ98" t="e">
            <v>#REF!</v>
          </cell>
          <cell r="BE98">
            <v>154601.7795</v>
          </cell>
          <cell r="BF98">
            <v>434311.28700000001</v>
          </cell>
        </row>
        <row r="99">
          <cell r="A99" t="str">
            <v>CC24RZ43-36</v>
          </cell>
          <cell r="B99" t="str">
            <v>CC24RZ43-36 Krkab-AAD Kerk-Avezaath, Achterstraat</v>
          </cell>
          <cell r="C99" t="str">
            <v>CC24RZ43</v>
          </cell>
          <cell r="D99">
            <v>36</v>
          </cell>
          <cell r="E99" t="str">
            <v>Kerk-Avezaath</v>
          </cell>
          <cell r="F99" t="str">
            <v>Achterstraat</v>
          </cell>
          <cell r="G99" t="str">
            <v>18</v>
          </cell>
          <cell r="H99" t="str">
            <v>Coordinaten - BUR-AAG.xlsx</v>
          </cell>
          <cell r="I99" t="str">
            <v>C &amp; C Cable &amp; Communication B.V.</v>
          </cell>
          <cell r="J99"/>
          <cell r="K99" t="str">
            <v>Krkab-AAD</v>
          </cell>
          <cell r="L99">
            <v>45567</v>
          </cell>
          <cell r="M99">
            <v>5</v>
          </cell>
          <cell r="N99">
            <v>5</v>
          </cell>
          <cell r="O99">
            <v>1</v>
          </cell>
          <cell r="P99">
            <v>63</v>
          </cell>
          <cell r="Q99" t="str">
            <v xml:space="preserve">PE100 </v>
          </cell>
          <cell r="R99">
            <v>154601.26999999999</v>
          </cell>
          <cell r="S99">
            <v>434324.03200000001</v>
          </cell>
          <cell r="T99">
            <v>4.077</v>
          </cell>
          <cell r="U99">
            <v>154592.609</v>
          </cell>
          <cell r="V99">
            <v>434320.93699999998</v>
          </cell>
          <cell r="W99">
            <v>4.1269999999999998</v>
          </cell>
          <cell r="X99">
            <v>4.9999999999999822E-2</v>
          </cell>
          <cell r="Y99">
            <v>4.1020000000000003</v>
          </cell>
          <cell r="Z99">
            <v>9.197387998777824</v>
          </cell>
          <cell r="AA99" t="str">
            <v>154601.27,434324.032</v>
          </cell>
          <cell r="AB99" t="str">
            <v>154592.609,434320.937</v>
          </cell>
          <cell r="AC99">
            <v>8.7885703299680316</v>
          </cell>
          <cell r="AD99">
            <v>1.0465169707313795</v>
          </cell>
          <cell r="AE99">
            <v>0.71</v>
          </cell>
          <cell r="AF99">
            <v>70.12</v>
          </cell>
          <cell r="AG99">
            <v>3.2997434649603354</v>
          </cell>
          <cell r="AH99">
            <v>61.180537975490623</v>
          </cell>
          <cell r="AI99">
            <v>4.3807149456793679</v>
          </cell>
          <cell r="AJ99">
            <v>2.5897434649603355</v>
          </cell>
          <cell r="AK99">
            <v>61.832466095858393</v>
          </cell>
          <cell r="AL99">
            <v>4.4078553842886627</v>
          </cell>
          <cell r="AM99">
            <v>8.7885703299680316</v>
          </cell>
          <cell r="AN99">
            <v>1.0465169707313795</v>
          </cell>
          <cell r="AO99" t="e">
            <v>#REF!</v>
          </cell>
          <cell r="AP99" t="e">
            <v>#REF!</v>
          </cell>
          <cell r="AQ99" t="e">
            <v>#REF!</v>
          </cell>
          <cell r="AR99" t="e">
            <v>#REF!</v>
          </cell>
          <cell r="AS99" t="e">
            <v>#REF!</v>
          </cell>
          <cell r="AT99" t="e">
            <v>#REF!</v>
          </cell>
          <cell r="AU99" t="e">
            <v>#REF!</v>
          </cell>
          <cell r="AV99" t="e">
            <v>#REF!</v>
          </cell>
          <cell r="AW99">
            <v>1.0465169707313795</v>
          </cell>
          <cell r="AX99">
            <v>1.0465169707313795</v>
          </cell>
          <cell r="AY99">
            <v>1.0465169707313795</v>
          </cell>
          <cell r="AZ99" t="e">
            <v>#REF!</v>
          </cell>
          <cell r="BE99">
            <v>154596.93949999998</v>
          </cell>
          <cell r="BF99">
            <v>434322.48450000002</v>
          </cell>
        </row>
        <row r="100">
          <cell r="A100" t="str">
            <v>CC24RZ43-37</v>
          </cell>
          <cell r="B100" t="str">
            <v>CC24RZ43-37 Krkab-AAD Kerk-Avezaath, Achterstraat</v>
          </cell>
          <cell r="C100" t="str">
            <v>CC24RZ43</v>
          </cell>
          <cell r="D100">
            <v>37</v>
          </cell>
          <cell r="E100" t="str">
            <v>Kerk-Avezaath</v>
          </cell>
          <cell r="F100" t="str">
            <v>Achterstraat</v>
          </cell>
          <cell r="G100" t="str">
            <v>8</v>
          </cell>
          <cell r="H100" t="str">
            <v>Coordinaten - BUR-AAG.xlsx</v>
          </cell>
          <cell r="I100" t="str">
            <v>C &amp; C Cable &amp; Communication B.V.</v>
          </cell>
          <cell r="J100"/>
          <cell r="K100" t="str">
            <v>Krkab-AAD</v>
          </cell>
          <cell r="L100">
            <v>45566</v>
          </cell>
          <cell r="M100">
            <v>5</v>
          </cell>
          <cell r="N100">
            <v>5</v>
          </cell>
          <cell r="O100">
            <v>1</v>
          </cell>
          <cell r="P100">
            <v>63</v>
          </cell>
          <cell r="Q100" t="str">
            <v xml:space="preserve">PE100 </v>
          </cell>
          <cell r="R100">
            <v>154566.367</v>
          </cell>
          <cell r="S100">
            <v>434384.859</v>
          </cell>
          <cell r="T100">
            <v>4.0890000000000004</v>
          </cell>
          <cell r="U100">
            <v>154557.75599999999</v>
          </cell>
          <cell r="V100">
            <v>434381.34100000001</v>
          </cell>
          <cell r="W100">
            <v>4.1379999999999999</v>
          </cell>
          <cell r="X100">
            <v>4.8999999999999488E-2</v>
          </cell>
          <cell r="Y100">
            <v>4.1135000000000002</v>
          </cell>
          <cell r="Z100">
            <v>9.301916200436791</v>
          </cell>
          <cell r="AA100" t="str">
            <v>154566.367,434384.859</v>
          </cell>
          <cell r="AB100" t="str">
            <v>154557.756,434381.341</v>
          </cell>
          <cell r="AC100">
            <v>8.7880347180276921</v>
          </cell>
          <cell r="AD100">
            <v>1.0584751311183294</v>
          </cell>
          <cell r="AE100">
            <v>0.71</v>
          </cell>
          <cell r="AF100">
            <v>70.12</v>
          </cell>
          <cell r="AG100">
            <v>3.2997434649603354</v>
          </cell>
          <cell r="AH100">
            <v>61.180537975490623</v>
          </cell>
          <cell r="AI100">
            <v>4.3807149456793679</v>
          </cell>
          <cell r="AJ100">
            <v>2.5897434649603355</v>
          </cell>
          <cell r="AK100">
            <v>61.819466744569461</v>
          </cell>
          <cell r="AL100">
            <v>4.4073197723483233</v>
          </cell>
          <cell r="AM100">
            <v>8.7880347180276921</v>
          </cell>
          <cell r="AN100">
            <v>1.0584751311183294</v>
          </cell>
          <cell r="AO100" t="e">
            <v>#REF!</v>
          </cell>
          <cell r="AP100" t="e">
            <v>#REF!</v>
          </cell>
          <cell r="AQ100" t="e">
            <v>#REF!</v>
          </cell>
          <cell r="AR100" t="e">
            <v>#REF!</v>
          </cell>
          <cell r="AS100" t="e">
            <v>#REF!</v>
          </cell>
          <cell r="AT100" t="e">
            <v>#REF!</v>
          </cell>
          <cell r="AU100" t="e">
            <v>#REF!</v>
          </cell>
          <cell r="AV100" t="e">
            <v>#REF!</v>
          </cell>
          <cell r="AW100">
            <v>1.0584751311183294</v>
          </cell>
          <cell r="AX100">
            <v>1.0584751311183294</v>
          </cell>
          <cell r="AY100">
            <v>1.0584751311183294</v>
          </cell>
          <cell r="AZ100" t="e">
            <v>#REF!</v>
          </cell>
          <cell r="BE100">
            <v>154562.06150000001</v>
          </cell>
          <cell r="BF100">
            <v>434383.1</v>
          </cell>
        </row>
        <row r="101">
          <cell r="A101" t="str">
            <v>CC24RZ43-38</v>
          </cell>
          <cell r="B101" t="str">
            <v>CC24RZ43-38 Krkab-AAD Kerk-Avezaath, Achterstraat</v>
          </cell>
          <cell r="C101" t="str">
            <v>CC24RZ43</v>
          </cell>
          <cell r="D101">
            <v>38</v>
          </cell>
          <cell r="E101" t="str">
            <v>Kerk-Avezaath</v>
          </cell>
          <cell r="F101" t="str">
            <v>Achterstraat</v>
          </cell>
          <cell r="G101" t="str">
            <v>7</v>
          </cell>
          <cell r="H101" t="str">
            <v>Coordinaten - BUR-AAG.xlsx</v>
          </cell>
          <cell r="I101" t="str">
            <v>C &amp; C Cable &amp; Communication B.V.</v>
          </cell>
          <cell r="J101"/>
          <cell r="K101" t="str">
            <v>Krkab-AAD</v>
          </cell>
          <cell r="L101">
            <v>45566</v>
          </cell>
          <cell r="M101">
            <v>5</v>
          </cell>
          <cell r="N101">
            <v>8</v>
          </cell>
          <cell r="O101">
            <v>1</v>
          </cell>
          <cell r="P101">
            <v>63</v>
          </cell>
          <cell r="Q101" t="str">
            <v xml:space="preserve">PE100 </v>
          </cell>
          <cell r="R101">
            <v>154536.541</v>
          </cell>
          <cell r="S101">
            <v>434448.89899999998</v>
          </cell>
          <cell r="T101">
            <v>4.0369999999999999</v>
          </cell>
          <cell r="U101">
            <v>154529.23699999999</v>
          </cell>
          <cell r="V101">
            <v>434448.47100000002</v>
          </cell>
          <cell r="W101">
            <v>4.08</v>
          </cell>
          <cell r="X101">
            <v>4.3000000000000149E-2</v>
          </cell>
          <cell r="Y101">
            <v>4.0585000000000004</v>
          </cell>
          <cell r="Z101">
            <v>7.3165292318159265</v>
          </cell>
          <cell r="AA101" t="str">
            <v>154536.541,434448.899</v>
          </cell>
          <cell r="AB101" t="str">
            <v>154529.237,434448.471</v>
          </cell>
          <cell r="AC101">
            <v>7.0591512346684198</v>
          </cell>
          <cell r="AD101">
            <v>1.0364601902681287</v>
          </cell>
          <cell r="AE101">
            <v>0.71</v>
          </cell>
          <cell r="AF101">
            <v>55.21</v>
          </cell>
          <cell r="AG101">
            <v>2.1471487929040034</v>
          </cell>
          <cell r="AH101">
            <v>44.555576114520797</v>
          </cell>
          <cell r="AI101">
            <v>3.5080038876966197</v>
          </cell>
          <cell r="AJ101">
            <v>1.4371487929040034</v>
          </cell>
          <cell r="AK101">
            <v>45.253588656194211</v>
          </cell>
          <cell r="AL101">
            <v>3.5511473469718</v>
          </cell>
          <cell r="AM101">
            <v>7.0591512346684198</v>
          </cell>
          <cell r="AN101">
            <v>1.0364601902681287</v>
          </cell>
          <cell r="AO101" t="e">
            <v>#REF!</v>
          </cell>
          <cell r="AP101" t="e">
            <v>#REF!</v>
          </cell>
          <cell r="AQ101" t="e">
            <v>#REF!</v>
          </cell>
          <cell r="AR101" t="e">
            <v>#REF!</v>
          </cell>
          <cell r="AS101" t="e">
            <v>#REF!</v>
          </cell>
          <cell r="AT101" t="e">
            <v>#REF!</v>
          </cell>
          <cell r="AU101" t="e">
            <v>#REF!</v>
          </cell>
          <cell r="AV101" t="e">
            <v>#REF!</v>
          </cell>
          <cell r="AW101">
            <v>1.0364601902681287</v>
          </cell>
          <cell r="AX101">
            <v>1.0364601902681287</v>
          </cell>
          <cell r="AY101">
            <v>1.0364601902681287</v>
          </cell>
          <cell r="AZ101" t="e">
            <v>#REF!</v>
          </cell>
          <cell r="BE101">
            <v>154532.889</v>
          </cell>
          <cell r="BF101">
            <v>434448.685</v>
          </cell>
        </row>
        <row r="102">
          <cell r="A102" t="str">
            <v>CC24RZ43-39</v>
          </cell>
          <cell r="B102" t="str">
            <v>CC24RZ43-39 Krkab-AAE Kerk-Avezaath, Achterstraat</v>
          </cell>
          <cell r="C102" t="str">
            <v>CC24RZ43</v>
          </cell>
          <cell r="D102">
            <v>39</v>
          </cell>
          <cell r="E102" t="str">
            <v>Kerk-Avezaath</v>
          </cell>
          <cell r="F102" t="str">
            <v>Achterstraat</v>
          </cell>
          <cell r="G102" t="str">
            <v>32</v>
          </cell>
          <cell r="H102" t="str">
            <v>Coordinaten - Krkab-AAE Deel 1.xlsx</v>
          </cell>
          <cell r="I102" t="str">
            <v>C &amp; C Cable &amp; Communication B.V.</v>
          </cell>
          <cell r="J102"/>
          <cell r="K102" t="str">
            <v>Krkab-AAE</v>
          </cell>
          <cell r="L102">
            <v>45572</v>
          </cell>
          <cell r="M102">
            <v>5</v>
          </cell>
          <cell r="N102">
            <v>9</v>
          </cell>
          <cell r="O102">
            <v>1</v>
          </cell>
          <cell r="P102">
            <v>63</v>
          </cell>
          <cell r="Q102" t="str">
            <v xml:space="preserve">PE100 </v>
          </cell>
          <cell r="R102">
            <v>154639.973</v>
          </cell>
          <cell r="S102">
            <v>434136.98100000003</v>
          </cell>
          <cell r="T102">
            <v>4.2469999999999999</v>
          </cell>
          <cell r="U102">
            <v>154646.18900000001</v>
          </cell>
          <cell r="V102">
            <v>434139.62099999998</v>
          </cell>
          <cell r="W102">
            <v>4.3040000000000003</v>
          </cell>
          <cell r="X102">
            <v>5.7000000000000384E-2</v>
          </cell>
          <cell r="Y102">
            <v>4.2755000000000001</v>
          </cell>
          <cell r="Z102">
            <v>6.7533884828248754</v>
          </cell>
          <cell r="AA102" t="str">
            <v>154639.973,434136.981</v>
          </cell>
          <cell r="AB102" t="str">
            <v>154646.189,434139.621</v>
          </cell>
          <cell r="AC102">
            <v>6.3082419807100427</v>
          </cell>
          <cell r="AD102">
            <v>1.0705658570923635</v>
          </cell>
          <cell r="AE102">
            <v>0.71</v>
          </cell>
          <cell r="AF102">
            <v>50.24</v>
          </cell>
          <cell r="AG102">
            <v>1.80213409772671</v>
          </cell>
          <cell r="AH102">
            <v>38.595159149554647</v>
          </cell>
          <cell r="AI102">
            <v>3.1190678238617648</v>
          </cell>
          <cell r="AJ102">
            <v>1.09213409772671</v>
          </cell>
          <cell r="AK102">
            <v>39.63055714649883</v>
          </cell>
          <cell r="AL102">
            <v>3.1891741568482779</v>
          </cell>
          <cell r="AM102">
            <v>6.3082419807100427</v>
          </cell>
          <cell r="AN102">
            <v>1.0705658570923635</v>
          </cell>
          <cell r="AO102" t="e">
            <v>#REF!</v>
          </cell>
          <cell r="AP102" t="e">
            <v>#REF!</v>
          </cell>
          <cell r="AQ102" t="e">
            <v>#REF!</v>
          </cell>
          <cell r="AR102" t="e">
            <v>#REF!</v>
          </cell>
          <cell r="AS102" t="e">
            <v>#REF!</v>
          </cell>
          <cell r="AT102" t="e">
            <v>#REF!</v>
          </cell>
          <cell r="AU102" t="e">
            <v>#REF!</v>
          </cell>
          <cell r="AV102" t="e">
            <v>#REF!</v>
          </cell>
          <cell r="AW102">
            <v>1.0705658570923635</v>
          </cell>
          <cell r="AX102">
            <v>1.0705658570923635</v>
          </cell>
          <cell r="AY102">
            <v>1.0705658570923635</v>
          </cell>
          <cell r="AZ102" t="e">
            <v>#REF!</v>
          </cell>
          <cell r="BE102">
            <v>154643.08100000001</v>
          </cell>
          <cell r="BF102">
            <v>434138.30099999998</v>
          </cell>
        </row>
        <row r="103">
          <cell r="A103" t="str">
            <v>CC24RZ43-40</v>
          </cell>
          <cell r="B103" t="str">
            <v>CC24RZ43-40 Krkab-AAE Kerk-Avezaath, Achterstraat</v>
          </cell>
          <cell r="C103" t="str">
            <v>CC24RZ43</v>
          </cell>
          <cell r="D103">
            <v>40</v>
          </cell>
          <cell r="E103" t="str">
            <v>Kerk-Avezaath</v>
          </cell>
          <cell r="F103" t="str">
            <v>Achterstraat</v>
          </cell>
          <cell r="G103" t="str">
            <v>32</v>
          </cell>
          <cell r="H103" t="str">
            <v>Coordinaten - Krkab-AAE Deel 1.xlsx</v>
          </cell>
          <cell r="I103" t="str">
            <v>C &amp; C Cable &amp; Communication B.V.</v>
          </cell>
          <cell r="J103"/>
          <cell r="K103" t="str">
            <v>Krkab-AAE</v>
          </cell>
          <cell r="L103">
            <v>45572</v>
          </cell>
          <cell r="M103">
            <v>5</v>
          </cell>
          <cell r="N103">
            <v>3</v>
          </cell>
          <cell r="O103">
            <v>1</v>
          </cell>
          <cell r="P103">
            <v>63</v>
          </cell>
          <cell r="Q103" t="str">
            <v xml:space="preserve">PE100 </v>
          </cell>
          <cell r="R103">
            <v>154622.003</v>
          </cell>
          <cell r="S103">
            <v>434135.81599999999</v>
          </cell>
          <cell r="T103">
            <v>4.3070000000000004</v>
          </cell>
          <cell r="U103">
            <v>154618.19699999999</v>
          </cell>
          <cell r="V103">
            <v>434144.43300000002</v>
          </cell>
          <cell r="W103">
            <v>4.4189999999999996</v>
          </cell>
          <cell r="X103">
            <v>0.11199999999999921</v>
          </cell>
          <cell r="Y103">
            <v>4.3629999999999995</v>
          </cell>
          <cell r="Z103">
            <v>9.4201021756964138</v>
          </cell>
          <cell r="AA103" t="str">
            <v>154622.003,434135.816</v>
          </cell>
          <cell r="AB103" t="str">
            <v>154618.197,434144.433</v>
          </cell>
          <cell r="AC103">
            <v>9.527854363810885</v>
          </cell>
          <cell r="AD103">
            <v>0.98869082334804148</v>
          </cell>
          <cell r="AE103">
            <v>0.71</v>
          </cell>
          <cell r="AF103">
            <v>80.06</v>
          </cell>
          <cell r="AG103">
            <v>4.1369160281259676</v>
          </cell>
          <cell r="AH103">
            <v>71.662318423271472</v>
          </cell>
          <cell r="AI103">
            <v>4.7460938483591972</v>
          </cell>
          <cell r="AJ103">
            <v>3.4269160281259676</v>
          </cell>
          <cell r="AK103">
            <v>73.009281026105526</v>
          </cell>
          <cell r="AL103">
            <v>4.7817605154516887</v>
          </cell>
          <cell r="AM103">
            <v>9.527854363810885</v>
          </cell>
          <cell r="AN103">
            <v>0.98869082334804148</v>
          </cell>
          <cell r="AO103" t="e">
            <v>#REF!</v>
          </cell>
          <cell r="AP103" t="e">
            <v>#REF!</v>
          </cell>
          <cell r="AQ103" t="e">
            <v>#REF!</v>
          </cell>
          <cell r="AR103" t="e">
            <v>#REF!</v>
          </cell>
          <cell r="AS103" t="e">
            <v>#REF!</v>
          </cell>
          <cell r="AT103" t="e">
            <v>#REF!</v>
          </cell>
          <cell r="AU103" t="e">
            <v>#REF!</v>
          </cell>
          <cell r="AV103" t="e">
            <v>#REF!</v>
          </cell>
          <cell r="AW103">
            <v>0.98869082334804148</v>
          </cell>
          <cell r="AX103">
            <v>0.98869082334804148</v>
          </cell>
          <cell r="AY103">
            <v>0.98869082334804148</v>
          </cell>
          <cell r="AZ103" t="e">
            <v>#REF!</v>
          </cell>
          <cell r="BE103">
            <v>154620.09999999998</v>
          </cell>
          <cell r="BF103">
            <v>434140.12450000003</v>
          </cell>
        </row>
        <row r="104">
          <cell r="A104" t="str">
            <v>CC24RZ43-41</v>
          </cell>
          <cell r="B104" t="str">
            <v>CC24RZ43-41 Krkab-AAE Kerk-Avezaath, Achterstraat</v>
          </cell>
          <cell r="C104" t="str">
            <v>CC24RZ43</v>
          </cell>
          <cell r="D104">
            <v>41</v>
          </cell>
          <cell r="E104" t="str">
            <v>Kerk-Avezaath</v>
          </cell>
          <cell r="F104" t="str">
            <v>Achterstraat</v>
          </cell>
          <cell r="G104" t="str">
            <v>33</v>
          </cell>
          <cell r="H104" t="str">
            <v>Coordinaten - Krkab-AAE Deel 1.xlsx</v>
          </cell>
          <cell r="I104" t="str">
            <v>C &amp; C Cable &amp; Communication B.V.</v>
          </cell>
          <cell r="J104"/>
          <cell r="K104" t="str">
            <v>Krkab-AAE</v>
          </cell>
          <cell r="L104">
            <v>45574</v>
          </cell>
          <cell r="M104">
            <v>5</v>
          </cell>
          <cell r="N104">
            <v>9</v>
          </cell>
          <cell r="O104">
            <v>1</v>
          </cell>
          <cell r="P104">
            <v>63</v>
          </cell>
          <cell r="Q104" t="str">
            <v xml:space="preserve">PE100 </v>
          </cell>
          <cell r="R104">
            <v>154628.63399999999</v>
          </cell>
          <cell r="S104">
            <v>434171.12300000002</v>
          </cell>
          <cell r="T104">
            <v>4.2009999999999996</v>
          </cell>
          <cell r="U104">
            <v>154634.90700000001</v>
          </cell>
          <cell r="V104">
            <v>434173.06</v>
          </cell>
          <cell r="W104">
            <v>4.2290000000000001</v>
          </cell>
          <cell r="X104">
            <v>2.8000000000000469E-2</v>
          </cell>
          <cell r="Y104">
            <v>4.2149999999999999</v>
          </cell>
          <cell r="Z104">
            <v>6.5652492717416076</v>
          </cell>
          <cell r="AA104" t="str">
            <v>154628.634,434171.123</v>
          </cell>
          <cell r="AB104" t="str">
            <v>154634.907,434173.06</v>
          </cell>
          <cell r="AC104">
            <v>6.2728973342153385</v>
          </cell>
          <cell r="AD104">
            <v>1.0466055670848691</v>
          </cell>
          <cell r="AE104">
            <v>0.71</v>
          </cell>
          <cell r="AF104">
            <v>50.24</v>
          </cell>
          <cell r="AG104">
            <v>1.80213409772671</v>
          </cell>
          <cell r="AH104">
            <v>38.595159149554647</v>
          </cell>
          <cell r="AI104">
            <v>3.1190678238617648</v>
          </cell>
          <cell r="AJ104">
            <v>1.09213409772671</v>
          </cell>
          <cell r="AK104">
            <v>39.106652032785817</v>
          </cell>
          <cell r="AL104">
            <v>3.1538295103535736</v>
          </cell>
          <cell r="AM104">
            <v>6.2728973342153385</v>
          </cell>
          <cell r="AN104">
            <v>1.0466055670848691</v>
          </cell>
          <cell r="AO104" t="e">
            <v>#REF!</v>
          </cell>
          <cell r="AP104" t="e">
            <v>#REF!</v>
          </cell>
          <cell r="AQ104" t="e">
            <v>#REF!</v>
          </cell>
          <cell r="AR104" t="e">
            <v>#REF!</v>
          </cell>
          <cell r="AS104" t="e">
            <v>#REF!</v>
          </cell>
          <cell r="AT104" t="e">
            <v>#REF!</v>
          </cell>
          <cell r="AU104" t="e">
            <v>#REF!</v>
          </cell>
          <cell r="AV104" t="e">
            <v>#REF!</v>
          </cell>
          <cell r="AW104">
            <v>1.0466055670848691</v>
          </cell>
          <cell r="AX104">
            <v>1.0466055670848691</v>
          </cell>
          <cell r="AY104">
            <v>1.0466055670848691</v>
          </cell>
          <cell r="AZ104" t="e">
            <v>#REF!</v>
          </cell>
          <cell r="BE104">
            <v>154631.77049999998</v>
          </cell>
          <cell r="BF104">
            <v>434172.09149999998</v>
          </cell>
        </row>
        <row r="105">
          <cell r="A105" t="str">
            <v>CC24RZ45-01</v>
          </cell>
          <cell r="B105" t="str">
            <v>CC24RZ45-01 HRN-ABW Haren Gn, Lutsborgsweg</v>
          </cell>
          <cell r="C105" t="str">
            <v>CC24RZ45</v>
          </cell>
          <cell r="D105">
            <v>1</v>
          </cell>
          <cell r="E105" t="str">
            <v>Haren Gn</v>
          </cell>
          <cell r="F105" t="str">
            <v>Lutsborgsweg</v>
          </cell>
          <cell r="G105">
            <v>5</v>
          </cell>
          <cell r="H105" t="str">
            <v>20097 HRN-ABW wk.45.xlsx</v>
          </cell>
          <cell r="I105" t="str">
            <v>C &amp; C Cable &amp; Communication B.V.</v>
          </cell>
          <cell r="J105"/>
          <cell r="K105" t="str">
            <v>HRN-ABW</v>
          </cell>
          <cell r="L105">
            <v>45594</v>
          </cell>
          <cell r="M105">
            <v>5</v>
          </cell>
          <cell r="N105">
            <v>5</v>
          </cell>
          <cell r="O105">
            <v>1</v>
          </cell>
          <cell r="P105">
            <v>63</v>
          </cell>
          <cell r="Q105" t="str">
            <v xml:space="preserve">PE100 </v>
          </cell>
          <cell r="R105">
            <v>236517.53</v>
          </cell>
          <cell r="S105">
            <v>575952.58600000001</v>
          </cell>
          <cell r="T105">
            <v>1.63</v>
          </cell>
          <cell r="U105">
            <v>236526.94500000001</v>
          </cell>
          <cell r="V105">
            <v>575951.89500000002</v>
          </cell>
          <cell r="W105">
            <v>1.895</v>
          </cell>
          <cell r="X105">
            <v>0.26500000000000012</v>
          </cell>
          <cell r="Y105">
            <v>1.7625</v>
          </cell>
          <cell r="Z105">
            <v>9.4403234054846799</v>
          </cell>
          <cell r="AA105" t="str">
            <v>236517.53,575952.586</v>
          </cell>
          <cell r="AB105" t="str">
            <v>236526.945,575951.895</v>
          </cell>
          <cell r="AC105">
            <v>8.8971155478037645</v>
          </cell>
          <cell r="AD105">
            <v>1.0610543782153088</v>
          </cell>
          <cell r="AE105">
            <v>0.71</v>
          </cell>
          <cell r="AF105">
            <v>70.12</v>
          </cell>
          <cell r="AG105">
            <v>3.2997434649603354</v>
          </cell>
          <cell r="AH105">
            <v>61.180537975490623</v>
          </cell>
          <cell r="AI105">
            <v>4.3807149456793679</v>
          </cell>
          <cell r="AJ105">
            <v>2.5897434649603355</v>
          </cell>
          <cell r="AK105">
            <v>64.592631240509746</v>
          </cell>
          <cell r="AL105">
            <v>4.5164006021243965</v>
          </cell>
          <cell r="AM105">
            <v>8.8971155478037645</v>
          </cell>
          <cell r="AN105">
            <v>1.0610543782153088</v>
          </cell>
          <cell r="AO105" t="e">
            <v>#REF!</v>
          </cell>
          <cell r="AP105" t="e">
            <v>#REF!</v>
          </cell>
          <cell r="AQ105" t="e">
            <v>#REF!</v>
          </cell>
          <cell r="AR105" t="e">
            <v>#REF!</v>
          </cell>
          <cell r="AS105" t="e">
            <v>#REF!</v>
          </cell>
          <cell r="AT105" t="e">
            <v>#REF!</v>
          </cell>
          <cell r="AU105" t="e">
            <v>#REF!</v>
          </cell>
          <cell r="AV105" t="e">
            <v>#REF!</v>
          </cell>
          <cell r="AW105">
            <v>1.0610543782153088</v>
          </cell>
          <cell r="AX105">
            <v>1.0610543782153088</v>
          </cell>
          <cell r="AY105">
            <v>1.0610543782153088</v>
          </cell>
          <cell r="AZ105" t="e">
            <v>#REF!</v>
          </cell>
          <cell r="BE105">
            <v>236522.23749999999</v>
          </cell>
          <cell r="BF105">
            <v>575952.24050000007</v>
          </cell>
        </row>
        <row r="106">
          <cell r="A106" t="str">
            <v>CC24RZ45-02</v>
          </cell>
          <cell r="B106" t="str">
            <v>CC24RZ45-02 HRN-ABW Haren Gn, 't Harde</v>
          </cell>
          <cell r="C106" t="str">
            <v>CC24RZ45</v>
          </cell>
          <cell r="D106">
            <v>2</v>
          </cell>
          <cell r="E106" t="str">
            <v>Haren Gn</v>
          </cell>
          <cell r="F106" t="str">
            <v>'t Harde</v>
          </cell>
          <cell r="G106">
            <v>3</v>
          </cell>
          <cell r="H106" t="str">
            <v>20097 HRN-ABW wk.45.xlsx</v>
          </cell>
          <cell r="I106" t="str">
            <v>C &amp; C Cable &amp; Communication B.V.</v>
          </cell>
          <cell r="J106"/>
          <cell r="K106" t="str">
            <v>HRN-ABW</v>
          </cell>
          <cell r="L106">
            <v>45594</v>
          </cell>
          <cell r="M106">
            <v>5</v>
          </cell>
          <cell r="N106">
            <v>5</v>
          </cell>
          <cell r="O106">
            <v>1</v>
          </cell>
          <cell r="P106">
            <v>63</v>
          </cell>
          <cell r="Q106" t="str">
            <v xml:space="preserve">PE100 </v>
          </cell>
          <cell r="R106">
            <v>236687.473</v>
          </cell>
          <cell r="S106">
            <v>575917.43500000006</v>
          </cell>
          <cell r="T106">
            <v>2.27</v>
          </cell>
          <cell r="U106">
            <v>236697.046</v>
          </cell>
          <cell r="V106">
            <v>575918.24899999995</v>
          </cell>
          <cell r="W106">
            <v>2.593</v>
          </cell>
          <cell r="X106">
            <v>0.32299999999999995</v>
          </cell>
          <cell r="Y106">
            <v>2.4314999999999998</v>
          </cell>
          <cell r="Z106">
            <v>9.6075452119627052</v>
          </cell>
          <cell r="AA106" t="str">
            <v>236687.473,575917.435</v>
          </cell>
          <cell r="AB106" t="str">
            <v>236697.046,575918.249</v>
          </cell>
          <cell r="AC106">
            <v>8.9242114139221052</v>
          </cell>
          <cell r="AD106">
            <v>1.0765707765477825</v>
          </cell>
          <cell r="AE106">
            <v>0.71</v>
          </cell>
          <cell r="AF106">
            <v>70.12</v>
          </cell>
          <cell r="AG106">
            <v>3.2997434649603354</v>
          </cell>
          <cell r="AH106">
            <v>61.180537975490623</v>
          </cell>
          <cell r="AI106">
            <v>4.3807149456793679</v>
          </cell>
          <cell r="AJ106">
            <v>2.5897434649603355</v>
          </cell>
          <cell r="AK106">
            <v>65.326217900235434</v>
          </cell>
          <cell r="AL106">
            <v>4.5434964682427363</v>
          </cell>
          <cell r="AM106">
            <v>8.9242114139221052</v>
          </cell>
          <cell r="AN106">
            <v>1.0765707765477825</v>
          </cell>
          <cell r="AO106" t="e">
            <v>#REF!</v>
          </cell>
          <cell r="AP106" t="e">
            <v>#REF!</v>
          </cell>
          <cell r="AQ106" t="e">
            <v>#REF!</v>
          </cell>
          <cell r="AR106" t="e">
            <v>#REF!</v>
          </cell>
          <cell r="AS106" t="e">
            <v>#REF!</v>
          </cell>
          <cell r="AT106" t="e">
            <v>#REF!</v>
          </cell>
          <cell r="AU106" t="e">
            <v>#REF!</v>
          </cell>
          <cell r="AV106" t="e">
            <v>#REF!</v>
          </cell>
          <cell r="AW106">
            <v>1.0765707765477825</v>
          </cell>
          <cell r="AX106">
            <v>1.0765707765477825</v>
          </cell>
          <cell r="AY106">
            <v>1.0765707765477825</v>
          </cell>
          <cell r="AZ106" t="e">
            <v>#REF!</v>
          </cell>
          <cell r="BE106">
            <v>236692.25949999999</v>
          </cell>
          <cell r="BF106">
            <v>575917.84199999995</v>
          </cell>
        </row>
        <row r="107">
          <cell r="A107" t="str">
            <v>CC24RZ45-03</v>
          </cell>
          <cell r="B107" t="str">
            <v>CC24RZ45-03 HRN-ABW Haren Gn, 't Harde</v>
          </cell>
          <cell r="C107" t="str">
            <v>CC24RZ45</v>
          </cell>
          <cell r="D107">
            <v>3</v>
          </cell>
          <cell r="E107" t="str">
            <v>Haren Gn</v>
          </cell>
          <cell r="F107" t="str">
            <v>'t Harde</v>
          </cell>
          <cell r="G107">
            <v>5</v>
          </cell>
          <cell r="H107" t="str">
            <v>20097 HRN-ABW wk.45.xlsx</v>
          </cell>
          <cell r="I107" t="str">
            <v>C &amp; C Cable &amp; Communication B.V.</v>
          </cell>
          <cell r="J107"/>
          <cell r="K107" t="str">
            <v>HRN-ABW</v>
          </cell>
          <cell r="L107">
            <v>45595</v>
          </cell>
          <cell r="M107">
            <v>5</v>
          </cell>
          <cell r="N107">
            <v>4</v>
          </cell>
          <cell r="O107">
            <v>1</v>
          </cell>
          <cell r="P107">
            <v>63</v>
          </cell>
          <cell r="Q107" t="str">
            <v xml:space="preserve">PE100 </v>
          </cell>
          <cell r="R107">
            <v>236692.56700000001</v>
          </cell>
          <cell r="S107">
            <v>575894.23100000003</v>
          </cell>
          <cell r="T107">
            <v>2.2909999999999999</v>
          </cell>
          <cell r="U107">
            <v>236701.432</v>
          </cell>
          <cell r="V107">
            <v>575896.82999999996</v>
          </cell>
          <cell r="W107">
            <v>2.3279999999999998</v>
          </cell>
          <cell r="X107">
            <v>3.6999999999999922E-2</v>
          </cell>
          <cell r="Y107">
            <v>2.3094999999999999</v>
          </cell>
          <cell r="Z107">
            <v>9.2381289230810673</v>
          </cell>
          <cell r="AA107" t="str">
            <v>236692.567,575894.231</v>
          </cell>
          <cell r="AB107" t="str">
            <v>236701.432,575896.83</v>
          </cell>
          <cell r="AC107">
            <v>9.1841344708816273</v>
          </cell>
          <cell r="AD107">
            <v>1.0058791007874102</v>
          </cell>
          <cell r="AE107">
            <v>0.71</v>
          </cell>
          <cell r="AF107">
            <v>75.09</v>
          </cell>
          <cell r="AG107">
            <v>3.7134927315927495</v>
          </cell>
          <cell r="AH107">
            <v>66.465483763104672</v>
          </cell>
          <cell r="AI107">
            <v>4.5840984639509026</v>
          </cell>
          <cell r="AJ107">
            <v>3.0034927315927495</v>
          </cell>
          <cell r="AK107">
            <v>66.927134750401834</v>
          </cell>
          <cell r="AL107">
            <v>4.6000360069307247</v>
          </cell>
          <cell r="AM107">
            <v>9.1841344708816273</v>
          </cell>
          <cell r="AN107">
            <v>1.0058791007874102</v>
          </cell>
          <cell r="AO107" t="e">
            <v>#REF!</v>
          </cell>
          <cell r="AP107" t="e">
            <v>#REF!</v>
          </cell>
          <cell r="AQ107" t="e">
            <v>#REF!</v>
          </cell>
          <cell r="AR107" t="e">
            <v>#REF!</v>
          </cell>
          <cell r="AS107" t="e">
            <v>#REF!</v>
          </cell>
          <cell r="AT107" t="e">
            <v>#REF!</v>
          </cell>
          <cell r="AU107" t="e">
            <v>#REF!</v>
          </cell>
          <cell r="AV107" t="e">
            <v>#REF!</v>
          </cell>
          <cell r="AW107">
            <v>1.0058791007874102</v>
          </cell>
          <cell r="AX107">
            <v>1.0058791007874102</v>
          </cell>
          <cell r="AY107">
            <v>1.0058791007874102</v>
          </cell>
          <cell r="AZ107" t="e">
            <v>#REF!</v>
          </cell>
          <cell r="BE107">
            <v>236696.99950000001</v>
          </cell>
          <cell r="BF107">
            <v>575895.53049999999</v>
          </cell>
        </row>
        <row r="108">
          <cell r="A108" t="str">
            <v>CC24RZ45-04</v>
          </cell>
          <cell r="B108" t="str">
            <v>CC24RZ45-04 HRN-ABW Haren Gn, 't Harde</v>
          </cell>
          <cell r="C108" t="str">
            <v>CC24RZ45</v>
          </cell>
          <cell r="D108">
            <v>4</v>
          </cell>
          <cell r="E108" t="str">
            <v>Haren Gn</v>
          </cell>
          <cell r="F108" t="str">
            <v>'t Harde</v>
          </cell>
          <cell r="G108">
            <v>16</v>
          </cell>
          <cell r="H108" t="str">
            <v>20097 HRN-ABW wk.45.xlsx</v>
          </cell>
          <cell r="I108" t="str">
            <v>C &amp; C Cable &amp; Communication B.V.</v>
          </cell>
          <cell r="J108"/>
          <cell r="K108" t="str">
            <v>HRN-ABW</v>
          </cell>
          <cell r="L108">
            <v>45595</v>
          </cell>
          <cell r="M108">
            <v>5</v>
          </cell>
          <cell r="N108">
            <v>4</v>
          </cell>
          <cell r="O108">
            <v>1</v>
          </cell>
          <cell r="P108">
            <v>63</v>
          </cell>
          <cell r="Q108" t="str">
            <v xml:space="preserve">PE100 </v>
          </cell>
          <cell r="R108">
            <v>236707.584</v>
          </cell>
          <cell r="S108">
            <v>575859.59600000002</v>
          </cell>
          <cell r="T108">
            <v>2.3490000000000002</v>
          </cell>
          <cell r="U108">
            <v>236717.644</v>
          </cell>
          <cell r="V108">
            <v>575863.12</v>
          </cell>
          <cell r="W108">
            <v>2.63</v>
          </cell>
          <cell r="X108">
            <v>0.28099999999999969</v>
          </cell>
          <cell r="Y108">
            <v>2.4895</v>
          </cell>
          <cell r="Z108">
            <v>10.659370337866232</v>
          </cell>
          <cell r="AA108" t="str">
            <v>236707.584,575859.596</v>
          </cell>
          <cell r="AB108" t="str">
            <v>236717.644,575863.12</v>
          </cell>
          <cell r="AC108">
            <v>9.2805902197237042</v>
          </cell>
          <cell r="AD108">
            <v>1.1485659947804026</v>
          </cell>
          <cell r="AE108">
            <v>0.71</v>
          </cell>
          <cell r="AF108">
            <v>75.09</v>
          </cell>
          <cell r="AG108">
            <v>3.7134927315927495</v>
          </cell>
          <cell r="AH108">
            <v>66.465483763104672</v>
          </cell>
          <cell r="AI108">
            <v>4.5840984639509026</v>
          </cell>
          <cell r="AJ108">
            <v>3.0034927315927495</v>
          </cell>
          <cell r="AK108">
            <v>69.93405555022234</v>
          </cell>
          <cell r="AL108">
            <v>4.6964917557728016</v>
          </cell>
          <cell r="AM108">
            <v>9.2805902197237042</v>
          </cell>
          <cell r="AN108">
            <v>1.1485659947804026</v>
          </cell>
          <cell r="AO108" t="e">
            <v>#REF!</v>
          </cell>
          <cell r="AP108" t="e">
            <v>#REF!</v>
          </cell>
          <cell r="AQ108" t="e">
            <v>#REF!</v>
          </cell>
          <cell r="AR108" t="e">
            <v>#REF!</v>
          </cell>
          <cell r="AS108" t="e">
            <v>#REF!</v>
          </cell>
          <cell r="AT108" t="e">
            <v>#REF!</v>
          </cell>
          <cell r="AU108" t="e">
            <v>#REF!</v>
          </cell>
          <cell r="AV108" t="e">
            <v>#REF!</v>
          </cell>
          <cell r="AW108">
            <v>1.1485659947804026</v>
          </cell>
          <cell r="AX108">
            <v>1.1485659947804026</v>
          </cell>
          <cell r="AY108">
            <v>1.1485659947804026</v>
          </cell>
          <cell r="AZ108" t="e">
            <v>#REF!</v>
          </cell>
          <cell r="BE108">
            <v>236712.614</v>
          </cell>
          <cell r="BF108">
            <v>575861.35800000001</v>
          </cell>
        </row>
        <row r="109">
          <cell r="A109" t="str">
            <v>CC24RZ45-05</v>
          </cell>
          <cell r="B109" t="str">
            <v>CC24RZ45-05 HRN-ABW Haren Gn, 't Harde</v>
          </cell>
          <cell r="C109" t="str">
            <v>CC24RZ45</v>
          </cell>
          <cell r="D109">
            <v>5</v>
          </cell>
          <cell r="E109" t="str">
            <v>Haren Gn</v>
          </cell>
          <cell r="F109" t="str">
            <v>'t Harde</v>
          </cell>
          <cell r="G109">
            <v>18</v>
          </cell>
          <cell r="H109" t="str">
            <v>20097 HRN-ABW wk.45.xlsx</v>
          </cell>
          <cell r="I109" t="str">
            <v>C &amp; C Cable &amp; Communication B.V.</v>
          </cell>
          <cell r="J109"/>
          <cell r="K109" t="str">
            <v>HRN-ABW</v>
          </cell>
          <cell r="L109">
            <v>45596</v>
          </cell>
          <cell r="M109">
            <v>5</v>
          </cell>
          <cell r="N109">
            <v>3</v>
          </cell>
          <cell r="O109">
            <v>1</v>
          </cell>
          <cell r="P109">
            <v>63</v>
          </cell>
          <cell r="Q109" t="str">
            <v xml:space="preserve">PE100 </v>
          </cell>
          <cell r="R109">
            <v>236724.65299999999</v>
          </cell>
          <cell r="S109">
            <v>575823.41799999995</v>
          </cell>
          <cell r="T109">
            <v>2.3290000000000002</v>
          </cell>
          <cell r="U109">
            <v>236734.06400000001</v>
          </cell>
          <cell r="V109">
            <v>575826.66700000002</v>
          </cell>
          <cell r="W109">
            <v>2.3340000000000001</v>
          </cell>
          <cell r="X109">
            <v>4.9999999999998934E-3</v>
          </cell>
          <cell r="Y109">
            <v>2.3315000000000001</v>
          </cell>
          <cell r="Z109">
            <v>9.9560495177987018</v>
          </cell>
          <cell r="AA109" t="str">
            <v>236724.653,575823.418</v>
          </cell>
          <cell r="AB109" t="str">
            <v>236734.064,575826.667</v>
          </cell>
          <cell r="AC109">
            <v>9.4938420153486547</v>
          </cell>
          <cell r="AD109">
            <v>1.0486849793479602</v>
          </cell>
          <cell r="AE109">
            <v>0.71</v>
          </cell>
          <cell r="AF109">
            <v>80.06</v>
          </cell>
          <cell r="AG109">
            <v>4.1369160281259676</v>
          </cell>
          <cell r="AH109">
            <v>71.662318423271472</v>
          </cell>
          <cell r="AI109">
            <v>4.7460938483591972</v>
          </cell>
          <cell r="AJ109">
            <v>3.4269160281259676</v>
          </cell>
          <cell r="AK109">
            <v>71.722668884257786</v>
          </cell>
          <cell r="AL109">
            <v>4.7477481669894575</v>
          </cell>
          <cell r="AM109">
            <v>9.4938420153486547</v>
          </cell>
          <cell r="AN109">
            <v>1.0486849793479602</v>
          </cell>
          <cell r="AO109" t="e">
            <v>#REF!</v>
          </cell>
          <cell r="AP109" t="e">
            <v>#REF!</v>
          </cell>
          <cell r="AQ109" t="e">
            <v>#REF!</v>
          </cell>
          <cell r="AR109" t="e">
            <v>#REF!</v>
          </cell>
          <cell r="AS109" t="e">
            <v>#REF!</v>
          </cell>
          <cell r="AT109" t="e">
            <v>#REF!</v>
          </cell>
          <cell r="AU109" t="e">
            <v>#REF!</v>
          </cell>
          <cell r="AV109" t="e">
            <v>#REF!</v>
          </cell>
          <cell r="AW109">
            <v>1.0486849793479602</v>
          </cell>
          <cell r="AX109">
            <v>1.0486849793479602</v>
          </cell>
          <cell r="AY109">
            <v>1.0486849793479602</v>
          </cell>
          <cell r="AZ109" t="e">
            <v>#REF!</v>
          </cell>
          <cell r="BE109">
            <v>236729.3585</v>
          </cell>
          <cell r="BF109">
            <v>575825.04249999998</v>
          </cell>
        </row>
        <row r="110">
          <cell r="A110" t="str">
            <v>CC24RZ45-06</v>
          </cell>
          <cell r="B110" t="str">
            <v>CC24RZ45-06 HRN-ABW Haren Gn, 't Harde</v>
          </cell>
          <cell r="C110" t="str">
            <v>CC24RZ45</v>
          </cell>
          <cell r="D110">
            <v>6</v>
          </cell>
          <cell r="E110" t="str">
            <v>Haren Gn</v>
          </cell>
          <cell r="F110" t="str">
            <v>'t Harde</v>
          </cell>
          <cell r="G110">
            <v>22</v>
          </cell>
          <cell r="H110" t="str">
            <v>20097 HRN-ABW wk.45.xlsx</v>
          </cell>
          <cell r="I110" t="str">
            <v>C &amp; C Cable &amp; Communication B.V.</v>
          </cell>
          <cell r="J110"/>
          <cell r="K110" t="str">
            <v>HRN-ABW</v>
          </cell>
          <cell r="L110">
            <v>45596</v>
          </cell>
          <cell r="M110">
            <v>5</v>
          </cell>
          <cell r="N110">
            <v>3</v>
          </cell>
          <cell r="O110">
            <v>1</v>
          </cell>
          <cell r="P110">
            <v>63</v>
          </cell>
          <cell r="Q110" t="str">
            <v xml:space="preserve">PE100 </v>
          </cell>
          <cell r="R110">
            <v>236756.06400000001</v>
          </cell>
          <cell r="S110">
            <v>575758.69999999995</v>
          </cell>
          <cell r="T110">
            <v>2.218</v>
          </cell>
          <cell r="U110">
            <v>236764.66800000001</v>
          </cell>
          <cell r="V110">
            <v>575762.03700000001</v>
          </cell>
          <cell r="W110">
            <v>2.4289999999999998</v>
          </cell>
          <cell r="X110">
            <v>0.21099999999999985</v>
          </cell>
          <cell r="Y110">
            <v>2.3235000000000001</v>
          </cell>
          <cell r="Z110">
            <v>9.228455179511311</v>
          </cell>
          <cell r="AA110" t="str">
            <v>236756.064,575758.7</v>
          </cell>
          <cell r="AB110" t="str">
            <v>236764.668,575762.037</v>
          </cell>
          <cell r="AC110">
            <v>9.5569905686769232</v>
          </cell>
          <cell r="AD110">
            <v>0.96562355201621852</v>
          </cell>
          <cell r="AE110">
            <v>0.71</v>
          </cell>
          <cell r="AF110">
            <v>80.06</v>
          </cell>
          <cell r="AG110">
            <v>4.1369160281259676</v>
          </cell>
          <cell r="AH110">
            <v>71.662318423271472</v>
          </cell>
          <cell r="AI110">
            <v>4.7460938483591972</v>
          </cell>
          <cell r="AJ110">
            <v>3.4269160281259676</v>
          </cell>
          <cell r="AK110">
            <v>74.191869053454496</v>
          </cell>
          <cell r="AL110">
            <v>4.8108967203177269</v>
          </cell>
          <cell r="AM110">
            <v>9.5569905686769232</v>
          </cell>
          <cell r="AN110">
            <v>0.96562355201621852</v>
          </cell>
          <cell r="AO110" t="e">
            <v>#REF!</v>
          </cell>
          <cell r="AP110" t="e">
            <v>#REF!</v>
          </cell>
          <cell r="AQ110" t="e">
            <v>#REF!</v>
          </cell>
          <cell r="AR110" t="e">
            <v>#REF!</v>
          </cell>
          <cell r="AS110" t="e">
            <v>#REF!</v>
          </cell>
          <cell r="AT110" t="e">
            <v>#REF!</v>
          </cell>
          <cell r="AU110" t="e">
            <v>#REF!</v>
          </cell>
          <cell r="AV110" t="e">
            <v>#REF!</v>
          </cell>
          <cell r="AW110">
            <v>0.96562355201621852</v>
          </cell>
          <cell r="AX110">
            <v>0.96562355201621852</v>
          </cell>
          <cell r="AY110">
            <v>0.96562355201621852</v>
          </cell>
          <cell r="AZ110" t="e">
            <v>#REF!</v>
          </cell>
          <cell r="BE110">
            <v>236760.36600000001</v>
          </cell>
          <cell r="BF110">
            <v>575760.36849999998</v>
          </cell>
        </row>
        <row r="111">
          <cell r="A111" t="str">
            <v>CC24RZ45-07</v>
          </cell>
          <cell r="B111" t="str">
            <v>CC24RZ45-07 HRN-ABW Haren Gn, 't Harde</v>
          </cell>
          <cell r="C111" t="str">
            <v>CC24RZ45</v>
          </cell>
          <cell r="D111">
            <v>7</v>
          </cell>
          <cell r="E111" t="str">
            <v>Haren Gn</v>
          </cell>
          <cell r="F111" t="str">
            <v>'t Harde</v>
          </cell>
          <cell r="G111">
            <v>24</v>
          </cell>
          <cell r="H111" t="str">
            <v>20097 HRN-ABW wk.45.xlsx</v>
          </cell>
          <cell r="I111" t="str">
            <v>C &amp; C Cable &amp; Communication B.V.</v>
          </cell>
          <cell r="J111"/>
          <cell r="K111" t="str">
            <v>HRN-ABW</v>
          </cell>
          <cell r="L111">
            <v>45597</v>
          </cell>
          <cell r="M111">
            <v>5</v>
          </cell>
          <cell r="N111">
            <v>5</v>
          </cell>
          <cell r="O111">
            <v>1</v>
          </cell>
          <cell r="P111">
            <v>63</v>
          </cell>
          <cell r="Q111" t="str">
            <v xml:space="preserve">PE100 </v>
          </cell>
          <cell r="R111">
            <v>236768.568</v>
          </cell>
          <cell r="S111">
            <v>575730.69299999997</v>
          </cell>
          <cell r="T111">
            <v>2.4260000000000002</v>
          </cell>
          <cell r="U111">
            <v>236777.00700000001</v>
          </cell>
          <cell r="V111">
            <v>575733.64</v>
          </cell>
          <cell r="W111">
            <v>2.8359999999999999</v>
          </cell>
          <cell r="X111">
            <v>0.4099999999999997</v>
          </cell>
          <cell r="Y111">
            <v>2.6310000000000002</v>
          </cell>
          <cell r="Z111">
            <v>8.938765574757964</v>
          </cell>
          <cell r="AA111" t="str">
            <v>236768.568,575730.693</v>
          </cell>
          <cell r="AB111" t="str">
            <v>236777.007,575733.64</v>
          </cell>
          <cell r="AC111">
            <v>8.96317867101655</v>
          </cell>
          <cell r="AD111">
            <v>0.99727629034802923</v>
          </cell>
          <cell r="AE111">
            <v>0.71</v>
          </cell>
          <cell r="AF111">
            <v>70.12</v>
          </cell>
          <cell r="AG111">
            <v>3.2997434649603354</v>
          </cell>
          <cell r="AH111">
            <v>61.180537975490623</v>
          </cell>
          <cell r="AI111">
            <v>4.3807149456793679</v>
          </cell>
          <cell r="AJ111">
            <v>2.5897434649603355</v>
          </cell>
          <cell r="AK111">
            <v>66.418614034215821</v>
          </cell>
          <cell r="AL111">
            <v>4.5824637253371812</v>
          </cell>
          <cell r="AM111">
            <v>8.96317867101655</v>
          </cell>
          <cell r="AN111">
            <v>0.99727629034802923</v>
          </cell>
          <cell r="AO111" t="e">
            <v>#REF!</v>
          </cell>
          <cell r="AP111" t="e">
            <v>#REF!</v>
          </cell>
          <cell r="AQ111" t="e">
            <v>#REF!</v>
          </cell>
          <cell r="AR111" t="e">
            <v>#REF!</v>
          </cell>
          <cell r="AS111" t="e">
            <v>#REF!</v>
          </cell>
          <cell r="AT111" t="e">
            <v>#REF!</v>
          </cell>
          <cell r="AU111" t="e">
            <v>#REF!</v>
          </cell>
          <cell r="AV111" t="e">
            <v>#REF!</v>
          </cell>
          <cell r="AW111">
            <v>0.99727629034802923</v>
          </cell>
          <cell r="AX111">
            <v>0.99727629034802923</v>
          </cell>
          <cell r="AY111">
            <v>0.99727629034802923</v>
          </cell>
          <cell r="AZ111" t="e">
            <v>#REF!</v>
          </cell>
          <cell r="BE111">
            <v>236772.78750000001</v>
          </cell>
          <cell r="BF111">
            <v>575732.16650000005</v>
          </cell>
        </row>
        <row r="112">
          <cell r="A112" t="str">
            <v>CC24RZ45-08</v>
          </cell>
          <cell r="B112" t="str">
            <v>CC24RZ45-08 HRN-ABW Haren Gn, Roerdompweg</v>
          </cell>
          <cell r="C112" t="str">
            <v>CC24RZ45</v>
          </cell>
          <cell r="D112">
            <v>8</v>
          </cell>
          <cell r="E112" t="str">
            <v>Haren Gn</v>
          </cell>
          <cell r="F112" t="str">
            <v>Roerdompweg</v>
          </cell>
          <cell r="G112">
            <v>38</v>
          </cell>
          <cell r="H112" t="str">
            <v>20097 HRN-ABW wk.45.xlsx</v>
          </cell>
          <cell r="I112" t="str">
            <v>C &amp; C Cable &amp; Communication B.V.</v>
          </cell>
          <cell r="J112"/>
          <cell r="K112" t="str">
            <v>HRN-ABW</v>
          </cell>
          <cell r="L112">
            <v>45587</v>
          </cell>
          <cell r="M112">
            <v>5</v>
          </cell>
          <cell r="N112">
            <v>6</v>
          </cell>
          <cell r="O112">
            <v>1</v>
          </cell>
          <cell r="P112">
            <v>63</v>
          </cell>
          <cell r="Q112" t="str">
            <v xml:space="preserve">PE100 </v>
          </cell>
          <cell r="R112">
            <v>236785.27499999999</v>
          </cell>
          <cell r="S112">
            <v>575498.96100000001</v>
          </cell>
          <cell r="T112">
            <v>1.9470000000000001</v>
          </cell>
          <cell r="U112">
            <v>236787.53200000001</v>
          </cell>
          <cell r="V112">
            <v>575492.15899999999</v>
          </cell>
          <cell r="W112">
            <v>1.9870000000000001</v>
          </cell>
          <cell r="X112">
            <v>4.0000000000000036E-2</v>
          </cell>
          <cell r="Y112">
            <v>1.9670000000000001</v>
          </cell>
          <cell r="Z112">
            <v>7.1666765659123888</v>
          </cell>
          <cell r="AA112" t="str">
            <v>236785.275,575498.961</v>
          </cell>
          <cell r="AB112" t="str">
            <v>236787.532,575492.159</v>
          </cell>
          <cell r="AC112">
            <v>8.2966274605454835</v>
          </cell>
          <cell r="AD112">
            <v>0.86380599827983562</v>
          </cell>
          <cell r="AE112">
            <v>0.71</v>
          </cell>
          <cell r="AF112">
            <v>65.150000000000006</v>
          </cell>
          <cell r="AG112">
            <v>2.8987794603804069</v>
          </cell>
          <cell r="AH112">
            <v>55.788864733010442</v>
          </cell>
          <cell r="AI112">
            <v>4.1348565969838562</v>
          </cell>
          <cell r="AJ112">
            <v>2.1887794603804061</v>
          </cell>
          <cell r="AK112">
            <v>56.341333416055178</v>
          </cell>
          <cell r="AL112">
            <v>4.1617708635616264</v>
          </cell>
          <cell r="AM112">
            <v>8.2966274605454835</v>
          </cell>
          <cell r="AN112">
            <v>0.86380599827983562</v>
          </cell>
          <cell r="AO112" t="e">
            <v>#REF!</v>
          </cell>
          <cell r="AP112" t="e">
            <v>#REF!</v>
          </cell>
          <cell r="AQ112" t="e">
            <v>#REF!</v>
          </cell>
          <cell r="AR112" t="e">
            <v>#REF!</v>
          </cell>
          <cell r="AS112" t="e">
            <v>#REF!</v>
          </cell>
          <cell r="AT112" t="e">
            <v>#REF!</v>
          </cell>
          <cell r="AU112" t="e">
            <v>#REF!</v>
          </cell>
          <cell r="AV112" t="e">
            <v>#REF!</v>
          </cell>
          <cell r="AW112">
            <v>0.86380599827983562</v>
          </cell>
          <cell r="AX112">
            <v>0.86380599827983562</v>
          </cell>
          <cell r="AY112">
            <v>0.86380599827983562</v>
          </cell>
          <cell r="AZ112" t="e">
            <v>#REF!</v>
          </cell>
          <cell r="BE112">
            <v>236786.40350000001</v>
          </cell>
          <cell r="BF112">
            <v>575495.56000000006</v>
          </cell>
        </row>
        <row r="113">
          <cell r="A113" t="str">
            <v>CC24RZ45-09</v>
          </cell>
          <cell r="B113" t="str">
            <v>CC24RZ45-09 HRN-ABW Haren Gn, Kievitweg</v>
          </cell>
          <cell r="C113" t="str">
            <v>CC24RZ45</v>
          </cell>
          <cell r="D113">
            <v>9</v>
          </cell>
          <cell r="E113" t="str">
            <v>Haren Gn</v>
          </cell>
          <cell r="F113" t="str">
            <v>Kievitweg</v>
          </cell>
          <cell r="G113">
            <v>34</v>
          </cell>
          <cell r="H113" t="str">
            <v>20097 HRN-ABW wk.45.xlsx</v>
          </cell>
          <cell r="I113" t="str">
            <v>C &amp; C Cable &amp; Communication B.V.</v>
          </cell>
          <cell r="J113"/>
          <cell r="K113" t="str">
            <v>HRN-ABW</v>
          </cell>
          <cell r="L113">
            <v>45587</v>
          </cell>
          <cell r="M113">
            <v>5</v>
          </cell>
          <cell r="N113">
            <v>6</v>
          </cell>
          <cell r="O113">
            <v>1</v>
          </cell>
          <cell r="P113">
            <v>63</v>
          </cell>
          <cell r="Q113" t="str">
            <v xml:space="preserve">PE100 </v>
          </cell>
          <cell r="R113">
            <v>236811.23499999999</v>
          </cell>
          <cell r="S113">
            <v>575429.20299999998</v>
          </cell>
          <cell r="T113">
            <v>2.0449999999999999</v>
          </cell>
          <cell r="U113">
            <v>236813.96599999999</v>
          </cell>
          <cell r="V113">
            <v>575422.25899999996</v>
          </cell>
          <cell r="W113">
            <v>2.0350000000000001</v>
          </cell>
          <cell r="X113">
            <v>-9.9999999999997868E-3</v>
          </cell>
          <cell r="Y113">
            <v>2.04</v>
          </cell>
          <cell r="Z113">
            <v>7.4617355219978467</v>
          </cell>
          <cell r="AA113" t="str">
            <v>236811.235,575429.203</v>
          </cell>
          <cell r="AB113" t="str">
            <v>236813.966,575422.259</v>
          </cell>
          <cell r="AC113">
            <v>8.2628966484887503</v>
          </cell>
          <cell r="AD113">
            <v>0.90304112945217185</v>
          </cell>
          <cell r="AE113">
            <v>0.71</v>
          </cell>
          <cell r="AF113">
            <v>65.150000000000006</v>
          </cell>
          <cell r="AG113">
            <v>2.8987794603804069</v>
          </cell>
          <cell r="AH113">
            <v>55.788864733010442</v>
          </cell>
          <cell r="AI113">
            <v>4.1348565969838562</v>
          </cell>
          <cell r="AJ113">
            <v>2.1887794603804061</v>
          </cell>
          <cell r="AK113">
            <v>55.650182733276758</v>
          </cell>
          <cell r="AL113">
            <v>4.1280400515048941</v>
          </cell>
          <cell r="AM113">
            <v>8.2628966484887503</v>
          </cell>
          <cell r="AN113">
            <v>0.90304112945217185</v>
          </cell>
          <cell r="AO113" t="e">
            <v>#REF!</v>
          </cell>
          <cell r="AP113" t="e">
            <v>#REF!</v>
          </cell>
          <cell r="AQ113" t="e">
            <v>#REF!</v>
          </cell>
          <cell r="AR113" t="e">
            <v>#REF!</v>
          </cell>
          <cell r="AS113" t="e">
            <v>#REF!</v>
          </cell>
          <cell r="AT113" t="e">
            <v>#REF!</v>
          </cell>
          <cell r="AU113" t="e">
            <v>#REF!</v>
          </cell>
          <cell r="AV113" t="e">
            <v>#REF!</v>
          </cell>
          <cell r="AW113">
            <v>0.90304112945217185</v>
          </cell>
          <cell r="AX113">
            <v>0.90304112945217185</v>
          </cell>
          <cell r="AY113">
            <v>0.90304112945217185</v>
          </cell>
          <cell r="AZ113" t="e">
            <v>#REF!</v>
          </cell>
          <cell r="BE113">
            <v>236812.6005</v>
          </cell>
          <cell r="BF113">
            <v>575425.73099999991</v>
          </cell>
        </row>
        <row r="114">
          <cell r="A114" t="str">
            <v>CC24RZ45-10</v>
          </cell>
          <cell r="B114" t="str">
            <v>CC24RZ45-10 HRN-ABW Haren Gn, Kievitweg</v>
          </cell>
          <cell r="C114" t="str">
            <v>CC24RZ45</v>
          </cell>
          <cell r="D114">
            <v>10</v>
          </cell>
          <cell r="E114" t="str">
            <v>Haren Gn</v>
          </cell>
          <cell r="F114" t="str">
            <v>Kievitweg</v>
          </cell>
          <cell r="G114">
            <v>36</v>
          </cell>
          <cell r="H114" t="str">
            <v>20097 HRN-ABW wk.45.xlsx</v>
          </cell>
          <cell r="I114" t="str">
            <v>C &amp; C Cable &amp; Communication B.V.</v>
          </cell>
          <cell r="J114"/>
          <cell r="K114" t="str">
            <v>HRN-ABW</v>
          </cell>
          <cell r="L114">
            <v>45588</v>
          </cell>
          <cell r="M114">
            <v>5</v>
          </cell>
          <cell r="N114">
            <v>5</v>
          </cell>
          <cell r="O114">
            <v>1</v>
          </cell>
          <cell r="P114">
            <v>63</v>
          </cell>
          <cell r="Q114" t="str">
            <v xml:space="preserve">PE100 </v>
          </cell>
          <cell r="R114">
            <v>236812.47899999999</v>
          </cell>
          <cell r="S114">
            <v>575417.076</v>
          </cell>
          <cell r="T114">
            <v>2.0529999999999999</v>
          </cell>
          <cell r="U114">
            <v>236805.48699999999</v>
          </cell>
          <cell r="V114">
            <v>575415.59499999997</v>
          </cell>
          <cell r="W114">
            <v>2.048</v>
          </cell>
          <cell r="X114">
            <v>-4.9999999999998934E-3</v>
          </cell>
          <cell r="Y114">
            <v>2.0505</v>
          </cell>
          <cell r="Z114">
            <v>7.1471270451883475</v>
          </cell>
          <cell r="AA114" t="str">
            <v>236812.479,575417.076</v>
          </cell>
          <cell r="AB114" t="str">
            <v>236805.487,575415.595</v>
          </cell>
          <cell r="AC114">
            <v>8.7586751864705281</v>
          </cell>
          <cell r="AD114">
            <v>0.81600549090214813</v>
          </cell>
          <cell r="AE114">
            <v>0.71</v>
          </cell>
          <cell r="AF114">
            <v>70.12</v>
          </cell>
          <cell r="AG114">
            <v>3.2997434649603354</v>
          </cell>
          <cell r="AH114">
            <v>61.180537975490623</v>
          </cell>
          <cell r="AI114">
            <v>4.3807149456793679</v>
          </cell>
          <cell r="AJ114">
            <v>2.5897434649603355</v>
          </cell>
          <cell r="AK114">
            <v>61.115121948443907</v>
          </cell>
          <cell r="AL114">
            <v>4.3779602407911602</v>
          </cell>
          <cell r="AM114">
            <v>8.7586751864705281</v>
          </cell>
          <cell r="AN114">
            <v>0.81600549090214813</v>
          </cell>
          <cell r="AO114" t="e">
            <v>#REF!</v>
          </cell>
          <cell r="AP114" t="e">
            <v>#REF!</v>
          </cell>
          <cell r="AQ114" t="e">
            <v>#REF!</v>
          </cell>
          <cell r="AR114" t="e">
            <v>#REF!</v>
          </cell>
          <cell r="AS114" t="e">
            <v>#REF!</v>
          </cell>
          <cell r="AT114" t="e">
            <v>#REF!</v>
          </cell>
          <cell r="AU114" t="e">
            <v>#REF!</v>
          </cell>
          <cell r="AV114" t="e">
            <v>#REF!</v>
          </cell>
          <cell r="AW114">
            <v>0.81600549090214813</v>
          </cell>
          <cell r="AX114">
            <v>0.81600549090214813</v>
          </cell>
          <cell r="AY114">
            <v>0.81600549090214813</v>
          </cell>
          <cell r="AZ114" t="e">
            <v>#REF!</v>
          </cell>
          <cell r="BE114">
            <v>236808.98300000001</v>
          </cell>
          <cell r="BF114">
            <v>575416.33550000004</v>
          </cell>
        </row>
        <row r="115">
          <cell r="A115" t="str">
            <v>CC24RZ45-11</v>
          </cell>
          <cell r="B115" t="str">
            <v>CC24RZ45-11 HRN-ABW Haren Gn, Lutsborgsweg</v>
          </cell>
          <cell r="C115" t="str">
            <v>CC24RZ45</v>
          </cell>
          <cell r="D115">
            <v>11</v>
          </cell>
          <cell r="E115" t="str">
            <v>Haren Gn</v>
          </cell>
          <cell r="F115" t="str">
            <v>Lutsborgsweg</v>
          </cell>
          <cell r="G115">
            <v>17</v>
          </cell>
          <cell r="H115" t="str">
            <v>20097 HRN-ABW wk.45.xlsx</v>
          </cell>
          <cell r="I115" t="str">
            <v>C &amp; C Cable &amp; Communication B.V.</v>
          </cell>
          <cell r="J115"/>
          <cell r="K115" t="str">
            <v>HRN-ABW</v>
          </cell>
          <cell r="L115">
            <v>45588</v>
          </cell>
          <cell r="M115">
            <v>7.5</v>
          </cell>
          <cell r="N115">
            <v>8</v>
          </cell>
          <cell r="O115">
            <v>1</v>
          </cell>
          <cell r="P115">
            <v>63</v>
          </cell>
          <cell r="Q115" t="str">
            <v xml:space="preserve">PE100 </v>
          </cell>
          <cell r="R115">
            <v>236819.826</v>
          </cell>
          <cell r="S115">
            <v>575402.18599999999</v>
          </cell>
          <cell r="T115">
            <v>2.024</v>
          </cell>
          <cell r="U115">
            <v>236823.924</v>
          </cell>
          <cell r="V115">
            <v>575391.799</v>
          </cell>
          <cell r="W115">
            <v>1.915</v>
          </cell>
          <cell r="X115">
            <v>-0.10899999999999999</v>
          </cell>
          <cell r="Y115">
            <v>1.9695</v>
          </cell>
          <cell r="Z115">
            <v>11.166170919331892</v>
          </cell>
          <cell r="AA115" t="str">
            <v>236819.826,575402.186</v>
          </cell>
          <cell r="AB115" t="str">
            <v>236823.924,575391.799</v>
          </cell>
          <cell r="AC115">
            <v>11.100431037596593</v>
          </cell>
          <cell r="AD115">
            <v>1.0059222818927158</v>
          </cell>
          <cell r="AE115">
            <v>0.71</v>
          </cell>
          <cell r="AF115">
            <v>55.21</v>
          </cell>
          <cell r="AG115">
            <v>3.2207231893560051</v>
          </cell>
          <cell r="AH115">
            <v>48.299497098536229</v>
          </cell>
          <cell r="AI115">
            <v>5.5997425750448642</v>
          </cell>
          <cell r="AJ115">
            <v>2.5107231893560051</v>
          </cell>
          <cell r="AK115">
            <v>47.174308494144917</v>
          </cell>
          <cell r="AL115">
            <v>5.5006884625517287</v>
          </cell>
          <cell r="AM115">
            <v>11.100431037596593</v>
          </cell>
          <cell r="AN115">
            <v>1.0059222818927158</v>
          </cell>
          <cell r="AO115" t="e">
            <v>#REF!</v>
          </cell>
          <cell r="AP115" t="e">
            <v>#REF!</v>
          </cell>
          <cell r="AQ115" t="e">
            <v>#REF!</v>
          </cell>
          <cell r="AR115" t="e">
            <v>#REF!</v>
          </cell>
          <cell r="AS115" t="e">
            <v>#REF!</v>
          </cell>
          <cell r="AT115" t="e">
            <v>#REF!</v>
          </cell>
          <cell r="AU115" t="e">
            <v>#REF!</v>
          </cell>
          <cell r="AV115" t="e">
            <v>#REF!</v>
          </cell>
          <cell r="AW115">
            <v>1.0059222818927158</v>
          </cell>
          <cell r="AX115">
            <v>1.0059222818927158</v>
          </cell>
          <cell r="AY115">
            <v>1.0059222818927158</v>
          </cell>
          <cell r="AZ115" t="e">
            <v>#REF!</v>
          </cell>
          <cell r="BE115">
            <v>236821.875</v>
          </cell>
          <cell r="BF115">
            <v>575396.99249999993</v>
          </cell>
        </row>
        <row r="116">
          <cell r="A116" t="str">
            <v>CC24RZ45-12</v>
          </cell>
          <cell r="B116" t="str">
            <v>CC24RZ45-12 HRN-ABW Haren Gn, Holsteinslaan</v>
          </cell>
          <cell r="C116" t="str">
            <v>CC24RZ45</v>
          </cell>
          <cell r="D116">
            <v>12</v>
          </cell>
          <cell r="E116" t="str">
            <v>Haren Gn</v>
          </cell>
          <cell r="F116" t="str">
            <v>Holsteinslaan</v>
          </cell>
          <cell r="G116">
            <v>28</v>
          </cell>
          <cell r="H116" t="str">
            <v>20097 HRN-ABW wk.45.xlsx</v>
          </cell>
          <cell r="I116" t="str">
            <v>C &amp; C Cable &amp; Communication B.V.</v>
          </cell>
          <cell r="J116"/>
          <cell r="K116" t="str">
            <v>HRN-ABW</v>
          </cell>
          <cell r="L116">
            <v>45589</v>
          </cell>
          <cell r="M116">
            <v>5</v>
          </cell>
          <cell r="N116">
            <v>6</v>
          </cell>
          <cell r="O116">
            <v>1</v>
          </cell>
          <cell r="P116">
            <v>63</v>
          </cell>
          <cell r="Q116" t="str">
            <v xml:space="preserve">PE100 </v>
          </cell>
          <cell r="R116">
            <v>236857.16899999999</v>
          </cell>
          <cell r="S116">
            <v>575359.26100000006</v>
          </cell>
          <cell r="T116">
            <v>2.3109999999999999</v>
          </cell>
          <cell r="U116">
            <v>236854.69099999999</v>
          </cell>
          <cell r="V116">
            <v>575366.179</v>
          </cell>
          <cell r="W116">
            <v>2.367</v>
          </cell>
          <cell r="X116">
            <v>5.600000000000005E-2</v>
          </cell>
          <cell r="Y116">
            <v>2.339</v>
          </cell>
          <cell r="Z116">
            <v>7.3484153393285654</v>
          </cell>
          <cell r="AA116" t="str">
            <v>236857.169,575359.261</v>
          </cell>
          <cell r="AB116" t="str">
            <v>236854.691,575366.179</v>
          </cell>
          <cell r="AC116">
            <v>8.3072371858154064</v>
          </cell>
          <cell r="AD116">
            <v>0.88457993614001684</v>
          </cell>
          <cell r="AE116">
            <v>0.71</v>
          </cell>
          <cell r="AF116">
            <v>65.150000000000006</v>
          </cell>
          <cell r="AG116">
            <v>2.8987794603804069</v>
          </cell>
          <cell r="AH116">
            <v>55.788864733010442</v>
          </cell>
          <cell r="AI116">
            <v>4.1348565969838562</v>
          </cell>
          <cell r="AJ116">
            <v>2.1887794603804061</v>
          </cell>
          <cell r="AK116">
            <v>56.561327341336884</v>
          </cell>
          <cell r="AL116">
            <v>4.1723805888315502</v>
          </cell>
          <cell r="AM116">
            <v>8.3072371858154064</v>
          </cell>
          <cell r="AN116">
            <v>0.88457993614001684</v>
          </cell>
          <cell r="AO116" t="e">
            <v>#REF!</v>
          </cell>
          <cell r="AP116" t="e">
            <v>#REF!</v>
          </cell>
          <cell r="AQ116" t="e">
            <v>#REF!</v>
          </cell>
          <cell r="AR116" t="e">
            <v>#REF!</v>
          </cell>
          <cell r="AS116" t="e">
            <v>#REF!</v>
          </cell>
          <cell r="AT116" t="e">
            <v>#REF!</v>
          </cell>
          <cell r="AU116" t="e">
            <v>#REF!</v>
          </cell>
          <cell r="AV116" t="e">
            <v>#REF!</v>
          </cell>
          <cell r="AW116">
            <v>0.88457993614001684</v>
          </cell>
          <cell r="AX116">
            <v>0.88457993614001684</v>
          </cell>
          <cell r="AY116">
            <v>0.88457993614001684</v>
          </cell>
          <cell r="AZ116" t="e">
            <v>#REF!</v>
          </cell>
          <cell r="BE116">
            <v>236855.93</v>
          </cell>
          <cell r="BF116">
            <v>575362.72</v>
          </cell>
        </row>
        <row r="117">
          <cell r="A117" t="str">
            <v>CC24RZ50-01</v>
          </cell>
          <cell r="B117" t="str">
            <v>CC24RZ50-01 BEU-AAH Beijerdstraat, Beusichem</v>
          </cell>
          <cell r="C117" t="str">
            <v>CC24RZ50</v>
          </cell>
          <cell r="D117">
            <v>1</v>
          </cell>
          <cell r="E117" t="str">
            <v>Beijerdstraat</v>
          </cell>
          <cell r="F117" t="str">
            <v>Beusichem</v>
          </cell>
          <cell r="G117">
            <v>1</v>
          </cell>
          <cell r="H117" t="str">
            <v>Boogzinker coordinaten - CC20101W50BEU-AAH.xlsx</v>
          </cell>
          <cell r="I117" t="str">
            <v>C &amp; C Cable &amp; Communication B.V.</v>
          </cell>
          <cell r="J117"/>
          <cell r="K117" t="str">
            <v>BEU-AAH</v>
          </cell>
          <cell r="L117">
            <v>45630</v>
          </cell>
          <cell r="M117">
            <v>7.5</v>
          </cell>
          <cell r="N117">
            <v>10</v>
          </cell>
          <cell r="O117">
            <v>1</v>
          </cell>
          <cell r="P117">
            <v>63</v>
          </cell>
          <cell r="Q117" t="str">
            <v xml:space="preserve">PE100 </v>
          </cell>
          <cell r="R117">
            <v>148133.53</v>
          </cell>
          <cell r="S117">
            <v>440125.49699999997</v>
          </cell>
          <cell r="T117">
            <v>2.8130000000000002</v>
          </cell>
          <cell r="U117">
            <v>148138.58799999999</v>
          </cell>
          <cell r="V117">
            <v>440117.91600000003</v>
          </cell>
          <cell r="W117">
            <v>2.657</v>
          </cell>
          <cell r="X117">
            <v>-0.15600000000000014</v>
          </cell>
          <cell r="Y117">
            <v>2.7350000000000003</v>
          </cell>
          <cell r="Z117">
            <v>9.1134474815571807</v>
          </cell>
          <cell r="AA117" t="str">
            <v>148133.53,440125.497</v>
          </cell>
          <cell r="AB117" t="str">
            <v>148138.588,440117.916</v>
          </cell>
          <cell r="AC117">
            <v>8.8165743040895492</v>
          </cell>
          <cell r="AD117">
            <v>1.0336721687163604</v>
          </cell>
          <cell r="AE117">
            <v>0.71</v>
          </cell>
          <cell r="AF117">
            <v>45.27</v>
          </cell>
          <cell r="AG117">
            <v>2.2217491491908214</v>
          </cell>
          <cell r="AH117">
            <v>37.019233143762705</v>
          </cell>
          <cell r="AI117">
            <v>4.5156230741485883</v>
          </cell>
          <cell r="AJ117">
            <v>1.5117491491908215</v>
          </cell>
          <cell r="AK117">
            <v>34.991867707001589</v>
          </cell>
          <cell r="AL117">
            <v>4.3009512299409618</v>
          </cell>
          <cell r="AM117">
            <v>8.8165743040895492</v>
          </cell>
          <cell r="AN117">
            <v>1.0336721687163604</v>
          </cell>
          <cell r="AO117" t="e">
            <v>#REF!</v>
          </cell>
          <cell r="AP117" t="e">
            <v>#REF!</v>
          </cell>
          <cell r="AQ117" t="e">
            <v>#REF!</v>
          </cell>
          <cell r="AR117" t="e">
            <v>#REF!</v>
          </cell>
          <cell r="AS117" t="e">
            <v>#REF!</v>
          </cell>
          <cell r="AT117" t="e">
            <v>#REF!</v>
          </cell>
          <cell r="AU117" t="e">
            <v>#REF!</v>
          </cell>
          <cell r="AV117" t="e">
            <v>#REF!</v>
          </cell>
          <cell r="AW117">
            <v>1.0336721687163604</v>
          </cell>
          <cell r="AX117">
            <v>1.0336721687163604</v>
          </cell>
          <cell r="AY117">
            <v>1.0336721687163604</v>
          </cell>
          <cell r="AZ117" t="e">
            <v>#REF!</v>
          </cell>
          <cell r="BE117">
            <v>148136.05900000001</v>
          </cell>
          <cell r="BF117">
            <v>440121.70649999997</v>
          </cell>
        </row>
        <row r="118">
          <cell r="A118" t="str">
            <v>CC24RZ50-02</v>
          </cell>
          <cell r="B118" t="str">
            <v>CC24RZ50-02 BEU-AAH Beijerdstraat, Beusichem</v>
          </cell>
          <cell r="C118" t="str">
            <v>CC24RZ50</v>
          </cell>
          <cell r="D118">
            <v>2</v>
          </cell>
          <cell r="E118" t="str">
            <v>Beijerdstraat</v>
          </cell>
          <cell r="F118" t="str">
            <v>Beusichem</v>
          </cell>
          <cell r="G118">
            <v>2</v>
          </cell>
          <cell r="H118" t="str">
            <v>Boogzinker coordinaten - CC20101W50BEU-AAH.xlsx</v>
          </cell>
          <cell r="I118" t="str">
            <v>C &amp; C Cable &amp; Communication B.V.</v>
          </cell>
          <cell r="J118"/>
          <cell r="K118" t="str">
            <v>BEU-AAH</v>
          </cell>
          <cell r="L118">
            <v>45632</v>
          </cell>
          <cell r="M118">
            <v>7.5</v>
          </cell>
          <cell r="N118">
            <v>9</v>
          </cell>
          <cell r="O118">
            <v>1</v>
          </cell>
          <cell r="P118">
            <v>63</v>
          </cell>
          <cell r="Q118" t="str">
            <v xml:space="preserve">PE100 </v>
          </cell>
          <cell r="R118">
            <v>148185.59</v>
          </cell>
          <cell r="S118">
            <v>440159.07299999997</v>
          </cell>
          <cell r="T118">
            <v>2.903</v>
          </cell>
          <cell r="U118">
            <v>148190.06400000001</v>
          </cell>
          <cell r="V118">
            <v>440152.67</v>
          </cell>
          <cell r="W118">
            <v>2.891</v>
          </cell>
          <cell r="X118">
            <v>-1.2000000000000011E-2</v>
          </cell>
          <cell r="Y118">
            <v>2.8970000000000002</v>
          </cell>
          <cell r="Z118">
            <v>7.8112153343788071</v>
          </cell>
          <cell r="AA118" t="str">
            <v>148185.59,440159.073</v>
          </cell>
          <cell r="AB118" t="str">
            <v>148190.064,440152.67</v>
          </cell>
          <cell r="AC118">
            <v>10.170343257249296</v>
          </cell>
          <cell r="AD118">
            <v>0.76803851520066135</v>
          </cell>
          <cell r="AE118">
            <v>0.71</v>
          </cell>
          <cell r="AF118">
            <v>50.24</v>
          </cell>
          <cell r="AG118">
            <v>2.7032011465900645</v>
          </cell>
          <cell r="AH118">
            <v>42.756976848292624</v>
          </cell>
          <cell r="AI118">
            <v>5.0916761864913411</v>
          </cell>
          <cell r="AJ118">
            <v>1.9932011465900645</v>
          </cell>
          <cell r="AK118">
            <v>42.621770195438302</v>
          </cell>
          <cell r="AL118">
            <v>5.0786670707579553</v>
          </cell>
          <cell r="AM118">
            <v>10.170343257249296</v>
          </cell>
          <cell r="AN118">
            <v>0.76803851520066135</v>
          </cell>
          <cell r="AO118" t="e">
            <v>#REF!</v>
          </cell>
          <cell r="AP118" t="e">
            <v>#REF!</v>
          </cell>
          <cell r="AQ118" t="e">
            <v>#REF!</v>
          </cell>
          <cell r="AR118" t="e">
            <v>#REF!</v>
          </cell>
          <cell r="AS118" t="e">
            <v>#REF!</v>
          </cell>
          <cell r="AT118" t="e">
            <v>#REF!</v>
          </cell>
          <cell r="AU118" t="e">
            <v>#REF!</v>
          </cell>
          <cell r="AV118" t="e">
            <v>#REF!</v>
          </cell>
          <cell r="AW118">
            <v>0.76803851520066135</v>
          </cell>
          <cell r="AX118">
            <v>0.76803851520066135</v>
          </cell>
          <cell r="AY118">
            <v>0.76803851520066135</v>
          </cell>
          <cell r="AZ118" t="e">
            <v>#REF!</v>
          </cell>
          <cell r="BE118">
            <v>148187.82699999999</v>
          </cell>
          <cell r="BF118">
            <v>440155.87150000001</v>
          </cell>
        </row>
        <row r="119">
          <cell r="A119" t="str">
            <v>CC24RZ50-03</v>
          </cell>
          <cell r="B119" t="str">
            <v>CC24RZ50-03 BEU-AAH Ganssteeg, Beusichem</v>
          </cell>
          <cell r="C119" t="str">
            <v>CC24RZ50</v>
          </cell>
          <cell r="D119">
            <v>3</v>
          </cell>
          <cell r="E119" t="str">
            <v>Ganssteeg</v>
          </cell>
          <cell r="F119" t="str">
            <v>Beusichem</v>
          </cell>
          <cell r="G119" t="str">
            <v>2a</v>
          </cell>
          <cell r="H119" t="str">
            <v>Boogzinker coordinaten - CC20101W50BEU-AAH.xlsx</v>
          </cell>
          <cell r="I119" t="str">
            <v>C &amp; C Cable &amp; Communication B.V.</v>
          </cell>
          <cell r="J119"/>
          <cell r="K119" t="str">
            <v>BEU-AAH</v>
          </cell>
          <cell r="L119">
            <v>45631</v>
          </cell>
          <cell r="M119">
            <v>5</v>
          </cell>
          <cell r="N119">
            <v>3</v>
          </cell>
          <cell r="O119">
            <v>1</v>
          </cell>
          <cell r="P119">
            <v>63</v>
          </cell>
          <cell r="Q119" t="str">
            <v xml:space="preserve">PE100 </v>
          </cell>
          <cell r="R119">
            <v>148491.05499999999</v>
          </cell>
          <cell r="S119">
            <v>439850.49400000001</v>
          </cell>
          <cell r="T119">
            <v>2.8820000000000001</v>
          </cell>
          <cell r="U119">
            <v>148483.87299999999</v>
          </cell>
          <cell r="V119">
            <v>439856.22899999999</v>
          </cell>
          <cell r="W119">
            <v>2.7309999999999999</v>
          </cell>
          <cell r="X119">
            <v>-0.15100000000000025</v>
          </cell>
          <cell r="Y119">
            <v>2.8064999999999998</v>
          </cell>
          <cell r="Z119">
            <v>9.1908296143411228</v>
          </cell>
          <cell r="AA119" t="str">
            <v>148491.055,439850.494</v>
          </cell>
          <cell r="AB119" t="str">
            <v>148483.873,439856.229</v>
          </cell>
          <cell r="AC119">
            <v>9.4394438734401156</v>
          </cell>
          <cell r="AD119">
            <v>0.97366219213416572</v>
          </cell>
          <cell r="AE119">
            <v>0.71</v>
          </cell>
          <cell r="AF119">
            <v>80.06</v>
          </cell>
          <cell r="AG119">
            <v>4.1369160281259676</v>
          </cell>
          <cell r="AH119">
            <v>71.662318423271472</v>
          </cell>
          <cell r="AI119">
            <v>4.7460938483591972</v>
          </cell>
          <cell r="AJ119">
            <v>3.4269160281259676</v>
          </cell>
          <cell r="AK119">
            <v>69.829387381026464</v>
          </cell>
          <cell r="AL119">
            <v>4.6933500250809184</v>
          </cell>
          <cell r="AM119">
            <v>9.4394438734401156</v>
          </cell>
          <cell r="AN119">
            <v>0.97366219213416572</v>
          </cell>
          <cell r="AO119" t="e">
            <v>#REF!</v>
          </cell>
          <cell r="AP119" t="e">
            <v>#REF!</v>
          </cell>
          <cell r="AQ119" t="e">
            <v>#REF!</v>
          </cell>
          <cell r="AR119" t="e">
            <v>#REF!</v>
          </cell>
          <cell r="AS119" t="e">
            <v>#REF!</v>
          </cell>
          <cell r="AT119" t="e">
            <v>#REF!</v>
          </cell>
          <cell r="AU119" t="e">
            <v>#REF!</v>
          </cell>
          <cell r="AV119" t="e">
            <v>#REF!</v>
          </cell>
          <cell r="AW119">
            <v>0.97366219213416572</v>
          </cell>
          <cell r="AX119">
            <v>0.97366219213416572</v>
          </cell>
          <cell r="AY119">
            <v>0.97366219213416572</v>
          </cell>
          <cell r="AZ119" t="e">
            <v>#REF!</v>
          </cell>
          <cell r="BE119">
            <v>148487.46399999998</v>
          </cell>
          <cell r="BF119">
            <v>439853.3615</v>
          </cell>
        </row>
        <row r="120">
          <cell r="A120" t="str">
            <v>CC24RZ50-04</v>
          </cell>
          <cell r="B120" t="str">
            <v>CC24RZ50-04 BEU-AAH De Wielstraat, Beusichem</v>
          </cell>
          <cell r="C120" t="str">
            <v>CC24RZ50</v>
          </cell>
          <cell r="D120">
            <v>4</v>
          </cell>
          <cell r="E120" t="str">
            <v>De Wielstraat</v>
          </cell>
          <cell r="F120" t="str">
            <v>Beusichem</v>
          </cell>
          <cell r="G120">
            <v>1</v>
          </cell>
          <cell r="H120" t="str">
            <v>Boogzinker coordinaten - CC20101W50BEU-AAH.xlsx</v>
          </cell>
          <cell r="I120" t="str">
            <v>C &amp; C Cable &amp; Communication B.V.</v>
          </cell>
          <cell r="J120"/>
          <cell r="K120" t="str">
            <v>BEU-AAH</v>
          </cell>
          <cell r="L120">
            <v>45635</v>
          </cell>
          <cell r="M120">
            <v>5</v>
          </cell>
          <cell r="N120">
            <v>6</v>
          </cell>
          <cell r="O120">
            <v>1</v>
          </cell>
          <cell r="P120">
            <v>63</v>
          </cell>
          <cell r="Q120" t="str">
            <v xml:space="preserve">PE100 </v>
          </cell>
          <cell r="R120">
            <v>148666.20499999999</v>
          </cell>
          <cell r="S120">
            <v>440113.74099999998</v>
          </cell>
          <cell r="T120">
            <v>2.899</v>
          </cell>
          <cell r="U120">
            <v>148660.54699999999</v>
          </cell>
          <cell r="V120">
            <v>440118.90100000001</v>
          </cell>
          <cell r="W120">
            <v>2.875</v>
          </cell>
          <cell r="X120">
            <v>-2.4000000000000021E-2</v>
          </cell>
          <cell r="Y120">
            <v>2.887</v>
          </cell>
          <cell r="Z120">
            <v>7.6575821249457698</v>
          </cell>
          <cell r="AA120" t="str">
            <v>148666.205,440113.741</v>
          </cell>
          <cell r="AB120" t="str">
            <v>148660.547,440118.901</v>
          </cell>
          <cell r="AC120">
            <v>8.2532937388762981</v>
          </cell>
          <cell r="AD120">
            <v>0.92782134832733631</v>
          </cell>
          <cell r="AE120">
            <v>0.71</v>
          </cell>
          <cell r="AF120">
            <v>65.150000000000006</v>
          </cell>
          <cell r="AG120">
            <v>2.8987794603804069</v>
          </cell>
          <cell r="AH120">
            <v>55.788864733010442</v>
          </cell>
          <cell r="AI120">
            <v>4.1348565969838562</v>
          </cell>
          <cell r="AJ120">
            <v>2.1887794603804061</v>
          </cell>
          <cell r="AK120">
            <v>55.455641446436836</v>
          </cell>
          <cell r="AL120">
            <v>4.118437141892441</v>
          </cell>
          <cell r="AM120">
            <v>8.2532937388762981</v>
          </cell>
          <cell r="AN120">
            <v>0.92782134832733631</v>
          </cell>
          <cell r="AO120" t="e">
            <v>#REF!</v>
          </cell>
          <cell r="AP120" t="e">
            <v>#REF!</v>
          </cell>
          <cell r="AQ120" t="e">
            <v>#REF!</v>
          </cell>
          <cell r="AR120" t="e">
            <v>#REF!</v>
          </cell>
          <cell r="AS120" t="e">
            <v>#REF!</v>
          </cell>
          <cell r="AT120" t="e">
            <v>#REF!</v>
          </cell>
          <cell r="AU120" t="e">
            <v>#REF!</v>
          </cell>
          <cell r="AV120" t="e">
            <v>#REF!</v>
          </cell>
          <cell r="AW120">
            <v>0.92782134832733631</v>
          </cell>
          <cell r="AX120">
            <v>0.92782134832733631</v>
          </cell>
          <cell r="AY120">
            <v>0.92782134832733631</v>
          </cell>
          <cell r="AZ120" t="e">
            <v>#REF!</v>
          </cell>
          <cell r="BE120">
            <v>148663.37599999999</v>
          </cell>
          <cell r="BF120">
            <v>440116.321</v>
          </cell>
        </row>
        <row r="121">
          <cell r="A121" t="str">
            <v>CC24RZ50-05</v>
          </cell>
          <cell r="B121" t="str">
            <v>CC24RZ50-05 BEU-AAH Beneden Molenweg, Beusichem</v>
          </cell>
          <cell r="C121" t="str">
            <v>CC24RZ50</v>
          </cell>
          <cell r="D121">
            <v>5</v>
          </cell>
          <cell r="E121" t="str">
            <v>Beneden Molenweg</v>
          </cell>
          <cell r="F121" t="str">
            <v>Beusichem</v>
          </cell>
          <cell r="G121" t="str">
            <v>5a</v>
          </cell>
          <cell r="H121" t="str">
            <v>Boogzinker coordinaten - CC20101W50BEU-AAH.xlsx</v>
          </cell>
          <cell r="I121" t="str">
            <v>C &amp; C Cable &amp; Communication B.V.</v>
          </cell>
          <cell r="J121"/>
          <cell r="K121" t="str">
            <v>BEU-AAH</v>
          </cell>
          <cell r="L121">
            <v>45625</v>
          </cell>
          <cell r="M121">
            <v>5</v>
          </cell>
          <cell r="N121">
            <v>8</v>
          </cell>
          <cell r="O121">
            <v>1</v>
          </cell>
          <cell r="P121">
            <v>63</v>
          </cell>
          <cell r="Q121" t="str">
            <v xml:space="preserve">PE100 </v>
          </cell>
          <cell r="R121">
            <v>148932.10200000001</v>
          </cell>
          <cell r="S121">
            <v>439937.81800000003</v>
          </cell>
          <cell r="T121">
            <v>3.3879999999999999</v>
          </cell>
          <cell r="U121">
            <v>148934.807</v>
          </cell>
          <cell r="V121">
            <v>439944.13500000001</v>
          </cell>
          <cell r="W121">
            <v>3.2909999999999999</v>
          </cell>
          <cell r="X121">
            <v>-9.6999999999999975E-2</v>
          </cell>
          <cell r="Y121">
            <v>3.3395000000000001</v>
          </cell>
          <cell r="Z121">
            <v>6.8717911784111658</v>
          </cell>
          <cell r="AA121" t="str">
            <v>148932.102,439937.818</v>
          </cell>
          <cell r="AB121" t="str">
            <v>148934.807,439944.135</v>
          </cell>
          <cell r="AC121">
            <v>6.9146868993544377</v>
          </cell>
          <cell r="AD121">
            <v>0.99379643336457124</v>
          </cell>
          <cell r="AE121">
            <v>0.71</v>
          </cell>
          <cell r="AF121">
            <v>55.21</v>
          </cell>
          <cell r="AG121">
            <v>2.1471487929040034</v>
          </cell>
          <cell r="AH121">
            <v>44.555576114520797</v>
          </cell>
          <cell r="AI121">
            <v>3.5080038876966197</v>
          </cell>
          <cell r="AJ121">
            <v>1.4371487929040034</v>
          </cell>
          <cell r="AK121">
            <v>42.948178361136826</v>
          </cell>
          <cell r="AL121">
            <v>3.4066830116578179</v>
          </cell>
          <cell r="AM121">
            <v>6.9146868993544377</v>
          </cell>
          <cell r="AN121">
            <v>0.99379643336457124</v>
          </cell>
          <cell r="AO121" t="e">
            <v>#REF!</v>
          </cell>
          <cell r="AP121" t="e">
            <v>#REF!</v>
          </cell>
          <cell r="AQ121" t="e">
            <v>#REF!</v>
          </cell>
          <cell r="AR121" t="e">
            <v>#REF!</v>
          </cell>
          <cell r="AS121" t="e">
            <v>#REF!</v>
          </cell>
          <cell r="AT121" t="e">
            <v>#REF!</v>
          </cell>
          <cell r="AU121" t="e">
            <v>#REF!</v>
          </cell>
          <cell r="AV121" t="e">
            <v>#REF!</v>
          </cell>
          <cell r="AW121">
            <v>0.99379643336457124</v>
          </cell>
          <cell r="AX121">
            <v>0.99379643336457124</v>
          </cell>
          <cell r="AY121">
            <v>0.99379643336457124</v>
          </cell>
          <cell r="AZ121" t="e">
            <v>#REF!</v>
          </cell>
          <cell r="BE121">
            <v>148933.45449999999</v>
          </cell>
          <cell r="BF121">
            <v>439940.97649999999</v>
          </cell>
        </row>
        <row r="122">
          <cell r="A122" t="str">
            <v>CC24RZ50-06</v>
          </cell>
          <cell r="B122" t="str">
            <v>CC24RZ50-06 BEU-AAH Markt, Beusichem</v>
          </cell>
          <cell r="C122" t="str">
            <v>CC24RZ50</v>
          </cell>
          <cell r="D122">
            <v>6</v>
          </cell>
          <cell r="E122" t="str">
            <v>Markt</v>
          </cell>
          <cell r="F122" t="str">
            <v>Beusichem</v>
          </cell>
          <cell r="G122">
            <v>3</v>
          </cell>
          <cell r="H122" t="str">
            <v>Boogzinker coordinaten - CC20101W50BEU-AAH.xlsx</v>
          </cell>
          <cell r="I122" t="str">
            <v>C &amp; C Cable &amp; Communication B.V.</v>
          </cell>
          <cell r="J122"/>
          <cell r="K122" t="str">
            <v>BEU-AAH</v>
          </cell>
          <cell r="L122">
            <v>45628</v>
          </cell>
          <cell r="M122">
            <v>5</v>
          </cell>
          <cell r="N122">
            <v>8</v>
          </cell>
          <cell r="O122">
            <v>1</v>
          </cell>
          <cell r="P122">
            <v>63</v>
          </cell>
          <cell r="Q122" t="str">
            <v xml:space="preserve">PE100 </v>
          </cell>
          <cell r="R122">
            <v>148518.19</v>
          </cell>
          <cell r="S122">
            <v>439956.00699999998</v>
          </cell>
          <cell r="T122">
            <v>3.794</v>
          </cell>
          <cell r="U122">
            <v>148524.155</v>
          </cell>
          <cell r="V122">
            <v>439960.31099999999</v>
          </cell>
          <cell r="W122">
            <v>3.879</v>
          </cell>
          <cell r="X122">
            <v>8.4999999999999964E-2</v>
          </cell>
          <cell r="Y122">
            <v>3.8365</v>
          </cell>
          <cell r="Z122">
            <v>7.3556536759142217</v>
          </cell>
          <cell r="AA122" t="str">
            <v>148518.19,439956.007</v>
          </cell>
          <cell r="AB122" t="str">
            <v>148524.155,439960.311</v>
          </cell>
          <cell r="AC122">
            <v>7.1002943800289033</v>
          </cell>
          <cell r="AD122">
            <v>1.0359646068483541</v>
          </cell>
          <cell r="AE122">
            <v>0.71</v>
          </cell>
          <cell r="AF122">
            <v>55.21</v>
          </cell>
          <cell r="AG122">
            <v>2.1471487929040034</v>
          </cell>
          <cell r="AH122">
            <v>44.555576114520797</v>
          </cell>
          <cell r="AI122">
            <v>3.5080038876966197</v>
          </cell>
          <cell r="AJ122">
            <v>1.4371487929040034</v>
          </cell>
          <cell r="AK122">
            <v>45.927324486259756</v>
          </cell>
          <cell r="AL122">
            <v>3.5922904923322836</v>
          </cell>
          <cell r="AM122">
            <v>7.1002943800289033</v>
          </cell>
          <cell r="AN122">
            <v>1.0359646068483541</v>
          </cell>
          <cell r="AO122" t="e">
            <v>#REF!</v>
          </cell>
          <cell r="AP122" t="e">
            <v>#REF!</v>
          </cell>
          <cell r="AQ122" t="e">
            <v>#REF!</v>
          </cell>
          <cell r="AR122" t="e">
            <v>#REF!</v>
          </cell>
          <cell r="AS122" t="e">
            <v>#REF!</v>
          </cell>
          <cell r="AT122" t="e">
            <v>#REF!</v>
          </cell>
          <cell r="AU122" t="e">
            <v>#REF!</v>
          </cell>
          <cell r="AV122" t="e">
            <v>#REF!</v>
          </cell>
          <cell r="AW122">
            <v>1.0359646068483541</v>
          </cell>
          <cell r="AX122">
            <v>1.0359646068483541</v>
          </cell>
          <cell r="AY122">
            <v>1.0359646068483541</v>
          </cell>
          <cell r="AZ122" t="e">
            <v>#REF!</v>
          </cell>
          <cell r="BE122">
            <v>148521.17249999999</v>
          </cell>
          <cell r="BF122">
            <v>439958.15899999999</v>
          </cell>
        </row>
        <row r="123">
          <cell r="A123" t="str">
            <v>CC24RZ50-07</v>
          </cell>
          <cell r="B123" t="str">
            <v>CC24RZ50-07 BEU-AAH Burgemeester van Mourikstraat, Beusichem</v>
          </cell>
          <cell r="C123" t="str">
            <v>CC24RZ50</v>
          </cell>
          <cell r="D123">
            <v>7</v>
          </cell>
          <cell r="E123" t="str">
            <v>Burgemeester van Mourikstraat</v>
          </cell>
          <cell r="F123" t="str">
            <v>Beusichem</v>
          </cell>
          <cell r="G123"/>
          <cell r="H123" t="str">
            <v>Boogzinker coordinaten - CC20101W50BEU-AAH.xlsx</v>
          </cell>
          <cell r="I123" t="str">
            <v>C &amp; C Cable &amp; Communication B.V.</v>
          </cell>
          <cell r="J123"/>
          <cell r="K123" t="str">
            <v>BEU-AAH</v>
          </cell>
          <cell r="L123">
            <v>45630</v>
          </cell>
          <cell r="M123">
            <v>7.5</v>
          </cell>
          <cell r="N123">
            <v>10</v>
          </cell>
          <cell r="O123">
            <v>1</v>
          </cell>
          <cell r="P123">
            <v>63</v>
          </cell>
          <cell r="Q123" t="str">
            <v xml:space="preserve">PE100 </v>
          </cell>
          <cell r="R123">
            <v>148327.95600000001</v>
          </cell>
          <cell r="S123">
            <v>440086.13799999998</v>
          </cell>
          <cell r="T123">
            <v>3.4809999999999999</v>
          </cell>
          <cell r="U123">
            <v>148320.94</v>
          </cell>
          <cell r="V123">
            <v>440090.799</v>
          </cell>
          <cell r="W123">
            <v>3.4039999999999999</v>
          </cell>
          <cell r="X123">
            <v>-7.6999999999999957E-2</v>
          </cell>
          <cell r="Y123">
            <v>3.4424999999999999</v>
          </cell>
          <cell r="Z123">
            <v>8.4231334430988181</v>
          </cell>
          <cell r="AA123" t="str">
            <v>148327.956,440086.138</v>
          </cell>
          <cell r="AB123" t="str">
            <v>148320.94,440090.799</v>
          </cell>
          <cell r="AC123">
            <v>8.9272817323811733</v>
          </cell>
          <cell r="AD123">
            <v>0.94352723433677455</v>
          </cell>
          <cell r="AE123">
            <v>0.71</v>
          </cell>
          <cell r="AF123">
            <v>45.27</v>
          </cell>
          <cell r="AG123">
            <v>2.2217491491908214</v>
          </cell>
          <cell r="AH123">
            <v>37.019233143762705</v>
          </cell>
          <cell r="AI123">
            <v>4.5156230741485883</v>
          </cell>
          <cell r="AJ123">
            <v>1.5117491491908215</v>
          </cell>
          <cell r="AK123">
            <v>36.030877280204109</v>
          </cell>
          <cell r="AL123">
            <v>4.411658658232585</v>
          </cell>
          <cell r="AM123">
            <v>8.9272817323811733</v>
          </cell>
          <cell r="AN123">
            <v>0.94352723433677455</v>
          </cell>
          <cell r="AO123" t="e">
            <v>#REF!</v>
          </cell>
          <cell r="AP123" t="e">
            <v>#REF!</v>
          </cell>
          <cell r="AQ123" t="e">
            <v>#REF!</v>
          </cell>
          <cell r="AR123" t="e">
            <v>#REF!</v>
          </cell>
          <cell r="AS123" t="e">
            <v>#REF!</v>
          </cell>
          <cell r="AT123" t="e">
            <v>#REF!</v>
          </cell>
          <cell r="AU123" t="e">
            <v>#REF!</v>
          </cell>
          <cell r="AV123" t="e">
            <v>#REF!</v>
          </cell>
          <cell r="AW123">
            <v>0.94352723433677455</v>
          </cell>
          <cell r="AX123">
            <v>0.94352723433677455</v>
          </cell>
          <cell r="AY123">
            <v>0.94352723433677455</v>
          </cell>
          <cell r="AZ123" t="e">
            <v>#REF!</v>
          </cell>
          <cell r="BE123">
            <v>148324.448</v>
          </cell>
          <cell r="BF123">
            <v>440088.46849999996</v>
          </cell>
        </row>
        <row r="124">
          <cell r="A124" t="str">
            <v>CC24RZ50-08</v>
          </cell>
          <cell r="B124" t="str">
            <v>CC24RZ50-08 BEU-AAH Burgemeester van Mourikstraat, Beusichem</v>
          </cell>
          <cell r="C124" t="str">
            <v>CC24RZ50</v>
          </cell>
          <cell r="D124">
            <v>8</v>
          </cell>
          <cell r="E124" t="str">
            <v>Burgemeester van Mourikstraat</v>
          </cell>
          <cell r="F124" t="str">
            <v>Beusichem</v>
          </cell>
          <cell r="G124">
            <v>1</v>
          </cell>
          <cell r="H124" t="str">
            <v>Boogzinker coordinaten - CC20101W50BEU-AAH.xlsx</v>
          </cell>
          <cell r="I124" t="str">
            <v>C &amp; C Cable &amp; Communication B.V.</v>
          </cell>
          <cell r="J124"/>
          <cell r="K124" t="str">
            <v>BEU-AAH</v>
          </cell>
          <cell r="L124">
            <v>45629</v>
          </cell>
          <cell r="M124">
            <v>7.5</v>
          </cell>
          <cell r="N124">
            <v>10</v>
          </cell>
          <cell r="O124">
            <v>1</v>
          </cell>
          <cell r="P124">
            <v>63</v>
          </cell>
          <cell r="Q124" t="str">
            <v xml:space="preserve">PE100 </v>
          </cell>
          <cell r="R124">
            <v>148300.38500000001</v>
          </cell>
          <cell r="S124">
            <v>440047.44</v>
          </cell>
          <cell r="T124">
            <v>3.6150000000000002</v>
          </cell>
          <cell r="U124">
            <v>148291.63099999999</v>
          </cell>
          <cell r="V124">
            <v>440048.58199999999</v>
          </cell>
          <cell r="W124">
            <v>2.95</v>
          </cell>
          <cell r="X124">
            <v>-0.66500000000000004</v>
          </cell>
          <cell r="Y124">
            <v>3.2825000000000002</v>
          </cell>
          <cell r="Z124">
            <v>8.8281753494282178</v>
          </cell>
          <cell r="AA124" t="str">
            <v>148300.385,440047.44</v>
          </cell>
          <cell r="AB124" t="str">
            <v>148291.631,440048.582</v>
          </cell>
          <cell r="AC124">
            <v>7.9774510762606123</v>
          </cell>
          <cell r="AD124">
            <v>1.1066411144405761</v>
          </cell>
          <cell r="AE124">
            <v>0.71</v>
          </cell>
          <cell r="AF124">
            <v>45.27</v>
          </cell>
          <cell r="AG124">
            <v>2.2217491491908214</v>
          </cell>
          <cell r="AH124">
            <v>37.019233143762705</v>
          </cell>
          <cell r="AI124">
            <v>4.5156230741485883</v>
          </cell>
          <cell r="AJ124">
            <v>1.5117491491908215</v>
          </cell>
          <cell r="AK124">
            <v>27.488919657802899</v>
          </cell>
          <cell r="AL124">
            <v>3.4618280021120245</v>
          </cell>
          <cell r="AM124">
            <v>7.9774510762606123</v>
          </cell>
          <cell r="AN124">
            <v>1.1066411144405761</v>
          </cell>
          <cell r="AO124" t="e">
            <v>#REF!</v>
          </cell>
          <cell r="AP124" t="e">
            <v>#REF!</v>
          </cell>
          <cell r="AQ124" t="e">
            <v>#REF!</v>
          </cell>
          <cell r="AR124" t="e">
            <v>#REF!</v>
          </cell>
          <cell r="AS124" t="e">
            <v>#REF!</v>
          </cell>
          <cell r="AT124" t="e">
            <v>#REF!</v>
          </cell>
          <cell r="AU124" t="e">
            <v>#REF!</v>
          </cell>
          <cell r="AV124" t="e">
            <v>#REF!</v>
          </cell>
          <cell r="AW124">
            <v>1.1066411144405761</v>
          </cell>
          <cell r="AX124">
            <v>1.1066411144405761</v>
          </cell>
          <cell r="AY124">
            <v>1.1066411144405761</v>
          </cell>
          <cell r="AZ124" t="e">
            <v>#REF!</v>
          </cell>
          <cell r="BE124">
            <v>148296.008</v>
          </cell>
          <cell r="BF124">
            <v>440048.011</v>
          </cell>
        </row>
        <row r="125">
          <cell r="A125" t="str">
            <v>CC24RZ50-09</v>
          </cell>
          <cell r="B125" t="str">
            <v>CC24RZ50-09 BEU-AAH Burgemeester van Mourikstraat, Beusichem</v>
          </cell>
          <cell r="C125" t="str">
            <v>CC24RZ50</v>
          </cell>
          <cell r="D125">
            <v>9</v>
          </cell>
          <cell r="E125" t="str">
            <v>Burgemeester van Mourikstraat</v>
          </cell>
          <cell r="F125" t="str">
            <v>Beusichem</v>
          </cell>
          <cell r="G125">
            <v>16</v>
          </cell>
          <cell r="H125" t="str">
            <v>Boogzinker coordinaten - CC20101W50BEU-AAH.xlsx</v>
          </cell>
          <cell r="I125" t="str">
            <v>C &amp; C Cable &amp; Communication B.V.</v>
          </cell>
          <cell r="J125"/>
          <cell r="K125" t="str">
            <v>BEU-AAH</v>
          </cell>
          <cell r="L125">
            <v>45629</v>
          </cell>
          <cell r="M125">
            <v>5</v>
          </cell>
          <cell r="N125">
            <v>8</v>
          </cell>
          <cell r="O125">
            <v>1</v>
          </cell>
          <cell r="P125">
            <v>63</v>
          </cell>
          <cell r="Q125" t="str">
            <v xml:space="preserve">PE100 </v>
          </cell>
          <cell r="R125">
            <v>148265.038</v>
          </cell>
          <cell r="S125">
            <v>439899.64199999999</v>
          </cell>
          <cell r="T125">
            <v>2.96</v>
          </cell>
          <cell r="U125">
            <v>148258.28700000001</v>
          </cell>
          <cell r="V125">
            <v>439902.18599999999</v>
          </cell>
          <cell r="W125">
            <v>2.996</v>
          </cell>
          <cell r="X125">
            <v>3.6000000000000032E-2</v>
          </cell>
          <cell r="Y125">
            <v>2.9779999999999998</v>
          </cell>
          <cell r="Z125">
            <v>7.2144256181505506</v>
          </cell>
          <cell r="AA125" t="str">
            <v>148265.038,439899.642</v>
          </cell>
          <cell r="AB125" t="str">
            <v>148258.287,439902.186</v>
          </cell>
          <cell r="AC125">
            <v>7.0521992213380251</v>
          </cell>
          <cell r="AD125">
            <v>1.0230036605207737</v>
          </cell>
          <cell r="AE125">
            <v>0.71</v>
          </cell>
          <cell r="AF125">
            <v>55.21</v>
          </cell>
          <cell r="AG125">
            <v>2.1471487929040034</v>
          </cell>
          <cell r="AH125">
            <v>44.555576114520797</v>
          </cell>
          <cell r="AI125">
            <v>3.5080038876966197</v>
          </cell>
          <cell r="AJ125">
            <v>1.4371487929040034</v>
          </cell>
          <cell r="AK125">
            <v>45.140536941985644</v>
          </cell>
          <cell r="AL125">
            <v>3.5441953336414049</v>
          </cell>
          <cell r="AM125">
            <v>7.0521992213380251</v>
          </cell>
          <cell r="AN125">
            <v>1.0230036605207737</v>
          </cell>
          <cell r="AO125" t="e">
            <v>#REF!</v>
          </cell>
          <cell r="AP125" t="e">
            <v>#REF!</v>
          </cell>
          <cell r="AQ125" t="e">
            <v>#REF!</v>
          </cell>
          <cell r="AR125" t="e">
            <v>#REF!</v>
          </cell>
          <cell r="AS125" t="e">
            <v>#REF!</v>
          </cell>
          <cell r="AT125" t="e">
            <v>#REF!</v>
          </cell>
          <cell r="AU125" t="e">
            <v>#REF!</v>
          </cell>
          <cell r="AV125" t="e">
            <v>#REF!</v>
          </cell>
          <cell r="AW125">
            <v>1.0230036605207737</v>
          </cell>
          <cell r="AX125">
            <v>1.0230036605207737</v>
          </cell>
          <cell r="AY125">
            <v>1.0230036605207737</v>
          </cell>
          <cell r="AZ125" t="e">
            <v>#REF!</v>
          </cell>
          <cell r="BE125">
            <v>148261.66250000001</v>
          </cell>
          <cell r="BF125">
            <v>439900.91399999999</v>
          </cell>
        </row>
        <row r="126">
          <cell r="A126" t="str">
            <v>CC24RZ50-10</v>
          </cell>
          <cell r="B126" t="str">
            <v>CC24RZ50-10 BEU-AAG Oranjestraat, Beusichem</v>
          </cell>
          <cell r="C126" t="str">
            <v>CC24RZ50</v>
          </cell>
          <cell r="D126">
            <v>10</v>
          </cell>
          <cell r="E126" t="str">
            <v>Oranjestraat</v>
          </cell>
          <cell r="F126" t="str">
            <v>Beusichem</v>
          </cell>
          <cell r="G126">
            <v>1</v>
          </cell>
          <cell r="H126" t="str">
            <v>Boogzinker coordinaten - CC20101W50BEU-AAG.xlsx</v>
          </cell>
          <cell r="I126" t="str">
            <v>C &amp; C Cable &amp; Communication B.V.</v>
          </cell>
          <cell r="J126"/>
          <cell r="K126" t="str">
            <v>BEU-AAG</v>
          </cell>
          <cell r="L126"/>
          <cell r="M126">
            <v>5</v>
          </cell>
          <cell r="N126">
            <v>9</v>
          </cell>
          <cell r="O126">
            <v>1</v>
          </cell>
          <cell r="P126">
            <v>63</v>
          </cell>
          <cell r="Q126" t="str">
            <v xml:space="preserve">PE100 </v>
          </cell>
          <cell r="R126">
            <v>148443.481</v>
          </cell>
          <cell r="S126">
            <v>440110.79800000001</v>
          </cell>
          <cell r="T126">
            <v>4.8339999999999996</v>
          </cell>
          <cell r="U126">
            <v>148447.171</v>
          </cell>
          <cell r="V126">
            <v>440115.22600000002</v>
          </cell>
          <cell r="W126">
            <v>4.5810000000000004</v>
          </cell>
          <cell r="X126">
            <v>-0.25299999999999923</v>
          </cell>
          <cell r="Y126">
            <v>4.7074999999999996</v>
          </cell>
          <cell r="Z126">
            <v>5.763964260831691</v>
          </cell>
          <cell r="AA126" t="str">
            <v>148443.481,440110.798</v>
          </cell>
          <cell r="AB126" t="str">
            <v>148447.171,440115.226</v>
          </cell>
          <cell r="AC126">
            <v>5.8916469378456178</v>
          </cell>
          <cell r="AD126">
            <v>0.97832818592815807</v>
          </cell>
          <cell r="AE126">
            <v>0.71</v>
          </cell>
          <cell r="AF126">
            <v>50.24</v>
          </cell>
          <cell r="AG126">
            <v>1.80213409772671</v>
          </cell>
          <cell r="AH126">
            <v>38.595159149554647</v>
          </cell>
          <cell r="AI126">
            <v>3.1190678238617648</v>
          </cell>
          <cell r="AJ126">
            <v>1.09213409772671</v>
          </cell>
          <cell r="AK126">
            <v>33.677372332789908</v>
          </cell>
          <cell r="AL126">
            <v>2.7725791139838529</v>
          </cell>
          <cell r="AM126">
            <v>5.8916469378456178</v>
          </cell>
          <cell r="AN126">
            <v>0.97832818592815807</v>
          </cell>
          <cell r="AO126" t="e">
            <v>#REF!</v>
          </cell>
          <cell r="AP126" t="e">
            <v>#REF!</v>
          </cell>
          <cell r="AQ126" t="e">
            <v>#REF!</v>
          </cell>
          <cell r="AR126" t="e">
            <v>#REF!</v>
          </cell>
          <cell r="AS126" t="e">
            <v>#REF!</v>
          </cell>
          <cell r="AT126" t="e">
            <v>#REF!</v>
          </cell>
          <cell r="AU126" t="e">
            <v>#REF!</v>
          </cell>
          <cell r="AV126" t="e">
            <v>#REF!</v>
          </cell>
          <cell r="AW126">
            <v>0.97832818592815807</v>
          </cell>
          <cell r="AX126">
            <v>0.97832818592815807</v>
          </cell>
          <cell r="AY126">
            <v>0.97832818592815807</v>
          </cell>
          <cell r="AZ126" t="e">
            <v>#REF!</v>
          </cell>
          <cell r="BE126">
            <v>148445.326</v>
          </cell>
          <cell r="BF126">
            <v>440113.01199999999</v>
          </cell>
        </row>
        <row r="127">
          <cell r="A127" t="str">
            <v>CC24RZ50-11</v>
          </cell>
          <cell r="B127" t="str">
            <v>CC24RZ50-11 BEU-AAG Oranjestraat, Beusichem</v>
          </cell>
          <cell r="C127" t="str">
            <v>CC24RZ50</v>
          </cell>
          <cell r="D127">
            <v>11</v>
          </cell>
          <cell r="E127" t="str">
            <v>Oranjestraat</v>
          </cell>
          <cell r="F127" t="str">
            <v>Beusichem</v>
          </cell>
          <cell r="G127">
            <v>14</v>
          </cell>
          <cell r="H127" t="str">
            <v>Boogzinker coordinaten - CC20101W50BEU-AAG.xlsx</v>
          </cell>
          <cell r="I127" t="str">
            <v>C &amp; C Cable &amp; Communication B.V.</v>
          </cell>
          <cell r="J127"/>
          <cell r="K127" t="str">
            <v>BEU-AAG</v>
          </cell>
          <cell r="L127"/>
          <cell r="M127">
            <v>5</v>
          </cell>
          <cell r="N127">
            <v>8</v>
          </cell>
          <cell r="O127">
            <v>1</v>
          </cell>
          <cell r="P127">
            <v>63</v>
          </cell>
          <cell r="Q127" t="str">
            <v xml:space="preserve">PE100 </v>
          </cell>
          <cell r="R127">
            <v>148373.95600000001</v>
          </cell>
          <cell r="S127">
            <v>440145.35800000001</v>
          </cell>
          <cell r="T127">
            <v>4.1849999999999996</v>
          </cell>
          <cell r="U127">
            <v>148378.101</v>
          </cell>
          <cell r="V127">
            <v>440151.53399999999</v>
          </cell>
          <cell r="W127">
            <v>4.0449999999999999</v>
          </cell>
          <cell r="X127">
            <v>-0.13999999999999968</v>
          </cell>
          <cell r="Y127">
            <v>4.1150000000000002</v>
          </cell>
          <cell r="Z127">
            <v>7.4380105538804564</v>
          </cell>
          <cell r="AA127" t="str">
            <v>148373.956,440145.358</v>
          </cell>
          <cell r="AB127" t="str">
            <v>148378.101,440151.534</v>
          </cell>
          <cell r="AC127">
            <v>6.8678986685056449</v>
          </cell>
          <cell r="AD127">
            <v>1.083011109058611</v>
          </cell>
          <cell r="AE127">
            <v>0.71</v>
          </cell>
          <cell r="AF127">
            <v>55.21</v>
          </cell>
          <cell r="AG127">
            <v>2.1471487929040034</v>
          </cell>
          <cell r="AH127">
            <v>44.555576114520797</v>
          </cell>
          <cell r="AI127">
            <v>3.5080038876966197</v>
          </cell>
          <cell r="AJ127">
            <v>1.4371487929040034</v>
          </cell>
          <cell r="AK127">
            <v>42.219985933206544</v>
          </cell>
          <cell r="AL127">
            <v>3.3598947808090251</v>
          </cell>
          <cell r="AM127">
            <v>6.8678986685056449</v>
          </cell>
          <cell r="AN127">
            <v>1.083011109058611</v>
          </cell>
          <cell r="AO127" t="e">
            <v>#REF!</v>
          </cell>
          <cell r="AP127" t="e">
            <v>#REF!</v>
          </cell>
          <cell r="AQ127" t="e">
            <v>#REF!</v>
          </cell>
          <cell r="AR127" t="e">
            <v>#REF!</v>
          </cell>
          <cell r="AS127" t="e">
            <v>#REF!</v>
          </cell>
          <cell r="AT127" t="e">
            <v>#REF!</v>
          </cell>
          <cell r="AU127" t="e">
            <v>#REF!</v>
          </cell>
          <cell r="AV127" t="e">
            <v>#REF!</v>
          </cell>
          <cell r="AW127">
            <v>1.083011109058611</v>
          </cell>
          <cell r="AX127">
            <v>1.083011109058611</v>
          </cell>
          <cell r="AY127">
            <v>1.083011109058611</v>
          </cell>
          <cell r="AZ127" t="e">
            <v>#REF!</v>
          </cell>
          <cell r="BE127">
            <v>148376.02850000001</v>
          </cell>
          <cell r="BF127">
            <v>440148.446</v>
          </cell>
        </row>
        <row r="128">
          <cell r="A128" t="str">
            <v>CC24RZ50-12</v>
          </cell>
          <cell r="B128" t="str">
            <v>CC24RZ50-12 BEU-AAG Oranjestraat, Beusichem</v>
          </cell>
          <cell r="C128" t="str">
            <v>CC24RZ50</v>
          </cell>
          <cell r="D128">
            <v>12</v>
          </cell>
          <cell r="E128" t="str">
            <v>Oranjestraat</v>
          </cell>
          <cell r="F128" t="str">
            <v>Beusichem</v>
          </cell>
          <cell r="G128">
            <v>7</v>
          </cell>
          <cell r="H128" t="str">
            <v>Boogzinker coordinaten - CC20101W50BEU-AAG.xlsx</v>
          </cell>
          <cell r="I128" t="str">
            <v>C &amp; C Cable &amp; Communication B.V.</v>
          </cell>
          <cell r="J128"/>
          <cell r="K128" t="str">
            <v>BEU-AAG</v>
          </cell>
          <cell r="L128"/>
          <cell r="M128">
            <v>5</v>
          </cell>
          <cell r="N128">
            <v>6</v>
          </cell>
          <cell r="O128">
            <v>1</v>
          </cell>
          <cell r="P128">
            <v>63</v>
          </cell>
          <cell r="Q128" t="str">
            <v xml:space="preserve">PE100 </v>
          </cell>
          <cell r="R128">
            <v>148337.28200000001</v>
          </cell>
          <cell r="S128">
            <v>440212.315</v>
          </cell>
          <cell r="T128">
            <v>4.01</v>
          </cell>
          <cell r="U128">
            <v>148343.671</v>
          </cell>
          <cell r="V128">
            <v>440219.26500000001</v>
          </cell>
          <cell r="W128">
            <v>3.6970000000000001</v>
          </cell>
          <cell r="X128">
            <v>-0.31299999999999972</v>
          </cell>
          <cell r="Y128">
            <v>3.8534999999999999</v>
          </cell>
          <cell r="Z128">
            <v>9.4404354242855391</v>
          </cell>
          <cell r="AA128" t="str">
            <v>148337.282,440212.315</v>
          </cell>
          <cell r="AB128" t="str">
            <v>148343.671,440219.265</v>
          </cell>
          <cell r="AC128">
            <v>8.0386042860410072</v>
          </cell>
          <cell r="AD128">
            <v>1.1743873797443674</v>
          </cell>
          <cell r="AE128">
            <v>0.71</v>
          </cell>
          <cell r="AF128">
            <v>65.150000000000006</v>
          </cell>
          <cell r="AG128">
            <v>2.8987794603804069</v>
          </cell>
          <cell r="AH128">
            <v>55.788864733010442</v>
          </cell>
          <cell r="AI128">
            <v>4.1348565969838562</v>
          </cell>
          <cell r="AJ128">
            <v>2.1887794603804061</v>
          </cell>
          <cell r="AK128">
            <v>51.329253695580547</v>
          </cell>
          <cell r="AL128">
            <v>3.9037476890571514</v>
          </cell>
          <cell r="AM128">
            <v>8.0386042860410072</v>
          </cell>
          <cell r="AN128">
            <v>1.1743873797443674</v>
          </cell>
          <cell r="AO128" t="e">
            <v>#REF!</v>
          </cell>
          <cell r="AP128" t="e">
            <v>#REF!</v>
          </cell>
          <cell r="AQ128" t="e">
            <v>#REF!</v>
          </cell>
          <cell r="AR128" t="e">
            <v>#REF!</v>
          </cell>
          <cell r="AS128" t="e">
            <v>#REF!</v>
          </cell>
          <cell r="AT128" t="e">
            <v>#REF!</v>
          </cell>
          <cell r="AU128" t="e">
            <v>#REF!</v>
          </cell>
          <cell r="AV128" t="e">
            <v>#REF!</v>
          </cell>
          <cell r="AW128">
            <v>1.1743873797443674</v>
          </cell>
          <cell r="AX128">
            <v>1.1743873797443674</v>
          </cell>
          <cell r="AY128">
            <v>1.1743873797443674</v>
          </cell>
          <cell r="AZ128" t="e">
            <v>#REF!</v>
          </cell>
          <cell r="BE128">
            <v>148340.47649999999</v>
          </cell>
          <cell r="BF128">
            <v>440215.79000000004</v>
          </cell>
        </row>
        <row r="129">
          <cell r="A129" t="str">
            <v>CC24RZ50-13</v>
          </cell>
          <cell r="B129" t="str">
            <v>CC24RZ50-13 BEU-AAG Zoetzandselaan, Beusichem</v>
          </cell>
          <cell r="C129" t="str">
            <v>CC24RZ50</v>
          </cell>
          <cell r="D129">
            <v>13</v>
          </cell>
          <cell r="E129" t="str">
            <v>Zoetzandselaan</v>
          </cell>
          <cell r="F129" t="str">
            <v>Beusichem</v>
          </cell>
          <cell r="G129">
            <v>2</v>
          </cell>
          <cell r="H129" t="str">
            <v>Boogzinker coordinaten - CC20101W50BEU-AAG.xlsx</v>
          </cell>
          <cell r="I129" t="str">
            <v>C &amp; C Cable &amp; Communication B.V.</v>
          </cell>
          <cell r="J129"/>
          <cell r="K129" t="str">
            <v>BEU-AAG</v>
          </cell>
          <cell r="L129"/>
          <cell r="M129">
            <v>5</v>
          </cell>
          <cell r="N129">
            <v>8</v>
          </cell>
          <cell r="O129">
            <v>1</v>
          </cell>
          <cell r="P129">
            <v>63</v>
          </cell>
          <cell r="Q129" t="str">
            <v xml:space="preserve">PE100 </v>
          </cell>
          <cell r="R129">
            <v>148371.80799999999</v>
          </cell>
          <cell r="S129">
            <v>440196.054</v>
          </cell>
          <cell r="T129">
            <v>3.8140000000000001</v>
          </cell>
          <cell r="U129">
            <v>148376.51199999999</v>
          </cell>
          <cell r="V129">
            <v>440189.67099999997</v>
          </cell>
          <cell r="W129">
            <v>3.8130000000000002</v>
          </cell>
          <cell r="X129">
            <v>-9.9999999999988987E-4</v>
          </cell>
          <cell r="Y129">
            <v>3.8135000000000003</v>
          </cell>
          <cell r="Z129">
            <v>7.9290797070260703</v>
          </cell>
          <cell r="AA129" t="str">
            <v>148371.808,440196.054</v>
          </cell>
          <cell r="AB129" t="str">
            <v>148376.512,440189.671</v>
          </cell>
          <cell r="AC129">
            <v>7.0149918508468225</v>
          </cell>
          <cell r="AD129">
            <v>1.1303049063512316</v>
          </cell>
          <cell r="AE129">
            <v>0.71</v>
          </cell>
          <cell r="AF129">
            <v>55.21</v>
          </cell>
          <cell r="AG129">
            <v>2.1471487929040034</v>
          </cell>
          <cell r="AH129">
            <v>44.555576114520797</v>
          </cell>
          <cell r="AI129">
            <v>3.5080038876966197</v>
          </cell>
          <cell r="AJ129">
            <v>1.4371487929040034</v>
          </cell>
          <cell r="AK129">
            <v>44.539240876977203</v>
          </cell>
          <cell r="AL129">
            <v>3.5069879631502028</v>
          </cell>
          <cell r="AM129">
            <v>7.0149918508468225</v>
          </cell>
          <cell r="AN129">
            <v>1.1303049063512316</v>
          </cell>
          <cell r="AO129" t="e">
            <v>#REF!</v>
          </cell>
          <cell r="AP129" t="e">
            <v>#REF!</v>
          </cell>
          <cell r="AQ129" t="e">
            <v>#REF!</v>
          </cell>
          <cell r="AR129" t="e">
            <v>#REF!</v>
          </cell>
          <cell r="AS129" t="e">
            <v>#REF!</v>
          </cell>
          <cell r="AT129" t="e">
            <v>#REF!</v>
          </cell>
          <cell r="AU129" t="e">
            <v>#REF!</v>
          </cell>
          <cell r="AV129" t="e">
            <v>#REF!</v>
          </cell>
          <cell r="AW129">
            <v>1.1303049063512316</v>
          </cell>
          <cell r="AX129">
            <v>1.1303049063512316</v>
          </cell>
          <cell r="AY129">
            <v>1.1303049063512316</v>
          </cell>
          <cell r="AZ129" t="e">
            <v>#REF!</v>
          </cell>
          <cell r="BE129">
            <v>148374.15999999997</v>
          </cell>
          <cell r="BF129">
            <v>440192.86249999999</v>
          </cell>
        </row>
        <row r="130">
          <cell r="A130" t="str">
            <v>CC24RZ50-14</v>
          </cell>
          <cell r="B130" t="str">
            <v>CC24RZ50-14 BEU-AAG Oranjestraat, Beusichem</v>
          </cell>
          <cell r="C130" t="str">
            <v>CC24RZ50</v>
          </cell>
          <cell r="D130">
            <v>14</v>
          </cell>
          <cell r="E130" t="str">
            <v>Oranjestraat</v>
          </cell>
          <cell r="F130" t="str">
            <v>Beusichem</v>
          </cell>
          <cell r="G130">
            <v>17</v>
          </cell>
          <cell r="H130" t="str">
            <v>Boogzinker coordinaten - CC20101W50BEU-AAG.xlsx</v>
          </cell>
          <cell r="I130" t="str">
            <v>C &amp; C Cable &amp; Communication B.V.</v>
          </cell>
          <cell r="J130"/>
          <cell r="K130" t="str">
            <v>BEU-AAG</v>
          </cell>
          <cell r="L130"/>
          <cell r="M130">
            <v>5</v>
          </cell>
          <cell r="N130">
            <v>7</v>
          </cell>
          <cell r="O130">
            <v>1</v>
          </cell>
          <cell r="P130">
            <v>63</v>
          </cell>
          <cell r="Q130" t="str">
            <v xml:space="preserve">PE100 </v>
          </cell>
          <cell r="R130">
            <v>148266.52900000001</v>
          </cell>
          <cell r="S130">
            <v>440281.94500000001</v>
          </cell>
          <cell r="T130">
            <v>4.1120000000000001</v>
          </cell>
          <cell r="U130">
            <v>148261.64600000001</v>
          </cell>
          <cell r="V130">
            <v>440276.821</v>
          </cell>
          <cell r="W130">
            <v>4.0780000000000003</v>
          </cell>
          <cell r="X130">
            <v>-3.3999999999999808E-2</v>
          </cell>
          <cell r="Y130">
            <v>4.0950000000000006</v>
          </cell>
          <cell r="Z130">
            <v>7.0780692989067067</v>
          </cell>
          <cell r="AA130" t="str">
            <v>148266.529,440281.945</v>
          </cell>
          <cell r="AB130" t="str">
            <v>148261.646,440276.821</v>
          </cell>
          <cell r="AC130">
            <v>7.6612452454301705</v>
          </cell>
          <cell r="AD130">
            <v>0.9238797443703658</v>
          </cell>
          <cell r="AE130">
            <v>0.71</v>
          </cell>
          <cell r="AF130">
            <v>60.18</v>
          </cell>
          <cell r="AG130">
            <v>2.5136158098502692</v>
          </cell>
          <cell r="AH130">
            <v>50.262083753567481</v>
          </cell>
          <cell r="AI130">
            <v>3.8448833674067213</v>
          </cell>
          <cell r="AJ130">
            <v>1.8036158098502693</v>
          </cell>
          <cell r="AK130">
            <v>49.753538823309547</v>
          </cell>
          <cell r="AL130">
            <v>3.8163618780234492</v>
          </cell>
          <cell r="AM130">
            <v>7.6612452454301705</v>
          </cell>
          <cell r="AN130">
            <v>0.9238797443703658</v>
          </cell>
          <cell r="AO130" t="e">
            <v>#REF!</v>
          </cell>
          <cell r="AP130" t="e">
            <v>#REF!</v>
          </cell>
          <cell r="AQ130" t="e">
            <v>#REF!</v>
          </cell>
          <cell r="AR130" t="e">
            <v>#REF!</v>
          </cell>
          <cell r="AS130" t="e">
            <v>#REF!</v>
          </cell>
          <cell r="AT130" t="e">
            <v>#REF!</v>
          </cell>
          <cell r="AU130" t="e">
            <v>#REF!</v>
          </cell>
          <cell r="AV130" t="e">
            <v>#REF!</v>
          </cell>
          <cell r="AW130">
            <v>0.9238797443703658</v>
          </cell>
          <cell r="AX130">
            <v>0.9238797443703658</v>
          </cell>
          <cell r="AY130">
            <v>0.9238797443703658</v>
          </cell>
          <cell r="AZ130" t="e">
            <v>#REF!</v>
          </cell>
          <cell r="BE130">
            <v>148264.08750000002</v>
          </cell>
          <cell r="BF130">
            <v>440279.38300000003</v>
          </cell>
        </row>
        <row r="131">
          <cell r="A131" t="str">
            <v>CC24RZ50-15</v>
          </cell>
          <cell r="B131" t="str">
            <v>CC24RZ50-15 BEU-AAG Oranjestraat, Beusichem</v>
          </cell>
          <cell r="C131" t="str">
            <v>CC24RZ50</v>
          </cell>
          <cell r="D131">
            <v>15</v>
          </cell>
          <cell r="E131" t="str">
            <v>Oranjestraat</v>
          </cell>
          <cell r="F131" t="str">
            <v>Beusichem</v>
          </cell>
          <cell r="G131">
            <v>46</v>
          </cell>
          <cell r="H131" t="str">
            <v>Boogzinker coordinaten - CC20101W50BEU-AAG.xlsx</v>
          </cell>
          <cell r="I131" t="str">
            <v>C &amp; C Cable &amp; Communication B.V.</v>
          </cell>
          <cell r="J131"/>
          <cell r="K131" t="str">
            <v>BEU-AAG</v>
          </cell>
          <cell r="L131"/>
          <cell r="M131">
            <v>7.5</v>
          </cell>
          <cell r="N131">
            <v>9</v>
          </cell>
          <cell r="O131">
            <v>1</v>
          </cell>
          <cell r="P131">
            <v>63</v>
          </cell>
          <cell r="Q131" t="str">
            <v xml:space="preserve">PE100 </v>
          </cell>
          <cell r="R131">
            <v>148011.59700000001</v>
          </cell>
          <cell r="S131">
            <v>440551.467</v>
          </cell>
          <cell r="T131">
            <v>4.4880000000000004</v>
          </cell>
          <cell r="U131">
            <v>148019.48300000001</v>
          </cell>
          <cell r="V131">
            <v>440555.67300000001</v>
          </cell>
          <cell r="W131">
            <v>4.3419999999999996</v>
          </cell>
          <cell r="X131">
            <v>-0.1460000000000008</v>
          </cell>
          <cell r="Y131">
            <v>4.415</v>
          </cell>
          <cell r="Z131">
            <v>8.9375294125404121</v>
          </cell>
          <cell r="AA131" t="str">
            <v>148011.597,440551.467</v>
          </cell>
          <cell r="AB131" t="str">
            <v>148019.483,440555.673</v>
          </cell>
          <cell r="AC131">
            <v>10.020759785182616</v>
          </cell>
          <cell r="AD131">
            <v>0.89190137316294693</v>
          </cell>
          <cell r="AE131">
            <v>0.71</v>
          </cell>
          <cell r="AF131">
            <v>50.24</v>
          </cell>
          <cell r="AG131">
            <v>2.7032011465900645</v>
          </cell>
          <cell r="AH131">
            <v>42.756976848292624</v>
          </cell>
          <cell r="AI131">
            <v>5.0916761864913411</v>
          </cell>
          <cell r="AJ131">
            <v>1.9932011465900645</v>
          </cell>
          <cell r="AK131">
            <v>41.08752420207388</v>
          </cell>
          <cell r="AL131">
            <v>4.9290835986912738</v>
          </cell>
          <cell r="AM131">
            <v>10.020759785182616</v>
          </cell>
          <cell r="AN131">
            <v>0.89190137316294693</v>
          </cell>
          <cell r="AO131" t="e">
            <v>#REF!</v>
          </cell>
          <cell r="AP131" t="e">
            <v>#REF!</v>
          </cell>
          <cell r="AQ131" t="e">
            <v>#REF!</v>
          </cell>
          <cell r="AR131" t="e">
            <v>#REF!</v>
          </cell>
          <cell r="AS131" t="e">
            <v>#REF!</v>
          </cell>
          <cell r="AT131" t="e">
            <v>#REF!</v>
          </cell>
          <cell r="AU131" t="e">
            <v>#REF!</v>
          </cell>
          <cell r="AV131" t="e">
            <v>#REF!</v>
          </cell>
          <cell r="AW131">
            <v>0.89190137316294693</v>
          </cell>
          <cell r="AX131">
            <v>0.89190137316294693</v>
          </cell>
          <cell r="AY131">
            <v>0.89190137316294693</v>
          </cell>
          <cell r="AZ131" t="e">
            <v>#REF!</v>
          </cell>
          <cell r="BE131">
            <v>148015.54</v>
          </cell>
          <cell r="BF131">
            <v>440553.57</v>
          </cell>
        </row>
        <row r="132">
          <cell r="A132" t="str">
            <v>CC24RZ50-16</v>
          </cell>
          <cell r="B132" t="str">
            <v>CC24RZ50-16 BEU-AAG Oranjestraat, Beusichem</v>
          </cell>
          <cell r="C132" t="str">
            <v>CC24RZ50</v>
          </cell>
          <cell r="D132">
            <v>16</v>
          </cell>
          <cell r="E132" t="str">
            <v>Oranjestraat</v>
          </cell>
          <cell r="F132" t="str">
            <v>Beusichem</v>
          </cell>
          <cell r="G132">
            <v>54</v>
          </cell>
          <cell r="H132" t="str">
            <v>Boogzinker coordinaten - CC20101W50BEU-AAG.xlsx</v>
          </cell>
          <cell r="I132" t="str">
            <v>C &amp; C Cable &amp; Communication B.V.</v>
          </cell>
          <cell r="J132"/>
          <cell r="K132" t="str">
            <v>BEU-AAG</v>
          </cell>
          <cell r="L132"/>
          <cell r="M132">
            <v>7.5</v>
          </cell>
          <cell r="N132">
            <v>8</v>
          </cell>
          <cell r="O132">
            <v>1</v>
          </cell>
          <cell r="P132">
            <v>63</v>
          </cell>
          <cell r="Q132" t="str">
            <v xml:space="preserve">PE100 </v>
          </cell>
          <cell r="R132">
            <v>147989.19500000001</v>
          </cell>
          <cell r="S132">
            <v>440609.212</v>
          </cell>
          <cell r="T132">
            <v>4.9020000000000001</v>
          </cell>
          <cell r="U132">
            <v>147979.90700000001</v>
          </cell>
          <cell r="V132">
            <v>440604.47399999999</v>
          </cell>
          <cell r="W132">
            <v>4.9889999999999999</v>
          </cell>
          <cell r="X132">
            <v>8.6999999999999744E-2</v>
          </cell>
          <cell r="Y132">
            <v>4.9455</v>
          </cell>
          <cell r="Z132">
            <v>10.426676747656627</v>
          </cell>
          <cell r="AA132" t="str">
            <v>147989.195,440609.212</v>
          </cell>
          <cell r="AB132" t="str">
            <v>147979.907,440604.474</v>
          </cell>
          <cell r="AC132">
            <v>11.275804772715194</v>
          </cell>
          <cell r="AD132">
            <v>0.92469468546375888</v>
          </cell>
          <cell r="AE132">
            <v>0.71</v>
          </cell>
          <cell r="AF132">
            <v>55.21</v>
          </cell>
          <cell r="AG132">
            <v>3.2207231893560051</v>
          </cell>
          <cell r="AH132">
            <v>48.299497098536229</v>
          </cell>
          <cell r="AI132">
            <v>5.5997425750448642</v>
          </cell>
          <cell r="AJ132">
            <v>2.5107231893560051</v>
          </cell>
          <cell r="AK132">
            <v>49.183626259375131</v>
          </cell>
          <cell r="AL132">
            <v>5.6760621976703298</v>
          </cell>
          <cell r="AM132">
            <v>11.275804772715194</v>
          </cell>
          <cell r="AN132">
            <v>0.92469468546375888</v>
          </cell>
          <cell r="AO132" t="e">
            <v>#REF!</v>
          </cell>
          <cell r="AP132" t="e">
            <v>#REF!</v>
          </cell>
          <cell r="AQ132" t="e">
            <v>#REF!</v>
          </cell>
          <cell r="AR132" t="e">
            <v>#REF!</v>
          </cell>
          <cell r="AS132" t="e">
            <v>#REF!</v>
          </cell>
          <cell r="AT132" t="e">
            <v>#REF!</v>
          </cell>
          <cell r="AU132" t="e">
            <v>#REF!</v>
          </cell>
          <cell r="AV132" t="e">
            <v>#REF!</v>
          </cell>
          <cell r="AW132">
            <v>0.92469468546375888</v>
          </cell>
          <cell r="AX132">
            <v>0.92469468546375888</v>
          </cell>
          <cell r="AY132">
            <v>0.92469468546375888</v>
          </cell>
          <cell r="AZ132" t="e">
            <v>#REF!</v>
          </cell>
          <cell r="BE132">
            <v>147984.55100000001</v>
          </cell>
          <cell r="BF132">
            <v>440606.84299999999</v>
          </cell>
        </row>
        <row r="133">
          <cell r="A133" t="str">
            <v>CC24RZ50-17</v>
          </cell>
          <cell r="B133" t="str">
            <v>CC24RZ50-17 BEU-AAG Beatrixlaan, Beusichem</v>
          </cell>
          <cell r="C133" t="str">
            <v>CC24RZ50</v>
          </cell>
          <cell r="D133">
            <v>17</v>
          </cell>
          <cell r="E133" t="str">
            <v>Beatrixlaan</v>
          </cell>
          <cell r="F133" t="str">
            <v>Beusichem</v>
          </cell>
          <cell r="G133">
            <v>1</v>
          </cell>
          <cell r="H133" t="str">
            <v>Boogzinker coordinaten - CC20101W50BEU-AAG.xlsx</v>
          </cell>
          <cell r="I133" t="str">
            <v>C &amp; C Cable &amp; Communication B.V.</v>
          </cell>
          <cell r="J133"/>
          <cell r="K133" t="str">
            <v>BEU-AAG</v>
          </cell>
          <cell r="L133"/>
          <cell r="M133">
            <v>5</v>
          </cell>
          <cell r="N133">
            <v>8</v>
          </cell>
          <cell r="O133">
            <v>1</v>
          </cell>
          <cell r="P133">
            <v>63</v>
          </cell>
          <cell r="Q133" t="str">
            <v xml:space="preserve">PE100 </v>
          </cell>
          <cell r="R133">
            <v>148764.17199999999</v>
          </cell>
          <cell r="S133">
            <v>440389.14600000001</v>
          </cell>
          <cell r="T133">
            <v>2.6549999999999998</v>
          </cell>
          <cell r="U133">
            <v>148768.33799999999</v>
          </cell>
          <cell r="V133">
            <v>440395.49200000003</v>
          </cell>
          <cell r="W133">
            <v>2.69</v>
          </cell>
          <cell r="X133">
            <v>3.5000000000000142E-2</v>
          </cell>
          <cell r="Y133">
            <v>2.6724999999999999</v>
          </cell>
          <cell r="Z133">
            <v>7.5912628725546636</v>
          </cell>
          <cell r="AA133" t="str">
            <v>148764.172,440389.146</v>
          </cell>
          <cell r="AB133" t="str">
            <v>148768.338,440395.492</v>
          </cell>
          <cell r="AC133">
            <v>7.0512038341562207</v>
          </cell>
          <cell r="AD133">
            <v>1.0765910404947283</v>
          </cell>
          <cell r="AE133">
            <v>0.71</v>
          </cell>
          <cell r="AF133">
            <v>55.21</v>
          </cell>
          <cell r="AG133">
            <v>2.1471487929040034</v>
          </cell>
          <cell r="AH133">
            <v>44.555576114520797</v>
          </cell>
          <cell r="AI133">
            <v>3.5080038876966197</v>
          </cell>
          <cell r="AJ133">
            <v>1.4371487929040034</v>
          </cell>
          <cell r="AK133">
            <v>45.124368581997665</v>
          </cell>
          <cell r="AL133">
            <v>3.5431999464596005</v>
          </cell>
          <cell r="AM133">
            <v>7.0512038341562207</v>
          </cell>
          <cell r="AN133">
            <v>1.0765910404947283</v>
          </cell>
          <cell r="AO133" t="e">
            <v>#REF!</v>
          </cell>
          <cell r="AP133" t="e">
            <v>#REF!</v>
          </cell>
          <cell r="AQ133" t="e">
            <v>#REF!</v>
          </cell>
          <cell r="AR133" t="e">
            <v>#REF!</v>
          </cell>
          <cell r="AS133" t="e">
            <v>#REF!</v>
          </cell>
          <cell r="AT133" t="e">
            <v>#REF!</v>
          </cell>
          <cell r="AU133" t="e">
            <v>#REF!</v>
          </cell>
          <cell r="AV133" t="e">
            <v>#REF!</v>
          </cell>
          <cell r="AW133">
            <v>1.0765910404947283</v>
          </cell>
          <cell r="AX133">
            <v>1.0765910404947283</v>
          </cell>
          <cell r="AY133">
            <v>1.0765910404947283</v>
          </cell>
          <cell r="AZ133" t="e">
            <v>#REF!</v>
          </cell>
          <cell r="BE133">
            <v>148766.255</v>
          </cell>
          <cell r="BF133">
            <v>440392.31900000002</v>
          </cell>
        </row>
        <row r="134">
          <cell r="A134" t="str">
            <v>CC24RZ50-18</v>
          </cell>
          <cell r="B134" t="str">
            <v>CC24RZ50-18 BEU-AAG De Wielstraat, Beusichem</v>
          </cell>
          <cell r="C134" t="str">
            <v>CC24RZ50</v>
          </cell>
          <cell r="D134">
            <v>18</v>
          </cell>
          <cell r="E134" t="str">
            <v>De Wielstraat</v>
          </cell>
          <cell r="F134" t="str">
            <v>Beusichem</v>
          </cell>
          <cell r="G134">
            <v>33</v>
          </cell>
          <cell r="H134" t="str">
            <v>Boogzinker coordinaten - CC20101W50BEU-AAG.xlsx</v>
          </cell>
          <cell r="I134" t="str">
            <v>C &amp; C Cable &amp; Communication B.V.</v>
          </cell>
          <cell r="J134"/>
          <cell r="K134" t="str">
            <v>BEU-AAG</v>
          </cell>
          <cell r="L134"/>
          <cell r="M134">
            <v>5</v>
          </cell>
          <cell r="N134">
            <v>6</v>
          </cell>
          <cell r="O134">
            <v>1</v>
          </cell>
          <cell r="P134">
            <v>63</v>
          </cell>
          <cell r="Q134" t="str">
            <v xml:space="preserve">PE100 </v>
          </cell>
          <cell r="R134">
            <v>148755.242</v>
          </cell>
          <cell r="S134">
            <v>440292.64600000001</v>
          </cell>
          <cell r="T134">
            <v>2.8260000000000001</v>
          </cell>
          <cell r="U134">
            <v>148763.40700000001</v>
          </cell>
          <cell r="V134">
            <v>440289.23100000003</v>
          </cell>
          <cell r="W134">
            <v>2.6739999999999999</v>
          </cell>
          <cell r="X134">
            <v>-0.15200000000000014</v>
          </cell>
          <cell r="Y134">
            <v>2.75</v>
          </cell>
          <cell r="Z134">
            <v>8.8503926466564149</v>
          </cell>
          <cell r="AA134" t="str">
            <v>148755.242,440292.646</v>
          </cell>
          <cell r="AB134" t="str">
            <v>148763.407,440289.231</v>
          </cell>
          <cell r="AC134">
            <v>8.1621787884128665</v>
          </cell>
          <cell r="AD134">
            <v>1.0843174201501866</v>
          </cell>
          <cell r="AE134">
            <v>0.71</v>
          </cell>
          <cell r="AF134">
            <v>65.150000000000006</v>
          </cell>
          <cell r="AG134">
            <v>2.8987794603804069</v>
          </cell>
          <cell r="AH134">
            <v>55.788864733010442</v>
          </cell>
          <cell r="AI134">
            <v>4.1348565969838562</v>
          </cell>
          <cell r="AJ134">
            <v>2.1887794603804061</v>
          </cell>
          <cell r="AK134">
            <v>53.655132509028768</v>
          </cell>
          <cell r="AL134">
            <v>4.0273221914290094</v>
          </cell>
          <cell r="AM134">
            <v>8.1621787884128665</v>
          </cell>
          <cell r="AN134">
            <v>1.0843174201501866</v>
          </cell>
          <cell r="AO134" t="e">
            <v>#REF!</v>
          </cell>
          <cell r="AP134" t="e">
            <v>#REF!</v>
          </cell>
          <cell r="AQ134" t="e">
            <v>#REF!</v>
          </cell>
          <cell r="AR134" t="e">
            <v>#REF!</v>
          </cell>
          <cell r="AS134" t="e">
            <v>#REF!</v>
          </cell>
          <cell r="AT134" t="e">
            <v>#REF!</v>
          </cell>
          <cell r="AU134" t="e">
            <v>#REF!</v>
          </cell>
          <cell r="AV134" t="e">
            <v>#REF!</v>
          </cell>
          <cell r="AW134">
            <v>1.0843174201501866</v>
          </cell>
          <cell r="AX134">
            <v>1.0843174201501866</v>
          </cell>
          <cell r="AY134">
            <v>1.0843174201501866</v>
          </cell>
          <cell r="AZ134" t="e">
            <v>#REF!</v>
          </cell>
          <cell r="BE134">
            <v>148759.32449999999</v>
          </cell>
          <cell r="BF134">
            <v>440290.93850000005</v>
          </cell>
        </row>
        <row r="135">
          <cell r="A135" t="str">
            <v>CC24RZ50-19</v>
          </cell>
          <cell r="B135" t="str">
            <v>CC24RZ50-19 BEU-AAG Smalriemseweg, Beusichem</v>
          </cell>
          <cell r="C135" t="str">
            <v>CC24RZ50</v>
          </cell>
          <cell r="D135">
            <v>19</v>
          </cell>
          <cell r="E135" t="str">
            <v>Smalriemseweg</v>
          </cell>
          <cell r="F135" t="str">
            <v>Beusichem</v>
          </cell>
          <cell r="G135">
            <v>17</v>
          </cell>
          <cell r="H135" t="str">
            <v>Boogzinker coordinaten - CC20101W50BEU-AAG.xlsx</v>
          </cell>
          <cell r="I135" t="str">
            <v>C &amp; C Cable &amp; Communication B.V.</v>
          </cell>
          <cell r="J135"/>
          <cell r="K135" t="str">
            <v>BEU-AAG</v>
          </cell>
          <cell r="L135"/>
          <cell r="M135">
            <v>5</v>
          </cell>
          <cell r="N135">
            <v>7</v>
          </cell>
          <cell r="O135">
            <v>1</v>
          </cell>
          <cell r="P135">
            <v>63</v>
          </cell>
          <cell r="Q135" t="str">
            <v xml:space="preserve">PE100 </v>
          </cell>
          <cell r="R135">
            <v>148126.03899999999</v>
          </cell>
          <cell r="S135">
            <v>440248.63799999998</v>
          </cell>
          <cell r="T135">
            <v>3.5139999999999998</v>
          </cell>
          <cell r="U135">
            <v>148131.258</v>
          </cell>
          <cell r="V135">
            <v>440254.33100000001</v>
          </cell>
          <cell r="W135">
            <v>3.4750000000000001</v>
          </cell>
          <cell r="X135">
            <v>-3.8999999999999702E-2</v>
          </cell>
          <cell r="Y135">
            <v>3.4944999999999999</v>
          </cell>
          <cell r="Z135">
            <v>7.7232253625313412</v>
          </cell>
          <cell r="AA135" t="str">
            <v>148126.039,440248.638</v>
          </cell>
          <cell r="AB135" t="str">
            <v>148131.258,440254.331</v>
          </cell>
          <cell r="AC135">
            <v>7.6570073347153889</v>
          </cell>
          <cell r="AD135">
            <v>1.0086480298269707</v>
          </cell>
          <cell r="AE135">
            <v>0.71</v>
          </cell>
          <cell r="AF135">
            <v>60.18</v>
          </cell>
          <cell r="AG135">
            <v>2.5136158098502692</v>
          </cell>
          <cell r="AH135">
            <v>50.262083753567481</v>
          </cell>
          <cell r="AI135">
            <v>3.8448833674067213</v>
          </cell>
          <cell r="AJ135">
            <v>1.8036158098502693</v>
          </cell>
          <cell r="AK135">
            <v>49.678431164371702</v>
          </cell>
          <cell r="AL135">
            <v>3.8121239673086675</v>
          </cell>
          <cell r="AM135">
            <v>7.6570073347153889</v>
          </cell>
          <cell r="AN135">
            <v>1.0086480298269707</v>
          </cell>
          <cell r="AO135" t="e">
            <v>#REF!</v>
          </cell>
          <cell r="AP135" t="e">
            <v>#REF!</v>
          </cell>
          <cell r="AQ135" t="e">
            <v>#REF!</v>
          </cell>
          <cell r="AR135" t="e">
            <v>#REF!</v>
          </cell>
          <cell r="AS135" t="e">
            <v>#REF!</v>
          </cell>
          <cell r="AT135" t="e">
            <v>#REF!</v>
          </cell>
          <cell r="AU135" t="e">
            <v>#REF!</v>
          </cell>
          <cell r="AV135" t="e">
            <v>#REF!</v>
          </cell>
          <cell r="AW135">
            <v>1.0086480298269707</v>
          </cell>
          <cell r="AX135">
            <v>1.0086480298269707</v>
          </cell>
          <cell r="AY135">
            <v>1.0086480298269707</v>
          </cell>
          <cell r="AZ135" t="e">
            <v>#REF!</v>
          </cell>
          <cell r="BE135">
            <v>148128.64850000001</v>
          </cell>
          <cell r="BF135">
            <v>440251.48450000002</v>
          </cell>
        </row>
        <row r="136">
          <cell r="A136" t="str">
            <v>CC24RZ50-20</v>
          </cell>
          <cell r="B136" t="str">
            <v>CC24RZ50-20 BEU-AAG Wilhelminalaan, Beusichem</v>
          </cell>
          <cell r="C136" t="str">
            <v>CC24RZ50</v>
          </cell>
          <cell r="D136">
            <v>20</v>
          </cell>
          <cell r="E136" t="str">
            <v>Wilhelminalaan</v>
          </cell>
          <cell r="F136" t="str">
            <v>Beusichem</v>
          </cell>
          <cell r="G136">
            <v>20</v>
          </cell>
          <cell r="H136" t="str">
            <v>Boogzinker coordinaten - CC20101W50BEU-AAG.xlsx</v>
          </cell>
          <cell r="I136" t="str">
            <v>C &amp; C Cable &amp; Communication B.V.</v>
          </cell>
          <cell r="J136"/>
          <cell r="K136" t="str">
            <v>BEU-AAG</v>
          </cell>
          <cell r="L136"/>
          <cell r="M136">
            <v>5</v>
          </cell>
          <cell r="N136">
            <v>6</v>
          </cell>
          <cell r="O136">
            <v>1</v>
          </cell>
          <cell r="P136">
            <v>63</v>
          </cell>
          <cell r="Q136" t="str">
            <v xml:space="preserve">PE100 </v>
          </cell>
          <cell r="R136">
            <v>148597.967</v>
          </cell>
          <cell r="S136">
            <v>440447.98599999998</v>
          </cell>
          <cell r="T136">
            <v>3.4729999999999999</v>
          </cell>
          <cell r="U136">
            <v>148592.416</v>
          </cell>
          <cell r="V136">
            <v>440441.685</v>
          </cell>
          <cell r="W136">
            <v>3.4420000000000002</v>
          </cell>
          <cell r="X136">
            <v>-3.0999999999999694E-2</v>
          </cell>
          <cell r="Y136">
            <v>3.4575</v>
          </cell>
          <cell r="Z136">
            <v>8.3973925714946347</v>
          </cell>
          <cell r="AA136" t="str">
            <v>148597.967,440447.986</v>
          </cell>
          <cell r="AB136" t="str">
            <v>148592.416,440441.685</v>
          </cell>
          <cell r="AC136">
            <v>8.2484660101591647</v>
          </cell>
          <cell r="AD136">
            <v>1.0180550615292645</v>
          </cell>
          <cell r="AE136">
            <v>0.71</v>
          </cell>
          <cell r="AF136">
            <v>65.150000000000006</v>
          </cell>
          <cell r="AG136">
            <v>2.8987794603804069</v>
          </cell>
          <cell r="AH136">
            <v>55.788864733010442</v>
          </cell>
          <cell r="AI136">
            <v>4.1348565969838562</v>
          </cell>
          <cell r="AJ136">
            <v>2.1887794603804061</v>
          </cell>
          <cell r="AK136">
            <v>55.35820021909651</v>
          </cell>
          <cell r="AL136">
            <v>4.1136094131753085</v>
          </cell>
          <cell r="AM136">
            <v>8.2484660101591647</v>
          </cell>
          <cell r="AN136">
            <v>1.0180550615292645</v>
          </cell>
          <cell r="AO136" t="e">
            <v>#REF!</v>
          </cell>
          <cell r="AP136" t="e">
            <v>#REF!</v>
          </cell>
          <cell r="AQ136" t="e">
            <v>#REF!</v>
          </cell>
          <cell r="AR136" t="e">
            <v>#REF!</v>
          </cell>
          <cell r="AS136" t="e">
            <v>#REF!</v>
          </cell>
          <cell r="AT136" t="e">
            <v>#REF!</v>
          </cell>
          <cell r="AU136" t="e">
            <v>#REF!</v>
          </cell>
          <cell r="AV136" t="e">
            <v>#REF!</v>
          </cell>
          <cell r="AW136">
            <v>1.0180550615292645</v>
          </cell>
          <cell r="AX136">
            <v>1.0180550615292645</v>
          </cell>
          <cell r="AY136">
            <v>1.0180550615292645</v>
          </cell>
          <cell r="AZ136" t="e">
            <v>#REF!</v>
          </cell>
          <cell r="BE136">
            <v>148595.19150000002</v>
          </cell>
          <cell r="BF136">
            <v>440444.83549999999</v>
          </cell>
        </row>
        <row r="137">
          <cell r="A137" t="str">
            <v>CC24RZ50-21</v>
          </cell>
          <cell r="B137" t="str">
            <v>CC24RZ50-21 BEU-AAG Bernhardlaan, Beusichem</v>
          </cell>
          <cell r="C137" t="str">
            <v>CC24RZ50</v>
          </cell>
          <cell r="D137">
            <v>21</v>
          </cell>
          <cell r="E137" t="str">
            <v>Bernhardlaan</v>
          </cell>
          <cell r="F137" t="str">
            <v>Beusichem</v>
          </cell>
          <cell r="G137">
            <v>36</v>
          </cell>
          <cell r="H137" t="str">
            <v>Boogzinker coordinaten - CC20101W50BEU-AAG.xlsx</v>
          </cell>
          <cell r="I137" t="str">
            <v>C &amp; C Cable &amp; Communication B.V.</v>
          </cell>
          <cell r="J137"/>
          <cell r="K137" t="str">
            <v>BEU-AAG</v>
          </cell>
          <cell r="L137"/>
          <cell r="M137">
            <v>5</v>
          </cell>
          <cell r="N137">
            <v>9</v>
          </cell>
          <cell r="O137">
            <v>1</v>
          </cell>
          <cell r="P137">
            <v>63</v>
          </cell>
          <cell r="Q137" t="str">
            <v xml:space="preserve">PE100 </v>
          </cell>
          <cell r="R137">
            <v>148555.49</v>
          </cell>
          <cell r="S137">
            <v>440464.54</v>
          </cell>
          <cell r="T137">
            <v>3.2189999999999999</v>
          </cell>
          <cell r="U137">
            <v>148558.82999999999</v>
          </cell>
          <cell r="V137">
            <v>440469.342</v>
          </cell>
          <cell r="W137">
            <v>3.3650000000000002</v>
          </cell>
          <cell r="X137">
            <v>0.14600000000000035</v>
          </cell>
          <cell r="Y137">
            <v>3.2919999999999998</v>
          </cell>
          <cell r="Z137">
            <v>5.8493421852562335</v>
          </cell>
          <cell r="AA137" t="str">
            <v>148555.49,440464.54</v>
          </cell>
          <cell r="AB137" t="str">
            <v>148558.83,440469.342</v>
          </cell>
          <cell r="AC137">
            <v>6.4127534392952672</v>
          </cell>
          <cell r="AD137">
            <v>0.91214206824378541</v>
          </cell>
          <cell r="AE137">
            <v>0.71</v>
          </cell>
          <cell r="AF137">
            <v>50.24</v>
          </cell>
          <cell r="AG137">
            <v>1.80213409772671</v>
          </cell>
          <cell r="AH137">
            <v>38.595159149554647</v>
          </cell>
          <cell r="AI137">
            <v>3.1190678238617648</v>
          </cell>
          <cell r="AJ137">
            <v>1.09213409772671</v>
          </cell>
          <cell r="AK137">
            <v>41.203629596652213</v>
          </cell>
          <cell r="AL137">
            <v>3.2936856154335019</v>
          </cell>
          <cell r="AM137">
            <v>6.4127534392952672</v>
          </cell>
          <cell r="AN137">
            <v>0.91214206824378541</v>
          </cell>
          <cell r="AO137" t="e">
            <v>#REF!</v>
          </cell>
          <cell r="AP137" t="e">
            <v>#REF!</v>
          </cell>
          <cell r="AQ137" t="e">
            <v>#REF!</v>
          </cell>
          <cell r="AR137" t="e">
            <v>#REF!</v>
          </cell>
          <cell r="AS137" t="e">
            <v>#REF!</v>
          </cell>
          <cell r="AT137" t="e">
            <v>#REF!</v>
          </cell>
          <cell r="AU137" t="e">
            <v>#REF!</v>
          </cell>
          <cell r="AV137" t="e">
            <v>#REF!</v>
          </cell>
          <cell r="AW137">
            <v>0.91214206824378541</v>
          </cell>
          <cell r="AX137">
            <v>0.91214206824378541</v>
          </cell>
          <cell r="AY137">
            <v>0.91214206824378541</v>
          </cell>
          <cell r="AZ137" t="e">
            <v>#REF!</v>
          </cell>
          <cell r="BE137">
            <v>148557.15999999997</v>
          </cell>
          <cell r="BF137">
            <v>440466.94099999999</v>
          </cell>
        </row>
        <row r="138">
          <cell r="A138" t="str">
            <v>CC24RZ46-01</v>
          </cell>
          <cell r="B138" t="str">
            <v>CC24RZ46-01 ZOE-AAC BZ069 Zoelen, Uiterdijk</v>
          </cell>
          <cell r="C138" t="str">
            <v>CC24RZ46</v>
          </cell>
          <cell r="D138">
            <v>1</v>
          </cell>
          <cell r="E138" t="str">
            <v>Zoelen</v>
          </cell>
          <cell r="F138" t="str">
            <v>Uiterdijk</v>
          </cell>
          <cell r="G138">
            <v>14</v>
          </cell>
          <cell r="H138" t="str">
            <v>Buren 7 kernen_01-01-2025_export.xlsx</v>
          </cell>
          <cell r="I138" t="str">
            <v>C &amp; C Cable &amp; Communication B.V.</v>
          </cell>
          <cell r="J138"/>
          <cell r="K138" t="str">
            <v>ZOE-AAC BZ069</v>
          </cell>
          <cell r="L138">
            <v>45617</v>
          </cell>
          <cell r="M138">
            <v>5</v>
          </cell>
          <cell r="N138">
            <v>5</v>
          </cell>
          <cell r="O138">
            <v>1</v>
          </cell>
          <cell r="P138">
            <v>63</v>
          </cell>
          <cell r="Q138" t="str">
            <v xml:space="preserve">PE100 </v>
          </cell>
          <cell r="R138">
            <v>156393.25</v>
          </cell>
          <cell r="S138">
            <v>435822.42300000001</v>
          </cell>
          <cell r="T138">
            <v>4.1520000000000001</v>
          </cell>
          <cell r="U138">
            <v>156385</v>
          </cell>
          <cell r="V138">
            <v>435828.40600000002</v>
          </cell>
          <cell r="W138">
            <v>4.2770000000000001</v>
          </cell>
          <cell r="X138">
            <v>0.125</v>
          </cell>
          <cell r="Y138">
            <v>4.2145000000000001</v>
          </cell>
          <cell r="Z138">
            <v>10.191113236545316</v>
          </cell>
          <cell r="AA138" t="str">
            <v>156393.25,435822.423</v>
          </cell>
          <cell r="AB138" t="str">
            <v>156385,435828.406</v>
          </cell>
          <cell r="AC138">
            <v>8.8279166016714257</v>
          </cell>
          <cell r="AD138">
            <v>1.154418839278091</v>
          </cell>
          <cell r="AE138">
            <v>0.71</v>
          </cell>
          <cell r="AF138">
            <v>70.12</v>
          </cell>
          <cell r="AG138">
            <v>3.2997434649603354</v>
          </cell>
          <cell r="AH138">
            <v>61.180537975490623</v>
          </cell>
          <cell r="AI138">
            <v>4.3807149456793679</v>
          </cell>
          <cell r="AJ138">
            <v>2.5897434649603355</v>
          </cell>
          <cell r="AK138">
            <v>62.80300320103575</v>
          </cell>
          <cell r="AL138">
            <v>4.4472016559920577</v>
          </cell>
          <cell r="AM138">
            <v>8.8279166016714257</v>
          </cell>
          <cell r="AN138">
            <v>1.154418839278091</v>
          </cell>
          <cell r="AO138" t="e">
            <v>#REF!</v>
          </cell>
          <cell r="AP138" t="e">
            <v>#REF!</v>
          </cell>
          <cell r="AQ138" t="e">
            <v>#REF!</v>
          </cell>
          <cell r="AR138" t="e">
            <v>#REF!</v>
          </cell>
          <cell r="AS138" t="e">
            <v>#REF!</v>
          </cell>
          <cell r="AT138" t="e">
            <v>#REF!</v>
          </cell>
          <cell r="AU138" t="e">
            <v>#REF!</v>
          </cell>
          <cell r="AV138" t="e">
            <v>#REF!</v>
          </cell>
          <cell r="AW138">
            <v>1.154418839278091</v>
          </cell>
          <cell r="AX138">
            <v>1.154418839278091</v>
          </cell>
          <cell r="AY138">
            <v>1.154418839278091</v>
          </cell>
          <cell r="AZ138" t="e">
            <v>#REF!</v>
          </cell>
          <cell r="BE138">
            <v>156389.125</v>
          </cell>
          <cell r="BF138">
            <v>435825.41450000001</v>
          </cell>
        </row>
        <row r="139">
          <cell r="A139" t="str">
            <v>CC24RZ46-02</v>
          </cell>
          <cell r="B139" t="str">
            <v>CC24RZ46-02 ZOE-AAC Zoelen, Uiterdijk</v>
          </cell>
          <cell r="C139" t="str">
            <v>CC24RZ46</v>
          </cell>
          <cell r="D139">
            <v>2</v>
          </cell>
          <cell r="E139" t="str">
            <v>Zoelen</v>
          </cell>
          <cell r="F139" t="str">
            <v>Uiterdijk</v>
          </cell>
          <cell r="G139">
            <v>16</v>
          </cell>
          <cell r="H139" t="str">
            <v>Buren 7 kernen_01-01-2025_export.xlsx</v>
          </cell>
          <cell r="I139" t="str">
            <v>C &amp; C Cable &amp; Communication B.V.</v>
          </cell>
          <cell r="J139"/>
          <cell r="K139" t="str">
            <v>ZOE-AAC</v>
          </cell>
          <cell r="L139">
            <v>45616</v>
          </cell>
          <cell r="M139">
            <v>5</v>
          </cell>
          <cell r="N139">
            <v>9</v>
          </cell>
          <cell r="O139">
            <v>1</v>
          </cell>
          <cell r="P139">
            <v>63</v>
          </cell>
          <cell r="Q139" t="str">
            <v xml:space="preserve">PE100 </v>
          </cell>
          <cell r="R139">
            <v>156391.174</v>
          </cell>
          <cell r="S139">
            <v>435917.34899999999</v>
          </cell>
          <cell r="T139">
            <v>5.4059999999999997</v>
          </cell>
          <cell r="U139">
            <v>156395.20800000001</v>
          </cell>
          <cell r="V139">
            <v>435913.47</v>
          </cell>
          <cell r="W139">
            <v>5.4960000000000004</v>
          </cell>
          <cell r="X139">
            <v>9.0000000000000746E-2</v>
          </cell>
          <cell r="Y139">
            <v>5.4510000000000005</v>
          </cell>
          <cell r="Z139">
            <v>5.5964092952744089</v>
          </cell>
          <cell r="AA139" t="str">
            <v>156391.174,435917.349</v>
          </cell>
          <cell r="AB139" t="str">
            <v>156395.208,435913.47</v>
          </cell>
          <cell r="AC139">
            <v>6.3476743270236113</v>
          </cell>
          <cell r="AD139">
            <v>0.88164719973882677</v>
          </cell>
          <cell r="AE139">
            <v>0.71</v>
          </cell>
          <cell r="AF139">
            <v>50.24</v>
          </cell>
          <cell r="AG139">
            <v>1.80213409772671</v>
          </cell>
          <cell r="AH139">
            <v>38.595159149554647</v>
          </cell>
          <cell r="AI139">
            <v>3.1190678238617648</v>
          </cell>
          <cell r="AJ139">
            <v>1.09213409772671</v>
          </cell>
          <cell r="AK139">
            <v>40.219777676330921</v>
          </cell>
          <cell r="AL139">
            <v>3.2286065031618465</v>
          </cell>
          <cell r="AM139">
            <v>6.3476743270236113</v>
          </cell>
          <cell r="AN139">
            <v>0.88164719973882677</v>
          </cell>
          <cell r="AO139" t="e">
            <v>#REF!</v>
          </cell>
          <cell r="AP139" t="e">
            <v>#REF!</v>
          </cell>
          <cell r="AQ139" t="e">
            <v>#REF!</v>
          </cell>
          <cell r="AR139" t="e">
            <v>#REF!</v>
          </cell>
          <cell r="AS139" t="e">
            <v>#REF!</v>
          </cell>
          <cell r="AT139" t="e">
            <v>#REF!</v>
          </cell>
          <cell r="AU139" t="e">
            <v>#REF!</v>
          </cell>
          <cell r="AV139" t="e">
            <v>#REF!</v>
          </cell>
          <cell r="AW139">
            <v>0.88164719973882677</v>
          </cell>
          <cell r="AX139">
            <v>0.88164719973882677</v>
          </cell>
          <cell r="AY139">
            <v>0.88164719973882677</v>
          </cell>
          <cell r="AZ139" t="e">
            <v>#REF!</v>
          </cell>
          <cell r="BE139">
            <v>156393.19099999999</v>
          </cell>
          <cell r="BF139">
            <v>435915.40949999995</v>
          </cell>
        </row>
        <row r="140">
          <cell r="A140" t="str">
            <v>CC24RZ46-03</v>
          </cell>
          <cell r="B140" t="str">
            <v>CC24RZ46-03 ZOE-AAC Zoelen, Uiterdijk</v>
          </cell>
          <cell r="C140" t="str">
            <v>CC24RZ46</v>
          </cell>
          <cell r="D140">
            <v>3</v>
          </cell>
          <cell r="E140" t="str">
            <v>Zoelen</v>
          </cell>
          <cell r="F140" t="str">
            <v>Uiterdijk</v>
          </cell>
          <cell r="G140" t="str">
            <v>16a</v>
          </cell>
          <cell r="H140" t="str">
            <v>Buren 7 kernen_01-01-2025_export.xlsx</v>
          </cell>
          <cell r="I140" t="str">
            <v>C &amp; C Cable &amp; Communication B.V.</v>
          </cell>
          <cell r="J140"/>
          <cell r="K140" t="str">
            <v>ZOE-AAC</v>
          </cell>
          <cell r="L140">
            <v>45608</v>
          </cell>
          <cell r="M140">
            <v>5</v>
          </cell>
          <cell r="N140">
            <v>8</v>
          </cell>
          <cell r="O140">
            <v>1</v>
          </cell>
          <cell r="P140">
            <v>63</v>
          </cell>
          <cell r="Q140" t="str">
            <v xml:space="preserve">PE100 </v>
          </cell>
          <cell r="R140">
            <v>156434.783</v>
          </cell>
          <cell r="S140">
            <v>435957.32400000002</v>
          </cell>
          <cell r="T140">
            <v>5.258</v>
          </cell>
          <cell r="U140">
            <v>156438.929</v>
          </cell>
          <cell r="V140">
            <v>435951.179</v>
          </cell>
          <cell r="W140">
            <v>5.2750000000000004</v>
          </cell>
          <cell r="X140">
            <v>1.7000000000000348E-2</v>
          </cell>
          <cell r="Y140">
            <v>5.2665000000000006</v>
          </cell>
          <cell r="Z140">
            <v>7.4128497219554204</v>
          </cell>
          <cell r="AA140" t="str">
            <v>156434.783,435957.324</v>
          </cell>
          <cell r="AB140" t="str">
            <v>156438.929,435951.179</v>
          </cell>
          <cell r="AC140">
            <v>7.033190296545925</v>
          </cell>
          <cell r="AD140">
            <v>1.0539811109043857</v>
          </cell>
          <cell r="AE140">
            <v>0.71</v>
          </cell>
          <cell r="AF140">
            <v>55.21</v>
          </cell>
          <cell r="AG140">
            <v>2.1471487929040034</v>
          </cell>
          <cell r="AH140">
            <v>44.555576114520797</v>
          </cell>
          <cell r="AI140">
            <v>3.5080038876966197</v>
          </cell>
          <cell r="AJ140">
            <v>1.4371487929040034</v>
          </cell>
          <cell r="AK140">
            <v>44.832556066367665</v>
          </cell>
          <cell r="AL140">
            <v>3.5251864088493057</v>
          </cell>
          <cell r="AM140">
            <v>7.033190296545925</v>
          </cell>
          <cell r="AN140">
            <v>1.0539811109043857</v>
          </cell>
          <cell r="AO140" t="e">
            <v>#REF!</v>
          </cell>
          <cell r="AP140" t="e">
            <v>#REF!</v>
          </cell>
          <cell r="AQ140" t="e">
            <v>#REF!</v>
          </cell>
          <cell r="AR140" t="e">
            <v>#REF!</v>
          </cell>
          <cell r="AS140" t="e">
            <v>#REF!</v>
          </cell>
          <cell r="AT140" t="e">
            <v>#REF!</v>
          </cell>
          <cell r="AU140" t="e">
            <v>#REF!</v>
          </cell>
          <cell r="AV140" t="e">
            <v>#REF!</v>
          </cell>
          <cell r="AW140">
            <v>1.0539811109043857</v>
          </cell>
          <cell r="AX140">
            <v>1.0539811109043857</v>
          </cell>
          <cell r="AY140">
            <v>1.0539811109043857</v>
          </cell>
          <cell r="AZ140" t="e">
            <v>#REF!</v>
          </cell>
          <cell r="BE140">
            <v>156436.856</v>
          </cell>
          <cell r="BF140">
            <v>435954.25150000001</v>
          </cell>
        </row>
        <row r="141">
          <cell r="A141" t="str">
            <v>CC24RZ46-04</v>
          </cell>
          <cell r="B141" t="str">
            <v>CC24RZ46-04 ZOE-AAC Zoelen, Uiterdijk</v>
          </cell>
          <cell r="C141" t="str">
            <v>CC24RZ46</v>
          </cell>
          <cell r="D141">
            <v>4</v>
          </cell>
          <cell r="E141" t="str">
            <v>Zoelen</v>
          </cell>
          <cell r="F141" t="str">
            <v>Uiterdijk</v>
          </cell>
          <cell r="G141" t="str">
            <v>16b</v>
          </cell>
          <cell r="H141" t="str">
            <v>Buren 7 kernen_01-01-2025_export.xlsx</v>
          </cell>
          <cell r="I141" t="str">
            <v>C &amp; C Cable &amp; Communication B.V.</v>
          </cell>
          <cell r="J141"/>
          <cell r="K141" t="str">
            <v>ZOE-AAC</v>
          </cell>
          <cell r="L141">
            <v>45608</v>
          </cell>
          <cell r="M141">
            <v>5</v>
          </cell>
          <cell r="N141">
            <v>8</v>
          </cell>
          <cell r="O141">
            <v>1</v>
          </cell>
          <cell r="P141">
            <v>63</v>
          </cell>
          <cell r="Q141" t="str">
            <v xml:space="preserve">PE100 </v>
          </cell>
          <cell r="R141">
            <v>156460.73499999999</v>
          </cell>
          <cell r="S141">
            <v>435968.32199999999</v>
          </cell>
          <cell r="T141">
            <v>5.2190000000000003</v>
          </cell>
          <cell r="U141">
            <v>156458.00899999999</v>
          </cell>
          <cell r="V141">
            <v>435973.79599999997</v>
          </cell>
          <cell r="W141">
            <v>5.2140000000000004</v>
          </cell>
          <cell r="X141">
            <v>-4.9999999999998934E-3</v>
          </cell>
          <cell r="Y141">
            <v>5.2164999999999999</v>
          </cell>
          <cell r="Z141">
            <v>6.1152066195538888</v>
          </cell>
          <cell r="AA141" t="str">
            <v>156460.735,435968.322</v>
          </cell>
          <cell r="AB141" t="str">
            <v>156458.009,435973.796</v>
          </cell>
          <cell r="AC141">
            <v>7.0109223514955765</v>
          </cell>
          <cell r="AD141">
            <v>0.87223995830582646</v>
          </cell>
          <cell r="AE141">
            <v>0.71</v>
          </cell>
          <cell r="AF141">
            <v>55.21</v>
          </cell>
          <cell r="AG141">
            <v>2.1471487929040034</v>
          </cell>
          <cell r="AH141">
            <v>44.555576114520797</v>
          </cell>
          <cell r="AI141">
            <v>3.5080038876966197</v>
          </cell>
          <cell r="AJ141">
            <v>1.4371487929040034</v>
          </cell>
          <cell r="AK141">
            <v>44.473852531051044</v>
          </cell>
          <cell r="AL141">
            <v>3.5029184637989563</v>
          </cell>
          <cell r="AM141">
            <v>7.0109223514955765</v>
          </cell>
          <cell r="AN141">
            <v>0.87223995830582646</v>
          </cell>
          <cell r="AO141" t="e">
            <v>#REF!</v>
          </cell>
          <cell r="AP141" t="e">
            <v>#REF!</v>
          </cell>
          <cell r="AQ141" t="e">
            <v>#REF!</v>
          </cell>
          <cell r="AR141" t="e">
            <v>#REF!</v>
          </cell>
          <cell r="AS141" t="e">
            <v>#REF!</v>
          </cell>
          <cell r="AT141" t="e">
            <v>#REF!</v>
          </cell>
          <cell r="AU141" t="e">
            <v>#REF!</v>
          </cell>
          <cell r="AV141" t="e">
            <v>#REF!</v>
          </cell>
          <cell r="AW141">
            <v>0.87223995830582646</v>
          </cell>
          <cell r="AX141">
            <v>0.87223995830582646</v>
          </cell>
          <cell r="AY141">
            <v>0.87223995830582646</v>
          </cell>
          <cell r="AZ141" t="e">
            <v>#REF!</v>
          </cell>
          <cell r="BE141">
            <v>156459.37199999997</v>
          </cell>
          <cell r="BF141">
            <v>435971.05900000001</v>
          </cell>
        </row>
        <row r="142">
          <cell r="A142" t="str">
            <v>CC24RZ46-05</v>
          </cell>
          <cell r="B142" t="str">
            <v>CC24RZ46-05 ZOE-AAC Zoelen, Uiterdijk</v>
          </cell>
          <cell r="C142" t="str">
            <v>CC24RZ46</v>
          </cell>
          <cell r="D142">
            <v>5</v>
          </cell>
          <cell r="E142" t="str">
            <v>Zoelen</v>
          </cell>
          <cell r="F142" t="str">
            <v>Uiterdijk</v>
          </cell>
          <cell r="G142">
            <v>28</v>
          </cell>
          <cell r="H142" t="str">
            <v>Buren 7 kernen_01-01-2025_export.xlsx</v>
          </cell>
          <cell r="I142" t="str">
            <v>C &amp; C Cable &amp; Communication B.V.</v>
          </cell>
          <cell r="J142"/>
          <cell r="K142" t="str">
            <v>ZOE-AAC</v>
          </cell>
          <cell r="L142">
            <v>45608</v>
          </cell>
          <cell r="M142">
            <v>5</v>
          </cell>
          <cell r="N142">
            <v>8</v>
          </cell>
          <cell r="O142">
            <v>1</v>
          </cell>
          <cell r="P142">
            <v>63</v>
          </cell>
          <cell r="Q142" t="str">
            <v xml:space="preserve">PE100 </v>
          </cell>
          <cell r="R142">
            <v>156554.193</v>
          </cell>
          <cell r="S142">
            <v>436022.97</v>
          </cell>
          <cell r="T142">
            <v>5.0069999999999997</v>
          </cell>
          <cell r="U142">
            <v>156556.55799999999</v>
          </cell>
          <cell r="V142">
            <v>436016.79800000001</v>
          </cell>
          <cell r="W142">
            <v>5.1210000000000004</v>
          </cell>
          <cell r="X142">
            <v>0.11400000000000077</v>
          </cell>
          <cell r="Y142">
            <v>5.0640000000000001</v>
          </cell>
          <cell r="Z142">
            <v>6.6095997609152066</v>
          </cell>
          <cell r="AA142" t="str">
            <v>156554.193,436022.97</v>
          </cell>
          <cell r="AB142" t="str">
            <v>156556.558,436016.798</v>
          </cell>
          <cell r="AC142">
            <v>7.1281455080358693</v>
          </cell>
          <cell r="AD142">
            <v>0.9272537651572792</v>
          </cell>
          <cell r="AE142">
            <v>0.71</v>
          </cell>
          <cell r="AF142">
            <v>55.21</v>
          </cell>
          <cell r="AG142">
            <v>2.1471487929040034</v>
          </cell>
          <cell r="AH142">
            <v>44.555576114520797</v>
          </cell>
          <cell r="AI142">
            <v>3.5080038876966197</v>
          </cell>
          <cell r="AJ142">
            <v>1.4371487929040034</v>
          </cell>
          <cell r="AK142">
            <v>46.388075762862208</v>
          </cell>
          <cell r="AL142">
            <v>3.6201416203392496</v>
          </cell>
          <cell r="AM142">
            <v>7.1281455080358693</v>
          </cell>
          <cell r="AN142">
            <v>0.9272537651572792</v>
          </cell>
          <cell r="AO142" t="e">
            <v>#REF!</v>
          </cell>
          <cell r="AP142" t="e">
            <v>#REF!</v>
          </cell>
          <cell r="AQ142" t="e">
            <v>#REF!</v>
          </cell>
          <cell r="AR142" t="e">
            <v>#REF!</v>
          </cell>
          <cell r="AS142" t="e">
            <v>#REF!</v>
          </cell>
          <cell r="AT142" t="e">
            <v>#REF!</v>
          </cell>
          <cell r="AU142" t="e">
            <v>#REF!</v>
          </cell>
          <cell r="AV142" t="e">
            <v>#REF!</v>
          </cell>
          <cell r="AW142">
            <v>0.9272537651572792</v>
          </cell>
          <cell r="AX142">
            <v>0.9272537651572792</v>
          </cell>
          <cell r="AY142">
            <v>0.9272537651572792</v>
          </cell>
          <cell r="AZ142" t="e">
            <v>#REF!</v>
          </cell>
          <cell r="BE142">
            <v>156555.37549999999</v>
          </cell>
          <cell r="BF142">
            <v>436019.88399999996</v>
          </cell>
        </row>
        <row r="143">
          <cell r="A143" t="str">
            <v>CC24RZ46-06</v>
          </cell>
          <cell r="B143" t="str">
            <v>CC24RZ46-06 ZOE-AAC Zoelen, Terweistraat</v>
          </cell>
          <cell r="C143" t="str">
            <v>CC24RZ46</v>
          </cell>
          <cell r="D143">
            <v>6</v>
          </cell>
          <cell r="E143" t="str">
            <v>Zoelen</v>
          </cell>
          <cell r="F143" t="str">
            <v>Terweistraat</v>
          </cell>
          <cell r="G143">
            <v>2</v>
          </cell>
          <cell r="H143" t="str">
            <v>Buren 7 kernen_01-01-2025_export.xlsx</v>
          </cell>
          <cell r="I143" t="str">
            <v>C &amp; C Cable &amp; Communication B.V.</v>
          </cell>
          <cell r="J143"/>
          <cell r="K143" t="str">
            <v>ZOE-AAC</v>
          </cell>
          <cell r="L143">
            <v>45604</v>
          </cell>
          <cell r="M143">
            <v>5</v>
          </cell>
          <cell r="N143">
            <v>7</v>
          </cell>
          <cell r="O143">
            <v>1</v>
          </cell>
          <cell r="P143">
            <v>63</v>
          </cell>
          <cell r="Q143" t="str">
            <v xml:space="preserve">PE100 </v>
          </cell>
          <cell r="R143">
            <v>156544.929</v>
          </cell>
          <cell r="S143">
            <v>436070.652</v>
          </cell>
          <cell r="T143">
            <v>5.1539999999999999</v>
          </cell>
          <cell r="U143">
            <v>156552.758</v>
          </cell>
          <cell r="V143">
            <v>436070.52500000002</v>
          </cell>
          <cell r="W143">
            <v>5.016</v>
          </cell>
          <cell r="X143">
            <v>-0.1379999999999999</v>
          </cell>
          <cell r="Y143">
            <v>5.085</v>
          </cell>
          <cell r="Z143">
            <v>7.8300300127114291</v>
          </cell>
          <cell r="AA143" t="str">
            <v>156544.929,436070.652</v>
          </cell>
          <cell r="AB143" t="str">
            <v>156552.758,436070.525</v>
          </cell>
          <cell r="AC143">
            <v>7.5707231482453352</v>
          </cell>
          <cell r="AD143">
            <v>1.0342512675986828</v>
          </cell>
          <cell r="AE143">
            <v>0.71</v>
          </cell>
          <cell r="AF143">
            <v>60.18</v>
          </cell>
          <cell r="AG143">
            <v>2.5136158098502692</v>
          </cell>
          <cell r="AH143">
            <v>50.262083753567481</v>
          </cell>
          <cell r="AI143">
            <v>3.8448833674067213</v>
          </cell>
          <cell r="AJ143">
            <v>1.8036158098502693</v>
          </cell>
          <cell r="AK143">
            <v>48.173527118941962</v>
          </cell>
          <cell r="AL143">
            <v>3.7258397808386134</v>
          </cell>
          <cell r="AM143">
            <v>7.5707231482453352</v>
          </cell>
          <cell r="AN143">
            <v>1.0342512675986828</v>
          </cell>
          <cell r="AO143" t="e">
            <v>#REF!</v>
          </cell>
          <cell r="AP143" t="e">
            <v>#REF!</v>
          </cell>
          <cell r="AQ143" t="e">
            <v>#REF!</v>
          </cell>
          <cell r="AR143" t="e">
            <v>#REF!</v>
          </cell>
          <cell r="AS143" t="e">
            <v>#REF!</v>
          </cell>
          <cell r="AT143" t="e">
            <v>#REF!</v>
          </cell>
          <cell r="AU143" t="e">
            <v>#REF!</v>
          </cell>
          <cell r="AV143" t="e">
            <v>#REF!</v>
          </cell>
          <cell r="AW143">
            <v>1.0342512675986828</v>
          </cell>
          <cell r="AX143">
            <v>1.0342512675986828</v>
          </cell>
          <cell r="AY143">
            <v>1.0342512675986828</v>
          </cell>
          <cell r="AZ143" t="e">
            <v>#REF!</v>
          </cell>
          <cell r="BE143">
            <v>156548.84350000002</v>
          </cell>
          <cell r="BF143">
            <v>436070.58850000001</v>
          </cell>
        </row>
        <row r="144">
          <cell r="A144" t="str">
            <v>CC24RZ46-07</v>
          </cell>
          <cell r="B144" t="str">
            <v>CC24RZ46-07 ZOE-AAC Zoelen, Scharenburg</v>
          </cell>
          <cell r="C144" t="str">
            <v>CC24RZ46</v>
          </cell>
          <cell r="D144">
            <v>7</v>
          </cell>
          <cell r="E144" t="str">
            <v>Zoelen</v>
          </cell>
          <cell r="F144" t="str">
            <v>Scharenburg</v>
          </cell>
          <cell r="G144">
            <v>43</v>
          </cell>
          <cell r="H144" t="str">
            <v>Buren 7 kernen_01-01-2025_export.xlsx</v>
          </cell>
          <cell r="I144" t="str">
            <v>C &amp; C Cable &amp; Communication B.V.</v>
          </cell>
          <cell r="J144"/>
          <cell r="K144" t="str">
            <v>ZOE-AAC</v>
          </cell>
          <cell r="L144">
            <v>45603</v>
          </cell>
          <cell r="M144">
            <v>5</v>
          </cell>
          <cell r="N144">
            <v>7</v>
          </cell>
          <cell r="O144">
            <v>1</v>
          </cell>
          <cell r="P144">
            <v>63</v>
          </cell>
          <cell r="Q144" t="str">
            <v xml:space="preserve">PE100 </v>
          </cell>
          <cell r="R144">
            <v>156480.71799999999</v>
          </cell>
          <cell r="S144">
            <v>436215.25699999998</v>
          </cell>
          <cell r="T144">
            <v>5.1239999999999997</v>
          </cell>
          <cell r="U144">
            <v>156481.261</v>
          </cell>
          <cell r="V144">
            <v>436222.46299999999</v>
          </cell>
          <cell r="W144">
            <v>4.9960000000000004</v>
          </cell>
          <cell r="X144">
            <v>-0.12799999999999923</v>
          </cell>
          <cell r="Y144">
            <v>5.0600000000000005</v>
          </cell>
          <cell r="Z144">
            <v>7.2264296163517772</v>
          </cell>
          <cell r="AA144" t="str">
            <v>156480.718,436215.257</v>
          </cell>
          <cell r="AB144" t="str">
            <v>156481.261,436222.463</v>
          </cell>
          <cell r="AC144">
            <v>7.5796483876298844</v>
          </cell>
          <cell r="AD144">
            <v>0.95339905583818818</v>
          </cell>
          <cell r="AE144">
            <v>0.71</v>
          </cell>
          <cell r="AF144">
            <v>60.18</v>
          </cell>
          <cell r="AG144">
            <v>2.5136158098502692</v>
          </cell>
          <cell r="AH144">
            <v>50.262083753567481</v>
          </cell>
          <cell r="AI144">
            <v>3.8448833674067213</v>
          </cell>
          <cell r="AJ144">
            <v>1.8036158098502693</v>
          </cell>
          <cell r="AK144">
            <v>48.327122562551004</v>
          </cell>
          <cell r="AL144">
            <v>3.7347650202231626</v>
          </cell>
          <cell r="AM144">
            <v>7.5796483876298844</v>
          </cell>
          <cell r="AN144">
            <v>0.95339905583818818</v>
          </cell>
          <cell r="AO144" t="e">
            <v>#REF!</v>
          </cell>
          <cell r="AP144" t="e">
            <v>#REF!</v>
          </cell>
          <cell r="AQ144" t="e">
            <v>#REF!</v>
          </cell>
          <cell r="AR144" t="e">
            <v>#REF!</v>
          </cell>
          <cell r="AS144" t="e">
            <v>#REF!</v>
          </cell>
          <cell r="AT144" t="e">
            <v>#REF!</v>
          </cell>
          <cell r="AU144" t="e">
            <v>#REF!</v>
          </cell>
          <cell r="AV144" t="e">
            <v>#REF!</v>
          </cell>
          <cell r="AW144">
            <v>0.95339905583818818</v>
          </cell>
          <cell r="AX144">
            <v>0.95339905583818818</v>
          </cell>
          <cell r="AY144">
            <v>0.95339905583818818</v>
          </cell>
          <cell r="AZ144" t="e">
            <v>#REF!</v>
          </cell>
          <cell r="BE144">
            <v>156480.9895</v>
          </cell>
          <cell r="BF144">
            <v>436218.86</v>
          </cell>
        </row>
        <row r="145">
          <cell r="A145" t="str">
            <v>CC24RZ46-08</v>
          </cell>
          <cell r="B145" t="str">
            <v>CC24RZ46-08 ZOE-AAC Zoelen, Hogestraat</v>
          </cell>
          <cell r="C145" t="str">
            <v>CC24RZ46</v>
          </cell>
          <cell r="D145">
            <v>8</v>
          </cell>
          <cell r="E145" t="str">
            <v>Zoelen</v>
          </cell>
          <cell r="F145" t="str">
            <v>Hogestraat</v>
          </cell>
          <cell r="G145">
            <v>2</v>
          </cell>
          <cell r="H145" t="str">
            <v>Buren 7 kernen_01-01-2025_export.xlsx</v>
          </cell>
          <cell r="I145" t="str">
            <v>C &amp; C Cable &amp; Communication B.V.</v>
          </cell>
          <cell r="J145"/>
          <cell r="K145" t="str">
            <v>ZOE-AAC</v>
          </cell>
          <cell r="L145">
            <v>45603</v>
          </cell>
          <cell r="M145">
            <v>5</v>
          </cell>
          <cell r="N145">
            <v>8</v>
          </cell>
          <cell r="O145">
            <v>1</v>
          </cell>
          <cell r="P145">
            <v>63</v>
          </cell>
          <cell r="Q145" t="str">
            <v xml:space="preserve">PE100 </v>
          </cell>
          <cell r="R145">
            <v>155494.71</v>
          </cell>
          <cell r="S145">
            <v>436642.17499999999</v>
          </cell>
          <cell r="T145">
            <v>3.41</v>
          </cell>
          <cell r="U145">
            <v>155489.61300000001</v>
          </cell>
          <cell r="V145">
            <v>436637.935</v>
          </cell>
          <cell r="W145">
            <v>3.4460000000000002</v>
          </cell>
          <cell r="X145">
            <v>3.6000000000000032E-2</v>
          </cell>
          <cell r="Y145">
            <v>3.4279999999999999</v>
          </cell>
          <cell r="Z145">
            <v>6.6300082201845374</v>
          </cell>
          <cell r="AA145" t="str">
            <v>155494.71,436642.175</v>
          </cell>
          <cell r="AB145" t="str">
            <v>155489.613,436637.935</v>
          </cell>
          <cell r="AC145">
            <v>7.0521992213380251</v>
          </cell>
          <cell r="AD145">
            <v>0.94013342676479517</v>
          </cell>
          <cell r="AE145">
            <v>0.71</v>
          </cell>
          <cell r="AF145">
            <v>55.21</v>
          </cell>
          <cell r="AG145">
            <v>2.1471487929040034</v>
          </cell>
          <cell r="AH145">
            <v>44.555576114520797</v>
          </cell>
          <cell r="AI145">
            <v>3.5080038876966197</v>
          </cell>
          <cell r="AJ145">
            <v>1.4371487929040034</v>
          </cell>
          <cell r="AK145">
            <v>45.140536941985644</v>
          </cell>
          <cell r="AL145">
            <v>3.5441953336414049</v>
          </cell>
          <cell r="AM145">
            <v>7.0521992213380251</v>
          </cell>
          <cell r="AN145">
            <v>0.94013342676479517</v>
          </cell>
          <cell r="AO145" t="e">
            <v>#REF!</v>
          </cell>
          <cell r="AP145" t="e">
            <v>#REF!</v>
          </cell>
          <cell r="AQ145" t="e">
            <v>#REF!</v>
          </cell>
          <cell r="AR145" t="e">
            <v>#REF!</v>
          </cell>
          <cell r="AS145" t="e">
            <v>#REF!</v>
          </cell>
          <cell r="AT145" t="e">
            <v>#REF!</v>
          </cell>
          <cell r="AU145" t="e">
            <v>#REF!</v>
          </cell>
          <cell r="AV145" t="e">
            <v>#REF!</v>
          </cell>
          <cell r="AW145">
            <v>0.94013342676479517</v>
          </cell>
          <cell r="AX145">
            <v>0.94013342676479517</v>
          </cell>
          <cell r="AY145">
            <v>0.94013342676479517</v>
          </cell>
          <cell r="AZ145" t="e">
            <v>#REF!</v>
          </cell>
          <cell r="BE145">
            <v>155492.16149999999</v>
          </cell>
          <cell r="BF145">
            <v>436640.05499999999</v>
          </cell>
        </row>
        <row r="146">
          <cell r="A146" t="str">
            <v>CC24RZ46-09</v>
          </cell>
          <cell r="B146" t="str">
            <v>CC24RZ46-09 ZOE-AAC Zoelen, Hogestraat</v>
          </cell>
          <cell r="C146" t="str">
            <v>CC24RZ46</v>
          </cell>
          <cell r="D146">
            <v>9</v>
          </cell>
          <cell r="E146" t="str">
            <v>Zoelen</v>
          </cell>
          <cell r="F146" t="str">
            <v>Hogestraat</v>
          </cell>
          <cell r="G146">
            <v>1</v>
          </cell>
          <cell r="H146" t="str">
            <v>Buren 7 kernen_01-01-2025_export.xlsx</v>
          </cell>
          <cell r="I146" t="str">
            <v>C &amp; C Cable &amp; Communication B.V.</v>
          </cell>
          <cell r="J146"/>
          <cell r="K146" t="str">
            <v>ZOE-AAC</v>
          </cell>
          <cell r="L146">
            <v>45602</v>
          </cell>
          <cell r="M146">
            <v>5</v>
          </cell>
          <cell r="N146">
            <v>8</v>
          </cell>
          <cell r="O146">
            <v>1</v>
          </cell>
          <cell r="P146">
            <v>63</v>
          </cell>
          <cell r="Q146" t="str">
            <v xml:space="preserve">PE100 </v>
          </cell>
          <cell r="R146">
            <v>155397.81299999999</v>
          </cell>
          <cell r="S146">
            <v>436742.74900000001</v>
          </cell>
          <cell r="T146">
            <v>3.5579999999999998</v>
          </cell>
          <cell r="U146">
            <v>155393.25099999999</v>
          </cell>
          <cell r="V146">
            <v>436738.39799999999</v>
          </cell>
          <cell r="W146">
            <v>3.379</v>
          </cell>
          <cell r="X146">
            <v>-0.17899999999999983</v>
          </cell>
          <cell r="Y146">
            <v>3.4684999999999997</v>
          </cell>
          <cell r="Z146">
            <v>6.3042085149731184</v>
          </cell>
          <cell r="AA146" t="str">
            <v>155397.813,436742.749</v>
          </cell>
          <cell r="AB146" t="str">
            <v>155393.251,436738.398</v>
          </cell>
          <cell r="AC146">
            <v>6.8244100063669837</v>
          </cell>
          <cell r="AD146">
            <v>0.92377341178086725</v>
          </cell>
          <cell r="AE146">
            <v>0.71</v>
          </cell>
          <cell r="AF146">
            <v>55.21</v>
          </cell>
          <cell r="AG146">
            <v>2.1471487929040034</v>
          </cell>
          <cell r="AH146">
            <v>44.555576114520797</v>
          </cell>
          <cell r="AI146">
            <v>3.5080038876966197</v>
          </cell>
          <cell r="AJ146">
            <v>1.4371487929040034</v>
          </cell>
          <cell r="AK146">
            <v>41.550600290400297</v>
          </cell>
          <cell r="AL146">
            <v>3.3164061186703639</v>
          </cell>
          <cell r="AM146">
            <v>6.8244100063669837</v>
          </cell>
          <cell r="AN146">
            <v>0.92377341178086725</v>
          </cell>
          <cell r="AO146" t="e">
            <v>#REF!</v>
          </cell>
          <cell r="AP146" t="e">
            <v>#REF!</v>
          </cell>
          <cell r="AQ146" t="e">
            <v>#REF!</v>
          </cell>
          <cell r="AR146" t="e">
            <v>#REF!</v>
          </cell>
          <cell r="AS146" t="e">
            <v>#REF!</v>
          </cell>
          <cell r="AT146" t="e">
            <v>#REF!</v>
          </cell>
          <cell r="AU146" t="e">
            <v>#REF!</v>
          </cell>
          <cell r="AV146" t="e">
            <v>#REF!</v>
          </cell>
          <cell r="AW146">
            <v>0.92377341178086725</v>
          </cell>
          <cell r="AX146">
            <v>0.92377341178086725</v>
          </cell>
          <cell r="AY146">
            <v>0.92377341178086725</v>
          </cell>
          <cell r="AZ146" t="e">
            <v>#REF!</v>
          </cell>
          <cell r="BE146">
            <v>155395.53200000001</v>
          </cell>
          <cell r="BF146">
            <v>436740.5735</v>
          </cell>
        </row>
        <row r="147">
          <cell r="A147" t="str">
            <v>CC24RZ46-10</v>
          </cell>
          <cell r="B147" t="str">
            <v>CC24RZ46-10 ZOE-AAC Zoelen, Hogestraat</v>
          </cell>
          <cell r="C147" t="str">
            <v>CC24RZ46</v>
          </cell>
          <cell r="D147">
            <v>10</v>
          </cell>
          <cell r="E147" t="str">
            <v>Zoelen</v>
          </cell>
          <cell r="F147" t="str">
            <v>Hogestraat</v>
          </cell>
          <cell r="G147">
            <v>34</v>
          </cell>
          <cell r="H147" t="str">
            <v>Buren 7 kernen_01-01-2025_export.xlsx</v>
          </cell>
          <cell r="I147" t="str">
            <v>C &amp; C Cable &amp; Communication B.V.</v>
          </cell>
          <cell r="J147"/>
          <cell r="K147" t="str">
            <v>ZOE-AAC</v>
          </cell>
          <cell r="L147">
            <v>45602</v>
          </cell>
          <cell r="M147">
            <v>5</v>
          </cell>
          <cell r="N147">
            <v>8</v>
          </cell>
          <cell r="O147">
            <v>1</v>
          </cell>
          <cell r="P147">
            <v>63</v>
          </cell>
          <cell r="Q147" t="str">
            <v xml:space="preserve">PE100 </v>
          </cell>
          <cell r="R147">
            <v>155211.99900000001</v>
          </cell>
          <cell r="S147">
            <v>436961.42099999997</v>
          </cell>
          <cell r="T147">
            <v>3.5059999999999998</v>
          </cell>
          <cell r="U147">
            <v>155206.14199999999</v>
          </cell>
          <cell r="V147">
            <v>436957.10100000002</v>
          </cell>
          <cell r="W147">
            <v>3.5070000000000001</v>
          </cell>
          <cell r="X147">
            <v>1.000000000000334E-3</v>
          </cell>
          <cell r="Y147">
            <v>3.5065</v>
          </cell>
          <cell r="Z147">
            <v>7.2778327130932441</v>
          </cell>
          <cell r="AA147" t="str">
            <v>155211.999,436961.421</v>
          </cell>
          <cell r="AB147" t="str">
            <v>155206.142,436957.101</v>
          </cell>
          <cell r="AC147">
            <v>7.0170231208312579</v>
          </cell>
          <cell r="AD147">
            <v>1.0371681249685107</v>
          </cell>
          <cell r="AE147">
            <v>0.71</v>
          </cell>
          <cell r="AF147">
            <v>55.21</v>
          </cell>
          <cell r="AG147">
            <v>2.1471487929040034</v>
          </cell>
          <cell r="AH147">
            <v>44.555576114520797</v>
          </cell>
          <cell r="AI147">
            <v>3.5080038876966197</v>
          </cell>
          <cell r="AJ147">
            <v>1.4371487929040034</v>
          </cell>
          <cell r="AK147">
            <v>44.571906623381508</v>
          </cell>
          <cell r="AL147">
            <v>3.5090192331346377</v>
          </cell>
          <cell r="AM147">
            <v>7.0170231208312579</v>
          </cell>
          <cell r="AN147">
            <v>1.0371681249685107</v>
          </cell>
          <cell r="AO147" t="e">
            <v>#REF!</v>
          </cell>
          <cell r="AP147" t="e">
            <v>#REF!</v>
          </cell>
          <cell r="AQ147" t="e">
            <v>#REF!</v>
          </cell>
          <cell r="AR147" t="e">
            <v>#REF!</v>
          </cell>
          <cell r="AS147" t="e">
            <v>#REF!</v>
          </cell>
          <cell r="AT147" t="e">
            <v>#REF!</v>
          </cell>
          <cell r="AU147" t="e">
            <v>#REF!</v>
          </cell>
          <cell r="AV147" t="e">
            <v>#REF!</v>
          </cell>
          <cell r="AW147">
            <v>1.0371681249685107</v>
          </cell>
          <cell r="AX147">
            <v>1.0371681249685107</v>
          </cell>
          <cell r="AY147">
            <v>1.0371681249685107</v>
          </cell>
          <cell r="AZ147" t="e">
            <v>#REF!</v>
          </cell>
          <cell r="BE147">
            <v>155209.0705</v>
          </cell>
          <cell r="BF147">
            <v>436959.261</v>
          </cell>
        </row>
        <row r="148">
          <cell r="A148" t="str">
            <v>CC24RZ46-11</v>
          </cell>
          <cell r="B148" t="str">
            <v>CC24RZ46-11 ZOE-AAC BZ039  Zoelen, Hogestraat</v>
          </cell>
          <cell r="C148" t="str">
            <v>CC24RZ46</v>
          </cell>
          <cell r="D148">
            <v>11</v>
          </cell>
          <cell r="E148" t="str">
            <v>Zoelen</v>
          </cell>
          <cell r="F148" t="str">
            <v>Hogestraat</v>
          </cell>
          <cell r="G148">
            <v>46</v>
          </cell>
          <cell r="H148" t="str">
            <v>Buren 7 kernen_01-01-2025_export.xlsx</v>
          </cell>
          <cell r="I148" t="str">
            <v>C &amp; C Cable &amp; Communication B.V.</v>
          </cell>
          <cell r="J148"/>
          <cell r="K148" t="str">
            <v xml:space="preserve">ZOE-AAC BZ039 </v>
          </cell>
          <cell r="L148">
            <v>45601</v>
          </cell>
          <cell r="M148">
            <v>5</v>
          </cell>
          <cell r="N148">
            <v>9</v>
          </cell>
          <cell r="O148">
            <v>1</v>
          </cell>
          <cell r="P148">
            <v>63</v>
          </cell>
          <cell r="Q148" t="str">
            <v xml:space="preserve">PE100 </v>
          </cell>
          <cell r="R148">
            <v>155127.55300000001</v>
          </cell>
          <cell r="S148">
            <v>437080.83299999998</v>
          </cell>
          <cell r="T148">
            <v>3.645</v>
          </cell>
          <cell r="U148">
            <v>155123.351</v>
          </cell>
          <cell r="V148">
            <v>437086.45400000003</v>
          </cell>
          <cell r="W148">
            <v>3.589</v>
          </cell>
          <cell r="X148">
            <v>-5.600000000000005E-2</v>
          </cell>
          <cell r="Y148">
            <v>3.617</v>
          </cell>
          <cell r="Z148">
            <v>7.0180086207302441</v>
          </cell>
          <cell r="AA148" t="str">
            <v>155127.553,437080.833</v>
          </cell>
          <cell r="AB148" t="str">
            <v>155123.351,437086.454</v>
          </cell>
          <cell r="AC148">
            <v>6.1666516387543364</v>
          </cell>
          <cell r="AD148">
            <v>1.1380582254112674</v>
          </cell>
          <cell r="AE148">
            <v>0.71</v>
          </cell>
          <cell r="AF148">
            <v>50.24</v>
          </cell>
          <cell r="AG148">
            <v>1.80213409772671</v>
          </cell>
          <cell r="AH148">
            <v>38.595159149554647</v>
          </cell>
          <cell r="AI148">
            <v>3.1190678238617648</v>
          </cell>
          <cell r="AJ148">
            <v>1.09213409772671</v>
          </cell>
          <cell r="AK148">
            <v>37.554569978818861</v>
          </cell>
          <cell r="AL148">
            <v>3.0475838148925716</v>
          </cell>
          <cell r="AM148">
            <v>6.1666516387543364</v>
          </cell>
          <cell r="AN148">
            <v>1.1380582254112674</v>
          </cell>
          <cell r="AO148" t="e">
            <v>#REF!</v>
          </cell>
          <cell r="AP148" t="e">
            <v>#REF!</v>
          </cell>
          <cell r="AQ148" t="e">
            <v>#REF!</v>
          </cell>
          <cell r="AR148" t="e">
            <v>#REF!</v>
          </cell>
          <cell r="AS148" t="e">
            <v>#REF!</v>
          </cell>
          <cell r="AT148" t="e">
            <v>#REF!</v>
          </cell>
          <cell r="AU148" t="e">
            <v>#REF!</v>
          </cell>
          <cell r="AV148" t="e">
            <v>#REF!</v>
          </cell>
          <cell r="AW148">
            <v>1.1380582254112674</v>
          </cell>
          <cell r="AX148">
            <v>1.1380582254112674</v>
          </cell>
          <cell r="AY148">
            <v>1.1380582254112674</v>
          </cell>
          <cell r="AZ148" t="e">
            <v>#REF!</v>
          </cell>
          <cell r="BE148">
            <v>155125.45199999999</v>
          </cell>
          <cell r="BF148">
            <v>437083.64350000001</v>
          </cell>
        </row>
        <row r="149">
          <cell r="A149" t="str">
            <v>CC24RZ46-12</v>
          </cell>
          <cell r="B149" t="str">
            <v>CC24RZ46-12 ZOE-AAC Zoelen, Uiterdijk</v>
          </cell>
          <cell r="C149" t="str">
            <v>CC24RZ46</v>
          </cell>
          <cell r="D149">
            <v>12</v>
          </cell>
          <cell r="E149" t="str">
            <v>Zoelen</v>
          </cell>
          <cell r="F149" t="str">
            <v>Uiterdijk</v>
          </cell>
          <cell r="G149">
            <v>8</v>
          </cell>
          <cell r="H149" t="str">
            <v>Buren 7 kernen_01-01-2025_export.xlsx</v>
          </cell>
          <cell r="I149" t="str">
            <v>C &amp; C Cable &amp; Communication B.V.</v>
          </cell>
          <cell r="J149"/>
          <cell r="K149" t="str">
            <v>ZOE-AAC</v>
          </cell>
          <cell r="L149">
            <v>45624</v>
          </cell>
          <cell r="M149">
            <v>5</v>
          </cell>
          <cell r="N149">
            <v>8</v>
          </cell>
          <cell r="O149">
            <v>1</v>
          </cell>
          <cell r="P149">
            <v>63</v>
          </cell>
          <cell r="Q149" t="str">
            <v xml:space="preserve">PE100 </v>
          </cell>
          <cell r="R149">
            <v>156302.49299999999</v>
          </cell>
          <cell r="S149">
            <v>435816.64299999998</v>
          </cell>
          <cell r="T149">
            <v>5.2990000000000004</v>
          </cell>
          <cell r="U149">
            <v>156297.88800000001</v>
          </cell>
          <cell r="V149">
            <v>435820.79300000001</v>
          </cell>
          <cell r="W149">
            <v>5.3369999999999997</v>
          </cell>
          <cell r="X149">
            <v>3.7999999999999368E-2</v>
          </cell>
          <cell r="Y149">
            <v>5.3179999999999996</v>
          </cell>
          <cell r="Z149">
            <v>6.1990745277034458</v>
          </cell>
          <cell r="AA149" t="str">
            <v>156302.493,435816.643</v>
          </cell>
          <cell r="AB149" t="str">
            <v>156297.888,435820.793</v>
          </cell>
          <cell r="AC149">
            <v>7.0541883115293524</v>
          </cell>
          <cell r="AD149">
            <v>0.87877928032792796</v>
          </cell>
          <cell r="AE149">
            <v>0.71</v>
          </cell>
          <cell r="AF149">
            <v>55.21</v>
          </cell>
          <cell r="AG149">
            <v>2.1471487929040034</v>
          </cell>
          <cell r="AH149">
            <v>44.555576114520797</v>
          </cell>
          <cell r="AI149">
            <v>3.5080038876966197</v>
          </cell>
          <cell r="AJ149">
            <v>1.4371487929040034</v>
          </cell>
          <cell r="AK149">
            <v>45.172860050170698</v>
          </cell>
          <cell r="AL149">
            <v>3.5461844238327327</v>
          </cell>
          <cell r="AM149">
            <v>7.0541883115293524</v>
          </cell>
          <cell r="AN149">
            <v>0.87877928032792796</v>
          </cell>
          <cell r="AO149" t="e">
            <v>#REF!</v>
          </cell>
          <cell r="AP149" t="e">
            <v>#REF!</v>
          </cell>
          <cell r="AQ149" t="e">
            <v>#REF!</v>
          </cell>
          <cell r="AR149" t="e">
            <v>#REF!</v>
          </cell>
          <cell r="AS149" t="e">
            <v>#REF!</v>
          </cell>
          <cell r="AT149" t="e">
            <v>#REF!</v>
          </cell>
          <cell r="AU149" t="e">
            <v>#REF!</v>
          </cell>
          <cell r="AV149" t="e">
            <v>#REF!</v>
          </cell>
          <cell r="AW149">
            <v>0.87877928032792796</v>
          </cell>
          <cell r="AX149">
            <v>0.87877928032792796</v>
          </cell>
          <cell r="AY149">
            <v>0.87877928032792796</v>
          </cell>
          <cell r="AZ149" t="e">
            <v>#REF!</v>
          </cell>
          <cell r="BE149">
            <v>156300.1905</v>
          </cell>
          <cell r="BF149">
            <v>435818.71799999999</v>
          </cell>
        </row>
        <row r="150">
          <cell r="A150" t="str">
            <v>CC24RZ46-13</v>
          </cell>
          <cell r="B150" t="str">
            <v>CC24RZ46-13 ZOE-AAC Zoelen, Uiterdijk</v>
          </cell>
          <cell r="C150" t="str">
            <v>CC24RZ46</v>
          </cell>
          <cell r="D150">
            <v>13</v>
          </cell>
          <cell r="E150" t="str">
            <v>Zoelen</v>
          </cell>
          <cell r="F150" t="str">
            <v>Uiterdijk</v>
          </cell>
          <cell r="G150">
            <v>10</v>
          </cell>
          <cell r="H150" t="str">
            <v>Buren 7 kernen_01-01-2025_export.xlsx</v>
          </cell>
          <cell r="I150" t="str">
            <v>C &amp; C Cable &amp; Communication B.V.</v>
          </cell>
          <cell r="J150"/>
          <cell r="K150" t="str">
            <v>ZOE-AAC</v>
          </cell>
          <cell r="L150">
            <v>45623</v>
          </cell>
          <cell r="M150">
            <v>5</v>
          </cell>
          <cell r="N150">
            <v>9</v>
          </cell>
          <cell r="O150">
            <v>1</v>
          </cell>
          <cell r="P150">
            <v>63</v>
          </cell>
          <cell r="Q150" t="str">
            <v xml:space="preserve">PE100 </v>
          </cell>
          <cell r="R150">
            <v>156335.46100000001</v>
          </cell>
          <cell r="S150">
            <v>435850.01</v>
          </cell>
          <cell r="T150">
            <v>5.29</v>
          </cell>
          <cell r="U150">
            <v>156330.55799999999</v>
          </cell>
          <cell r="V150">
            <v>435854.93800000002</v>
          </cell>
          <cell r="W150">
            <v>5.3959999999999999</v>
          </cell>
          <cell r="X150">
            <v>0.10599999999999987</v>
          </cell>
          <cell r="Y150">
            <v>5.343</v>
          </cell>
          <cell r="Z150">
            <v>6.9515892427804529</v>
          </cell>
          <cell r="AA150" t="str">
            <v>156335.461,435850.01</v>
          </cell>
          <cell r="AB150" t="str">
            <v>156330.558,435854.938</v>
          </cell>
          <cell r="AC150">
            <v>6.36649998806962</v>
          </cell>
          <cell r="AD150">
            <v>1.0919012417823373</v>
          </cell>
          <cell r="AE150">
            <v>0.71</v>
          </cell>
          <cell r="AF150">
            <v>50.24</v>
          </cell>
          <cell r="AG150">
            <v>1.80213409772671</v>
          </cell>
          <cell r="AH150">
            <v>38.595159149554647</v>
          </cell>
          <cell r="AI150">
            <v>3.1190678238617648</v>
          </cell>
          <cell r="AJ150">
            <v>1.09213409772671</v>
          </cell>
          <cell r="AK150">
            <v>40.502892294395799</v>
          </cell>
          <cell r="AL150">
            <v>3.2474321642078547</v>
          </cell>
          <cell r="AM150">
            <v>6.36649998806962</v>
          </cell>
          <cell r="AN150">
            <v>1.0919012417823373</v>
          </cell>
          <cell r="AO150" t="e">
            <v>#REF!</v>
          </cell>
          <cell r="AP150" t="e">
            <v>#REF!</v>
          </cell>
          <cell r="AQ150" t="e">
            <v>#REF!</v>
          </cell>
          <cell r="AR150" t="e">
            <v>#REF!</v>
          </cell>
          <cell r="AS150" t="e">
            <v>#REF!</v>
          </cell>
          <cell r="AT150" t="e">
            <v>#REF!</v>
          </cell>
          <cell r="AU150" t="e">
            <v>#REF!</v>
          </cell>
          <cell r="AV150" t="e">
            <v>#REF!</v>
          </cell>
          <cell r="AW150">
            <v>1.0919012417823373</v>
          </cell>
          <cell r="AX150">
            <v>1.0919012417823373</v>
          </cell>
          <cell r="AY150">
            <v>1.0919012417823373</v>
          </cell>
          <cell r="AZ150" t="e">
            <v>#REF!</v>
          </cell>
          <cell r="BE150">
            <v>156333.00949999999</v>
          </cell>
          <cell r="BF150">
            <v>435852.47400000005</v>
          </cell>
        </row>
        <row r="151">
          <cell r="A151" t="str">
            <v>CC24RZ46-14</v>
          </cell>
          <cell r="B151" t="str">
            <v>CC24RZ46-14 ZOE-AAC Zoelen, Terweistraat</v>
          </cell>
          <cell r="C151" t="str">
            <v>CC24RZ46</v>
          </cell>
          <cell r="D151">
            <v>14</v>
          </cell>
          <cell r="E151" t="str">
            <v>Zoelen</v>
          </cell>
          <cell r="F151" t="str">
            <v>Terweistraat</v>
          </cell>
          <cell r="G151">
            <v>30</v>
          </cell>
          <cell r="H151" t="str">
            <v>Buren 7 kernen_01-01-2025_export.xlsx</v>
          </cell>
          <cell r="I151" t="str">
            <v>C &amp; C Cable &amp; Communication B.V.</v>
          </cell>
          <cell r="J151"/>
          <cell r="K151" t="str">
            <v>ZOE-AAC</v>
          </cell>
          <cell r="L151">
            <v>45622</v>
          </cell>
          <cell r="M151">
            <v>5</v>
          </cell>
          <cell r="N151">
            <v>9</v>
          </cell>
          <cell r="O151">
            <v>1</v>
          </cell>
          <cell r="P151">
            <v>63</v>
          </cell>
          <cell r="Q151" t="str">
            <v xml:space="preserve">PE100 </v>
          </cell>
          <cell r="R151">
            <v>156532.03</v>
          </cell>
          <cell r="S151">
            <v>436238.696</v>
          </cell>
          <cell r="T151">
            <v>4.05</v>
          </cell>
          <cell r="U151">
            <v>156537.764</v>
          </cell>
          <cell r="V151">
            <v>436238.78899999999</v>
          </cell>
          <cell r="W151">
            <v>4.1289999999999996</v>
          </cell>
          <cell r="X151">
            <v>7.8999999999999737E-2</v>
          </cell>
          <cell r="Y151">
            <v>4.0894999999999992</v>
          </cell>
          <cell r="Z151">
            <v>5.7347541359644536</v>
          </cell>
          <cell r="AA151" t="str">
            <v>156532.03,436238.696</v>
          </cell>
          <cell r="AB151" t="str">
            <v>156537.764,436238.789</v>
          </cell>
          <cell r="AC151">
            <v>6.3346215712603282</v>
          </cell>
          <cell r="AD151">
            <v>0.90530335102929826</v>
          </cell>
          <cell r="AE151">
            <v>0.71</v>
          </cell>
          <cell r="AF151">
            <v>50.24</v>
          </cell>
          <cell r="AG151">
            <v>1.80213409772671</v>
          </cell>
          <cell r="AH151">
            <v>38.595159149554647</v>
          </cell>
          <cell r="AI151">
            <v>3.1190678238617648</v>
          </cell>
          <cell r="AJ151">
            <v>1.09213409772671</v>
          </cell>
          <cell r="AK151">
            <v>40.02417330337763</v>
          </cell>
          <cell r="AL151">
            <v>3.2155537473985629</v>
          </cell>
          <cell r="AM151">
            <v>6.3346215712603282</v>
          </cell>
          <cell r="AN151">
            <v>0.90530335102929826</v>
          </cell>
          <cell r="AO151" t="e">
            <v>#REF!</v>
          </cell>
          <cell r="AP151" t="e">
            <v>#REF!</v>
          </cell>
          <cell r="AQ151" t="e">
            <v>#REF!</v>
          </cell>
          <cell r="AR151" t="e">
            <v>#REF!</v>
          </cell>
          <cell r="AS151" t="e">
            <v>#REF!</v>
          </cell>
          <cell r="AT151" t="e">
            <v>#REF!</v>
          </cell>
          <cell r="AU151" t="e">
            <v>#REF!</v>
          </cell>
          <cell r="AV151" t="e">
            <v>#REF!</v>
          </cell>
          <cell r="AW151">
            <v>0.90530335102929826</v>
          </cell>
          <cell r="AX151">
            <v>0.90530335102929826</v>
          </cell>
          <cell r="AY151">
            <v>0.90530335102929826</v>
          </cell>
          <cell r="AZ151" t="e">
            <v>#REF!</v>
          </cell>
          <cell r="BE151">
            <v>156534.897</v>
          </cell>
          <cell r="BF151">
            <v>436238.74249999999</v>
          </cell>
        </row>
        <row r="152">
          <cell r="A152" t="str">
            <v>CC24RZ46-15</v>
          </cell>
          <cell r="B152" t="str">
            <v>CC24RZ46-15 ZOE-AAC Zoelen, Terweistraat</v>
          </cell>
          <cell r="C152" t="str">
            <v>CC24RZ46</v>
          </cell>
          <cell r="D152">
            <v>15</v>
          </cell>
          <cell r="E152" t="str">
            <v>Zoelen</v>
          </cell>
          <cell r="F152" t="str">
            <v>Terweistraat</v>
          </cell>
          <cell r="G152">
            <v>5</v>
          </cell>
          <cell r="H152" t="str">
            <v>Buren 7 kernen_01-01-2025_export.xlsx</v>
          </cell>
          <cell r="I152" t="str">
            <v>C &amp; C Cable &amp; Communication B.V.</v>
          </cell>
          <cell r="J152"/>
          <cell r="K152" t="str">
            <v>ZOE-AAC</v>
          </cell>
          <cell r="L152">
            <v>45622</v>
          </cell>
          <cell r="M152">
            <v>10</v>
          </cell>
          <cell r="N152">
            <v>7</v>
          </cell>
          <cell r="O152">
            <v>1</v>
          </cell>
          <cell r="P152">
            <v>63</v>
          </cell>
          <cell r="Q152" t="str">
            <v xml:space="preserve">PE100 </v>
          </cell>
          <cell r="R152">
            <v>156516.01300000001</v>
          </cell>
          <cell r="S152">
            <v>436361.78100000002</v>
          </cell>
          <cell r="T152">
            <v>3.694</v>
          </cell>
          <cell r="U152">
            <v>156503.40100000001</v>
          </cell>
          <cell r="V152">
            <v>436370.63299999997</v>
          </cell>
          <cell r="W152">
            <v>3.202</v>
          </cell>
          <cell r="X152">
            <v>-0.49199999999999999</v>
          </cell>
          <cell r="Y152">
            <v>3.448</v>
          </cell>
          <cell r="Z152">
            <v>15.408453783525783</v>
          </cell>
          <cell r="AA152" t="str">
            <v>156516.013,436361.781</v>
          </cell>
          <cell r="AB152" t="str">
            <v>156503.401,436370.633</v>
          </cell>
          <cell r="AC152">
            <v>16.094264927790853</v>
          </cell>
          <cell r="AD152">
            <v>0.9573878554042663</v>
          </cell>
          <cell r="AE152">
            <v>0.71</v>
          </cell>
          <cell r="AF152">
            <v>60.18</v>
          </cell>
          <cell r="AG152">
            <v>5.0272316197005384</v>
          </cell>
          <cell r="AH152">
            <v>55.369848366763563</v>
          </cell>
          <cell r="AI152">
            <v>8.2283742948330101</v>
          </cell>
          <cell r="AJ152">
            <v>4.3172316197005376</v>
          </cell>
          <cell r="AK152">
            <v>51.867886971609458</v>
          </cell>
          <cell r="AL152">
            <v>7.8658906329578429</v>
          </cell>
          <cell r="AM152">
            <v>16.094264927790853</v>
          </cell>
          <cell r="AN152">
            <v>0.9573878554042663</v>
          </cell>
          <cell r="AO152" t="e">
            <v>#REF!</v>
          </cell>
          <cell r="AP152" t="e">
            <v>#REF!</v>
          </cell>
          <cell r="AQ152" t="e">
            <v>#REF!</v>
          </cell>
          <cell r="AR152" t="e">
            <v>#REF!</v>
          </cell>
          <cell r="AS152" t="e">
            <v>#REF!</v>
          </cell>
          <cell r="AT152" t="e">
            <v>#REF!</v>
          </cell>
          <cell r="AU152" t="e">
            <v>#REF!</v>
          </cell>
          <cell r="AV152" t="e">
            <v>#REF!</v>
          </cell>
          <cell r="AW152">
            <v>0.9573878554042663</v>
          </cell>
          <cell r="AX152">
            <v>0.9573878554042663</v>
          </cell>
          <cell r="AY152">
            <v>0.9573878554042663</v>
          </cell>
          <cell r="AZ152" t="e">
            <v>#REF!</v>
          </cell>
          <cell r="BE152">
            <v>156509.70699999999</v>
          </cell>
          <cell r="BF152">
            <v>436366.20699999999</v>
          </cell>
        </row>
        <row r="153">
          <cell r="A153" t="str">
            <v>CC24RZ46-16</v>
          </cell>
          <cell r="B153" t="str">
            <v>CC24RZ46-16 ZOE-AAC Zoelen, Uiterdijk</v>
          </cell>
          <cell r="C153" t="str">
            <v>CC24RZ46</v>
          </cell>
          <cell r="D153">
            <v>16</v>
          </cell>
          <cell r="E153" t="str">
            <v>Zoelen</v>
          </cell>
          <cell r="F153" t="str">
            <v>Uiterdijk</v>
          </cell>
          <cell r="G153" t="str">
            <v>15c</v>
          </cell>
          <cell r="H153" t="str">
            <v>Buren 7 kernen_01-01-2025_export.xlsx</v>
          </cell>
          <cell r="I153" t="str">
            <v>C &amp; C Cable &amp; Communication B.V.</v>
          </cell>
          <cell r="J153"/>
          <cell r="K153" t="str">
            <v>ZOE-AAC</v>
          </cell>
          <cell r="L153">
            <v>45609</v>
          </cell>
          <cell r="M153">
            <v>5</v>
          </cell>
          <cell r="N153">
            <v>9</v>
          </cell>
          <cell r="O153">
            <v>1</v>
          </cell>
          <cell r="P153">
            <v>63</v>
          </cell>
          <cell r="Q153" t="str">
            <v xml:space="preserve">PE100 </v>
          </cell>
          <cell r="R153">
            <v>156189.41399999999</v>
          </cell>
          <cell r="S153">
            <v>435806.96</v>
          </cell>
          <cell r="T153">
            <v>5.407</v>
          </cell>
          <cell r="U153">
            <v>156196.12899999999</v>
          </cell>
          <cell r="V153">
            <v>435801.62300000002</v>
          </cell>
          <cell r="W153">
            <v>5.4969999999999999</v>
          </cell>
          <cell r="X153">
            <v>8.9999999999999858E-2</v>
          </cell>
          <cell r="Y153">
            <v>5.452</v>
          </cell>
          <cell r="Z153">
            <v>8.5775750652470606</v>
          </cell>
          <cell r="AA153" t="str">
            <v>156189.414,435806.96</v>
          </cell>
          <cell r="AB153" t="str">
            <v>156196.129,435801.623</v>
          </cell>
          <cell r="AC153">
            <v>6.3476743270236096</v>
          </cell>
          <cell r="AD153">
            <v>1.3512941312584699</v>
          </cell>
          <cell r="AE153">
            <v>0.71</v>
          </cell>
          <cell r="AF153">
            <v>50.24</v>
          </cell>
          <cell r="AG153">
            <v>1.80213409772671</v>
          </cell>
          <cell r="AH153">
            <v>38.595159149554647</v>
          </cell>
          <cell r="AI153">
            <v>3.1190678238617648</v>
          </cell>
          <cell r="AJ153">
            <v>1.09213409772671</v>
          </cell>
          <cell r="AK153">
            <v>40.219777676330892</v>
          </cell>
          <cell r="AL153">
            <v>3.2286065031618447</v>
          </cell>
          <cell r="AM153">
            <v>6.3476743270236096</v>
          </cell>
          <cell r="AN153">
            <v>1.3512941312584699</v>
          </cell>
          <cell r="AO153" t="e">
            <v>#REF!</v>
          </cell>
          <cell r="AP153" t="e">
            <v>#REF!</v>
          </cell>
          <cell r="AQ153" t="e">
            <v>#REF!</v>
          </cell>
          <cell r="AR153" t="e">
            <v>#REF!</v>
          </cell>
          <cell r="AS153" t="e">
            <v>#REF!</v>
          </cell>
          <cell r="AT153" t="e">
            <v>#REF!</v>
          </cell>
          <cell r="AU153" t="e">
            <v>#REF!</v>
          </cell>
          <cell r="AV153" t="e">
            <v>#REF!</v>
          </cell>
          <cell r="AW153">
            <v>1.3512941312584699</v>
          </cell>
          <cell r="AX153">
            <v>1.3512941312584699</v>
          </cell>
          <cell r="AY153">
            <v>1.3512941312584699</v>
          </cell>
          <cell r="AZ153" t="e">
            <v>#REF!</v>
          </cell>
          <cell r="BE153">
            <v>156192.77149999997</v>
          </cell>
          <cell r="BF153">
            <v>435804.29150000005</v>
          </cell>
        </row>
        <row r="154">
          <cell r="A154" t="str">
            <v>CC24RZ47-01</v>
          </cell>
          <cell r="B154" t="str">
            <v>CC24RZ47-01  Ederveen, Hootsenstraat</v>
          </cell>
          <cell r="C154" t="str">
            <v>CC24RZ47</v>
          </cell>
          <cell r="D154">
            <v>1</v>
          </cell>
          <cell r="E154" t="str">
            <v>Ederveen</v>
          </cell>
          <cell r="F154" t="str">
            <v>Hootsenstraat</v>
          </cell>
          <cell r="G154">
            <v>14</v>
          </cell>
          <cell r="H154" t="str">
            <v>Buren 7 kernen_01-01-2025_export.xlsx</v>
          </cell>
          <cell r="I154" t="str">
            <v>C &amp; C Cable &amp; Communication B.V.</v>
          </cell>
          <cell r="J154"/>
          <cell r="K154"/>
          <cell r="L154">
            <v>45618</v>
          </cell>
          <cell r="M154">
            <v>5</v>
          </cell>
          <cell r="N154">
            <v>8</v>
          </cell>
          <cell r="O154">
            <v>1</v>
          </cell>
          <cell r="P154">
            <v>63</v>
          </cell>
          <cell r="Q154" t="str">
            <v xml:space="preserve">PE100 </v>
          </cell>
          <cell r="R154">
            <v>168121.18700000001</v>
          </cell>
          <cell r="S154">
            <v>452642.43</v>
          </cell>
          <cell r="T154">
            <v>7.282</v>
          </cell>
          <cell r="U154">
            <v>168120.91399999999</v>
          </cell>
          <cell r="V154">
            <v>452651.62900000002</v>
          </cell>
          <cell r="W154">
            <v>7.11</v>
          </cell>
          <cell r="X154">
            <v>-0.17199999999999971</v>
          </cell>
          <cell r="Y154">
            <v>7.1959999999999997</v>
          </cell>
          <cell r="Z154">
            <v>9.2030500379178495</v>
          </cell>
          <cell r="AA154" t="str">
            <v>168121.187,452642.43</v>
          </cell>
          <cell r="AB154" t="str">
            <v>168120.914,452651.629</v>
          </cell>
          <cell r="AC154">
            <v>6.8322912490499652</v>
          </cell>
          <cell r="AD154">
            <v>1.346993227081404</v>
          </cell>
          <cell r="AE154">
            <v>0.71</v>
          </cell>
          <cell r="AF154">
            <v>55.21</v>
          </cell>
          <cell r="AG154">
            <v>2.1471487929040034</v>
          </cell>
          <cell r="AH154">
            <v>44.555576114520797</v>
          </cell>
          <cell r="AI154">
            <v>3.5080038876966197</v>
          </cell>
          <cell r="AJ154">
            <v>1.4371487929040034</v>
          </cell>
          <cell r="AK154">
            <v>41.671391984595971</v>
          </cell>
          <cell r="AL154">
            <v>3.3242873613533455</v>
          </cell>
          <cell r="AM154">
            <v>6.8322912490499652</v>
          </cell>
          <cell r="AN154">
            <v>1.346993227081404</v>
          </cell>
          <cell r="AO154" t="e">
            <v>#REF!</v>
          </cell>
          <cell r="AP154" t="e">
            <v>#REF!</v>
          </cell>
          <cell r="AQ154" t="e">
            <v>#REF!</v>
          </cell>
          <cell r="AR154" t="e">
            <v>#REF!</v>
          </cell>
          <cell r="AS154" t="e">
            <v>#REF!</v>
          </cell>
          <cell r="AT154" t="e">
            <v>#REF!</v>
          </cell>
          <cell r="AU154" t="e">
            <v>#REF!</v>
          </cell>
          <cell r="AV154" t="e">
            <v>#REF!</v>
          </cell>
          <cell r="AW154">
            <v>1.346993227081404</v>
          </cell>
          <cell r="AX154">
            <v>1.346993227081404</v>
          </cell>
          <cell r="AY154">
            <v>1.346993227081404</v>
          </cell>
          <cell r="AZ154" t="e">
            <v>#REF!</v>
          </cell>
          <cell r="BE154">
            <v>168121.05050000001</v>
          </cell>
          <cell r="BF154">
            <v>452647.0295</v>
          </cell>
        </row>
        <row r="155">
          <cell r="A155" t="str">
            <v>CC24RZ23-01</v>
          </cell>
          <cell r="B155" t="str">
            <v>CC24RZ23-01 HRN-ABX Haren Gn, Erasmuslaan</v>
          </cell>
          <cell r="C155" t="str">
            <v>CC24RZ23</v>
          </cell>
          <cell r="D155">
            <v>1</v>
          </cell>
          <cell r="E155" t="str">
            <v>Haren Gn</v>
          </cell>
          <cell r="F155" t="str">
            <v>Erasmuslaan</v>
          </cell>
          <cell r="G155">
            <v>15</v>
          </cell>
          <cell r="H155" t="str">
            <v>20097 HRN-ABX wk.23.xlsx</v>
          </cell>
          <cell r="I155" t="str">
            <v>C &amp; C Cable &amp; Communication B.V.</v>
          </cell>
          <cell r="J155"/>
          <cell r="K155" t="str">
            <v>HRN-ABX</v>
          </cell>
          <cell r="L155">
            <v>45448</v>
          </cell>
          <cell r="M155">
            <v>10</v>
          </cell>
          <cell r="N155">
            <v>4</v>
          </cell>
          <cell r="O155">
            <v>1</v>
          </cell>
          <cell r="P155">
            <v>63</v>
          </cell>
          <cell r="Q155" t="str">
            <v xml:space="preserve">PE100 </v>
          </cell>
          <cell r="R155">
            <v>236058.73699999999</v>
          </cell>
          <cell r="S155">
            <v>576077.21799999999</v>
          </cell>
          <cell r="T155">
            <v>0.85</v>
          </cell>
          <cell r="U155">
            <v>236058.905</v>
          </cell>
          <cell r="V155">
            <v>576089.55200000003</v>
          </cell>
          <cell r="W155">
            <v>1.02</v>
          </cell>
          <cell r="X155">
            <v>0.17000000000000004</v>
          </cell>
          <cell r="Y155">
            <v>0.93500000000000005</v>
          </cell>
          <cell r="Z155">
            <v>12.335144101338372</v>
          </cell>
          <cell r="AA155" t="str">
            <v>236058.737,576077.218</v>
          </cell>
          <cell r="AB155" t="str">
            <v>236058.905,576089.552</v>
          </cell>
          <cell r="AC155">
            <v>18.948842164637387</v>
          </cell>
          <cell r="AD155">
            <v>0.65097086113041791</v>
          </cell>
          <cell r="AE155">
            <v>0.71</v>
          </cell>
          <cell r="AF155">
            <v>75.09</v>
          </cell>
          <cell r="AG155">
            <v>7.426985463185499</v>
          </cell>
          <cell r="AH155">
            <v>70.834286970629066</v>
          </cell>
          <cell r="AI155">
            <v>9.4457300168417184</v>
          </cell>
          <cell r="AJ155">
            <v>6.7169854631854982</v>
          </cell>
          <cell r="AK155">
            <v>71.86232035853935</v>
          </cell>
          <cell r="AL155">
            <v>9.5031121477956688</v>
          </cell>
          <cell r="AM155">
            <v>18.948842164637387</v>
          </cell>
          <cell r="AN155">
            <v>0.65097086113041791</v>
          </cell>
          <cell r="AO155" t="e">
            <v>#REF!</v>
          </cell>
          <cell r="AP155" t="e">
            <v>#REF!</v>
          </cell>
          <cell r="AQ155" t="e">
            <v>#REF!</v>
          </cell>
          <cell r="AR155" t="e">
            <v>#REF!</v>
          </cell>
          <cell r="AS155" t="e">
            <v>#REF!</v>
          </cell>
          <cell r="AT155" t="e">
            <v>#REF!</v>
          </cell>
          <cell r="AU155" t="e">
            <v>#REF!</v>
          </cell>
          <cell r="AV155" t="e">
            <v>#REF!</v>
          </cell>
          <cell r="AW155">
            <v>0.65097086113041791</v>
          </cell>
          <cell r="AX155">
            <v>0.65097086113041791</v>
          </cell>
          <cell r="AY155">
            <v>0.65097086113041791</v>
          </cell>
          <cell r="AZ155" t="e">
            <v>#REF!</v>
          </cell>
          <cell r="BE155">
            <v>236058.821</v>
          </cell>
          <cell r="BF155">
            <v>576083.38500000001</v>
          </cell>
        </row>
        <row r="156">
          <cell r="A156" t="str">
            <v>CC24RZ23-02</v>
          </cell>
          <cell r="B156" t="str">
            <v>CC24RZ23-02 HRN-ABX Haren Gn, Lorentzweg</v>
          </cell>
          <cell r="C156" t="str">
            <v>CC24RZ23</v>
          </cell>
          <cell r="D156">
            <v>2</v>
          </cell>
          <cell r="E156" t="str">
            <v>Haren Gn</v>
          </cell>
          <cell r="F156" t="str">
            <v>Lorentzweg</v>
          </cell>
          <cell r="G156">
            <v>8</v>
          </cell>
          <cell r="H156" t="str">
            <v>20097 HRN-ABX wk.23.xlsx</v>
          </cell>
          <cell r="I156" t="str">
            <v>C &amp; C Cable &amp; Communication B.V.</v>
          </cell>
          <cell r="J156"/>
          <cell r="K156" t="str">
            <v>HRN-ABX</v>
          </cell>
          <cell r="L156">
            <v>45453</v>
          </cell>
          <cell r="M156">
            <v>5</v>
          </cell>
          <cell r="N156">
            <v>9</v>
          </cell>
          <cell r="O156">
            <v>1</v>
          </cell>
          <cell r="P156">
            <v>63</v>
          </cell>
          <cell r="Q156" t="str">
            <v xml:space="preserve">PE100 </v>
          </cell>
          <cell r="R156">
            <v>236077.125</v>
          </cell>
          <cell r="S156">
            <v>576097.08900000004</v>
          </cell>
          <cell r="T156">
            <v>0.98</v>
          </cell>
          <cell r="U156">
            <v>236081.86199999999</v>
          </cell>
          <cell r="V156">
            <v>576090.74399999995</v>
          </cell>
          <cell r="W156">
            <v>1.03</v>
          </cell>
          <cell r="X156">
            <v>5.0000000000000044E-2</v>
          </cell>
          <cell r="Y156">
            <v>1.0049999999999999</v>
          </cell>
          <cell r="Z156">
            <v>7.9182191180254158</v>
          </cell>
          <cell r="AA156" t="str">
            <v>236077.125,576097.089</v>
          </cell>
          <cell r="AB156" t="str">
            <v>236081.862,576090.744</v>
          </cell>
          <cell r="AC156">
            <v>6.2997706833060558</v>
          </cell>
          <cell r="AD156">
            <v>1.2569059281805499</v>
          </cell>
          <cell r="AE156">
            <v>0.71</v>
          </cell>
          <cell r="AF156">
            <v>50.24</v>
          </cell>
          <cell r="AG156">
            <v>1.80213409772671</v>
          </cell>
          <cell r="AH156">
            <v>38.595159149554647</v>
          </cell>
          <cell r="AI156">
            <v>3.1190678238617648</v>
          </cell>
          <cell r="AJ156">
            <v>1.09213409772671</v>
          </cell>
          <cell r="AK156">
            <v>39.50462997581166</v>
          </cell>
          <cell r="AL156">
            <v>3.180702859444291</v>
          </cell>
          <cell r="AM156">
            <v>6.2997706833060558</v>
          </cell>
          <cell r="AN156">
            <v>1.2569059281805499</v>
          </cell>
          <cell r="AO156" t="e">
            <v>#REF!</v>
          </cell>
          <cell r="AP156" t="e">
            <v>#REF!</v>
          </cell>
          <cell r="AQ156" t="e">
            <v>#REF!</v>
          </cell>
          <cell r="AR156" t="e">
            <v>#REF!</v>
          </cell>
          <cell r="AS156" t="e">
            <v>#REF!</v>
          </cell>
          <cell r="AT156" t="e">
            <v>#REF!</v>
          </cell>
          <cell r="AU156" t="e">
            <v>#REF!</v>
          </cell>
          <cell r="AV156" t="e">
            <v>#REF!</v>
          </cell>
          <cell r="AW156">
            <v>1.2569059281805499</v>
          </cell>
          <cell r="AX156">
            <v>1.2569059281805499</v>
          </cell>
          <cell r="AY156">
            <v>1.2569059281805499</v>
          </cell>
          <cell r="AZ156" t="e">
            <v>#REF!</v>
          </cell>
          <cell r="BE156">
            <v>236079.49349999998</v>
          </cell>
          <cell r="BF156">
            <v>576093.91650000005</v>
          </cell>
        </row>
        <row r="157">
          <cell r="A157" t="str">
            <v>CC24RZ23-03</v>
          </cell>
          <cell r="B157" t="str">
            <v>CC24RZ23-03 HRN-ABX Haren Gn, Lorentzweg</v>
          </cell>
          <cell r="C157" t="str">
            <v>CC24RZ23</v>
          </cell>
          <cell r="D157">
            <v>3</v>
          </cell>
          <cell r="E157" t="str">
            <v>Haren Gn</v>
          </cell>
          <cell r="F157" t="str">
            <v>Lorentzweg</v>
          </cell>
          <cell r="G157">
            <v>6</v>
          </cell>
          <cell r="H157" t="str">
            <v>20097 HRN-ABX wk.23.xlsx</v>
          </cell>
          <cell r="I157" t="str">
            <v>C &amp; C Cable &amp; Communication B.V.</v>
          </cell>
          <cell r="J157"/>
          <cell r="K157" t="str">
            <v>HRN-ABX</v>
          </cell>
          <cell r="L157">
            <v>45453</v>
          </cell>
          <cell r="M157">
            <v>5</v>
          </cell>
          <cell r="N157">
            <v>8</v>
          </cell>
          <cell r="O157">
            <v>1</v>
          </cell>
          <cell r="P157">
            <v>63</v>
          </cell>
          <cell r="Q157" t="str">
            <v xml:space="preserve">PE100 </v>
          </cell>
          <cell r="R157">
            <v>236103.86</v>
          </cell>
          <cell r="S157">
            <v>576112.87399999995</v>
          </cell>
          <cell r="T157">
            <v>1.1100000000000001</v>
          </cell>
          <cell r="U157">
            <v>236107.446</v>
          </cell>
          <cell r="V157">
            <v>576105.24199999997</v>
          </cell>
          <cell r="W157">
            <v>0.92</v>
          </cell>
          <cell r="X157">
            <v>-0.19000000000000006</v>
          </cell>
          <cell r="Y157">
            <v>1.0150000000000001</v>
          </cell>
          <cell r="Z157">
            <v>8.4324859916763337</v>
          </cell>
          <cell r="AA157" t="str">
            <v>236103.86,576112.874</v>
          </cell>
          <cell r="AB157" t="str">
            <v>236107.446,576105.242</v>
          </cell>
          <cell r="AC157">
            <v>6.8119572495645073</v>
          </cell>
          <cell r="AD157">
            <v>1.2378947316816218</v>
          </cell>
          <cell r="AE157">
            <v>0.71</v>
          </cell>
          <cell r="AF157">
            <v>55.21</v>
          </cell>
          <cell r="AG157">
            <v>2.1471487929040034</v>
          </cell>
          <cell r="AH157">
            <v>44.555576114520797</v>
          </cell>
          <cell r="AI157">
            <v>3.5080038876966197</v>
          </cell>
          <cell r="AJ157">
            <v>1.4371487929040034</v>
          </cell>
          <cell r="AK157">
            <v>41.360201869736507</v>
          </cell>
          <cell r="AL157">
            <v>3.303953361867888</v>
          </cell>
          <cell r="AM157">
            <v>6.8119572495645073</v>
          </cell>
          <cell r="AN157">
            <v>1.2378947316816218</v>
          </cell>
          <cell r="AO157" t="e">
            <v>#REF!</v>
          </cell>
          <cell r="AP157" t="e">
            <v>#REF!</v>
          </cell>
          <cell r="AQ157" t="e">
            <v>#REF!</v>
          </cell>
          <cell r="AR157" t="e">
            <v>#REF!</v>
          </cell>
          <cell r="AS157" t="e">
            <v>#REF!</v>
          </cell>
          <cell r="AT157" t="e">
            <v>#REF!</v>
          </cell>
          <cell r="AU157" t="e">
            <v>#REF!</v>
          </cell>
          <cell r="AV157" t="e">
            <v>#REF!</v>
          </cell>
          <cell r="AW157">
            <v>1.2378947316816218</v>
          </cell>
          <cell r="AX157">
            <v>1.2378947316816218</v>
          </cell>
          <cell r="AY157">
            <v>1.2378947316816218</v>
          </cell>
          <cell r="AZ157" t="e">
            <v>#REF!</v>
          </cell>
          <cell r="BE157">
            <v>236105.65299999999</v>
          </cell>
          <cell r="BF157">
            <v>576109.05799999996</v>
          </cell>
        </row>
        <row r="158">
          <cell r="A158" t="str">
            <v>CC24RZ23-04</v>
          </cell>
          <cell r="B158" t="str">
            <v>CC24RZ23-04 HRN-ABX Haren Gn, Lorentzweg</v>
          </cell>
          <cell r="C158" t="str">
            <v>CC24RZ23</v>
          </cell>
          <cell r="D158">
            <v>4</v>
          </cell>
          <cell r="E158" t="str">
            <v>Haren Gn</v>
          </cell>
          <cell r="F158" t="str">
            <v>Lorentzweg</v>
          </cell>
          <cell r="G158">
            <v>4</v>
          </cell>
          <cell r="H158" t="str">
            <v>20097 HRN-ABX wk.23.xlsx</v>
          </cell>
          <cell r="I158" t="str">
            <v>C &amp; C Cable &amp; Communication B.V.</v>
          </cell>
          <cell r="J158"/>
          <cell r="K158" t="str">
            <v>HRN-ABX</v>
          </cell>
          <cell r="L158">
            <v>45454</v>
          </cell>
          <cell r="M158">
            <v>7.5</v>
          </cell>
          <cell r="N158">
            <v>8</v>
          </cell>
          <cell r="O158">
            <v>1</v>
          </cell>
          <cell r="P158">
            <v>63</v>
          </cell>
          <cell r="Q158" t="str">
            <v xml:space="preserve">PE100 </v>
          </cell>
          <cell r="R158">
            <v>236104.109</v>
          </cell>
          <cell r="S158">
            <v>576128.12300000002</v>
          </cell>
          <cell r="T158">
            <v>0.95</v>
          </cell>
          <cell r="U158">
            <v>236115.152</v>
          </cell>
          <cell r="V158">
            <v>576134.95799999998</v>
          </cell>
          <cell r="W158">
            <v>0.91</v>
          </cell>
          <cell r="X158">
            <v>-3.9999999999999925E-2</v>
          </cell>
          <cell r="Y158">
            <v>0.92999999999999994</v>
          </cell>
          <cell r="Z158">
            <v>12.987111842115008</v>
          </cell>
          <cell r="AA158" t="str">
            <v>236104.109,576128.123</v>
          </cell>
          <cell r="AB158" t="str">
            <v>236115.152,576134.958</v>
          </cell>
          <cell r="AC158">
            <v>11.163587896575521</v>
          </cell>
          <cell r="AD158">
            <v>1.163345688002229</v>
          </cell>
          <cell r="AE158">
            <v>0.71</v>
          </cell>
          <cell r="AF158">
            <v>55.21</v>
          </cell>
          <cell r="AG158">
            <v>3.2207231893560051</v>
          </cell>
          <cell r="AH158">
            <v>48.299497098536229</v>
          </cell>
          <cell r="AI158">
            <v>5.5997425750448642</v>
          </cell>
          <cell r="AJ158">
            <v>2.5107231893560051</v>
          </cell>
          <cell r="AK158">
            <v>47.888908425077027</v>
          </cell>
          <cell r="AL158">
            <v>5.563845321530656</v>
          </cell>
          <cell r="AM158">
            <v>11.163587896575521</v>
          </cell>
          <cell r="AN158">
            <v>1.163345688002229</v>
          </cell>
          <cell r="AO158" t="e">
            <v>#REF!</v>
          </cell>
          <cell r="AP158" t="e">
            <v>#REF!</v>
          </cell>
          <cell r="AQ158" t="e">
            <v>#REF!</v>
          </cell>
          <cell r="AR158" t="e">
            <v>#REF!</v>
          </cell>
          <cell r="AS158" t="e">
            <v>#REF!</v>
          </cell>
          <cell r="AT158" t="e">
            <v>#REF!</v>
          </cell>
          <cell r="AU158" t="e">
            <v>#REF!</v>
          </cell>
          <cell r="AV158" t="e">
            <v>#REF!</v>
          </cell>
          <cell r="AW158">
            <v>1.163345688002229</v>
          </cell>
          <cell r="AX158">
            <v>1.163345688002229</v>
          </cell>
          <cell r="AY158">
            <v>1.163345688002229</v>
          </cell>
          <cell r="AZ158" t="e">
            <v>#REF!</v>
          </cell>
          <cell r="BE158">
            <v>236109.6305</v>
          </cell>
          <cell r="BF158">
            <v>576131.5405</v>
          </cell>
        </row>
        <row r="159">
          <cell r="A159" t="str">
            <v>CC24RZ23-05</v>
          </cell>
          <cell r="B159" t="str">
            <v>CC24RZ23-05 HRN-ABX Haren Gn, Van der Waalsweg</v>
          </cell>
          <cell r="C159" t="str">
            <v>CC24RZ23</v>
          </cell>
          <cell r="D159">
            <v>5</v>
          </cell>
          <cell r="E159" t="str">
            <v>Haren Gn</v>
          </cell>
          <cell r="F159" t="str">
            <v>Van der Waalsweg</v>
          </cell>
          <cell r="G159">
            <v>5</v>
          </cell>
          <cell r="H159" t="str">
            <v>20097 HRN-ABX wk.23.xlsx</v>
          </cell>
          <cell r="I159" t="str">
            <v>C &amp; C Cable &amp; Communication B.V.</v>
          </cell>
          <cell r="J159"/>
          <cell r="K159" t="str">
            <v>HRN-ABX</v>
          </cell>
          <cell r="L159">
            <v>45455</v>
          </cell>
          <cell r="M159">
            <v>10</v>
          </cell>
          <cell r="N159">
            <v>7</v>
          </cell>
          <cell r="O159">
            <v>1</v>
          </cell>
          <cell r="P159">
            <v>63</v>
          </cell>
          <cell r="Q159" t="str">
            <v xml:space="preserve">PE100 </v>
          </cell>
          <cell r="R159">
            <v>236101.829</v>
          </cell>
          <cell r="S159">
            <v>576130.50399999996</v>
          </cell>
          <cell r="T159">
            <v>0.754</v>
          </cell>
          <cell r="U159">
            <v>236098.68</v>
          </cell>
          <cell r="V159">
            <v>576139.299</v>
          </cell>
          <cell r="W159">
            <v>0.81</v>
          </cell>
          <cell r="X159">
            <v>5.600000000000005E-2</v>
          </cell>
          <cell r="Y159">
            <v>0.78200000000000003</v>
          </cell>
          <cell r="Z159">
            <v>9.3417464106433545</v>
          </cell>
          <cell r="AA159" t="str">
            <v>236101.829,576130.504</v>
          </cell>
          <cell r="AB159" t="str">
            <v>236098.68,576139.299</v>
          </cell>
          <cell r="AC159">
            <v>16.495143772353366</v>
          </cell>
          <cell r="AD159">
            <v>0.56633313049993295</v>
          </cell>
          <cell r="AE159">
            <v>0.71</v>
          </cell>
          <cell r="AF159">
            <v>60.18</v>
          </cell>
          <cell r="AG159">
            <v>5.0272316197005384</v>
          </cell>
          <cell r="AH159">
            <v>55.369848366763563</v>
          </cell>
          <cell r="AI159">
            <v>8.2283742948330101</v>
          </cell>
          <cell r="AJ159">
            <v>4.3172316197005376</v>
          </cell>
          <cell r="AK159">
            <v>55.758878177017571</v>
          </cell>
          <cell r="AL159">
            <v>8.2667694775203557</v>
          </cell>
          <cell r="AM159">
            <v>16.495143772353366</v>
          </cell>
          <cell r="AN159">
            <v>0.56633313049993295</v>
          </cell>
          <cell r="AO159" t="e">
            <v>#REF!</v>
          </cell>
          <cell r="AP159" t="e">
            <v>#REF!</v>
          </cell>
          <cell r="AQ159" t="e">
            <v>#REF!</v>
          </cell>
          <cell r="AR159" t="e">
            <v>#REF!</v>
          </cell>
          <cell r="AS159" t="e">
            <v>#REF!</v>
          </cell>
          <cell r="AT159" t="e">
            <v>#REF!</v>
          </cell>
          <cell r="AU159" t="e">
            <v>#REF!</v>
          </cell>
          <cell r="AV159" t="e">
            <v>#REF!</v>
          </cell>
          <cell r="AW159">
            <v>0.56633313049993295</v>
          </cell>
          <cell r="AX159">
            <v>0.56633313049993295</v>
          </cell>
          <cell r="AY159">
            <v>0.56633313049993295</v>
          </cell>
          <cell r="AZ159" t="e">
            <v>#REF!</v>
          </cell>
          <cell r="BE159">
            <v>236100.25449999998</v>
          </cell>
          <cell r="BF159">
            <v>576134.90149999992</v>
          </cell>
        </row>
        <row r="160">
          <cell r="A160" t="str">
            <v>CC24RZ23-06</v>
          </cell>
          <cell r="B160" t="str">
            <v>CC24RZ23-06 HRN-ABX Haren Gn, Spinozalaan</v>
          </cell>
          <cell r="C160" t="str">
            <v>CC24RZ23</v>
          </cell>
          <cell r="D160">
            <v>6</v>
          </cell>
          <cell r="E160" t="str">
            <v>Haren Gn</v>
          </cell>
          <cell r="F160" t="str">
            <v>Spinozalaan</v>
          </cell>
          <cell r="G160">
            <v>25</v>
          </cell>
          <cell r="H160" t="str">
            <v>20097 HRN-ABX wk.23.xlsx</v>
          </cell>
          <cell r="I160" t="str">
            <v>C &amp; C Cable &amp; Communication B.V.</v>
          </cell>
          <cell r="J160"/>
          <cell r="K160" t="str">
            <v>HRN-ABX</v>
          </cell>
          <cell r="L160">
            <v>45456</v>
          </cell>
          <cell r="M160">
            <v>7.5</v>
          </cell>
          <cell r="N160">
            <v>7</v>
          </cell>
          <cell r="O160">
            <v>1</v>
          </cell>
          <cell r="P160">
            <v>63</v>
          </cell>
          <cell r="Q160" t="str">
            <v xml:space="preserve">PE100 </v>
          </cell>
          <cell r="R160">
            <v>236167.53700000001</v>
          </cell>
          <cell r="S160">
            <v>576161.65</v>
          </cell>
          <cell r="T160">
            <v>0.72699999999999998</v>
          </cell>
          <cell r="U160">
            <v>236179.66800000001</v>
          </cell>
          <cell r="V160">
            <v>576167.77500000002</v>
          </cell>
          <cell r="W160">
            <v>0.69399999999999995</v>
          </cell>
          <cell r="X160">
            <v>-3.3000000000000029E-2</v>
          </cell>
          <cell r="Y160">
            <v>0.71049999999999991</v>
          </cell>
          <cell r="Z160">
            <v>13.589583731662024</v>
          </cell>
          <cell r="AA160" t="str">
            <v>236167.537,576161.65</v>
          </cell>
          <cell r="AB160" t="str">
            <v>236179.668,576167.775</v>
          </cell>
          <cell r="AC160">
            <v>12.065316132792843</v>
          </cell>
          <cell r="AD160">
            <v>1.1263346589590231</v>
          </cell>
          <cell r="AE160">
            <v>0.71</v>
          </cell>
          <cell r="AF160">
            <v>60.18</v>
          </cell>
          <cell r="AG160">
            <v>3.7704237147754038</v>
          </cell>
          <cell r="AH160">
            <v>53.704953176807514</v>
          </cell>
          <cell r="AI160">
            <v>6.0448459374636982</v>
          </cell>
          <cell r="AJ160">
            <v>3.0604237147754034</v>
          </cell>
          <cell r="AK160">
            <v>53.391533124101777</v>
          </cell>
          <cell r="AL160">
            <v>6.0204701953291444</v>
          </cell>
          <cell r="AM160">
            <v>12.065316132792843</v>
          </cell>
          <cell r="AN160">
            <v>1.1263346589590231</v>
          </cell>
          <cell r="AO160" t="e">
            <v>#REF!</v>
          </cell>
          <cell r="AP160" t="e">
            <v>#REF!</v>
          </cell>
          <cell r="AQ160" t="e">
            <v>#REF!</v>
          </cell>
          <cell r="AR160" t="e">
            <v>#REF!</v>
          </cell>
          <cell r="AS160" t="e">
            <v>#REF!</v>
          </cell>
          <cell r="AT160" t="e">
            <v>#REF!</v>
          </cell>
          <cell r="AU160" t="e">
            <v>#REF!</v>
          </cell>
          <cell r="AV160" t="e">
            <v>#REF!</v>
          </cell>
          <cell r="AW160">
            <v>1.1263346589590231</v>
          </cell>
          <cell r="AX160">
            <v>1.1263346589590231</v>
          </cell>
          <cell r="AY160">
            <v>1.1263346589590231</v>
          </cell>
          <cell r="AZ160" t="e">
            <v>#REF!</v>
          </cell>
          <cell r="BE160">
            <v>236173.60250000001</v>
          </cell>
          <cell r="BF160">
            <v>576164.71250000002</v>
          </cell>
        </row>
        <row r="161">
          <cell r="A161" t="str">
            <v>CC24RZ23-07</v>
          </cell>
          <cell r="B161" t="str">
            <v>CC24RZ23-07 HRN-ABX Haren Gn, Spinozalaan</v>
          </cell>
          <cell r="C161" t="str">
            <v>CC24RZ23</v>
          </cell>
          <cell r="D161">
            <v>7</v>
          </cell>
          <cell r="E161" t="str">
            <v>Haren Gn</v>
          </cell>
          <cell r="F161" t="str">
            <v>Spinozalaan</v>
          </cell>
          <cell r="G161">
            <v>23</v>
          </cell>
          <cell r="H161" t="str">
            <v>20097 HRN-ABX wk.23.xlsx</v>
          </cell>
          <cell r="I161" t="str">
            <v>C &amp; C Cable &amp; Communication B.V.</v>
          </cell>
          <cell r="J161"/>
          <cell r="K161" t="str">
            <v>HRN-ABX</v>
          </cell>
          <cell r="L161">
            <v>45432</v>
          </cell>
          <cell r="M161">
            <v>5</v>
          </cell>
          <cell r="N161">
            <v>1</v>
          </cell>
          <cell r="O161">
            <v>1</v>
          </cell>
          <cell r="P161">
            <v>63</v>
          </cell>
          <cell r="Q161" t="str">
            <v xml:space="preserve">PE100 </v>
          </cell>
          <cell r="R161">
            <v>236159.59400000001</v>
          </cell>
          <cell r="S161">
            <v>576199.71100000001</v>
          </cell>
          <cell r="T161">
            <v>0.47299999999999998</v>
          </cell>
          <cell r="U161">
            <v>236151.96799999999</v>
          </cell>
          <cell r="V161">
            <v>576195.73300000001</v>
          </cell>
          <cell r="W161">
            <v>0.66800000000000004</v>
          </cell>
          <cell r="X161">
            <v>0.19500000000000006</v>
          </cell>
          <cell r="Y161">
            <v>0.57050000000000001</v>
          </cell>
          <cell r="Z161">
            <v>8.6011836394942041</v>
          </cell>
          <cell r="AA161" t="str">
            <v>236159.594,576199.711</v>
          </cell>
          <cell r="AB161" t="str">
            <v>236151.968,576195.733</v>
          </cell>
          <cell r="AC161">
            <v>9.9227400684992588</v>
          </cell>
          <cell r="AD161">
            <v>0.86681537358814131</v>
          </cell>
          <cell r="AE161">
            <v>0.71</v>
          </cell>
          <cell r="AF161">
            <v>90</v>
          </cell>
          <cell r="AG161">
            <v>5</v>
          </cell>
          <cell r="AH161">
            <v>81.836405804213044</v>
          </cell>
          <cell r="AI161">
            <v>4.9493332884339081</v>
          </cell>
          <cell r="AJ161">
            <v>4.29</v>
          </cell>
          <cell r="AK161">
            <v>84.088049802936567</v>
          </cell>
          <cell r="AL161">
            <v>4.9734067800653508</v>
          </cell>
          <cell r="AM161">
            <v>9.9227400684992588</v>
          </cell>
          <cell r="AN161">
            <v>0.86681537358814131</v>
          </cell>
          <cell r="AO161" t="e">
            <v>#REF!</v>
          </cell>
          <cell r="AP161" t="e">
            <v>#REF!</v>
          </cell>
          <cell r="AQ161" t="e">
            <v>#REF!</v>
          </cell>
          <cell r="AR161" t="e">
            <v>#REF!</v>
          </cell>
          <cell r="AS161" t="e">
            <v>#REF!</v>
          </cell>
          <cell r="AT161" t="e">
            <v>#REF!</v>
          </cell>
          <cell r="AU161" t="e">
            <v>#REF!</v>
          </cell>
          <cell r="AV161" t="e">
            <v>#REF!</v>
          </cell>
          <cell r="AW161">
            <v>0.86681537358814131</v>
          </cell>
          <cell r="AX161">
            <v>0.86681537358814131</v>
          </cell>
          <cell r="AY161">
            <v>0.86681537358814131</v>
          </cell>
          <cell r="AZ161" t="e">
            <v>#REF!</v>
          </cell>
          <cell r="BE161">
            <v>236155.78100000002</v>
          </cell>
          <cell r="BF161">
            <v>576197.72200000007</v>
          </cell>
        </row>
        <row r="162">
          <cell r="A162" t="str">
            <v>CC24RZ23-08</v>
          </cell>
          <cell r="B162" t="str">
            <v>CC24RZ23-08 HRN-ABX Haren Gn, Spinozalaan</v>
          </cell>
          <cell r="C162" t="str">
            <v>CC24RZ23</v>
          </cell>
          <cell r="D162">
            <v>8</v>
          </cell>
          <cell r="E162" t="str">
            <v>Haren Gn</v>
          </cell>
          <cell r="F162" t="str">
            <v>Spinozalaan</v>
          </cell>
          <cell r="G162">
            <v>21</v>
          </cell>
          <cell r="H162" t="str">
            <v>20097 HRN-ABX wk.23.xlsx</v>
          </cell>
          <cell r="I162" t="str">
            <v>C &amp; C Cable &amp; Communication B.V.</v>
          </cell>
          <cell r="J162"/>
          <cell r="K162" t="str">
            <v>HRN-ABX</v>
          </cell>
          <cell r="L162">
            <v>45433</v>
          </cell>
          <cell r="M162">
            <v>5</v>
          </cell>
          <cell r="N162">
            <v>1</v>
          </cell>
          <cell r="O162">
            <v>1</v>
          </cell>
          <cell r="P162">
            <v>63</v>
          </cell>
          <cell r="Q162" t="str">
            <v xml:space="preserve">PE100 </v>
          </cell>
          <cell r="R162">
            <v>236140.791</v>
          </cell>
          <cell r="S162">
            <v>576235.32499999995</v>
          </cell>
          <cell r="T162">
            <v>0.86499999999999999</v>
          </cell>
          <cell r="U162">
            <v>236132.35500000001</v>
          </cell>
          <cell r="V162">
            <v>576230.31400000001</v>
          </cell>
          <cell r="W162">
            <v>0.89100000000000001</v>
          </cell>
          <cell r="X162">
            <v>2.6000000000000023E-2</v>
          </cell>
          <cell r="Y162">
            <v>0.878</v>
          </cell>
          <cell r="Z162">
            <v>9.8120444862007563</v>
          </cell>
          <cell r="AA162" t="str">
            <v>236140.791,576235.325</v>
          </cell>
          <cell r="AB162" t="str">
            <v>236132.355,576230.314</v>
          </cell>
          <cell r="AC162">
            <v>9.9023267267497719</v>
          </cell>
          <cell r="AD162">
            <v>0.99088272453128312</v>
          </cell>
          <cell r="AE162">
            <v>0.71</v>
          </cell>
          <cell r="AF162">
            <v>90</v>
          </cell>
          <cell r="AG162">
            <v>5</v>
          </cell>
          <cell r="AH162">
            <v>81.836405804213044</v>
          </cell>
          <cell r="AI162">
            <v>4.9493332884339081</v>
          </cell>
          <cell r="AJ162">
            <v>4.29</v>
          </cell>
          <cell r="AK162">
            <v>82.137281928612097</v>
          </cell>
          <cell r="AL162">
            <v>4.9529934383158638</v>
          </cell>
          <cell r="AM162">
            <v>9.9023267267497719</v>
          </cell>
          <cell r="AN162">
            <v>0.99088272453128312</v>
          </cell>
          <cell r="AO162" t="e">
            <v>#REF!</v>
          </cell>
          <cell r="AP162" t="e">
            <v>#REF!</v>
          </cell>
          <cell r="AQ162" t="e">
            <v>#REF!</v>
          </cell>
          <cell r="AR162" t="e">
            <v>#REF!</v>
          </cell>
          <cell r="AS162" t="e">
            <v>#REF!</v>
          </cell>
          <cell r="AT162" t="e">
            <v>#REF!</v>
          </cell>
          <cell r="AU162" t="e">
            <v>#REF!</v>
          </cell>
          <cell r="AV162" t="e">
            <v>#REF!</v>
          </cell>
          <cell r="AW162">
            <v>0.99088272453128312</v>
          </cell>
          <cell r="AX162">
            <v>0.99088272453128312</v>
          </cell>
          <cell r="AY162">
            <v>0.99088272453128312</v>
          </cell>
          <cell r="AZ162" t="e">
            <v>#REF!</v>
          </cell>
          <cell r="BE162">
            <v>236136.573</v>
          </cell>
          <cell r="BF162">
            <v>576232.81949999998</v>
          </cell>
        </row>
        <row r="163">
          <cell r="A163" t="str">
            <v>CC24RZ23-09</v>
          </cell>
          <cell r="B163" t="str">
            <v>CC24RZ23-09 HRN-ABX Haren Gn, Spinozalaan</v>
          </cell>
          <cell r="C163" t="str">
            <v>CC24RZ23</v>
          </cell>
          <cell r="D163">
            <v>9</v>
          </cell>
          <cell r="E163" t="str">
            <v>Haren Gn</v>
          </cell>
          <cell r="F163" t="str">
            <v>Spinozalaan</v>
          </cell>
          <cell r="G163">
            <v>19</v>
          </cell>
          <cell r="H163" t="str">
            <v>20097 HRN-ABX wk.23.xlsx</v>
          </cell>
          <cell r="I163" t="str">
            <v>C &amp; C Cable &amp; Communication B.V.</v>
          </cell>
          <cell r="J163"/>
          <cell r="K163" t="str">
            <v>HRN-ABX</v>
          </cell>
          <cell r="L163">
            <v>45434</v>
          </cell>
          <cell r="M163">
            <v>5</v>
          </cell>
          <cell r="N163">
            <v>1</v>
          </cell>
          <cell r="O163">
            <v>1</v>
          </cell>
          <cell r="P163">
            <v>63</v>
          </cell>
          <cell r="Q163" t="str">
            <v xml:space="preserve">PE100 </v>
          </cell>
          <cell r="R163">
            <v>236123.533</v>
          </cell>
          <cell r="S163">
            <v>576268.09199999995</v>
          </cell>
          <cell r="T163">
            <v>0.86799999999999999</v>
          </cell>
          <cell r="U163">
            <v>236114.11300000001</v>
          </cell>
          <cell r="V163">
            <v>576264.87199999997</v>
          </cell>
          <cell r="W163">
            <v>0.872</v>
          </cell>
          <cell r="X163">
            <v>4.0000000000000036E-3</v>
          </cell>
          <cell r="Y163">
            <v>0.87</v>
          </cell>
          <cell r="Z163">
            <v>9.955139376197252</v>
          </cell>
          <cell r="AA163" t="str">
            <v>236123.533,576268.092</v>
          </cell>
          <cell r="AB163" t="str">
            <v>236114.113,576264.872</v>
          </cell>
          <cell r="AC163">
            <v>9.899238742076431</v>
          </cell>
          <cell r="AD163">
            <v>1.0056469629208171</v>
          </cell>
          <cell r="AE163">
            <v>0.71</v>
          </cell>
          <cell r="AF163">
            <v>90</v>
          </cell>
          <cell r="AG163">
            <v>5</v>
          </cell>
          <cell r="AH163">
            <v>81.836405804213044</v>
          </cell>
          <cell r="AI163">
            <v>4.9493332884339081</v>
          </cell>
          <cell r="AJ163">
            <v>4.29</v>
          </cell>
          <cell r="AK163">
            <v>81.882708981972556</v>
          </cell>
          <cell r="AL163">
            <v>4.9499054536425238</v>
          </cell>
          <cell r="AM163">
            <v>9.899238742076431</v>
          </cell>
          <cell r="AN163">
            <v>1.0056469629208171</v>
          </cell>
          <cell r="AO163" t="e">
            <v>#REF!</v>
          </cell>
          <cell r="AP163" t="e">
            <v>#REF!</v>
          </cell>
          <cell r="AQ163" t="e">
            <v>#REF!</v>
          </cell>
          <cell r="AR163" t="e">
            <v>#REF!</v>
          </cell>
          <cell r="AS163" t="e">
            <v>#REF!</v>
          </cell>
          <cell r="AT163" t="e">
            <v>#REF!</v>
          </cell>
          <cell r="AU163" t="e">
            <v>#REF!</v>
          </cell>
          <cell r="AV163" t="e">
            <v>#REF!</v>
          </cell>
          <cell r="AW163">
            <v>1.0056469629208171</v>
          </cell>
          <cell r="AX163">
            <v>1.0056469629208171</v>
          </cell>
          <cell r="AY163">
            <v>1.0056469629208171</v>
          </cell>
          <cell r="AZ163" t="e">
            <v>#REF!</v>
          </cell>
          <cell r="BE163">
            <v>236118.823</v>
          </cell>
          <cell r="BF163">
            <v>576266.48199999996</v>
          </cell>
        </row>
        <row r="164">
          <cell r="A164" t="str">
            <v>CC24RZ23-10</v>
          </cell>
          <cell r="B164" t="str">
            <v>CC24RZ23-10 HRN-ABX Haren Gn, Spinozalaan</v>
          </cell>
          <cell r="C164" t="str">
            <v>CC24RZ23</v>
          </cell>
          <cell r="D164">
            <v>10</v>
          </cell>
          <cell r="E164" t="str">
            <v>Haren Gn</v>
          </cell>
          <cell r="F164" t="str">
            <v>Spinozalaan</v>
          </cell>
          <cell r="G164">
            <v>17</v>
          </cell>
          <cell r="H164" t="str">
            <v>20097 HRN-ABX wk.23.xlsx</v>
          </cell>
          <cell r="I164" t="str">
            <v>C &amp; C Cable &amp; Communication B.V.</v>
          </cell>
          <cell r="J164"/>
          <cell r="K164" t="str">
            <v>HRN-ABX</v>
          </cell>
          <cell r="L164">
            <v>45435</v>
          </cell>
          <cell r="M164">
            <v>7.5</v>
          </cell>
          <cell r="N164">
            <v>8</v>
          </cell>
          <cell r="O164">
            <v>1</v>
          </cell>
          <cell r="P164">
            <v>63</v>
          </cell>
          <cell r="Q164" t="str">
            <v xml:space="preserve">PE100 </v>
          </cell>
          <cell r="R164">
            <v>236111.641</v>
          </cell>
          <cell r="S164">
            <v>576295.18999999994</v>
          </cell>
          <cell r="T164">
            <v>0.90300000000000002</v>
          </cell>
          <cell r="U164">
            <v>236102.61</v>
          </cell>
          <cell r="V164">
            <v>576291.326</v>
          </cell>
          <cell r="W164">
            <v>0.97499999999999998</v>
          </cell>
          <cell r="X164">
            <v>7.1999999999999953E-2</v>
          </cell>
          <cell r="Y164">
            <v>0.93900000000000006</v>
          </cell>
          <cell r="Z164">
            <v>9.8229047129590015</v>
          </cell>
          <cell r="AA164" t="str">
            <v>236111.641,576295.19</v>
          </cell>
          <cell r="AB164" t="str">
            <v>236102.61,576291.326</v>
          </cell>
          <cell r="AC164">
            <v>11.262814953842685</v>
          </cell>
          <cell r="AD164">
            <v>0.87215360930773256</v>
          </cell>
          <cell r="AE164">
            <v>0.71</v>
          </cell>
          <cell r="AF164">
            <v>55.21</v>
          </cell>
          <cell r="AG164">
            <v>3.2207231893560051</v>
          </cell>
          <cell r="AH164">
            <v>48.299497098536229</v>
          </cell>
          <cell r="AI164">
            <v>5.5997425750448642</v>
          </cell>
          <cell r="AJ164">
            <v>2.5107231893560051</v>
          </cell>
          <cell r="AK164">
            <v>49.032038642951555</v>
          </cell>
          <cell r="AL164">
            <v>5.6630723787978212</v>
          </cell>
          <cell r="AM164">
            <v>11.262814953842685</v>
          </cell>
          <cell r="AN164">
            <v>0.87215360930773256</v>
          </cell>
          <cell r="AO164" t="e">
            <v>#REF!</v>
          </cell>
          <cell r="AP164" t="e">
            <v>#REF!</v>
          </cell>
          <cell r="AQ164" t="e">
            <v>#REF!</v>
          </cell>
          <cell r="AR164" t="e">
            <v>#REF!</v>
          </cell>
          <cell r="AS164" t="e">
            <v>#REF!</v>
          </cell>
          <cell r="AT164" t="e">
            <v>#REF!</v>
          </cell>
          <cell r="AU164" t="e">
            <v>#REF!</v>
          </cell>
          <cell r="AV164" t="e">
            <v>#REF!</v>
          </cell>
          <cell r="AW164">
            <v>0.87215360930773256</v>
          </cell>
          <cell r="AX164">
            <v>0.87215360930773256</v>
          </cell>
          <cell r="AY164">
            <v>0.87215360930773256</v>
          </cell>
          <cell r="AZ164" t="e">
            <v>#REF!</v>
          </cell>
          <cell r="BE164">
            <v>236107.12549999999</v>
          </cell>
          <cell r="BF164">
            <v>576293.25799999991</v>
          </cell>
        </row>
        <row r="165">
          <cell r="A165" t="str">
            <v>CC24RZ23-11</v>
          </cell>
          <cell r="B165" t="str">
            <v>CC24RZ23-11 HRN-ABX Haren Gn, Spinozalaan</v>
          </cell>
          <cell r="C165" t="str">
            <v>CC24RZ23</v>
          </cell>
          <cell r="D165">
            <v>11</v>
          </cell>
          <cell r="E165" t="str">
            <v>Haren Gn</v>
          </cell>
          <cell r="F165" t="str">
            <v>Spinozalaan</v>
          </cell>
          <cell r="G165">
            <v>4</v>
          </cell>
          <cell r="H165" t="str">
            <v>20097 HRN-ABX wk.23.xlsx</v>
          </cell>
          <cell r="I165" t="str">
            <v>C &amp; C Cable &amp; Communication B.V.</v>
          </cell>
          <cell r="J165"/>
          <cell r="K165" t="str">
            <v>HRN-ABX</v>
          </cell>
          <cell r="L165">
            <v>45435</v>
          </cell>
          <cell r="M165">
            <v>7.5</v>
          </cell>
          <cell r="N165">
            <v>8</v>
          </cell>
          <cell r="O165">
            <v>1</v>
          </cell>
          <cell r="P165">
            <v>63</v>
          </cell>
          <cell r="Q165" t="str">
            <v xml:space="preserve">PE100 </v>
          </cell>
          <cell r="R165">
            <v>236053.96799999999</v>
          </cell>
          <cell r="S165">
            <v>576406.429</v>
          </cell>
          <cell r="T165">
            <v>1.05</v>
          </cell>
          <cell r="U165">
            <v>236045.861</v>
          </cell>
          <cell r="V165">
            <v>576400.95499999996</v>
          </cell>
          <cell r="W165">
            <v>1.127</v>
          </cell>
          <cell r="X165">
            <v>7.6999999999999957E-2</v>
          </cell>
          <cell r="Y165">
            <v>1.0885</v>
          </cell>
          <cell r="Z165">
            <v>9.7820307196574561</v>
          </cell>
          <cell r="AA165" t="str">
            <v>236053.968,576406.429</v>
          </cell>
          <cell r="AB165" t="str">
            <v>236045.861,576400.955</v>
          </cell>
          <cell r="AC165">
            <v>11.267152612761322</v>
          </cell>
          <cell r="AD165">
            <v>0.86819013248992494</v>
          </cell>
          <cell r="AE165">
            <v>0.71</v>
          </cell>
          <cell r="AF165">
            <v>55.21</v>
          </cell>
          <cell r="AG165">
            <v>3.2207231893560051</v>
          </cell>
          <cell r="AH165">
            <v>48.299497098536229</v>
          </cell>
          <cell r="AI165">
            <v>5.5997425750448642</v>
          </cell>
          <cell r="AJ165">
            <v>2.5107231893560051</v>
          </cell>
          <cell r="AK165">
            <v>49.082606459649654</v>
          </cell>
          <cell r="AL165">
            <v>5.6674100377164569</v>
          </cell>
          <cell r="AM165">
            <v>11.267152612761322</v>
          </cell>
          <cell r="AN165">
            <v>0.86819013248992494</v>
          </cell>
          <cell r="AO165" t="e">
            <v>#REF!</v>
          </cell>
          <cell r="AP165" t="e">
            <v>#REF!</v>
          </cell>
          <cell r="AQ165" t="e">
            <v>#REF!</v>
          </cell>
          <cell r="AR165" t="e">
            <v>#REF!</v>
          </cell>
          <cell r="AS165" t="e">
            <v>#REF!</v>
          </cell>
          <cell r="AT165" t="e">
            <v>#REF!</v>
          </cell>
          <cell r="AU165" t="e">
            <v>#REF!</v>
          </cell>
          <cell r="AV165" t="e">
            <v>#REF!</v>
          </cell>
          <cell r="AW165">
            <v>0.86819013248992494</v>
          </cell>
          <cell r="AX165">
            <v>0.86819013248992494</v>
          </cell>
          <cell r="AY165">
            <v>0.86819013248992494</v>
          </cell>
          <cell r="AZ165" t="e">
            <v>#REF!</v>
          </cell>
          <cell r="BE165">
            <v>236049.91450000001</v>
          </cell>
          <cell r="BF165">
            <v>576403.69200000004</v>
          </cell>
        </row>
        <row r="166">
          <cell r="A166" t="str">
            <v>CC24RZ23-12</v>
          </cell>
          <cell r="B166" t="str">
            <v>CC24RZ23-12 HRN-ABX Haren Gn, Erasmuslaan</v>
          </cell>
          <cell r="C166" t="str">
            <v>CC24RZ23</v>
          </cell>
          <cell r="D166">
            <v>12</v>
          </cell>
          <cell r="E166" t="str">
            <v>Haren Gn</v>
          </cell>
          <cell r="F166" t="str">
            <v>Erasmuslaan</v>
          </cell>
          <cell r="G166">
            <v>2</v>
          </cell>
          <cell r="H166" t="str">
            <v>20097 HRN-ABX wk.23.xlsx</v>
          </cell>
          <cell r="I166" t="str">
            <v>C &amp; C Cable &amp; Communication B.V.</v>
          </cell>
          <cell r="J166"/>
          <cell r="K166" t="str">
            <v>HRN-ABX</v>
          </cell>
          <cell r="L166">
            <v>45439</v>
          </cell>
          <cell r="M166">
            <v>5</v>
          </cell>
          <cell r="N166">
            <v>6</v>
          </cell>
          <cell r="O166">
            <v>1</v>
          </cell>
          <cell r="P166">
            <v>63</v>
          </cell>
          <cell r="Q166" t="str">
            <v xml:space="preserve">PE100 </v>
          </cell>
          <cell r="R166">
            <v>236040.09</v>
          </cell>
          <cell r="S166">
            <v>576403.25800000003</v>
          </cell>
          <cell r="T166">
            <v>0.71499999999999997</v>
          </cell>
          <cell r="U166">
            <v>236035.20300000001</v>
          </cell>
          <cell r="V166">
            <v>576411.89599999995</v>
          </cell>
          <cell r="W166">
            <v>0.75800000000000001</v>
          </cell>
          <cell r="X166">
            <v>4.3000000000000038E-2</v>
          </cell>
          <cell r="Y166">
            <v>0.73649999999999993</v>
          </cell>
          <cell r="Z166">
            <v>9.924606440483263</v>
          </cell>
          <cell r="AA166" t="str">
            <v>236040.09,576403.258</v>
          </cell>
          <cell r="AB166" t="str">
            <v>236035.203,576411.896</v>
          </cell>
          <cell r="AC166">
            <v>8.2986235265835671</v>
          </cell>
          <cell r="AD166">
            <v>1.1959340496277568</v>
          </cell>
          <cell r="AE166">
            <v>0.71</v>
          </cell>
          <cell r="AF166">
            <v>65.150000000000006</v>
          </cell>
          <cell r="AG166">
            <v>2.8987794603804069</v>
          </cell>
          <cell r="AH166">
            <v>55.788864733010442</v>
          </cell>
          <cell r="AI166">
            <v>4.1348565969838562</v>
          </cell>
          <cell r="AJ166">
            <v>2.1887794603804061</v>
          </cell>
          <cell r="AK166">
            <v>56.382625002345499</v>
          </cell>
          <cell r="AL166">
            <v>4.1637669295997108</v>
          </cell>
          <cell r="AM166">
            <v>8.2986235265835671</v>
          </cell>
          <cell r="AN166">
            <v>1.1959340496277568</v>
          </cell>
          <cell r="AO166" t="e">
            <v>#REF!</v>
          </cell>
          <cell r="AP166" t="e">
            <v>#REF!</v>
          </cell>
          <cell r="AQ166" t="e">
            <v>#REF!</v>
          </cell>
          <cell r="AR166" t="e">
            <v>#REF!</v>
          </cell>
          <cell r="AS166" t="e">
            <v>#REF!</v>
          </cell>
          <cell r="AT166" t="e">
            <v>#REF!</v>
          </cell>
          <cell r="AU166" t="e">
            <v>#REF!</v>
          </cell>
          <cell r="AV166" t="e">
            <v>#REF!</v>
          </cell>
          <cell r="AW166">
            <v>1.1959340496277568</v>
          </cell>
          <cell r="AX166">
            <v>1.1959340496277568</v>
          </cell>
          <cell r="AY166">
            <v>1.1959340496277568</v>
          </cell>
          <cell r="AZ166" t="e">
            <v>#REF!</v>
          </cell>
          <cell r="BE166">
            <v>236037.6465</v>
          </cell>
          <cell r="BF166">
            <v>576407.57700000005</v>
          </cell>
        </row>
        <row r="167">
          <cell r="A167" t="str">
            <v>CC24RZ23-13</v>
          </cell>
          <cell r="B167" t="str">
            <v>CC24RZ23-13 HRN-ABX Haren Gn, Erasmuslaan</v>
          </cell>
          <cell r="C167" t="str">
            <v>CC24RZ23</v>
          </cell>
          <cell r="D167">
            <v>13</v>
          </cell>
          <cell r="E167" t="str">
            <v>Haren Gn</v>
          </cell>
          <cell r="F167" t="str">
            <v>Erasmuslaan</v>
          </cell>
          <cell r="G167">
            <v>4</v>
          </cell>
          <cell r="H167" t="str">
            <v>20097 HRN-ABX wk.23.xlsx</v>
          </cell>
          <cell r="I167" t="str">
            <v>C &amp; C Cable &amp; Communication B.V.</v>
          </cell>
          <cell r="J167"/>
          <cell r="K167" t="str">
            <v>HRN-ABX</v>
          </cell>
          <cell r="L167">
            <v>45440</v>
          </cell>
          <cell r="M167">
            <v>5</v>
          </cell>
          <cell r="N167">
            <v>6</v>
          </cell>
          <cell r="O167">
            <v>1</v>
          </cell>
          <cell r="P167">
            <v>63</v>
          </cell>
          <cell r="Q167" t="str">
            <v xml:space="preserve">PE100 </v>
          </cell>
          <cell r="R167">
            <v>236000.38500000001</v>
          </cell>
          <cell r="S167">
            <v>576382.15700000001</v>
          </cell>
          <cell r="T167">
            <v>0.54400000000000004</v>
          </cell>
          <cell r="U167">
            <v>235996.42300000001</v>
          </cell>
          <cell r="V167">
            <v>576389.16500000004</v>
          </cell>
          <cell r="W167">
            <v>0.75</v>
          </cell>
          <cell r="X167">
            <v>0.20599999999999996</v>
          </cell>
          <cell r="Y167">
            <v>0.64700000000000002</v>
          </cell>
          <cell r="Z167">
            <v>8.0504352677620528</v>
          </cell>
          <cell r="AA167" t="str">
            <v>236000.385,576382.157</v>
          </cell>
          <cell r="AB167" t="str">
            <v>235996.423,576389.165</v>
          </cell>
          <cell r="AC167">
            <v>8.4025053571261665</v>
          </cell>
          <cell r="AD167">
            <v>0.9580993912648299</v>
          </cell>
          <cell r="AE167">
            <v>0.71</v>
          </cell>
          <cell r="AF167">
            <v>65.150000000000006</v>
          </cell>
          <cell r="AG167">
            <v>2.8987794603804069</v>
          </cell>
          <cell r="AH167">
            <v>55.788864733010442</v>
          </cell>
          <cell r="AI167">
            <v>4.1348565969838562</v>
          </cell>
          <cell r="AJ167">
            <v>2.1887794603804061</v>
          </cell>
          <cell r="AK167">
            <v>58.597685716622813</v>
          </cell>
          <cell r="AL167">
            <v>4.2676487601423094</v>
          </cell>
          <cell r="AM167">
            <v>8.4025053571261665</v>
          </cell>
          <cell r="AN167">
            <v>0.9580993912648299</v>
          </cell>
          <cell r="AO167" t="e">
            <v>#REF!</v>
          </cell>
          <cell r="AP167" t="e">
            <v>#REF!</v>
          </cell>
          <cell r="AQ167" t="e">
            <v>#REF!</v>
          </cell>
          <cell r="AR167" t="e">
            <v>#REF!</v>
          </cell>
          <cell r="AS167" t="e">
            <v>#REF!</v>
          </cell>
          <cell r="AT167" t="e">
            <v>#REF!</v>
          </cell>
          <cell r="AU167" t="e">
            <v>#REF!</v>
          </cell>
          <cell r="AV167" t="e">
            <v>#REF!</v>
          </cell>
          <cell r="AW167">
            <v>0.9580993912648299</v>
          </cell>
          <cell r="AX167">
            <v>0.9580993912648299</v>
          </cell>
          <cell r="AY167">
            <v>0.9580993912648299</v>
          </cell>
          <cell r="AZ167" t="e">
            <v>#REF!</v>
          </cell>
          <cell r="BE167">
            <v>235998.40400000001</v>
          </cell>
          <cell r="BF167">
            <v>576385.66100000008</v>
          </cell>
        </row>
        <row r="168">
          <cell r="A168" t="str">
            <v>CC24RZ23-14</v>
          </cell>
          <cell r="B168" t="str">
            <v>CC24RZ23-14 HRN-ABX Haren Gn, Erasmuslaan</v>
          </cell>
          <cell r="C168" t="str">
            <v>CC24RZ23</v>
          </cell>
          <cell r="D168">
            <v>14</v>
          </cell>
          <cell r="E168" t="str">
            <v>Haren Gn</v>
          </cell>
          <cell r="F168" t="str">
            <v>Erasmuslaan</v>
          </cell>
          <cell r="G168">
            <v>6</v>
          </cell>
          <cell r="H168" t="str">
            <v>20097 HRN-ABX wk.23.xlsx</v>
          </cell>
          <cell r="I168" t="str">
            <v>C &amp; C Cable &amp; Communication B.V.</v>
          </cell>
          <cell r="J168"/>
          <cell r="K168" t="str">
            <v>HRN-ABX</v>
          </cell>
          <cell r="L168">
            <v>45441</v>
          </cell>
          <cell r="M168">
            <v>5</v>
          </cell>
          <cell r="N168">
            <v>6</v>
          </cell>
          <cell r="O168">
            <v>1</v>
          </cell>
          <cell r="P168">
            <v>63</v>
          </cell>
          <cell r="Q168" t="str">
            <v xml:space="preserve">PE100 </v>
          </cell>
          <cell r="R168">
            <v>235936.78</v>
          </cell>
          <cell r="S168">
            <v>576348.37300000002</v>
          </cell>
          <cell r="T168">
            <v>1.2170000000000001</v>
          </cell>
          <cell r="U168">
            <v>235932.973</v>
          </cell>
          <cell r="V168">
            <v>576355.42000000004</v>
          </cell>
          <cell r="W168">
            <v>1.155</v>
          </cell>
          <cell r="X168">
            <v>-6.2000000000000055E-2</v>
          </cell>
          <cell r="Y168">
            <v>1.1859999999999999</v>
          </cell>
          <cell r="Z168">
            <v>8.0095853825459713</v>
          </cell>
          <cell r="AA168" t="str">
            <v>235936.78,576348.373</v>
          </cell>
          <cell r="AB168" t="str">
            <v>235932.973,576355.42</v>
          </cell>
          <cell r="AC168">
            <v>8.2268736705929193</v>
          </cell>
          <cell r="AD168">
            <v>0.97358798776458078</v>
          </cell>
          <cell r="AE168">
            <v>0.71</v>
          </cell>
          <cell r="AF168">
            <v>65.150000000000006</v>
          </cell>
          <cell r="AG168">
            <v>2.8987794603804069</v>
          </cell>
          <cell r="AH168">
            <v>55.788864733010442</v>
          </cell>
          <cell r="AI168">
            <v>4.1348565969838562</v>
          </cell>
          <cell r="AJ168">
            <v>2.1887794603804061</v>
          </cell>
          <cell r="AK168">
            <v>54.925287334817241</v>
          </cell>
          <cell r="AL168">
            <v>4.092017073609064</v>
          </cell>
          <cell r="AM168">
            <v>8.2268736705929193</v>
          </cell>
          <cell r="AN168">
            <v>0.97358798776458078</v>
          </cell>
          <cell r="AO168" t="e">
            <v>#REF!</v>
          </cell>
          <cell r="AP168" t="e">
            <v>#REF!</v>
          </cell>
          <cell r="AQ168" t="e">
            <v>#REF!</v>
          </cell>
          <cell r="AR168" t="e">
            <v>#REF!</v>
          </cell>
          <cell r="AS168" t="e">
            <v>#REF!</v>
          </cell>
          <cell r="AT168" t="e">
            <v>#REF!</v>
          </cell>
          <cell r="AU168" t="e">
            <v>#REF!</v>
          </cell>
          <cell r="AV168" t="e">
            <v>#REF!</v>
          </cell>
          <cell r="AW168">
            <v>0.97358798776458078</v>
          </cell>
          <cell r="AX168">
            <v>0.97358798776458078</v>
          </cell>
          <cell r="AY168">
            <v>0.97358798776458078</v>
          </cell>
          <cell r="AZ168" t="e">
            <v>#REF!</v>
          </cell>
          <cell r="BE168">
            <v>235934.87650000001</v>
          </cell>
          <cell r="BF168">
            <v>576351.89650000003</v>
          </cell>
        </row>
        <row r="169">
          <cell r="A169" t="str">
            <v>CC24RZ23-15</v>
          </cell>
          <cell r="B169" t="str">
            <v>CC24RZ23-15 HRN-ABX Haren Gn, Stevinweg</v>
          </cell>
          <cell r="C169" t="str">
            <v>CC24RZ23</v>
          </cell>
          <cell r="D169">
            <v>15</v>
          </cell>
          <cell r="E169" t="str">
            <v>Haren Gn</v>
          </cell>
          <cell r="F169" t="str">
            <v>Stevinweg</v>
          </cell>
          <cell r="G169">
            <v>5</v>
          </cell>
          <cell r="H169" t="str">
            <v>20097 HRN-ABX wk.23.xlsx</v>
          </cell>
          <cell r="I169" t="str">
            <v>C &amp; C Cable &amp; Communication B.V.</v>
          </cell>
          <cell r="J169"/>
          <cell r="K169" t="str">
            <v>HRN-ABX</v>
          </cell>
          <cell r="L169">
            <v>45442</v>
          </cell>
          <cell r="M169">
            <v>5</v>
          </cell>
          <cell r="N169">
            <v>4</v>
          </cell>
          <cell r="O169">
            <v>1</v>
          </cell>
          <cell r="P169">
            <v>63</v>
          </cell>
          <cell r="Q169" t="str">
            <v xml:space="preserve">PE100 </v>
          </cell>
          <cell r="R169">
            <v>235971.93799999999</v>
          </cell>
          <cell r="S169">
            <v>576277.71299999999</v>
          </cell>
          <cell r="T169">
            <v>0.68200000000000005</v>
          </cell>
          <cell r="U169">
            <v>235967.97</v>
          </cell>
          <cell r="V169">
            <v>576285.15300000005</v>
          </cell>
          <cell r="W169">
            <v>0.54100000000000004</v>
          </cell>
          <cell r="X169">
            <v>-0.14100000000000001</v>
          </cell>
          <cell r="Y169">
            <v>0.61150000000000004</v>
          </cell>
          <cell r="Z169">
            <v>8.4320000000503459</v>
          </cell>
          <cell r="AA169" t="str">
            <v>235971.938,576277.713</v>
          </cell>
          <cell r="AB169" t="str">
            <v>235967.97,576285.153</v>
          </cell>
          <cell r="AC169">
            <v>9.1041717683903531</v>
          </cell>
          <cell r="AD169">
            <v>0.92616881739053025</v>
          </cell>
          <cell r="AE169">
            <v>0.71</v>
          </cell>
          <cell r="AF169">
            <v>75.09</v>
          </cell>
          <cell r="AG169">
            <v>3.7134927315927495</v>
          </cell>
          <cell r="AH169">
            <v>66.465483763104672</v>
          </cell>
          <cell r="AI169">
            <v>4.5840984639509026</v>
          </cell>
          <cell r="AJ169">
            <v>3.0034927315927495</v>
          </cell>
          <cell r="AK169">
            <v>64.690899695243473</v>
          </cell>
          <cell r="AL169">
            <v>4.5200733044394505</v>
          </cell>
          <cell r="AM169">
            <v>9.1041717683903531</v>
          </cell>
          <cell r="AN169">
            <v>0.92616881739053025</v>
          </cell>
          <cell r="AO169" t="e">
            <v>#REF!</v>
          </cell>
          <cell r="AP169" t="e">
            <v>#REF!</v>
          </cell>
          <cell r="AQ169" t="e">
            <v>#REF!</v>
          </cell>
          <cell r="AR169" t="e">
            <v>#REF!</v>
          </cell>
          <cell r="AS169" t="e">
            <v>#REF!</v>
          </cell>
          <cell r="AT169" t="e">
            <v>#REF!</v>
          </cell>
          <cell r="AU169" t="e">
            <v>#REF!</v>
          </cell>
          <cell r="AV169" t="e">
            <v>#REF!</v>
          </cell>
          <cell r="AW169">
            <v>0.92616881739053025</v>
          </cell>
          <cell r="AX169">
            <v>0.92616881739053025</v>
          </cell>
          <cell r="AY169">
            <v>0.92616881739053025</v>
          </cell>
          <cell r="AZ169" t="e">
            <v>#REF!</v>
          </cell>
          <cell r="BE169">
            <v>235969.954</v>
          </cell>
          <cell r="BF169">
            <v>576281.43299999996</v>
          </cell>
        </row>
        <row r="170">
          <cell r="A170" t="str">
            <v>CC24RZ23-16</v>
          </cell>
          <cell r="B170" t="str">
            <v>CC24RZ23-16 HRN-ABX Haren Gn, Erasmuslaan</v>
          </cell>
          <cell r="C170" t="str">
            <v>CC24RZ23</v>
          </cell>
          <cell r="D170">
            <v>16</v>
          </cell>
          <cell r="E170" t="str">
            <v>Haren Gn</v>
          </cell>
          <cell r="F170" t="str">
            <v>Erasmuslaan</v>
          </cell>
          <cell r="G170">
            <v>5</v>
          </cell>
          <cell r="H170" t="str">
            <v>20097 HRN-ABX wk.23.xlsx</v>
          </cell>
          <cell r="I170" t="str">
            <v>C &amp; C Cable &amp; Communication B.V.</v>
          </cell>
          <cell r="J170"/>
          <cell r="K170" t="str">
            <v>HRN-ABX</v>
          </cell>
          <cell r="L170">
            <v>45448</v>
          </cell>
          <cell r="M170">
            <v>5</v>
          </cell>
          <cell r="N170">
            <v>4</v>
          </cell>
          <cell r="O170">
            <v>1</v>
          </cell>
          <cell r="P170">
            <v>63</v>
          </cell>
          <cell r="Q170" t="str">
            <v xml:space="preserve">PE100 </v>
          </cell>
          <cell r="R170">
            <v>235961.136</v>
          </cell>
          <cell r="S170">
            <v>576268.17700000003</v>
          </cell>
          <cell r="T170">
            <v>0.51200000000000001</v>
          </cell>
          <cell r="U170">
            <v>235957.35699999999</v>
          </cell>
          <cell r="V170">
            <v>576259.505</v>
          </cell>
          <cell r="W170">
            <v>0.66900000000000004</v>
          </cell>
          <cell r="X170">
            <v>0.15700000000000003</v>
          </cell>
          <cell r="Y170">
            <v>0.59050000000000002</v>
          </cell>
          <cell r="Z170">
            <v>9.4596207640913121</v>
          </cell>
          <cell r="AA170" t="str">
            <v>235961.136,576268.177</v>
          </cell>
          <cell r="AB170" t="str">
            <v>235957.357,576259.505</v>
          </cell>
          <cell r="AC170">
            <v>9.2334223943172198</v>
          </cell>
          <cell r="AD170">
            <v>1.0244977820914278</v>
          </cell>
          <cell r="AE170">
            <v>0.71</v>
          </cell>
          <cell r="AF170">
            <v>75.09</v>
          </cell>
          <cell r="AG170">
            <v>3.7134927315927495</v>
          </cell>
          <cell r="AH170">
            <v>66.465483763104672</v>
          </cell>
          <cell r="AI170">
            <v>4.5840984639509026</v>
          </cell>
          <cell r="AJ170">
            <v>3.0034927315927495</v>
          </cell>
          <cell r="AK170">
            <v>68.413747416160234</v>
          </cell>
          <cell r="AL170">
            <v>4.6493239303663163</v>
          </cell>
          <cell r="AM170">
            <v>9.2334223943172198</v>
          </cell>
          <cell r="AN170">
            <v>1.0244977820914278</v>
          </cell>
          <cell r="AO170" t="e">
            <v>#REF!</v>
          </cell>
          <cell r="AP170" t="e">
            <v>#REF!</v>
          </cell>
          <cell r="AQ170" t="e">
            <v>#REF!</v>
          </cell>
          <cell r="AR170" t="e">
            <v>#REF!</v>
          </cell>
          <cell r="AS170" t="e">
            <v>#REF!</v>
          </cell>
          <cell r="AT170" t="e">
            <v>#REF!</v>
          </cell>
          <cell r="AU170" t="e">
            <v>#REF!</v>
          </cell>
          <cell r="AV170" t="e">
            <v>#REF!</v>
          </cell>
          <cell r="AW170">
            <v>1.0244977820914278</v>
          </cell>
          <cell r="AX170">
            <v>1.0244977820914278</v>
          </cell>
          <cell r="AY170">
            <v>1.0244977820914278</v>
          </cell>
          <cell r="AZ170" t="e">
            <v>#REF!</v>
          </cell>
          <cell r="BE170">
            <v>235959.24650000001</v>
          </cell>
          <cell r="BF170">
            <v>576263.84100000001</v>
          </cell>
        </row>
        <row r="171">
          <cell r="A171" t="str">
            <v>CC24RZ23-17</v>
          </cell>
          <cell r="B171" t="str">
            <v>CC24RZ23-17 HRN-ABX Haren Gn, Stevinweg</v>
          </cell>
          <cell r="C171" t="str">
            <v>CC24RZ23</v>
          </cell>
          <cell r="D171">
            <v>17</v>
          </cell>
          <cell r="E171" t="str">
            <v>Haren Gn</v>
          </cell>
          <cell r="F171" t="str">
            <v>Stevinweg</v>
          </cell>
          <cell r="G171">
            <v>8</v>
          </cell>
          <cell r="H171" t="str">
            <v>20097 HRN-ABX wk.23.xlsx</v>
          </cell>
          <cell r="I171" t="str">
            <v>C &amp; C Cable &amp; Communication B.V.</v>
          </cell>
          <cell r="J171"/>
          <cell r="K171" t="str">
            <v>HRN-ABX</v>
          </cell>
          <cell r="L171">
            <v>45446</v>
          </cell>
          <cell r="M171">
            <v>5</v>
          </cell>
          <cell r="N171">
            <v>8</v>
          </cell>
          <cell r="O171">
            <v>1</v>
          </cell>
          <cell r="P171">
            <v>63</v>
          </cell>
          <cell r="Q171" t="str">
            <v xml:space="preserve">PE100 </v>
          </cell>
          <cell r="R171">
            <v>235995.88500000001</v>
          </cell>
          <cell r="S171">
            <v>576287.15300000005</v>
          </cell>
          <cell r="T171">
            <v>0.73599999999999999</v>
          </cell>
          <cell r="U171">
            <v>235998.514</v>
          </cell>
          <cell r="V171">
            <v>576280.41299999994</v>
          </cell>
          <cell r="W171">
            <v>0.7</v>
          </cell>
          <cell r="X171">
            <v>-3.6000000000000032E-2</v>
          </cell>
          <cell r="Y171">
            <v>0.71799999999999997</v>
          </cell>
          <cell r="Z171">
            <v>7.2345864430091309</v>
          </cell>
          <cell r="AA171" t="str">
            <v>235995.885,576287.153</v>
          </cell>
          <cell r="AB171" t="str">
            <v>235998.514,576280.413</v>
          </cell>
          <cell r="AC171">
            <v>6.9790656833412452</v>
          </cell>
          <cell r="AD171">
            <v>1.036612459498383</v>
          </cell>
          <cell r="AE171">
            <v>0.71</v>
          </cell>
          <cell r="AF171">
            <v>55.21</v>
          </cell>
          <cell r="AG171">
            <v>2.1471487929040034</v>
          </cell>
          <cell r="AH171">
            <v>44.555576114520797</v>
          </cell>
          <cell r="AI171">
            <v>3.5080038876966197</v>
          </cell>
          <cell r="AJ171">
            <v>1.4371487929040034</v>
          </cell>
          <cell r="AK171">
            <v>43.964485598365002</v>
          </cell>
          <cell r="AL171">
            <v>3.471061795644625</v>
          </cell>
          <cell r="AM171">
            <v>6.9790656833412452</v>
          </cell>
          <cell r="AN171">
            <v>1.036612459498383</v>
          </cell>
          <cell r="AO171" t="e">
            <v>#REF!</v>
          </cell>
          <cell r="AP171" t="e">
            <v>#REF!</v>
          </cell>
          <cell r="AQ171" t="e">
            <v>#REF!</v>
          </cell>
          <cell r="AR171" t="e">
            <v>#REF!</v>
          </cell>
          <cell r="AS171" t="e">
            <v>#REF!</v>
          </cell>
          <cell r="AT171" t="e">
            <v>#REF!</v>
          </cell>
          <cell r="AU171" t="e">
            <v>#REF!</v>
          </cell>
          <cell r="AV171" t="e">
            <v>#REF!</v>
          </cell>
          <cell r="AW171">
            <v>1.036612459498383</v>
          </cell>
          <cell r="AX171">
            <v>1.036612459498383</v>
          </cell>
          <cell r="AY171">
            <v>1.036612459498383</v>
          </cell>
          <cell r="AZ171" t="e">
            <v>#REF!</v>
          </cell>
          <cell r="BE171">
            <v>235997.19949999999</v>
          </cell>
          <cell r="BF171">
            <v>576283.78300000005</v>
          </cell>
        </row>
        <row r="172">
          <cell r="A172" t="str">
            <v>CC24RZ23-18</v>
          </cell>
          <cell r="B172" t="str">
            <v>CC24RZ23-18 HRN-ABX Haren Gn, Stevinweg</v>
          </cell>
          <cell r="C172" t="str">
            <v>CC24RZ23</v>
          </cell>
          <cell r="D172">
            <v>18</v>
          </cell>
          <cell r="E172" t="str">
            <v>Haren Gn</v>
          </cell>
          <cell r="F172" t="str">
            <v>Stevinweg</v>
          </cell>
          <cell r="G172">
            <v>6</v>
          </cell>
          <cell r="H172" t="str">
            <v>20097 HRN-ABX wk.23.xlsx</v>
          </cell>
          <cell r="I172" t="str">
            <v>C &amp; C Cable &amp; Communication B.V.</v>
          </cell>
          <cell r="J172"/>
          <cell r="K172" t="str">
            <v>HRN-ABX</v>
          </cell>
          <cell r="L172">
            <v>45446</v>
          </cell>
          <cell r="M172">
            <v>5</v>
          </cell>
          <cell r="N172">
            <v>9</v>
          </cell>
          <cell r="O172">
            <v>1</v>
          </cell>
          <cell r="P172">
            <v>63</v>
          </cell>
          <cell r="Q172" t="str">
            <v xml:space="preserve">PE100 </v>
          </cell>
          <cell r="R172">
            <v>236014.31899999999</v>
          </cell>
          <cell r="S172">
            <v>576297.571</v>
          </cell>
          <cell r="T172">
            <v>0.90900000000000003</v>
          </cell>
          <cell r="U172">
            <v>236020.383</v>
          </cell>
          <cell r="V172">
            <v>576295.69099999999</v>
          </cell>
          <cell r="W172">
            <v>0.7</v>
          </cell>
          <cell r="X172">
            <v>-0.20900000000000007</v>
          </cell>
          <cell r="Y172">
            <v>0.80449999999999999</v>
          </cell>
          <cell r="Z172">
            <v>6.3487397174695728</v>
          </cell>
          <cell r="AA172" t="str">
            <v>236014.319,576297.571</v>
          </cell>
          <cell r="AB172" t="str">
            <v>236020.383,576295.691</v>
          </cell>
          <cell r="AC172">
            <v>5.9565693908568447</v>
          </cell>
          <cell r="AD172">
            <v>1.0658382872555296</v>
          </cell>
          <cell r="AE172">
            <v>0.71</v>
          </cell>
          <cell r="AF172">
            <v>50.24</v>
          </cell>
          <cell r="AG172">
            <v>1.80213409772671</v>
          </cell>
          <cell r="AH172">
            <v>38.595159149554647</v>
          </cell>
          <cell r="AI172">
            <v>3.1190678238617648</v>
          </cell>
          <cell r="AJ172">
            <v>1.09213409772671</v>
          </cell>
          <cell r="AK172">
            <v>34.576098305585887</v>
          </cell>
          <cell r="AL172">
            <v>2.8375015669950798</v>
          </cell>
          <cell r="AM172">
            <v>5.9565693908568447</v>
          </cell>
          <cell r="AN172">
            <v>1.0658382872555296</v>
          </cell>
          <cell r="AO172" t="e">
            <v>#REF!</v>
          </cell>
          <cell r="AP172" t="e">
            <v>#REF!</v>
          </cell>
          <cell r="AQ172" t="e">
            <v>#REF!</v>
          </cell>
          <cell r="AR172" t="e">
            <v>#REF!</v>
          </cell>
          <cell r="AS172" t="e">
            <v>#REF!</v>
          </cell>
          <cell r="AT172" t="e">
            <v>#REF!</v>
          </cell>
          <cell r="AU172" t="e">
            <v>#REF!</v>
          </cell>
          <cell r="AV172" t="e">
            <v>#REF!</v>
          </cell>
          <cell r="AW172">
            <v>1.0658382872555296</v>
          </cell>
          <cell r="AX172">
            <v>1.0658382872555296</v>
          </cell>
          <cell r="AY172">
            <v>1.0658382872555296</v>
          </cell>
          <cell r="AZ172" t="e">
            <v>#REF!</v>
          </cell>
          <cell r="BE172">
            <v>236017.351</v>
          </cell>
          <cell r="BF172">
            <v>576296.63100000005</v>
          </cell>
        </row>
        <row r="173">
          <cell r="A173" t="str">
            <v>CC24RZ23-19</v>
          </cell>
          <cell r="B173" t="str">
            <v>CC24RZ23-19 HRN-ABX Haren Gn, Stevinweg</v>
          </cell>
          <cell r="C173" t="str">
            <v>CC24RZ23</v>
          </cell>
          <cell r="D173">
            <v>19</v>
          </cell>
          <cell r="E173" t="str">
            <v>Haren Gn</v>
          </cell>
          <cell r="F173" t="str">
            <v>Stevinweg</v>
          </cell>
          <cell r="G173">
            <v>4</v>
          </cell>
          <cell r="H173" t="str">
            <v>20097 HRN-ABX wk.23.xlsx</v>
          </cell>
          <cell r="I173" t="str">
            <v>C &amp; C Cable &amp; Communication B.V.</v>
          </cell>
          <cell r="J173"/>
          <cell r="K173" t="str">
            <v>HRN-ABX</v>
          </cell>
          <cell r="L173">
            <v>45447</v>
          </cell>
          <cell r="M173">
            <v>5</v>
          </cell>
          <cell r="N173">
            <v>8</v>
          </cell>
          <cell r="O173">
            <v>1</v>
          </cell>
          <cell r="P173">
            <v>63</v>
          </cell>
          <cell r="Q173" t="str">
            <v xml:space="preserve">PE100 </v>
          </cell>
          <cell r="R173">
            <v>235996.14600000001</v>
          </cell>
          <cell r="S173">
            <v>576332.67599999998</v>
          </cell>
          <cell r="T173">
            <v>0.74199999999999999</v>
          </cell>
          <cell r="U173">
            <v>236001.954</v>
          </cell>
          <cell r="V173">
            <v>576336.02500000002</v>
          </cell>
          <cell r="W173">
            <v>0.46400000000000002</v>
          </cell>
          <cell r="X173">
            <v>-0.27799999999999997</v>
          </cell>
          <cell r="Y173">
            <v>0.60299999999999998</v>
          </cell>
          <cell r="Z173">
            <v>6.7043765556678991</v>
          </cell>
          <cell r="AA173" t="str">
            <v>235996.146,576332.676</v>
          </cell>
          <cell r="AB173" t="str">
            <v>236001.954,576336.025</v>
          </cell>
          <cell r="AC173">
            <v>6.7092320902696923</v>
          </cell>
          <cell r="AD173">
            <v>0.99927629055956568</v>
          </cell>
          <cell r="AE173">
            <v>0.71</v>
          </cell>
          <cell r="AF173">
            <v>55.21</v>
          </cell>
          <cell r="AG173">
            <v>2.1471487929040034</v>
          </cell>
          <cell r="AH173">
            <v>44.555576114520797</v>
          </cell>
          <cell r="AI173">
            <v>3.5080038876966197</v>
          </cell>
          <cell r="AJ173">
            <v>1.4371487929040034</v>
          </cell>
          <cell r="AK173">
            <v>39.810138732995632</v>
          </cell>
          <cell r="AL173">
            <v>3.2012282025730725</v>
          </cell>
          <cell r="AM173">
            <v>6.7092320902696923</v>
          </cell>
          <cell r="AN173">
            <v>0.99927629055956568</v>
          </cell>
          <cell r="AO173" t="e">
            <v>#REF!</v>
          </cell>
          <cell r="AP173" t="e">
            <v>#REF!</v>
          </cell>
          <cell r="AQ173" t="e">
            <v>#REF!</v>
          </cell>
          <cell r="AR173" t="e">
            <v>#REF!</v>
          </cell>
          <cell r="AS173" t="e">
            <v>#REF!</v>
          </cell>
          <cell r="AT173" t="e">
            <v>#REF!</v>
          </cell>
          <cell r="AU173" t="e">
            <v>#REF!</v>
          </cell>
          <cell r="AV173" t="e">
            <v>#REF!</v>
          </cell>
          <cell r="AW173">
            <v>0.99927629055956568</v>
          </cell>
          <cell r="AX173">
            <v>0.99927629055956568</v>
          </cell>
          <cell r="AY173">
            <v>0.99927629055956568</v>
          </cell>
          <cell r="AZ173" t="e">
            <v>#REF!</v>
          </cell>
          <cell r="BE173">
            <v>235999.05</v>
          </cell>
          <cell r="BF173">
            <v>576334.35049999994</v>
          </cell>
        </row>
        <row r="174">
          <cell r="A174" t="str">
            <v>CC24RZ23-20</v>
          </cell>
          <cell r="B174" t="str">
            <v>CC24RZ23-20 HRN-ABX Haren Gn, Lorentzweg</v>
          </cell>
          <cell r="C174" t="str">
            <v>CC24RZ23</v>
          </cell>
          <cell r="D174">
            <v>20</v>
          </cell>
          <cell r="E174" t="str">
            <v>Haren Gn</v>
          </cell>
          <cell r="F174" t="str">
            <v>Lorentzweg</v>
          </cell>
          <cell r="G174">
            <v>3</v>
          </cell>
          <cell r="H174" t="str">
            <v>20097 HRN-ABX wk.23.xlsx</v>
          </cell>
          <cell r="I174" t="str">
            <v>C &amp; C Cable &amp; Communication B.V.</v>
          </cell>
          <cell r="J174"/>
          <cell r="K174" t="str">
            <v>HRN-ABX</v>
          </cell>
          <cell r="L174">
            <v>45460</v>
          </cell>
          <cell r="M174">
            <v>5</v>
          </cell>
          <cell r="N174">
            <v>6</v>
          </cell>
          <cell r="O174">
            <v>1</v>
          </cell>
          <cell r="P174">
            <v>63</v>
          </cell>
          <cell r="Q174" t="str">
            <v xml:space="preserve">PE100 </v>
          </cell>
          <cell r="R174">
            <v>236066.67</v>
          </cell>
          <cell r="S174">
            <v>576115.26800000004</v>
          </cell>
          <cell r="T174">
            <v>0.77</v>
          </cell>
          <cell r="U174">
            <v>236063.323</v>
          </cell>
          <cell r="V174">
            <v>576120.64899999998</v>
          </cell>
          <cell r="W174">
            <v>0.96099999999999997</v>
          </cell>
          <cell r="X174">
            <v>0.19099999999999995</v>
          </cell>
          <cell r="Y174">
            <v>0.86549999999999994</v>
          </cell>
          <cell r="Z174">
            <v>6.3370000788517942</v>
          </cell>
          <cell r="AA174" t="str">
            <v>236066.67,576115.268</v>
          </cell>
          <cell r="AB174" t="str">
            <v>236063.323,576120.649</v>
          </cell>
          <cell r="AC174">
            <v>8.3933122235878947</v>
          </cell>
          <cell r="AD174">
            <v>0.75500587968630484</v>
          </cell>
          <cell r="AE174">
            <v>0.71</v>
          </cell>
          <cell r="AF174">
            <v>65.150000000000006</v>
          </cell>
          <cell r="AG174">
            <v>2.8987794603804069</v>
          </cell>
          <cell r="AH174">
            <v>55.788864733010442</v>
          </cell>
          <cell r="AI174">
            <v>4.1348565969838562</v>
          </cell>
          <cell r="AJ174">
            <v>2.1887794603804061</v>
          </cell>
          <cell r="AK174">
            <v>58.39608466483655</v>
          </cell>
          <cell r="AL174">
            <v>4.2584556266040394</v>
          </cell>
          <cell r="AM174">
            <v>8.3933122235878947</v>
          </cell>
          <cell r="AN174">
            <v>0.75500587968630484</v>
          </cell>
          <cell r="AO174" t="e">
            <v>#REF!</v>
          </cell>
          <cell r="AP174" t="e">
            <v>#REF!</v>
          </cell>
          <cell r="AQ174" t="e">
            <v>#REF!</v>
          </cell>
          <cell r="AR174" t="e">
            <v>#REF!</v>
          </cell>
          <cell r="AS174" t="e">
            <v>#REF!</v>
          </cell>
          <cell r="AT174" t="e">
            <v>#REF!</v>
          </cell>
          <cell r="AU174" t="e">
            <v>#REF!</v>
          </cell>
          <cell r="AV174" t="e">
            <v>#REF!</v>
          </cell>
          <cell r="AW174">
            <v>0.75500587968630484</v>
          </cell>
          <cell r="AX174">
            <v>0.75500587968630484</v>
          </cell>
          <cell r="AY174">
            <v>0.75500587968630484</v>
          </cell>
          <cell r="AZ174" t="e">
            <v>#REF!</v>
          </cell>
          <cell r="BE174">
            <v>236064.99650000001</v>
          </cell>
          <cell r="BF174">
            <v>576117.95849999995</v>
          </cell>
        </row>
        <row r="175">
          <cell r="A175" t="str">
            <v>CC24RZ23-21</v>
          </cell>
          <cell r="B175" t="str">
            <v>CC24RZ23-21 HRN-ABX Haren Gn, Emmalaan</v>
          </cell>
          <cell r="C175" t="str">
            <v>CC24RZ23</v>
          </cell>
          <cell r="D175">
            <v>21</v>
          </cell>
          <cell r="E175" t="str">
            <v>Haren Gn</v>
          </cell>
          <cell r="F175" t="str">
            <v>Emmalaan</v>
          </cell>
          <cell r="G175">
            <v>62</v>
          </cell>
          <cell r="H175" t="str">
            <v>20097 HRN-ABX wk.23.xlsx</v>
          </cell>
          <cell r="I175" t="str">
            <v>C &amp; C Cable &amp; Communication B.V.</v>
          </cell>
          <cell r="J175"/>
          <cell r="K175" t="str">
            <v>HRN-ABX</v>
          </cell>
          <cell r="L175">
            <v>45461</v>
          </cell>
          <cell r="M175">
            <v>10</v>
          </cell>
          <cell r="N175">
            <v>6</v>
          </cell>
          <cell r="O175">
            <v>1</v>
          </cell>
          <cell r="P175">
            <v>63</v>
          </cell>
          <cell r="Q175" t="str">
            <v xml:space="preserve">PE100 </v>
          </cell>
          <cell r="R175">
            <v>236015.32500000001</v>
          </cell>
          <cell r="S175">
            <v>576439.63399999996</v>
          </cell>
          <cell r="T175">
            <v>0.94099999999999995</v>
          </cell>
          <cell r="U175">
            <v>236007.90700000001</v>
          </cell>
          <cell r="V175">
            <v>576450.66</v>
          </cell>
          <cell r="W175">
            <v>2.3809999999999998</v>
          </cell>
          <cell r="X175">
            <v>1.44</v>
          </cell>
          <cell r="Y175">
            <v>1.6609999999999998</v>
          </cell>
          <cell r="Z175">
            <v>13.28907069744295</v>
          </cell>
          <cell r="AA175" t="str">
            <v>236015.325,576439.634</v>
          </cell>
          <cell r="AB175" t="str">
            <v>236007.907,576450.66</v>
          </cell>
          <cell r="AC175">
            <v>18.087967191855643</v>
          </cell>
          <cell r="AD175">
            <v>0.73469122077059812</v>
          </cell>
          <cell r="AE175">
            <v>0.71</v>
          </cell>
          <cell r="AF175">
            <v>65.150000000000006</v>
          </cell>
          <cell r="AG175">
            <v>5.7975589207608138</v>
          </cell>
          <cell r="AH175">
            <v>60.577613976604617</v>
          </cell>
          <cell r="AI175">
            <v>8.7102194371326469</v>
          </cell>
          <cell r="AJ175">
            <v>5.0875589207608138</v>
          </cell>
          <cell r="AK175">
            <v>69.681155207297934</v>
          </cell>
          <cell r="AL175">
            <v>9.3777477547229964</v>
          </cell>
          <cell r="AM175">
            <v>18.087967191855643</v>
          </cell>
          <cell r="AN175">
            <v>0.73469122077059812</v>
          </cell>
          <cell r="AO175" t="e">
            <v>#REF!</v>
          </cell>
          <cell r="AP175" t="e">
            <v>#REF!</v>
          </cell>
          <cell r="AQ175" t="e">
            <v>#REF!</v>
          </cell>
          <cell r="AR175" t="e">
            <v>#REF!</v>
          </cell>
          <cell r="AS175" t="e">
            <v>#REF!</v>
          </cell>
          <cell r="AT175" t="e">
            <v>#REF!</v>
          </cell>
          <cell r="AU175" t="e">
            <v>#REF!</v>
          </cell>
          <cell r="AV175" t="e">
            <v>#REF!</v>
          </cell>
          <cell r="AW175">
            <v>0.73469122077059812</v>
          </cell>
          <cell r="AX175">
            <v>0.73469122077059812</v>
          </cell>
          <cell r="AY175">
            <v>0.73469122077059812</v>
          </cell>
          <cell r="AZ175" t="e">
            <v>#REF!</v>
          </cell>
          <cell r="BE175">
            <v>236011.61600000001</v>
          </cell>
          <cell r="BF175">
            <v>576445.147</v>
          </cell>
        </row>
        <row r="176">
          <cell r="A176" t="str">
            <v>CC24RZ23-22</v>
          </cell>
          <cell r="B176" t="str">
            <v>CC24RZ23-22 HRN-ABX Haren Gn, Hadewijchstraat</v>
          </cell>
          <cell r="C176" t="str">
            <v>CC24RZ23</v>
          </cell>
          <cell r="D176">
            <v>22</v>
          </cell>
          <cell r="E176" t="str">
            <v>Haren Gn</v>
          </cell>
          <cell r="F176" t="str">
            <v>Hadewijchstraat</v>
          </cell>
          <cell r="G176">
            <v>2</v>
          </cell>
          <cell r="H176" t="str">
            <v>20097 HRN-ABX wk.23.xlsx</v>
          </cell>
          <cell r="I176" t="str">
            <v>C &amp; C Cable &amp; Communication B.V.</v>
          </cell>
          <cell r="J176"/>
          <cell r="K176" t="str">
            <v>HRN-ABX</v>
          </cell>
          <cell r="L176">
            <v>45428</v>
          </cell>
          <cell r="M176">
            <v>7.5</v>
          </cell>
          <cell r="N176">
            <v>7</v>
          </cell>
          <cell r="O176">
            <v>1</v>
          </cell>
          <cell r="P176">
            <v>63</v>
          </cell>
          <cell r="Q176" t="str">
            <v xml:space="preserve">PE100 </v>
          </cell>
          <cell r="R176">
            <v>235959.87</v>
          </cell>
          <cell r="S176">
            <v>576434.245</v>
          </cell>
          <cell r="T176">
            <v>0.95799999999999996</v>
          </cell>
          <cell r="U176">
            <v>235969.63800000001</v>
          </cell>
          <cell r="V176">
            <v>576439.02899999998</v>
          </cell>
          <cell r="W176">
            <v>0.35</v>
          </cell>
          <cell r="X176">
            <v>-0.60799999999999998</v>
          </cell>
          <cell r="Y176">
            <v>0.65399999999999991</v>
          </cell>
          <cell r="Z176">
            <v>10.876602410682814</v>
          </cell>
          <cell r="AA176" t="str">
            <v>235959.87,576434.245</v>
          </cell>
          <cell r="AB176" t="str">
            <v>235969.638,576439.029</v>
          </cell>
          <cell r="AC176">
            <v>11.592095133672416</v>
          </cell>
          <cell r="AD176">
            <v>0.93827753182328044</v>
          </cell>
          <cell r="AE176">
            <v>0.71</v>
          </cell>
          <cell r="AF176">
            <v>60.18</v>
          </cell>
          <cell r="AG176">
            <v>3.7704237147754038</v>
          </cell>
          <cell r="AH176">
            <v>53.704953176807514</v>
          </cell>
          <cell r="AI176">
            <v>6.0448459374636982</v>
          </cell>
          <cell r="AJ176">
            <v>3.0604237147754034</v>
          </cell>
          <cell r="AK176">
            <v>47.700181434929746</v>
          </cell>
          <cell r="AL176">
            <v>5.5472491962087167</v>
          </cell>
          <cell r="AM176">
            <v>11.592095133672416</v>
          </cell>
          <cell r="AN176">
            <v>0.93827753182328044</v>
          </cell>
          <cell r="AO176" t="e">
            <v>#REF!</v>
          </cell>
          <cell r="AP176" t="e">
            <v>#REF!</v>
          </cell>
          <cell r="AQ176" t="e">
            <v>#REF!</v>
          </cell>
          <cell r="AR176" t="e">
            <v>#REF!</v>
          </cell>
          <cell r="AS176" t="e">
            <v>#REF!</v>
          </cell>
          <cell r="AT176" t="e">
            <v>#REF!</v>
          </cell>
          <cell r="AU176" t="e">
            <v>#REF!</v>
          </cell>
          <cell r="AV176" t="e">
            <v>#REF!</v>
          </cell>
          <cell r="AW176">
            <v>0.93827753182328044</v>
          </cell>
          <cell r="AX176">
            <v>0.93827753182328044</v>
          </cell>
          <cell r="AY176">
            <v>0.93827753182328044</v>
          </cell>
          <cell r="AZ176" t="e">
            <v>#REF!</v>
          </cell>
          <cell r="BE176">
            <v>235964.75400000002</v>
          </cell>
          <cell r="BF176">
            <v>576436.63699999999</v>
          </cell>
        </row>
        <row r="177">
          <cell r="A177" t="str">
            <v>CC24RZ23-23</v>
          </cell>
          <cell r="B177" t="str">
            <v>CC24RZ23-23 HRN-ABX Haren Gn, Meerweg</v>
          </cell>
          <cell r="C177" t="str">
            <v>CC24RZ23</v>
          </cell>
          <cell r="D177">
            <v>23</v>
          </cell>
          <cell r="E177" t="str">
            <v>Haren Gn</v>
          </cell>
          <cell r="F177" t="str">
            <v>Meerweg</v>
          </cell>
          <cell r="G177" t="str">
            <v>122a</v>
          </cell>
          <cell r="H177" t="str">
            <v>20097 HRN-ABX wk.23.xlsx</v>
          </cell>
          <cell r="I177" t="str">
            <v>C &amp; C Cable &amp; Communication B.V.</v>
          </cell>
          <cell r="J177"/>
          <cell r="K177" t="str">
            <v>HRN-ABX</v>
          </cell>
          <cell r="L177">
            <v>45464</v>
          </cell>
          <cell r="M177">
            <v>5</v>
          </cell>
          <cell r="N177">
            <v>4</v>
          </cell>
          <cell r="O177">
            <v>1</v>
          </cell>
          <cell r="P177">
            <v>63</v>
          </cell>
          <cell r="Q177" t="str">
            <v xml:space="preserve">PE100 </v>
          </cell>
          <cell r="R177">
            <v>235650.07500000001</v>
          </cell>
          <cell r="S177">
            <v>576517.97499999998</v>
          </cell>
          <cell r="T177">
            <v>0.37</v>
          </cell>
          <cell r="U177">
            <v>235654.42499999999</v>
          </cell>
          <cell r="V177">
            <v>576511.96699999995</v>
          </cell>
          <cell r="W177">
            <v>0.35</v>
          </cell>
          <cell r="X177">
            <v>-2.0000000000000018E-2</v>
          </cell>
          <cell r="Y177">
            <v>0.36</v>
          </cell>
          <cell r="Z177">
            <v>7.4174499661384123</v>
          </cell>
          <cell r="AA177" t="str">
            <v>235650.075,576517.975</v>
          </cell>
          <cell r="AB177" t="str">
            <v>235654.425,576511.967</v>
          </cell>
          <cell r="AC177">
            <v>9.1594343463163419</v>
          </cell>
          <cell r="AD177">
            <v>0.80981528833398919</v>
          </cell>
          <cell r="AE177">
            <v>0.71</v>
          </cell>
          <cell r="AF177">
            <v>75.09</v>
          </cell>
          <cell r="AG177">
            <v>3.7134927315927495</v>
          </cell>
          <cell r="AH177">
            <v>66.465483763104672</v>
          </cell>
          <cell r="AI177">
            <v>4.5840984639509026</v>
          </cell>
          <cell r="AJ177">
            <v>3.0034927315927495</v>
          </cell>
          <cell r="AK177">
            <v>66.215268798783711</v>
          </cell>
          <cell r="AL177">
            <v>4.5753358823654384</v>
          </cell>
          <cell r="AM177">
            <v>9.1594343463163419</v>
          </cell>
          <cell r="AN177">
            <v>0.80981528833398919</v>
          </cell>
          <cell r="AO177" t="e">
            <v>#REF!</v>
          </cell>
          <cell r="AP177" t="e">
            <v>#REF!</v>
          </cell>
          <cell r="AQ177" t="e">
            <v>#REF!</v>
          </cell>
          <cell r="AR177" t="e">
            <v>#REF!</v>
          </cell>
          <cell r="AS177" t="e">
            <v>#REF!</v>
          </cell>
          <cell r="AT177" t="e">
            <v>#REF!</v>
          </cell>
          <cell r="AU177" t="e">
            <v>#REF!</v>
          </cell>
          <cell r="AV177" t="e">
            <v>#REF!</v>
          </cell>
          <cell r="AW177">
            <v>0.80981528833398919</v>
          </cell>
          <cell r="AX177">
            <v>0.80981528833398919</v>
          </cell>
          <cell r="AY177">
            <v>0.80981528833398919</v>
          </cell>
          <cell r="AZ177" t="e">
            <v>#REF!</v>
          </cell>
          <cell r="BE177">
            <v>235652.25</v>
          </cell>
          <cell r="BF177">
            <v>576514.9709999999</v>
          </cell>
        </row>
        <row r="178">
          <cell r="A178" t="str">
            <v>CC24RZ23-24</v>
          </cell>
          <cell r="B178" t="str">
            <v>CC24RZ23-24 HRN-ABX Haren Gn, Meerweg</v>
          </cell>
          <cell r="C178" t="str">
            <v>CC24RZ23</v>
          </cell>
          <cell r="D178">
            <v>24</v>
          </cell>
          <cell r="E178" t="str">
            <v>Haren Gn</v>
          </cell>
          <cell r="F178" t="str">
            <v>Meerweg</v>
          </cell>
          <cell r="G178">
            <v>62</v>
          </cell>
          <cell r="H178" t="str">
            <v>20097 HRN-ABX wk.23.xlsx</v>
          </cell>
          <cell r="I178" t="str">
            <v>C &amp; C Cable &amp; Communication B.V.</v>
          </cell>
          <cell r="J178"/>
          <cell r="K178" t="str">
            <v>HRN-ABX</v>
          </cell>
          <cell r="L178">
            <v>45463</v>
          </cell>
          <cell r="M178">
            <v>5</v>
          </cell>
          <cell r="N178">
            <v>4</v>
          </cell>
          <cell r="O178">
            <v>1</v>
          </cell>
          <cell r="P178">
            <v>63</v>
          </cell>
          <cell r="Q178" t="str">
            <v xml:space="preserve">PE100 </v>
          </cell>
          <cell r="R178">
            <v>236057.10200000001</v>
          </cell>
          <cell r="S178">
            <v>576785.31799999997</v>
          </cell>
          <cell r="T178">
            <v>2.6720000000000002</v>
          </cell>
          <cell r="U178">
            <v>236065.31099999999</v>
          </cell>
          <cell r="V178">
            <v>576790.33499999996</v>
          </cell>
          <cell r="W178">
            <v>1.9</v>
          </cell>
          <cell r="X178">
            <v>-0.77200000000000024</v>
          </cell>
          <cell r="Y178">
            <v>2.286</v>
          </cell>
          <cell r="Z178">
            <v>9.6207052755756663</v>
          </cell>
          <cell r="AA178" t="str">
            <v>236057.102,576785.318</v>
          </cell>
          <cell r="AB178" t="str">
            <v>236065.311,576790.335</v>
          </cell>
          <cell r="AC178">
            <v>8.7476747518044373</v>
          </cell>
          <cell r="AD178">
            <v>1.0998014385012593</v>
          </cell>
          <cell r="AE178">
            <v>0.71</v>
          </cell>
          <cell r="AF178">
            <v>75.09</v>
          </cell>
          <cell r="AG178">
            <v>3.7134927315927495</v>
          </cell>
          <cell r="AH178">
            <v>66.465483763104672</v>
          </cell>
          <cell r="AI178">
            <v>4.5840984639509026</v>
          </cell>
          <cell r="AJ178">
            <v>3.0034927315927495</v>
          </cell>
          <cell r="AK178">
            <v>56.378679362310699</v>
          </cell>
          <cell r="AL178">
            <v>4.1635762878535347</v>
          </cell>
          <cell r="AM178">
            <v>8.7476747518044373</v>
          </cell>
          <cell r="AN178">
            <v>1.0998014385012593</v>
          </cell>
          <cell r="AO178" t="e">
            <v>#REF!</v>
          </cell>
          <cell r="AP178" t="e">
            <v>#REF!</v>
          </cell>
          <cell r="AQ178" t="e">
            <v>#REF!</v>
          </cell>
          <cell r="AR178" t="e">
            <v>#REF!</v>
          </cell>
          <cell r="AS178" t="e">
            <v>#REF!</v>
          </cell>
          <cell r="AT178" t="e">
            <v>#REF!</v>
          </cell>
          <cell r="AU178" t="e">
            <v>#REF!</v>
          </cell>
          <cell r="AV178" t="e">
            <v>#REF!</v>
          </cell>
          <cell r="AW178">
            <v>1.0998014385012593</v>
          </cell>
          <cell r="AX178">
            <v>1.0998014385012593</v>
          </cell>
          <cell r="AY178">
            <v>1.0998014385012593</v>
          </cell>
          <cell r="AZ178" t="e">
            <v>#REF!</v>
          </cell>
          <cell r="BE178">
            <v>236061.2065</v>
          </cell>
          <cell r="BF178">
            <v>576787.82649999997</v>
          </cell>
        </row>
        <row r="179">
          <cell r="A179" t="str">
            <v>CC24RZ23-25</v>
          </cell>
          <cell r="B179" t="str">
            <v>CC24RZ23-25 HRN-ABX Haren Gn, Westerse Drift</v>
          </cell>
          <cell r="C179" t="str">
            <v>CC24RZ23</v>
          </cell>
          <cell r="D179">
            <v>25</v>
          </cell>
          <cell r="E179" t="str">
            <v>Haren Gn</v>
          </cell>
          <cell r="F179" t="str">
            <v>Westerse Drift</v>
          </cell>
          <cell r="G179">
            <v>10</v>
          </cell>
          <cell r="H179" t="str">
            <v>20097 HRN-ABX wk.23.xlsx</v>
          </cell>
          <cell r="I179" t="str">
            <v>C &amp; C Cable &amp; Communication B.V.</v>
          </cell>
          <cell r="J179"/>
          <cell r="K179" t="str">
            <v>HRN-ABX</v>
          </cell>
          <cell r="L179">
            <v>45476</v>
          </cell>
          <cell r="M179">
            <v>7.5</v>
          </cell>
          <cell r="N179">
            <v>8</v>
          </cell>
          <cell r="O179">
            <v>1</v>
          </cell>
          <cell r="P179">
            <v>63</v>
          </cell>
          <cell r="Q179" t="str">
            <v xml:space="preserve">PE100 </v>
          </cell>
          <cell r="R179">
            <v>236090.46100000001</v>
          </cell>
          <cell r="S179">
            <v>576741.58499999996</v>
          </cell>
          <cell r="T179">
            <v>2.0030000000000001</v>
          </cell>
          <cell r="U179">
            <v>236082.321</v>
          </cell>
          <cell r="V179">
            <v>576736.125</v>
          </cell>
          <cell r="W179">
            <v>1.6519999999999999</v>
          </cell>
          <cell r="X179">
            <v>-0.3510000000000002</v>
          </cell>
          <cell r="Y179">
            <v>1.8275000000000001</v>
          </cell>
          <cell r="Z179">
            <v>9.8015917074636718</v>
          </cell>
          <cell r="AA179" t="str">
            <v>236090.461,576741.585</v>
          </cell>
          <cell r="AB179" t="str">
            <v>236082.321,576736.125</v>
          </cell>
          <cell r="AC179">
            <v>10.865807860027381</v>
          </cell>
          <cell r="AD179">
            <v>0.90205825776850912</v>
          </cell>
          <cell r="AE179">
            <v>0.71</v>
          </cell>
          <cell r="AF179">
            <v>55.21</v>
          </cell>
          <cell r="AG179">
            <v>3.2207231893560051</v>
          </cell>
          <cell r="AH179">
            <v>48.299497098536229</v>
          </cell>
          <cell r="AI179">
            <v>5.5997425750448642</v>
          </cell>
          <cell r="AJ179">
            <v>2.5107231893560051</v>
          </cell>
          <cell r="AK179">
            <v>44.599113644708048</v>
          </cell>
          <cell r="AL179">
            <v>5.2660652849825169</v>
          </cell>
          <cell r="AM179">
            <v>10.865807860027381</v>
          </cell>
          <cell r="AN179">
            <v>0.90205825776850912</v>
          </cell>
          <cell r="AO179" t="e">
            <v>#REF!</v>
          </cell>
          <cell r="AP179" t="e">
            <v>#REF!</v>
          </cell>
          <cell r="AQ179" t="e">
            <v>#REF!</v>
          </cell>
          <cell r="AR179" t="e">
            <v>#REF!</v>
          </cell>
          <cell r="AS179" t="e">
            <v>#REF!</v>
          </cell>
          <cell r="AT179" t="e">
            <v>#REF!</v>
          </cell>
          <cell r="AU179" t="e">
            <v>#REF!</v>
          </cell>
          <cell r="AV179" t="e">
            <v>#REF!</v>
          </cell>
          <cell r="AW179">
            <v>0.90205825776850912</v>
          </cell>
          <cell r="AX179">
            <v>0.90205825776850912</v>
          </cell>
          <cell r="AY179">
            <v>0.90205825776850912</v>
          </cell>
          <cell r="AZ179" t="e">
            <v>#REF!</v>
          </cell>
          <cell r="BE179">
            <v>236086.391</v>
          </cell>
          <cell r="BF179">
            <v>576738.85499999998</v>
          </cell>
        </row>
        <row r="180">
          <cell r="A180" t="str">
            <v>CC24RZ23-26</v>
          </cell>
          <cell r="B180" t="str">
            <v>CC24RZ23-26 HRN-ABX Haren Gn, Westerse Drift</v>
          </cell>
          <cell r="C180" t="str">
            <v>CC24RZ23</v>
          </cell>
          <cell r="D180">
            <v>26</v>
          </cell>
          <cell r="E180" t="str">
            <v>Haren Gn</v>
          </cell>
          <cell r="F180" t="str">
            <v>Westerse Drift</v>
          </cell>
          <cell r="G180">
            <v>23</v>
          </cell>
          <cell r="H180" t="str">
            <v>20097 HRN-ABX wk.23.xlsx</v>
          </cell>
          <cell r="I180" t="str">
            <v>C &amp; C Cable &amp; Communication B.V.</v>
          </cell>
          <cell r="J180"/>
          <cell r="K180" t="str">
            <v>HRN-ABX</v>
          </cell>
          <cell r="L180">
            <v>45475</v>
          </cell>
          <cell r="M180">
            <v>7.5</v>
          </cell>
          <cell r="N180">
            <v>7</v>
          </cell>
          <cell r="O180">
            <v>1</v>
          </cell>
          <cell r="P180">
            <v>63</v>
          </cell>
          <cell r="Q180" t="str">
            <v xml:space="preserve">PE100 </v>
          </cell>
          <cell r="R180">
            <v>236138.54699999999</v>
          </cell>
          <cell r="S180">
            <v>576627.34</v>
          </cell>
          <cell r="T180">
            <v>2.5819999999999999</v>
          </cell>
          <cell r="U180">
            <v>236145.774</v>
          </cell>
          <cell r="V180">
            <v>576632.77099999995</v>
          </cell>
          <cell r="W180">
            <v>1.4970000000000001</v>
          </cell>
          <cell r="X180">
            <v>-1.0849999999999997</v>
          </cell>
          <cell r="Y180">
            <v>2.0394999999999999</v>
          </cell>
          <cell r="Z180">
            <v>9.0402040906167045</v>
          </cell>
          <cell r="AA180" t="str">
            <v>236138.547,576627.34</v>
          </cell>
          <cell r="AB180" t="str">
            <v>236145.774,576632.771</v>
          </cell>
          <cell r="AC180">
            <v>11.117227712205619</v>
          </cell>
          <cell r="AD180">
            <v>0.81317072247170508</v>
          </cell>
          <cell r="AE180">
            <v>0.71</v>
          </cell>
          <cell r="AF180">
            <v>60.18</v>
          </cell>
          <cell r="AG180">
            <v>3.7704237147754038</v>
          </cell>
          <cell r="AH180">
            <v>53.704953176807514</v>
          </cell>
          <cell r="AI180">
            <v>6.0448459374636982</v>
          </cell>
          <cell r="AJ180">
            <v>3.0604237147754034</v>
          </cell>
          <cell r="AK180">
            <v>42.556550841517243</v>
          </cell>
          <cell r="AL180">
            <v>5.0723817747419204</v>
          </cell>
          <cell r="AM180">
            <v>11.117227712205619</v>
          </cell>
          <cell r="AN180">
            <v>0.81317072247170508</v>
          </cell>
          <cell r="AO180" t="e">
            <v>#REF!</v>
          </cell>
          <cell r="AP180" t="e">
            <v>#REF!</v>
          </cell>
          <cell r="AQ180" t="e">
            <v>#REF!</v>
          </cell>
          <cell r="AR180" t="e">
            <v>#REF!</v>
          </cell>
          <cell r="AS180" t="e">
            <v>#REF!</v>
          </cell>
          <cell r="AT180" t="e">
            <v>#REF!</v>
          </cell>
          <cell r="AU180" t="e">
            <v>#REF!</v>
          </cell>
          <cell r="AV180" t="e">
            <v>#REF!</v>
          </cell>
          <cell r="AW180">
            <v>0.81317072247170508</v>
          </cell>
          <cell r="AX180">
            <v>0.81317072247170508</v>
          </cell>
          <cell r="AY180">
            <v>0.81317072247170508</v>
          </cell>
          <cell r="AZ180" t="e">
            <v>#REF!</v>
          </cell>
          <cell r="BE180">
            <v>236142.1605</v>
          </cell>
          <cell r="BF180">
            <v>576630.05550000002</v>
          </cell>
        </row>
        <row r="181">
          <cell r="A181" t="str">
            <v>CC24RZ23-27</v>
          </cell>
          <cell r="B181" t="str">
            <v>CC24RZ23-27 HRN-ABX Haren Gn, Emmalaan</v>
          </cell>
          <cell r="C181" t="str">
            <v>CC24RZ23</v>
          </cell>
          <cell r="D181">
            <v>27</v>
          </cell>
          <cell r="E181" t="str">
            <v>Haren Gn</v>
          </cell>
          <cell r="F181" t="str">
            <v>Emmalaan</v>
          </cell>
          <cell r="G181">
            <v>40</v>
          </cell>
          <cell r="H181" t="str">
            <v>20097 HRN-ABX wk.23.xlsx</v>
          </cell>
          <cell r="I181" t="str">
            <v>C &amp; C Cable &amp; Communication B.V.</v>
          </cell>
          <cell r="J181"/>
          <cell r="K181" t="str">
            <v>HRN-ABX</v>
          </cell>
          <cell r="L181">
            <v>45462</v>
          </cell>
          <cell r="M181">
            <v>5</v>
          </cell>
          <cell r="N181">
            <v>1</v>
          </cell>
          <cell r="O181">
            <v>1</v>
          </cell>
          <cell r="P181">
            <v>63</v>
          </cell>
          <cell r="Q181" t="str">
            <v xml:space="preserve">PE100 </v>
          </cell>
          <cell r="R181">
            <v>236165.639</v>
          </cell>
          <cell r="S181">
            <v>576547.897</v>
          </cell>
          <cell r="T181">
            <v>1.748</v>
          </cell>
          <cell r="U181">
            <v>236169.95</v>
          </cell>
          <cell r="V181">
            <v>576539.61499999999</v>
          </cell>
          <cell r="W181">
            <v>1.837</v>
          </cell>
          <cell r="X181">
            <v>8.8999999999999968E-2</v>
          </cell>
          <cell r="Y181">
            <v>1.7925</v>
          </cell>
          <cell r="Z181">
            <v>9.3368219968170383</v>
          </cell>
          <cell r="AA181" t="str">
            <v>236165.639,576547.897</v>
          </cell>
          <cell r="AB181" t="str">
            <v>236169.95,576539.615</v>
          </cell>
          <cell r="AC181">
            <v>9.9106193112308212</v>
          </cell>
          <cell r="AD181">
            <v>0.94210277921143137</v>
          </cell>
          <cell r="AE181">
            <v>0.71</v>
          </cell>
          <cell r="AF181">
            <v>90</v>
          </cell>
          <cell r="AG181">
            <v>5</v>
          </cell>
          <cell r="AH181">
            <v>81.836405804213044</v>
          </cell>
          <cell r="AI181">
            <v>4.9493332884339081</v>
          </cell>
          <cell r="AJ181">
            <v>4.29</v>
          </cell>
          <cell r="AK181">
            <v>82.86544085127035</v>
          </cell>
          <cell r="AL181">
            <v>4.9612860227969122</v>
          </cell>
          <cell r="AM181">
            <v>9.9106193112308212</v>
          </cell>
          <cell r="AN181">
            <v>0.94210277921143137</v>
          </cell>
          <cell r="AO181" t="e">
            <v>#REF!</v>
          </cell>
          <cell r="AP181" t="e">
            <v>#REF!</v>
          </cell>
          <cell r="AQ181" t="e">
            <v>#REF!</v>
          </cell>
          <cell r="AR181" t="e">
            <v>#REF!</v>
          </cell>
          <cell r="AS181" t="e">
            <v>#REF!</v>
          </cell>
          <cell r="AT181" t="e">
            <v>#REF!</v>
          </cell>
          <cell r="AU181" t="e">
            <v>#REF!</v>
          </cell>
          <cell r="AV181" t="e">
            <v>#REF!</v>
          </cell>
          <cell r="AW181">
            <v>0.94210277921143137</v>
          </cell>
          <cell r="AX181">
            <v>0.94210277921143137</v>
          </cell>
          <cell r="AY181">
            <v>0.94210277921143137</v>
          </cell>
          <cell r="AZ181" t="e">
            <v>#REF!</v>
          </cell>
          <cell r="BE181">
            <v>236167.79450000002</v>
          </cell>
          <cell r="BF181">
            <v>576543.75600000005</v>
          </cell>
        </row>
        <row r="182">
          <cell r="A182" t="str">
            <v>CC24RZ23-28</v>
          </cell>
          <cell r="B182" t="str">
            <v>CC24RZ23-28 HRN-ABX Haren Gn, Rijksstraatweg</v>
          </cell>
          <cell r="C182" t="str">
            <v>CC24RZ23</v>
          </cell>
          <cell r="D182">
            <v>28</v>
          </cell>
          <cell r="E182" t="str">
            <v>Haren Gn</v>
          </cell>
          <cell r="F182" t="str">
            <v>Rijksstraatweg</v>
          </cell>
          <cell r="G182">
            <v>136</v>
          </cell>
          <cell r="H182" t="str">
            <v>20097 HRN-ABX wk.23.xlsx</v>
          </cell>
          <cell r="I182" t="str">
            <v>C &amp; C Cable &amp; Communication B.V.</v>
          </cell>
          <cell r="J182"/>
          <cell r="K182" t="str">
            <v>HRN-ABX</v>
          </cell>
          <cell r="L182">
            <v>45426</v>
          </cell>
          <cell r="M182">
            <v>7.5</v>
          </cell>
          <cell r="N182">
            <v>3</v>
          </cell>
          <cell r="O182">
            <v>1</v>
          </cell>
          <cell r="P182">
            <v>63</v>
          </cell>
          <cell r="Q182" t="str">
            <v xml:space="preserve">PE100 </v>
          </cell>
          <cell r="R182">
            <v>236220.223</v>
          </cell>
          <cell r="S182">
            <v>577068.79200000002</v>
          </cell>
          <cell r="T182">
            <v>6.125</v>
          </cell>
          <cell r="U182">
            <v>236207.17300000001</v>
          </cell>
          <cell r="V182">
            <v>577060.36199999996</v>
          </cell>
          <cell r="W182">
            <v>5.992</v>
          </cell>
          <cell r="X182">
            <v>-0.13300000000000001</v>
          </cell>
          <cell r="Y182">
            <v>6.0585000000000004</v>
          </cell>
          <cell r="Z182">
            <v>15.536003347082536</v>
          </cell>
          <cell r="AA182" t="str">
            <v>236220.223,577068.792</v>
          </cell>
          <cell r="AB182" t="str">
            <v>236207.173,577060.362</v>
          </cell>
          <cell r="AC182">
            <v>14.416053538613909</v>
          </cell>
          <cell r="AD182">
            <v>1.0776876837664902</v>
          </cell>
          <cell r="AE182">
            <v>0.71</v>
          </cell>
          <cell r="AF182">
            <v>80.06</v>
          </cell>
          <cell r="AG182">
            <v>6.2053740421889518</v>
          </cell>
          <cell r="AH182">
            <v>74.497319309634932</v>
          </cell>
          <cell r="AI182">
            <v>7.2271346167945518</v>
          </cell>
          <cell r="AJ182">
            <v>5.495374042188951</v>
          </cell>
          <cell r="AK182">
            <v>73.440147530691675</v>
          </cell>
          <cell r="AL182">
            <v>7.1889189218193579</v>
          </cell>
          <cell r="AM182">
            <v>14.416053538613909</v>
          </cell>
          <cell r="AN182">
            <v>1.0776876837664902</v>
          </cell>
          <cell r="AO182" t="e">
            <v>#REF!</v>
          </cell>
          <cell r="AP182" t="e">
            <v>#REF!</v>
          </cell>
          <cell r="AQ182" t="e">
            <v>#REF!</v>
          </cell>
          <cell r="AR182" t="e">
            <v>#REF!</v>
          </cell>
          <cell r="AS182" t="e">
            <v>#REF!</v>
          </cell>
          <cell r="AT182" t="e">
            <v>#REF!</v>
          </cell>
          <cell r="AU182" t="e">
            <v>#REF!</v>
          </cell>
          <cell r="AV182" t="e">
            <v>#REF!</v>
          </cell>
          <cell r="AW182">
            <v>1.0776876837664902</v>
          </cell>
          <cell r="AX182">
            <v>1.0776876837664902</v>
          </cell>
          <cell r="AY182">
            <v>1.0776876837664902</v>
          </cell>
          <cell r="AZ182" t="e">
            <v>#REF!</v>
          </cell>
          <cell r="BE182">
            <v>236213.698</v>
          </cell>
          <cell r="BF182">
            <v>577064.57700000005</v>
          </cell>
        </row>
        <row r="183">
          <cell r="A183" t="str">
            <v>CC24RZ23-29</v>
          </cell>
          <cell r="B183" t="str">
            <v>CC24RZ23-29 HRN-ABX Haren Gn, Vondellaan</v>
          </cell>
          <cell r="C183" t="str">
            <v>CC24RZ23</v>
          </cell>
          <cell r="D183">
            <v>29</v>
          </cell>
          <cell r="E183" t="str">
            <v>Haren Gn</v>
          </cell>
          <cell r="F183" t="str">
            <v>Vondellaan</v>
          </cell>
          <cell r="G183">
            <v>1</v>
          </cell>
          <cell r="H183" t="str">
            <v>20097 HRN-ABX wk.23.xlsx</v>
          </cell>
          <cell r="I183" t="str">
            <v>C &amp; C Cable &amp; Communication B.V.</v>
          </cell>
          <cell r="J183"/>
          <cell r="K183" t="str">
            <v>HRN-ABX</v>
          </cell>
          <cell r="L183">
            <v>45427</v>
          </cell>
          <cell r="M183">
            <v>5</v>
          </cell>
          <cell r="N183">
            <v>4</v>
          </cell>
          <cell r="O183">
            <v>1</v>
          </cell>
          <cell r="P183">
            <v>63</v>
          </cell>
          <cell r="Q183" t="str">
            <v xml:space="preserve">PE100 </v>
          </cell>
          <cell r="R183">
            <v>236201.64199999999</v>
          </cell>
          <cell r="S183">
            <v>577044.45799999998</v>
          </cell>
          <cell r="T183">
            <v>6.1280000000000001</v>
          </cell>
          <cell r="U183">
            <v>236211.02</v>
          </cell>
          <cell r="V183">
            <v>577035.54500000004</v>
          </cell>
          <cell r="W183">
            <v>6.0019999999999998</v>
          </cell>
          <cell r="X183">
            <v>-0.12600000000000033</v>
          </cell>
          <cell r="Y183">
            <v>6.0649999999999995</v>
          </cell>
          <cell r="Z183">
            <v>12.937868951218896</v>
          </cell>
          <cell r="AA183" t="str">
            <v>236201.642,577044.458</v>
          </cell>
          <cell r="AB183" t="str">
            <v>236211.02,577035.545</v>
          </cell>
          <cell r="AC183">
            <v>9.1112347437152295</v>
          </cell>
          <cell r="AD183">
            <v>1.419990738373107</v>
          </cell>
          <cell r="AE183">
            <v>0.71</v>
          </cell>
          <cell r="AF183">
            <v>75.09</v>
          </cell>
          <cell r="AG183">
            <v>3.7134927315927495</v>
          </cell>
          <cell r="AH183">
            <v>66.465483763104672</v>
          </cell>
          <cell r="AI183">
            <v>4.5840984639509026</v>
          </cell>
          <cell r="AJ183">
            <v>3.0034927315927495</v>
          </cell>
          <cell r="AK183">
            <v>64.880888862004156</v>
          </cell>
          <cell r="AL183">
            <v>4.5271362797643269</v>
          </cell>
          <cell r="AM183">
            <v>9.1112347437152295</v>
          </cell>
          <cell r="AN183">
            <v>1.419990738373107</v>
          </cell>
          <cell r="AO183" t="e">
            <v>#REF!</v>
          </cell>
          <cell r="AP183" t="e">
            <v>#REF!</v>
          </cell>
          <cell r="AQ183" t="e">
            <v>#REF!</v>
          </cell>
          <cell r="AR183" t="e">
            <v>#REF!</v>
          </cell>
          <cell r="AS183" t="e">
            <v>#REF!</v>
          </cell>
          <cell r="AT183" t="e">
            <v>#REF!</v>
          </cell>
          <cell r="AU183" t="e">
            <v>#REF!</v>
          </cell>
          <cell r="AV183" t="e">
            <v>#REF!</v>
          </cell>
          <cell r="AW183">
            <v>1.419990738373107</v>
          </cell>
          <cell r="AX183">
            <v>1.419990738373107</v>
          </cell>
          <cell r="AY183">
            <v>1.419990738373107</v>
          </cell>
          <cell r="AZ183" t="e">
            <v>#REF!</v>
          </cell>
          <cell r="BE183">
            <v>236206.33100000001</v>
          </cell>
          <cell r="BF183">
            <v>577040.00150000001</v>
          </cell>
        </row>
        <row r="184">
          <cell r="A184" t="str">
            <v>-0</v>
          </cell>
          <cell r="B184" t="str">
            <v xml:space="preserve">-0  , </v>
          </cell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>
            <v>0</v>
          </cell>
          <cell r="Y184">
            <v>0</v>
          </cell>
          <cell r="Z184">
            <v>0</v>
          </cell>
          <cell r="AA184" t="str">
            <v>,</v>
          </cell>
          <cell r="AB184" t="str">
            <v>,</v>
          </cell>
          <cell r="AC184" t="e">
            <v>#DIV/0!</v>
          </cell>
          <cell r="AD184" t="e">
            <v>#DIV/0!</v>
          </cell>
          <cell r="AE184">
            <v>0.71</v>
          </cell>
          <cell r="AF184">
            <v>94.97</v>
          </cell>
          <cell r="AG184">
            <v>0</v>
          </cell>
          <cell r="AH184" t="e">
            <v>#DIV/0!</v>
          </cell>
          <cell r="AI184" t="e">
            <v>#DIV/0!</v>
          </cell>
          <cell r="AJ184" t="e">
            <v>#DIV/0!</v>
          </cell>
          <cell r="AK184" t="e">
            <v>#DIV/0!</v>
          </cell>
          <cell r="AL184" t="e">
            <v>#DIV/0!</v>
          </cell>
          <cell r="AM184" t="e">
            <v>#DIV/0!</v>
          </cell>
          <cell r="AN184" t="e">
            <v>#DIV/0!</v>
          </cell>
          <cell r="AO184" t="e">
            <v>#REF!</v>
          </cell>
          <cell r="AP184" t="e">
            <v>#REF!</v>
          </cell>
          <cell r="AQ184" t="e">
            <v>#REF!</v>
          </cell>
          <cell r="AR184" t="e">
            <v>#REF!</v>
          </cell>
          <cell r="AS184" t="e">
            <v>#REF!</v>
          </cell>
          <cell r="AT184" t="e">
            <v>#REF!</v>
          </cell>
          <cell r="AU184" t="e">
            <v>#REF!</v>
          </cell>
          <cell r="AV184" t="e">
            <v>#REF!</v>
          </cell>
          <cell r="AW184" t="e">
            <v>#DIV/0!</v>
          </cell>
          <cell r="AX184" t="e">
            <v>#DIV/0!</v>
          </cell>
          <cell r="AY184" t="e">
            <v>#DIV/0!</v>
          </cell>
          <cell r="AZ184" t="e">
            <v>#DIV/0!</v>
          </cell>
          <cell r="BE184" t="e">
            <v>#DIV/0!</v>
          </cell>
          <cell r="BF184" t="e">
            <v>#DIV/0!</v>
          </cell>
        </row>
        <row r="185">
          <cell r="A185" t="str">
            <v>-0</v>
          </cell>
          <cell r="B185" t="str">
            <v xml:space="preserve">-0  , </v>
          </cell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>
            <v>0</v>
          </cell>
          <cell r="Y185">
            <v>0</v>
          </cell>
          <cell r="Z185">
            <v>0</v>
          </cell>
          <cell r="AA185" t="str">
            <v>,</v>
          </cell>
          <cell r="AB185" t="str">
            <v>,</v>
          </cell>
          <cell r="AC185" t="e">
            <v>#DIV/0!</v>
          </cell>
          <cell r="AD185" t="e">
            <v>#DIV/0!</v>
          </cell>
          <cell r="AE185">
            <v>0.71</v>
          </cell>
          <cell r="AF185">
            <v>94.97</v>
          </cell>
          <cell r="AG185">
            <v>0</v>
          </cell>
          <cell r="AH185" t="e">
            <v>#DIV/0!</v>
          </cell>
          <cell r="AI185" t="e">
            <v>#DIV/0!</v>
          </cell>
          <cell r="AJ185" t="e">
            <v>#DIV/0!</v>
          </cell>
          <cell r="AK185" t="e">
            <v>#DIV/0!</v>
          </cell>
          <cell r="AL185" t="e">
            <v>#DIV/0!</v>
          </cell>
          <cell r="AM185" t="e">
            <v>#DIV/0!</v>
          </cell>
          <cell r="AN185" t="e">
            <v>#DIV/0!</v>
          </cell>
          <cell r="AO185" t="e">
            <v>#REF!</v>
          </cell>
          <cell r="AP185" t="e">
            <v>#REF!</v>
          </cell>
          <cell r="AQ185" t="e">
            <v>#REF!</v>
          </cell>
          <cell r="AR185" t="e">
            <v>#REF!</v>
          </cell>
          <cell r="AS185" t="e">
            <v>#REF!</v>
          </cell>
          <cell r="AT185" t="e">
            <v>#REF!</v>
          </cell>
          <cell r="AU185" t="e">
            <v>#REF!</v>
          </cell>
          <cell r="AV185" t="e">
            <v>#REF!</v>
          </cell>
          <cell r="AW185" t="e">
            <v>#DIV/0!</v>
          </cell>
          <cell r="AX185" t="e">
            <v>#DIV/0!</v>
          </cell>
          <cell r="AY185" t="e">
            <v>#DIV/0!</v>
          </cell>
          <cell r="AZ185" t="e">
            <v>#DIV/0!</v>
          </cell>
          <cell r="BE185" t="e">
            <v>#DIV/0!</v>
          </cell>
          <cell r="BF185" t="e">
            <v>#DIV/0!</v>
          </cell>
        </row>
        <row r="186">
          <cell r="A186" t="str">
            <v>-0</v>
          </cell>
          <cell r="B186" t="str">
            <v xml:space="preserve">-0  , </v>
          </cell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>
            <v>0</v>
          </cell>
          <cell r="Y186">
            <v>0</v>
          </cell>
          <cell r="Z186">
            <v>0</v>
          </cell>
          <cell r="AA186" t="str">
            <v>,</v>
          </cell>
          <cell r="AB186" t="str">
            <v>,</v>
          </cell>
          <cell r="AC186" t="e">
            <v>#DIV/0!</v>
          </cell>
          <cell r="AD186" t="e">
            <v>#DIV/0!</v>
          </cell>
          <cell r="AE186">
            <v>0.71</v>
          </cell>
          <cell r="AF186">
            <v>94.97</v>
          </cell>
          <cell r="AG186">
            <v>0</v>
          </cell>
          <cell r="AH186" t="e">
            <v>#DIV/0!</v>
          </cell>
          <cell r="AI186" t="e">
            <v>#DIV/0!</v>
          </cell>
          <cell r="AJ186" t="e">
            <v>#DIV/0!</v>
          </cell>
          <cell r="AK186" t="e">
            <v>#DIV/0!</v>
          </cell>
          <cell r="AL186" t="e">
            <v>#DIV/0!</v>
          </cell>
          <cell r="AM186" t="e">
            <v>#DIV/0!</v>
          </cell>
          <cell r="AN186" t="e">
            <v>#DIV/0!</v>
          </cell>
          <cell r="AO186" t="e">
            <v>#REF!</v>
          </cell>
          <cell r="AP186" t="e">
            <v>#REF!</v>
          </cell>
          <cell r="AQ186" t="e">
            <v>#REF!</v>
          </cell>
          <cell r="AR186" t="e">
            <v>#REF!</v>
          </cell>
          <cell r="AS186" t="e">
            <v>#REF!</v>
          </cell>
          <cell r="AT186" t="e">
            <v>#REF!</v>
          </cell>
          <cell r="AU186" t="e">
            <v>#REF!</v>
          </cell>
          <cell r="AV186" t="e">
            <v>#REF!</v>
          </cell>
          <cell r="AW186" t="e">
            <v>#DIV/0!</v>
          </cell>
          <cell r="AX186" t="e">
            <v>#DIV/0!</v>
          </cell>
          <cell r="AY186" t="e">
            <v>#DIV/0!</v>
          </cell>
          <cell r="AZ186" t="e">
            <v>#DIV/0!</v>
          </cell>
          <cell r="BE186" t="e">
            <v>#DIV/0!</v>
          </cell>
          <cell r="BF186" t="e">
            <v>#DIV/0!</v>
          </cell>
        </row>
        <row r="187">
          <cell r="A187" t="str">
            <v>-0</v>
          </cell>
          <cell r="B187" t="str">
            <v xml:space="preserve">-0  , </v>
          </cell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>
            <v>0</v>
          </cell>
          <cell r="Y187">
            <v>0</v>
          </cell>
          <cell r="Z187">
            <v>0</v>
          </cell>
          <cell r="AA187" t="str">
            <v>,</v>
          </cell>
          <cell r="AB187" t="str">
            <v>,</v>
          </cell>
          <cell r="AC187" t="e">
            <v>#DIV/0!</v>
          </cell>
          <cell r="AD187" t="e">
            <v>#DIV/0!</v>
          </cell>
          <cell r="AE187">
            <v>0.71</v>
          </cell>
          <cell r="AF187">
            <v>94.97</v>
          </cell>
          <cell r="AG187">
            <v>0</v>
          </cell>
          <cell r="AH187" t="e">
            <v>#DIV/0!</v>
          </cell>
          <cell r="AI187" t="e">
            <v>#DIV/0!</v>
          </cell>
          <cell r="AJ187" t="e">
            <v>#DIV/0!</v>
          </cell>
          <cell r="AK187" t="e">
            <v>#DIV/0!</v>
          </cell>
          <cell r="AL187" t="e">
            <v>#DIV/0!</v>
          </cell>
          <cell r="AM187" t="e">
            <v>#DIV/0!</v>
          </cell>
          <cell r="AN187" t="e">
            <v>#DIV/0!</v>
          </cell>
          <cell r="AO187" t="e">
            <v>#REF!</v>
          </cell>
          <cell r="AP187" t="e">
            <v>#REF!</v>
          </cell>
          <cell r="AQ187" t="e">
            <v>#REF!</v>
          </cell>
          <cell r="AR187" t="e">
            <v>#REF!</v>
          </cell>
          <cell r="AS187" t="e">
            <v>#REF!</v>
          </cell>
          <cell r="AT187" t="e">
            <v>#REF!</v>
          </cell>
          <cell r="AU187" t="e">
            <v>#REF!</v>
          </cell>
          <cell r="AV187" t="e">
            <v>#REF!</v>
          </cell>
          <cell r="AW187" t="e">
            <v>#DIV/0!</v>
          </cell>
          <cell r="AX187" t="e">
            <v>#DIV/0!</v>
          </cell>
          <cell r="AY187" t="e">
            <v>#DIV/0!</v>
          </cell>
          <cell r="AZ187" t="e">
            <v>#DIV/0!</v>
          </cell>
          <cell r="BE187" t="e">
            <v>#DIV/0!</v>
          </cell>
          <cell r="BF187" t="e">
            <v>#DIV/0!</v>
          </cell>
        </row>
        <row r="188">
          <cell r="A188" t="str">
            <v>-0</v>
          </cell>
          <cell r="B188" t="str">
            <v xml:space="preserve">-0  , </v>
          </cell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>
            <v>0</v>
          </cell>
          <cell r="Y188">
            <v>0</v>
          </cell>
          <cell r="Z188">
            <v>0</v>
          </cell>
          <cell r="AA188" t="str">
            <v>,</v>
          </cell>
          <cell r="AB188" t="str">
            <v>,</v>
          </cell>
          <cell r="AC188" t="e">
            <v>#DIV/0!</v>
          </cell>
          <cell r="AD188" t="e">
            <v>#DIV/0!</v>
          </cell>
          <cell r="AE188">
            <v>0.71</v>
          </cell>
          <cell r="AF188">
            <v>94.97</v>
          </cell>
          <cell r="AG188">
            <v>0</v>
          </cell>
          <cell r="AH188" t="e">
            <v>#DIV/0!</v>
          </cell>
          <cell r="AI188" t="e">
            <v>#DIV/0!</v>
          </cell>
          <cell r="AJ188" t="e">
            <v>#DIV/0!</v>
          </cell>
          <cell r="AK188" t="e">
            <v>#DIV/0!</v>
          </cell>
          <cell r="AL188" t="e">
            <v>#DIV/0!</v>
          </cell>
          <cell r="AM188" t="e">
            <v>#DIV/0!</v>
          </cell>
          <cell r="AN188" t="e">
            <v>#DIV/0!</v>
          </cell>
          <cell r="AO188" t="e">
            <v>#REF!</v>
          </cell>
          <cell r="AP188" t="e">
            <v>#REF!</v>
          </cell>
          <cell r="AQ188" t="e">
            <v>#REF!</v>
          </cell>
          <cell r="AR188" t="e">
            <v>#REF!</v>
          </cell>
          <cell r="AS188" t="e">
            <v>#REF!</v>
          </cell>
          <cell r="AT188" t="e">
            <v>#REF!</v>
          </cell>
          <cell r="AU188" t="e">
            <v>#REF!</v>
          </cell>
          <cell r="AV188" t="e">
            <v>#REF!</v>
          </cell>
          <cell r="AW188" t="e">
            <v>#DIV/0!</v>
          </cell>
          <cell r="AX188" t="e">
            <v>#DIV/0!</v>
          </cell>
          <cell r="AY188" t="e">
            <v>#DIV/0!</v>
          </cell>
          <cell r="AZ188" t="e">
            <v>#DIV/0!</v>
          </cell>
          <cell r="BE188" t="e">
            <v>#DIV/0!</v>
          </cell>
          <cell r="BF188" t="e">
            <v>#DIV/0!</v>
          </cell>
        </row>
        <row r="189">
          <cell r="A189" t="str">
            <v>-0</v>
          </cell>
          <cell r="B189" t="str">
            <v xml:space="preserve">-0  , </v>
          </cell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>
            <v>0</v>
          </cell>
          <cell r="Y189">
            <v>0</v>
          </cell>
          <cell r="Z189">
            <v>0</v>
          </cell>
          <cell r="AA189" t="str">
            <v>,</v>
          </cell>
          <cell r="AB189" t="str">
            <v>,</v>
          </cell>
          <cell r="AC189" t="e">
            <v>#DIV/0!</v>
          </cell>
          <cell r="AD189" t="e">
            <v>#DIV/0!</v>
          </cell>
          <cell r="AE189">
            <v>0.71</v>
          </cell>
          <cell r="AF189">
            <v>94.97</v>
          </cell>
          <cell r="AG189">
            <v>0</v>
          </cell>
          <cell r="AH189" t="e">
            <v>#DIV/0!</v>
          </cell>
          <cell r="AI189" t="e">
            <v>#DIV/0!</v>
          </cell>
          <cell r="AJ189" t="e">
            <v>#DIV/0!</v>
          </cell>
          <cell r="AK189" t="e">
            <v>#DIV/0!</v>
          </cell>
          <cell r="AL189" t="e">
            <v>#DIV/0!</v>
          </cell>
          <cell r="AM189" t="e">
            <v>#DIV/0!</v>
          </cell>
          <cell r="AN189" t="e">
            <v>#DIV/0!</v>
          </cell>
          <cell r="AO189" t="e">
            <v>#REF!</v>
          </cell>
          <cell r="AP189" t="e">
            <v>#REF!</v>
          </cell>
          <cell r="AQ189" t="e">
            <v>#REF!</v>
          </cell>
          <cell r="AR189" t="e">
            <v>#REF!</v>
          </cell>
          <cell r="AS189" t="e">
            <v>#REF!</v>
          </cell>
          <cell r="AT189" t="e">
            <v>#REF!</v>
          </cell>
          <cell r="AU189" t="e">
            <v>#REF!</v>
          </cell>
          <cell r="AV189" t="e">
            <v>#REF!</v>
          </cell>
          <cell r="AW189" t="e">
            <v>#DIV/0!</v>
          </cell>
          <cell r="AX189" t="e">
            <v>#DIV/0!</v>
          </cell>
          <cell r="AY189" t="e">
            <v>#DIV/0!</v>
          </cell>
          <cell r="AZ189" t="e">
            <v>#DIV/0!</v>
          </cell>
          <cell r="BE189" t="e">
            <v>#DIV/0!</v>
          </cell>
          <cell r="BF189" t="e">
            <v>#DIV/0!</v>
          </cell>
        </row>
        <row r="190">
          <cell r="A190" t="str">
            <v>-0</v>
          </cell>
          <cell r="B190" t="str">
            <v xml:space="preserve">-0  , </v>
          </cell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>
            <v>0</v>
          </cell>
          <cell r="Y190">
            <v>0</v>
          </cell>
          <cell r="Z190">
            <v>0</v>
          </cell>
          <cell r="AA190" t="str">
            <v>,</v>
          </cell>
          <cell r="AB190" t="str">
            <v>,</v>
          </cell>
          <cell r="AC190" t="e">
            <v>#DIV/0!</v>
          </cell>
          <cell r="AD190" t="e">
            <v>#DIV/0!</v>
          </cell>
          <cell r="AE190">
            <v>0.71</v>
          </cell>
          <cell r="AF190">
            <v>94.97</v>
          </cell>
          <cell r="AG190">
            <v>0</v>
          </cell>
          <cell r="AH190" t="e">
            <v>#DIV/0!</v>
          </cell>
          <cell r="AI190" t="e">
            <v>#DIV/0!</v>
          </cell>
          <cell r="AJ190" t="e">
            <v>#DIV/0!</v>
          </cell>
          <cell r="AK190" t="e">
            <v>#DIV/0!</v>
          </cell>
          <cell r="AL190" t="e">
            <v>#DIV/0!</v>
          </cell>
          <cell r="AM190" t="e">
            <v>#DIV/0!</v>
          </cell>
          <cell r="AN190" t="e">
            <v>#DIV/0!</v>
          </cell>
          <cell r="AO190" t="e">
            <v>#REF!</v>
          </cell>
          <cell r="AP190" t="e">
            <v>#REF!</v>
          </cell>
          <cell r="AQ190" t="e">
            <v>#REF!</v>
          </cell>
          <cell r="AR190" t="e">
            <v>#REF!</v>
          </cell>
          <cell r="AS190" t="e">
            <v>#REF!</v>
          </cell>
          <cell r="AT190" t="e">
            <v>#REF!</v>
          </cell>
          <cell r="AU190" t="e">
            <v>#REF!</v>
          </cell>
          <cell r="AV190" t="e">
            <v>#REF!</v>
          </cell>
          <cell r="AW190" t="e">
            <v>#DIV/0!</v>
          </cell>
          <cell r="AX190" t="e">
            <v>#DIV/0!</v>
          </cell>
          <cell r="AY190" t="e">
            <v>#DIV/0!</v>
          </cell>
          <cell r="AZ190" t="e">
            <v>#DIV/0!</v>
          </cell>
          <cell r="BE190" t="e">
            <v>#DIV/0!</v>
          </cell>
          <cell r="BF190" t="e">
            <v>#DIV/0!</v>
          </cell>
        </row>
        <row r="191">
          <cell r="A191" t="str">
            <v>-0</v>
          </cell>
          <cell r="B191" t="str">
            <v xml:space="preserve">-0  , </v>
          </cell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>
            <v>0</v>
          </cell>
          <cell r="Y191">
            <v>0</v>
          </cell>
          <cell r="Z191">
            <v>0</v>
          </cell>
          <cell r="AA191" t="str">
            <v>,</v>
          </cell>
          <cell r="AB191" t="str">
            <v>,</v>
          </cell>
          <cell r="AC191" t="e">
            <v>#DIV/0!</v>
          </cell>
          <cell r="AD191" t="e">
            <v>#DIV/0!</v>
          </cell>
          <cell r="AE191">
            <v>0.71</v>
          </cell>
          <cell r="AF191">
            <v>94.97</v>
          </cell>
          <cell r="AG191">
            <v>0</v>
          </cell>
          <cell r="AH191" t="e">
            <v>#DIV/0!</v>
          </cell>
          <cell r="AI191" t="e">
            <v>#DIV/0!</v>
          </cell>
          <cell r="AJ191" t="e">
            <v>#DIV/0!</v>
          </cell>
          <cell r="AK191" t="e">
            <v>#DIV/0!</v>
          </cell>
          <cell r="AL191" t="e">
            <v>#DIV/0!</v>
          </cell>
          <cell r="AM191" t="e">
            <v>#DIV/0!</v>
          </cell>
          <cell r="AN191" t="e">
            <v>#DIV/0!</v>
          </cell>
          <cell r="AO191" t="e">
            <v>#REF!</v>
          </cell>
          <cell r="AP191" t="e">
            <v>#REF!</v>
          </cell>
          <cell r="AQ191" t="e">
            <v>#REF!</v>
          </cell>
          <cell r="AR191" t="e">
            <v>#REF!</v>
          </cell>
          <cell r="AS191" t="e">
            <v>#REF!</v>
          </cell>
          <cell r="AT191" t="e">
            <v>#REF!</v>
          </cell>
          <cell r="AU191" t="e">
            <v>#REF!</v>
          </cell>
          <cell r="AV191" t="e">
            <v>#REF!</v>
          </cell>
          <cell r="AW191" t="e">
            <v>#DIV/0!</v>
          </cell>
          <cell r="AX191" t="e">
            <v>#DIV/0!</v>
          </cell>
          <cell r="AY191" t="e">
            <v>#DIV/0!</v>
          </cell>
          <cell r="AZ191" t="e">
            <v>#DIV/0!</v>
          </cell>
          <cell r="BE191" t="e">
            <v>#DIV/0!</v>
          </cell>
          <cell r="BF191" t="e">
            <v>#DIV/0!</v>
          </cell>
        </row>
        <row r="192">
          <cell r="A192" t="str">
            <v>-0</v>
          </cell>
          <cell r="B192" t="str">
            <v xml:space="preserve">-0  , </v>
          </cell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>
            <v>0</v>
          </cell>
          <cell r="Y192">
            <v>0</v>
          </cell>
          <cell r="Z192">
            <v>0</v>
          </cell>
          <cell r="AA192" t="str">
            <v>,</v>
          </cell>
          <cell r="AB192" t="str">
            <v>,</v>
          </cell>
          <cell r="AC192" t="e">
            <v>#DIV/0!</v>
          </cell>
          <cell r="AD192" t="e">
            <v>#DIV/0!</v>
          </cell>
          <cell r="AE192">
            <v>0.71</v>
          </cell>
          <cell r="AF192">
            <v>94.97</v>
          </cell>
          <cell r="AG192">
            <v>0</v>
          </cell>
          <cell r="AH192" t="e">
            <v>#DIV/0!</v>
          </cell>
          <cell r="AI192" t="e">
            <v>#DIV/0!</v>
          </cell>
          <cell r="AJ192" t="e">
            <v>#DIV/0!</v>
          </cell>
          <cell r="AK192" t="e">
            <v>#DIV/0!</v>
          </cell>
          <cell r="AL192" t="e">
            <v>#DIV/0!</v>
          </cell>
          <cell r="AM192" t="e">
            <v>#DIV/0!</v>
          </cell>
          <cell r="AN192" t="e">
            <v>#DIV/0!</v>
          </cell>
          <cell r="AO192" t="e">
            <v>#REF!</v>
          </cell>
          <cell r="AP192" t="e">
            <v>#REF!</v>
          </cell>
          <cell r="AQ192" t="e">
            <v>#REF!</v>
          </cell>
          <cell r="AR192" t="e">
            <v>#REF!</v>
          </cell>
          <cell r="AS192" t="e">
            <v>#REF!</v>
          </cell>
          <cell r="AT192" t="e">
            <v>#REF!</v>
          </cell>
          <cell r="AU192" t="e">
            <v>#REF!</v>
          </cell>
          <cell r="AV192" t="e">
            <v>#REF!</v>
          </cell>
          <cell r="AW192" t="e">
            <v>#DIV/0!</v>
          </cell>
          <cell r="AX192" t="e">
            <v>#DIV/0!</v>
          </cell>
          <cell r="AY192" t="e">
            <v>#DIV/0!</v>
          </cell>
          <cell r="AZ192" t="e">
            <v>#DIV/0!</v>
          </cell>
          <cell r="BE192" t="e">
            <v>#DIV/0!</v>
          </cell>
          <cell r="BF192" t="e">
            <v>#DIV/0!</v>
          </cell>
        </row>
        <row r="193">
          <cell r="A193" t="str">
            <v>-0</v>
          </cell>
          <cell r="B193" t="str">
            <v xml:space="preserve">-0  , </v>
          </cell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>
            <v>0</v>
          </cell>
          <cell r="Y193">
            <v>0</v>
          </cell>
          <cell r="Z193">
            <v>0</v>
          </cell>
          <cell r="AA193" t="str">
            <v>,</v>
          </cell>
          <cell r="AB193" t="str">
            <v>,</v>
          </cell>
          <cell r="AC193" t="e">
            <v>#DIV/0!</v>
          </cell>
          <cell r="AD193" t="e">
            <v>#DIV/0!</v>
          </cell>
          <cell r="AE193">
            <v>0.71</v>
          </cell>
          <cell r="AF193">
            <v>94.97</v>
          </cell>
          <cell r="AG193">
            <v>0</v>
          </cell>
          <cell r="AH193" t="e">
            <v>#DIV/0!</v>
          </cell>
          <cell r="AI193" t="e">
            <v>#DIV/0!</v>
          </cell>
          <cell r="AJ193" t="e">
            <v>#DIV/0!</v>
          </cell>
          <cell r="AK193" t="e">
            <v>#DIV/0!</v>
          </cell>
          <cell r="AL193" t="e">
            <v>#DIV/0!</v>
          </cell>
          <cell r="AM193" t="e">
            <v>#DIV/0!</v>
          </cell>
          <cell r="AN193" t="e">
            <v>#DIV/0!</v>
          </cell>
          <cell r="AO193" t="e">
            <v>#REF!</v>
          </cell>
          <cell r="AP193" t="e">
            <v>#REF!</v>
          </cell>
          <cell r="AQ193" t="e">
            <v>#REF!</v>
          </cell>
          <cell r="AR193" t="e">
            <v>#REF!</v>
          </cell>
          <cell r="AS193" t="e">
            <v>#REF!</v>
          </cell>
          <cell r="AT193" t="e">
            <v>#REF!</v>
          </cell>
          <cell r="AU193" t="e">
            <v>#REF!</v>
          </cell>
          <cell r="AV193" t="e">
            <v>#REF!</v>
          </cell>
          <cell r="AW193" t="e">
            <v>#DIV/0!</v>
          </cell>
          <cell r="AX193" t="e">
            <v>#DIV/0!</v>
          </cell>
          <cell r="AY193" t="e">
            <v>#DIV/0!</v>
          </cell>
          <cell r="AZ193" t="e">
            <v>#DIV/0!</v>
          </cell>
          <cell r="BE193" t="e">
            <v>#DIV/0!</v>
          </cell>
          <cell r="BF193" t="e">
            <v>#DIV/0!</v>
          </cell>
        </row>
        <row r="194">
          <cell r="A194" t="str">
            <v>-0</v>
          </cell>
          <cell r="B194" t="str">
            <v xml:space="preserve">-0  , </v>
          </cell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>
            <v>0</v>
          </cell>
          <cell r="Y194">
            <v>0</v>
          </cell>
          <cell r="Z194">
            <v>0</v>
          </cell>
          <cell r="AA194" t="str">
            <v>,</v>
          </cell>
          <cell r="AB194" t="str">
            <v>,</v>
          </cell>
          <cell r="AC194" t="e">
            <v>#DIV/0!</v>
          </cell>
          <cell r="AD194" t="e">
            <v>#DIV/0!</v>
          </cell>
          <cell r="AE194">
            <v>0.71</v>
          </cell>
          <cell r="AF194">
            <v>94.97</v>
          </cell>
          <cell r="AG194">
            <v>0</v>
          </cell>
          <cell r="AH194" t="e">
            <v>#DIV/0!</v>
          </cell>
          <cell r="AI194" t="e">
            <v>#DIV/0!</v>
          </cell>
          <cell r="AJ194" t="e">
            <v>#DIV/0!</v>
          </cell>
          <cell r="AK194" t="e">
            <v>#DIV/0!</v>
          </cell>
          <cell r="AL194" t="e">
            <v>#DIV/0!</v>
          </cell>
          <cell r="AM194" t="e">
            <v>#DIV/0!</v>
          </cell>
          <cell r="AN194" t="e">
            <v>#DIV/0!</v>
          </cell>
          <cell r="AO194" t="e">
            <v>#REF!</v>
          </cell>
          <cell r="AP194" t="e">
            <v>#REF!</v>
          </cell>
          <cell r="AQ194" t="e">
            <v>#REF!</v>
          </cell>
          <cell r="AR194" t="e">
            <v>#REF!</v>
          </cell>
          <cell r="AS194" t="e">
            <v>#REF!</v>
          </cell>
          <cell r="AT194" t="e">
            <v>#REF!</v>
          </cell>
          <cell r="AU194" t="e">
            <v>#REF!</v>
          </cell>
          <cell r="AV194" t="e">
            <v>#REF!</v>
          </cell>
          <cell r="AW194" t="e">
            <v>#DIV/0!</v>
          </cell>
          <cell r="AX194" t="e">
            <v>#DIV/0!</v>
          </cell>
          <cell r="AY194" t="e">
            <v>#DIV/0!</v>
          </cell>
          <cell r="AZ194" t="e">
            <v>#DIV/0!</v>
          </cell>
          <cell r="BE194" t="e">
            <v>#DIV/0!</v>
          </cell>
          <cell r="BF194" t="e">
            <v>#DIV/0!</v>
          </cell>
        </row>
        <row r="195">
          <cell r="A195" t="str">
            <v>-0</v>
          </cell>
          <cell r="B195" t="str">
            <v xml:space="preserve">-0  , </v>
          </cell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>
            <v>0</v>
          </cell>
          <cell r="Y195">
            <v>0</v>
          </cell>
          <cell r="Z195">
            <v>0</v>
          </cell>
          <cell r="AA195" t="str">
            <v>,</v>
          </cell>
          <cell r="AB195" t="str">
            <v>,</v>
          </cell>
          <cell r="AC195" t="e">
            <v>#DIV/0!</v>
          </cell>
          <cell r="AD195" t="e">
            <v>#DIV/0!</v>
          </cell>
          <cell r="AE195">
            <v>0.71</v>
          </cell>
          <cell r="AF195">
            <v>94.97</v>
          </cell>
          <cell r="AG195">
            <v>0</v>
          </cell>
          <cell r="AH195" t="e">
            <v>#DIV/0!</v>
          </cell>
          <cell r="AI195" t="e">
            <v>#DIV/0!</v>
          </cell>
          <cell r="AJ195" t="e">
            <v>#DIV/0!</v>
          </cell>
          <cell r="AK195" t="e">
            <v>#DIV/0!</v>
          </cell>
          <cell r="AL195" t="e">
            <v>#DIV/0!</v>
          </cell>
          <cell r="AM195" t="e">
            <v>#DIV/0!</v>
          </cell>
          <cell r="AN195" t="e">
            <v>#DIV/0!</v>
          </cell>
          <cell r="AO195" t="e">
            <v>#REF!</v>
          </cell>
          <cell r="AP195" t="e">
            <v>#REF!</v>
          </cell>
          <cell r="AQ195" t="e">
            <v>#REF!</v>
          </cell>
          <cell r="AR195" t="e">
            <v>#REF!</v>
          </cell>
          <cell r="AS195" t="e">
            <v>#REF!</v>
          </cell>
          <cell r="AT195" t="e">
            <v>#REF!</v>
          </cell>
          <cell r="AU195" t="e">
            <v>#REF!</v>
          </cell>
          <cell r="AV195" t="e">
            <v>#REF!</v>
          </cell>
          <cell r="AW195" t="e">
            <v>#DIV/0!</v>
          </cell>
          <cell r="AX195" t="e">
            <v>#DIV/0!</v>
          </cell>
          <cell r="AY195" t="e">
            <v>#DIV/0!</v>
          </cell>
          <cell r="AZ195" t="e">
            <v>#DIV/0!</v>
          </cell>
          <cell r="BE195" t="e">
            <v>#DIV/0!</v>
          </cell>
          <cell r="BF195" t="e">
            <v>#DIV/0!</v>
          </cell>
        </row>
        <row r="196">
          <cell r="A196" t="str">
            <v>-0</v>
          </cell>
          <cell r="B196" t="str">
            <v xml:space="preserve">-0  , </v>
          </cell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>
            <v>0</v>
          </cell>
          <cell r="Y196">
            <v>0</v>
          </cell>
          <cell r="Z196">
            <v>0</v>
          </cell>
          <cell r="AA196" t="str">
            <v>,</v>
          </cell>
          <cell r="AB196" t="str">
            <v>,</v>
          </cell>
          <cell r="AC196" t="e">
            <v>#DIV/0!</v>
          </cell>
          <cell r="AD196" t="e">
            <v>#DIV/0!</v>
          </cell>
          <cell r="AE196">
            <v>0.71</v>
          </cell>
          <cell r="AF196">
            <v>94.97</v>
          </cell>
          <cell r="AG196">
            <v>0</v>
          </cell>
          <cell r="AH196" t="e">
            <v>#DIV/0!</v>
          </cell>
          <cell r="AI196" t="e">
            <v>#DIV/0!</v>
          </cell>
          <cell r="AJ196" t="e">
            <v>#DIV/0!</v>
          </cell>
          <cell r="AK196" t="e">
            <v>#DIV/0!</v>
          </cell>
          <cell r="AL196" t="e">
            <v>#DIV/0!</v>
          </cell>
          <cell r="AM196" t="e">
            <v>#DIV/0!</v>
          </cell>
          <cell r="AN196" t="e">
            <v>#DIV/0!</v>
          </cell>
          <cell r="AO196" t="e">
            <v>#REF!</v>
          </cell>
          <cell r="AP196" t="e">
            <v>#REF!</v>
          </cell>
          <cell r="AQ196" t="e">
            <v>#REF!</v>
          </cell>
          <cell r="AR196" t="e">
            <v>#REF!</v>
          </cell>
          <cell r="AS196" t="e">
            <v>#REF!</v>
          </cell>
          <cell r="AT196" t="e">
            <v>#REF!</v>
          </cell>
          <cell r="AU196" t="e">
            <v>#REF!</v>
          </cell>
          <cell r="AV196" t="e">
            <v>#REF!</v>
          </cell>
          <cell r="AW196" t="e">
            <v>#DIV/0!</v>
          </cell>
          <cell r="AX196" t="e">
            <v>#DIV/0!</v>
          </cell>
          <cell r="AY196" t="e">
            <v>#DIV/0!</v>
          </cell>
          <cell r="AZ196" t="e">
            <v>#DIV/0!</v>
          </cell>
          <cell r="BE196" t="e">
            <v>#DIV/0!</v>
          </cell>
          <cell r="BF196" t="e">
            <v>#DIV/0!</v>
          </cell>
        </row>
        <row r="197">
          <cell r="A197" t="str">
            <v>-0</v>
          </cell>
          <cell r="B197" t="str">
            <v xml:space="preserve">-0  , </v>
          </cell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>
            <v>0</v>
          </cell>
          <cell r="Y197">
            <v>0</v>
          </cell>
          <cell r="Z197">
            <v>0</v>
          </cell>
          <cell r="AA197" t="str">
            <v>,</v>
          </cell>
          <cell r="AB197" t="str">
            <v>,</v>
          </cell>
          <cell r="AC197" t="e">
            <v>#DIV/0!</v>
          </cell>
          <cell r="AD197" t="e">
            <v>#DIV/0!</v>
          </cell>
          <cell r="AE197">
            <v>0.71</v>
          </cell>
          <cell r="AF197">
            <v>94.97</v>
          </cell>
          <cell r="AG197">
            <v>0</v>
          </cell>
          <cell r="AH197" t="e">
            <v>#DIV/0!</v>
          </cell>
          <cell r="AI197" t="e">
            <v>#DIV/0!</v>
          </cell>
          <cell r="AJ197" t="e">
            <v>#DIV/0!</v>
          </cell>
          <cell r="AK197" t="e">
            <v>#DIV/0!</v>
          </cell>
          <cell r="AL197" t="e">
            <v>#DIV/0!</v>
          </cell>
          <cell r="AM197" t="e">
            <v>#DIV/0!</v>
          </cell>
          <cell r="AN197" t="e">
            <v>#DIV/0!</v>
          </cell>
          <cell r="AO197" t="e">
            <v>#REF!</v>
          </cell>
          <cell r="AP197" t="e">
            <v>#REF!</v>
          </cell>
          <cell r="AQ197" t="e">
            <v>#REF!</v>
          </cell>
          <cell r="AR197" t="e">
            <v>#REF!</v>
          </cell>
          <cell r="AS197" t="e">
            <v>#REF!</v>
          </cell>
          <cell r="AT197" t="e">
            <v>#REF!</v>
          </cell>
          <cell r="AU197" t="e">
            <v>#REF!</v>
          </cell>
          <cell r="AV197" t="e">
            <v>#REF!</v>
          </cell>
          <cell r="AW197" t="e">
            <v>#DIV/0!</v>
          </cell>
          <cell r="AX197" t="e">
            <v>#DIV/0!</v>
          </cell>
          <cell r="AY197" t="e">
            <v>#DIV/0!</v>
          </cell>
          <cell r="AZ197" t="e">
            <v>#DIV/0!</v>
          </cell>
          <cell r="BE197" t="e">
            <v>#DIV/0!</v>
          </cell>
          <cell r="BF197" t="e">
            <v>#DIV/0!</v>
          </cell>
        </row>
        <row r="198">
          <cell r="A198" t="str">
            <v>-0</v>
          </cell>
          <cell r="B198" t="str">
            <v xml:space="preserve">-0  , </v>
          </cell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>
            <v>0</v>
          </cell>
          <cell r="Y198">
            <v>0</v>
          </cell>
          <cell r="Z198">
            <v>0</v>
          </cell>
          <cell r="AA198" t="str">
            <v>,</v>
          </cell>
          <cell r="AB198" t="str">
            <v>,</v>
          </cell>
          <cell r="AC198" t="e">
            <v>#DIV/0!</v>
          </cell>
          <cell r="AD198" t="e">
            <v>#DIV/0!</v>
          </cell>
          <cell r="AE198">
            <v>0.71</v>
          </cell>
          <cell r="AF198">
            <v>94.97</v>
          </cell>
          <cell r="AG198">
            <v>0</v>
          </cell>
          <cell r="AH198" t="e">
            <v>#DIV/0!</v>
          </cell>
          <cell r="AI198" t="e">
            <v>#DIV/0!</v>
          </cell>
          <cell r="AJ198" t="e">
            <v>#DIV/0!</v>
          </cell>
          <cell r="AK198" t="e">
            <v>#DIV/0!</v>
          </cell>
          <cell r="AL198" t="e">
            <v>#DIV/0!</v>
          </cell>
          <cell r="AM198" t="e">
            <v>#DIV/0!</v>
          </cell>
          <cell r="AN198" t="e">
            <v>#DIV/0!</v>
          </cell>
          <cell r="AO198" t="e">
            <v>#REF!</v>
          </cell>
          <cell r="AP198" t="e">
            <v>#REF!</v>
          </cell>
          <cell r="AQ198" t="e">
            <v>#REF!</v>
          </cell>
          <cell r="AR198" t="e">
            <v>#REF!</v>
          </cell>
          <cell r="AS198" t="e">
            <v>#REF!</v>
          </cell>
          <cell r="AT198" t="e">
            <v>#REF!</v>
          </cell>
          <cell r="AU198" t="e">
            <v>#REF!</v>
          </cell>
          <cell r="AV198" t="e">
            <v>#REF!</v>
          </cell>
          <cell r="AW198" t="e">
            <v>#DIV/0!</v>
          </cell>
          <cell r="AX198" t="e">
            <v>#DIV/0!</v>
          </cell>
          <cell r="AY198" t="e">
            <v>#DIV/0!</v>
          </cell>
          <cell r="AZ198" t="e">
            <v>#DIV/0!</v>
          </cell>
          <cell r="BE198" t="e">
            <v>#DIV/0!</v>
          </cell>
          <cell r="BF198" t="e">
            <v>#DIV/0!</v>
          </cell>
        </row>
        <row r="199">
          <cell r="A199" t="str">
            <v>-0</v>
          </cell>
          <cell r="B199" t="str">
            <v xml:space="preserve">-0  , </v>
          </cell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>
            <v>0</v>
          </cell>
          <cell r="Y199">
            <v>0</v>
          </cell>
          <cell r="Z199">
            <v>0</v>
          </cell>
          <cell r="AA199" t="str">
            <v>,</v>
          </cell>
          <cell r="AB199" t="str">
            <v>,</v>
          </cell>
          <cell r="AC199" t="e">
            <v>#DIV/0!</v>
          </cell>
          <cell r="AD199" t="e">
            <v>#DIV/0!</v>
          </cell>
          <cell r="AE199">
            <v>0.71</v>
          </cell>
          <cell r="AF199">
            <v>94.97</v>
          </cell>
          <cell r="AG199">
            <v>0</v>
          </cell>
          <cell r="AH199" t="e">
            <v>#DIV/0!</v>
          </cell>
          <cell r="AI199" t="e">
            <v>#DIV/0!</v>
          </cell>
          <cell r="AJ199" t="e">
            <v>#DIV/0!</v>
          </cell>
          <cell r="AK199" t="e">
            <v>#DIV/0!</v>
          </cell>
          <cell r="AL199" t="e">
            <v>#DIV/0!</v>
          </cell>
          <cell r="AM199" t="e">
            <v>#DIV/0!</v>
          </cell>
          <cell r="AN199" t="e">
            <v>#DIV/0!</v>
          </cell>
          <cell r="AO199" t="e">
            <v>#REF!</v>
          </cell>
          <cell r="AP199" t="e">
            <v>#REF!</v>
          </cell>
          <cell r="AQ199" t="e">
            <v>#REF!</v>
          </cell>
          <cell r="AR199" t="e">
            <v>#REF!</v>
          </cell>
          <cell r="AS199" t="e">
            <v>#REF!</v>
          </cell>
          <cell r="AT199" t="e">
            <v>#REF!</v>
          </cell>
          <cell r="AU199" t="e">
            <v>#REF!</v>
          </cell>
          <cell r="AV199" t="e">
            <v>#REF!</v>
          </cell>
          <cell r="AW199" t="e">
            <v>#DIV/0!</v>
          </cell>
          <cell r="AX199" t="e">
            <v>#DIV/0!</v>
          </cell>
          <cell r="AY199" t="e">
            <v>#DIV/0!</v>
          </cell>
          <cell r="AZ199" t="e">
            <v>#DIV/0!</v>
          </cell>
          <cell r="BE199" t="e">
            <v>#DIV/0!</v>
          </cell>
          <cell r="BF199" t="e">
            <v>#DIV/0!</v>
          </cell>
        </row>
        <row r="200">
          <cell r="A200" t="str">
            <v>-0</v>
          </cell>
          <cell r="B200" t="str">
            <v xml:space="preserve">-0  , </v>
          </cell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>
            <v>0</v>
          </cell>
          <cell r="Y200">
            <v>0</v>
          </cell>
          <cell r="Z200">
            <v>0</v>
          </cell>
          <cell r="AA200" t="str">
            <v>,</v>
          </cell>
          <cell r="AB200" t="str">
            <v>,</v>
          </cell>
          <cell r="AC200" t="e">
            <v>#DIV/0!</v>
          </cell>
          <cell r="AD200" t="e">
            <v>#DIV/0!</v>
          </cell>
          <cell r="AE200">
            <v>0.71</v>
          </cell>
          <cell r="AF200">
            <v>94.97</v>
          </cell>
          <cell r="AG200">
            <v>0</v>
          </cell>
          <cell r="AH200" t="e">
            <v>#DIV/0!</v>
          </cell>
          <cell r="AI200" t="e">
            <v>#DIV/0!</v>
          </cell>
          <cell r="AJ200" t="e">
            <v>#DIV/0!</v>
          </cell>
          <cell r="AK200" t="e">
            <v>#DIV/0!</v>
          </cell>
          <cell r="AL200" t="e">
            <v>#DIV/0!</v>
          </cell>
          <cell r="AM200" t="e">
            <v>#DIV/0!</v>
          </cell>
          <cell r="AN200" t="e">
            <v>#DIV/0!</v>
          </cell>
          <cell r="AO200" t="e">
            <v>#REF!</v>
          </cell>
          <cell r="AP200" t="e">
            <v>#REF!</v>
          </cell>
          <cell r="AQ200" t="e">
            <v>#REF!</v>
          </cell>
          <cell r="AR200" t="e">
            <v>#REF!</v>
          </cell>
          <cell r="AS200" t="e">
            <v>#REF!</v>
          </cell>
          <cell r="AT200" t="e">
            <v>#REF!</v>
          </cell>
          <cell r="AU200" t="e">
            <v>#REF!</v>
          </cell>
          <cell r="AV200" t="e">
            <v>#REF!</v>
          </cell>
          <cell r="AW200" t="e">
            <v>#DIV/0!</v>
          </cell>
          <cell r="AX200" t="e">
            <v>#DIV/0!</v>
          </cell>
          <cell r="AY200" t="e">
            <v>#DIV/0!</v>
          </cell>
          <cell r="AZ200" t="e">
            <v>#DIV/0!</v>
          </cell>
          <cell r="BE200" t="e">
            <v>#DIV/0!</v>
          </cell>
          <cell r="BF200" t="e">
            <v>#DIV/0!</v>
          </cell>
        </row>
        <row r="201">
          <cell r="A201" t="str">
            <v>-0</v>
          </cell>
          <cell r="B201" t="str">
            <v xml:space="preserve">-0  , </v>
          </cell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>
            <v>0</v>
          </cell>
          <cell r="Y201">
            <v>0</v>
          </cell>
          <cell r="Z201">
            <v>0</v>
          </cell>
          <cell r="AA201" t="str">
            <v>,</v>
          </cell>
          <cell r="AB201" t="str">
            <v>,</v>
          </cell>
          <cell r="AC201" t="e">
            <v>#DIV/0!</v>
          </cell>
          <cell r="AD201" t="e">
            <v>#DIV/0!</v>
          </cell>
          <cell r="AE201">
            <v>0.71</v>
          </cell>
          <cell r="AF201">
            <v>94.97</v>
          </cell>
          <cell r="AG201">
            <v>0</v>
          </cell>
          <cell r="AH201" t="e">
            <v>#DIV/0!</v>
          </cell>
          <cell r="AI201" t="e">
            <v>#DIV/0!</v>
          </cell>
          <cell r="AJ201" t="e">
            <v>#DIV/0!</v>
          </cell>
          <cell r="AK201" t="e">
            <v>#DIV/0!</v>
          </cell>
          <cell r="AL201" t="e">
            <v>#DIV/0!</v>
          </cell>
          <cell r="AM201" t="e">
            <v>#DIV/0!</v>
          </cell>
          <cell r="AN201" t="e">
            <v>#DIV/0!</v>
          </cell>
          <cell r="AO201" t="e">
            <v>#REF!</v>
          </cell>
          <cell r="AP201" t="e">
            <v>#REF!</v>
          </cell>
          <cell r="AQ201" t="e">
            <v>#REF!</v>
          </cell>
          <cell r="AR201" t="e">
            <v>#REF!</v>
          </cell>
          <cell r="AS201" t="e">
            <v>#REF!</v>
          </cell>
          <cell r="AT201" t="e">
            <v>#REF!</v>
          </cell>
          <cell r="AU201" t="e">
            <v>#REF!</v>
          </cell>
          <cell r="AV201" t="e">
            <v>#REF!</v>
          </cell>
          <cell r="AW201" t="e">
            <v>#DIV/0!</v>
          </cell>
          <cell r="AX201" t="e">
            <v>#DIV/0!</v>
          </cell>
          <cell r="AY201" t="e">
            <v>#DIV/0!</v>
          </cell>
          <cell r="AZ201" t="e">
            <v>#DIV/0!</v>
          </cell>
          <cell r="BE201" t="e">
            <v>#DIV/0!</v>
          </cell>
          <cell r="BF201" t="e">
            <v>#DIV/0!</v>
          </cell>
        </row>
        <row r="202">
          <cell r="A202" t="str">
            <v>-0</v>
          </cell>
          <cell r="B202" t="str">
            <v xml:space="preserve">-0  , </v>
          </cell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>
            <v>0</v>
          </cell>
          <cell r="Y202">
            <v>0</v>
          </cell>
          <cell r="Z202">
            <v>0</v>
          </cell>
          <cell r="AA202" t="str">
            <v>,</v>
          </cell>
          <cell r="AB202" t="str">
            <v>,</v>
          </cell>
          <cell r="AC202" t="e">
            <v>#DIV/0!</v>
          </cell>
          <cell r="AD202" t="e">
            <v>#DIV/0!</v>
          </cell>
          <cell r="AE202">
            <v>0.71</v>
          </cell>
          <cell r="AF202">
            <v>94.97</v>
          </cell>
          <cell r="AG202">
            <v>0</v>
          </cell>
          <cell r="AH202" t="e">
            <v>#DIV/0!</v>
          </cell>
          <cell r="AI202" t="e">
            <v>#DIV/0!</v>
          </cell>
          <cell r="AJ202" t="e">
            <v>#DIV/0!</v>
          </cell>
          <cell r="AK202" t="e">
            <v>#DIV/0!</v>
          </cell>
          <cell r="AL202" t="e">
            <v>#DIV/0!</v>
          </cell>
          <cell r="AM202" t="e">
            <v>#DIV/0!</v>
          </cell>
          <cell r="AN202" t="e">
            <v>#DIV/0!</v>
          </cell>
          <cell r="AO202" t="e">
            <v>#REF!</v>
          </cell>
          <cell r="AP202" t="e">
            <v>#REF!</v>
          </cell>
          <cell r="AQ202" t="e">
            <v>#REF!</v>
          </cell>
          <cell r="AR202" t="e">
            <v>#REF!</v>
          </cell>
          <cell r="AS202" t="e">
            <v>#REF!</v>
          </cell>
          <cell r="AT202" t="e">
            <v>#REF!</v>
          </cell>
          <cell r="AU202" t="e">
            <v>#REF!</v>
          </cell>
          <cell r="AV202" t="e">
            <v>#REF!</v>
          </cell>
          <cell r="AW202" t="e">
            <v>#DIV/0!</v>
          </cell>
          <cell r="AX202" t="e">
            <v>#DIV/0!</v>
          </cell>
          <cell r="AY202" t="e">
            <v>#DIV/0!</v>
          </cell>
          <cell r="AZ202" t="e">
            <v>#DIV/0!</v>
          </cell>
          <cell r="BE202" t="e">
            <v>#DIV/0!</v>
          </cell>
          <cell r="BF202" t="e">
            <v>#DIV/0!</v>
          </cell>
        </row>
        <row r="203">
          <cell r="A203" t="str">
            <v>-0</v>
          </cell>
          <cell r="B203" t="str">
            <v xml:space="preserve">-0  , </v>
          </cell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>
            <v>0</v>
          </cell>
          <cell r="Y203">
            <v>0</v>
          </cell>
          <cell r="Z203">
            <v>0</v>
          </cell>
          <cell r="AA203" t="str">
            <v>,</v>
          </cell>
          <cell r="AB203" t="str">
            <v>,</v>
          </cell>
          <cell r="AC203" t="e">
            <v>#DIV/0!</v>
          </cell>
          <cell r="AD203" t="e">
            <v>#DIV/0!</v>
          </cell>
          <cell r="AE203">
            <v>0.71</v>
          </cell>
          <cell r="AF203">
            <v>94.97</v>
          </cell>
          <cell r="AG203">
            <v>0</v>
          </cell>
          <cell r="AH203" t="e">
            <v>#DIV/0!</v>
          </cell>
          <cell r="AI203" t="e">
            <v>#DIV/0!</v>
          </cell>
          <cell r="AJ203" t="e">
            <v>#DIV/0!</v>
          </cell>
          <cell r="AK203" t="e">
            <v>#DIV/0!</v>
          </cell>
          <cell r="AL203" t="e">
            <v>#DIV/0!</v>
          </cell>
          <cell r="AM203" t="e">
            <v>#DIV/0!</v>
          </cell>
          <cell r="AN203" t="e">
            <v>#DIV/0!</v>
          </cell>
          <cell r="AO203" t="e">
            <v>#REF!</v>
          </cell>
          <cell r="AP203" t="e">
            <v>#REF!</v>
          </cell>
          <cell r="AQ203" t="e">
            <v>#REF!</v>
          </cell>
          <cell r="AR203" t="e">
            <v>#REF!</v>
          </cell>
          <cell r="AS203" t="e">
            <v>#REF!</v>
          </cell>
          <cell r="AT203" t="e">
            <v>#REF!</v>
          </cell>
          <cell r="AU203" t="e">
            <v>#REF!</v>
          </cell>
          <cell r="AV203" t="e">
            <v>#REF!</v>
          </cell>
          <cell r="AW203" t="e">
            <v>#DIV/0!</v>
          </cell>
          <cell r="AX203" t="e">
            <v>#DIV/0!</v>
          </cell>
          <cell r="AY203" t="e">
            <v>#DIV/0!</v>
          </cell>
          <cell r="AZ203" t="e">
            <v>#DIV/0!</v>
          </cell>
          <cell r="BE203" t="e">
            <v>#DIV/0!</v>
          </cell>
          <cell r="BF203" t="e">
            <v>#DIV/0!</v>
          </cell>
        </row>
        <row r="204">
          <cell r="A204" t="str">
            <v>-0</v>
          </cell>
          <cell r="B204" t="str">
            <v xml:space="preserve">-0  , </v>
          </cell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>
            <v>0</v>
          </cell>
          <cell r="Y204">
            <v>0</v>
          </cell>
          <cell r="Z204">
            <v>0</v>
          </cell>
          <cell r="AA204" t="str">
            <v>,</v>
          </cell>
          <cell r="AB204" t="str">
            <v>,</v>
          </cell>
          <cell r="AC204" t="e">
            <v>#DIV/0!</v>
          </cell>
          <cell r="AD204" t="e">
            <v>#DIV/0!</v>
          </cell>
          <cell r="AE204">
            <v>0.71</v>
          </cell>
          <cell r="AF204">
            <v>94.97</v>
          </cell>
          <cell r="AG204">
            <v>0</v>
          </cell>
          <cell r="AH204" t="e">
            <v>#DIV/0!</v>
          </cell>
          <cell r="AI204" t="e">
            <v>#DIV/0!</v>
          </cell>
          <cell r="AJ204" t="e">
            <v>#DIV/0!</v>
          </cell>
          <cell r="AK204" t="e">
            <v>#DIV/0!</v>
          </cell>
          <cell r="AL204" t="e">
            <v>#DIV/0!</v>
          </cell>
          <cell r="AM204" t="e">
            <v>#DIV/0!</v>
          </cell>
          <cell r="AN204" t="e">
            <v>#DIV/0!</v>
          </cell>
          <cell r="AO204" t="e">
            <v>#REF!</v>
          </cell>
          <cell r="AP204" t="e">
            <v>#REF!</v>
          </cell>
          <cell r="AQ204" t="e">
            <v>#REF!</v>
          </cell>
          <cell r="AR204" t="e">
            <v>#REF!</v>
          </cell>
          <cell r="AS204" t="e">
            <v>#REF!</v>
          </cell>
          <cell r="AT204" t="e">
            <v>#REF!</v>
          </cell>
          <cell r="AU204" t="e">
            <v>#REF!</v>
          </cell>
          <cell r="AV204" t="e">
            <v>#REF!</v>
          </cell>
          <cell r="AW204" t="e">
            <v>#DIV/0!</v>
          </cell>
          <cell r="AX204" t="e">
            <v>#DIV/0!</v>
          </cell>
          <cell r="AY204" t="e">
            <v>#DIV/0!</v>
          </cell>
          <cell r="AZ204" t="e">
            <v>#DIV/0!</v>
          </cell>
          <cell r="BE204" t="e">
            <v>#DIV/0!</v>
          </cell>
          <cell r="BF204" t="e">
            <v>#DIV/0!</v>
          </cell>
        </row>
        <row r="205">
          <cell r="A205" t="str">
            <v>-0</v>
          </cell>
          <cell r="B205" t="str">
            <v xml:space="preserve">-0  , </v>
          </cell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>
            <v>0</v>
          </cell>
          <cell r="Y205">
            <v>0</v>
          </cell>
          <cell r="Z205">
            <v>0</v>
          </cell>
          <cell r="AA205" t="str">
            <v>,</v>
          </cell>
          <cell r="AB205" t="str">
            <v>,</v>
          </cell>
          <cell r="AC205" t="e">
            <v>#DIV/0!</v>
          </cell>
          <cell r="AD205" t="e">
            <v>#DIV/0!</v>
          </cell>
          <cell r="AE205">
            <v>0.71</v>
          </cell>
          <cell r="AF205">
            <v>94.97</v>
          </cell>
          <cell r="AG205">
            <v>0</v>
          </cell>
          <cell r="AH205" t="e">
            <v>#DIV/0!</v>
          </cell>
          <cell r="AI205" t="e">
            <v>#DIV/0!</v>
          </cell>
          <cell r="AJ205" t="e">
            <v>#DIV/0!</v>
          </cell>
          <cell r="AK205" t="e">
            <v>#DIV/0!</v>
          </cell>
          <cell r="AL205" t="e">
            <v>#DIV/0!</v>
          </cell>
          <cell r="AM205" t="e">
            <v>#DIV/0!</v>
          </cell>
          <cell r="AN205" t="e">
            <v>#DIV/0!</v>
          </cell>
          <cell r="AO205" t="e">
            <v>#REF!</v>
          </cell>
          <cell r="AP205" t="e">
            <v>#REF!</v>
          </cell>
          <cell r="AQ205" t="e">
            <v>#REF!</v>
          </cell>
          <cell r="AR205" t="e">
            <v>#REF!</v>
          </cell>
          <cell r="AS205" t="e">
            <v>#REF!</v>
          </cell>
          <cell r="AT205" t="e">
            <v>#REF!</v>
          </cell>
          <cell r="AU205" t="e">
            <v>#REF!</v>
          </cell>
          <cell r="AV205" t="e">
            <v>#REF!</v>
          </cell>
          <cell r="AW205" t="e">
            <v>#DIV/0!</v>
          </cell>
          <cell r="AX205" t="e">
            <v>#DIV/0!</v>
          </cell>
          <cell r="AY205" t="e">
            <v>#DIV/0!</v>
          </cell>
          <cell r="AZ205" t="e">
            <v>#DIV/0!</v>
          </cell>
          <cell r="BE205" t="e">
            <v>#DIV/0!</v>
          </cell>
          <cell r="BF205" t="e">
            <v>#DIV/0!</v>
          </cell>
        </row>
        <row r="206">
          <cell r="A206" t="str">
            <v>-0</v>
          </cell>
          <cell r="B206" t="str">
            <v xml:space="preserve">-0  , </v>
          </cell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>
            <v>0</v>
          </cell>
          <cell r="Y206">
            <v>0</v>
          </cell>
          <cell r="Z206">
            <v>0</v>
          </cell>
          <cell r="AA206" t="str">
            <v>,</v>
          </cell>
          <cell r="AB206" t="str">
            <v>,</v>
          </cell>
          <cell r="AC206" t="e">
            <v>#DIV/0!</v>
          </cell>
          <cell r="AD206" t="e">
            <v>#DIV/0!</v>
          </cell>
          <cell r="AE206">
            <v>0.71</v>
          </cell>
          <cell r="AF206">
            <v>94.97</v>
          </cell>
          <cell r="AG206">
            <v>0</v>
          </cell>
          <cell r="AH206" t="e">
            <v>#DIV/0!</v>
          </cell>
          <cell r="AI206" t="e">
            <v>#DIV/0!</v>
          </cell>
          <cell r="AJ206" t="e">
            <v>#DIV/0!</v>
          </cell>
          <cell r="AK206" t="e">
            <v>#DIV/0!</v>
          </cell>
          <cell r="AL206" t="e">
            <v>#DIV/0!</v>
          </cell>
          <cell r="AM206" t="e">
            <v>#DIV/0!</v>
          </cell>
          <cell r="AN206" t="e">
            <v>#DIV/0!</v>
          </cell>
          <cell r="AO206" t="e">
            <v>#REF!</v>
          </cell>
          <cell r="AP206" t="e">
            <v>#REF!</v>
          </cell>
          <cell r="AQ206" t="e">
            <v>#REF!</v>
          </cell>
          <cell r="AR206" t="e">
            <v>#REF!</v>
          </cell>
          <cell r="AS206" t="e">
            <v>#REF!</v>
          </cell>
          <cell r="AT206" t="e">
            <v>#REF!</v>
          </cell>
          <cell r="AU206" t="e">
            <v>#REF!</v>
          </cell>
          <cell r="AV206" t="e">
            <v>#REF!</v>
          </cell>
          <cell r="AW206" t="e">
            <v>#DIV/0!</v>
          </cell>
          <cell r="AX206" t="e">
            <v>#DIV/0!</v>
          </cell>
          <cell r="AY206" t="e">
            <v>#DIV/0!</v>
          </cell>
          <cell r="AZ206" t="e">
            <v>#DIV/0!</v>
          </cell>
          <cell r="BE206" t="e">
            <v>#DIV/0!</v>
          </cell>
          <cell r="BF206" t="e">
            <v>#DIV/0!</v>
          </cell>
        </row>
        <row r="207">
          <cell r="A207" t="str">
            <v>-0</v>
          </cell>
          <cell r="B207" t="str">
            <v xml:space="preserve">-0  , </v>
          </cell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>
            <v>0</v>
          </cell>
          <cell r="Y207">
            <v>0</v>
          </cell>
          <cell r="Z207">
            <v>0</v>
          </cell>
          <cell r="AA207" t="str">
            <v>,</v>
          </cell>
          <cell r="AB207" t="str">
            <v>,</v>
          </cell>
          <cell r="AC207" t="e">
            <v>#DIV/0!</v>
          </cell>
          <cell r="AD207" t="e">
            <v>#DIV/0!</v>
          </cell>
          <cell r="AE207">
            <v>0.71</v>
          </cell>
          <cell r="AF207">
            <v>94.97</v>
          </cell>
          <cell r="AG207">
            <v>0</v>
          </cell>
          <cell r="AH207" t="e">
            <v>#DIV/0!</v>
          </cell>
          <cell r="AI207" t="e">
            <v>#DIV/0!</v>
          </cell>
          <cell r="AJ207" t="e">
            <v>#DIV/0!</v>
          </cell>
          <cell r="AK207" t="e">
            <v>#DIV/0!</v>
          </cell>
          <cell r="AL207" t="e">
            <v>#DIV/0!</v>
          </cell>
          <cell r="AM207" t="e">
            <v>#DIV/0!</v>
          </cell>
          <cell r="AN207" t="e">
            <v>#DIV/0!</v>
          </cell>
          <cell r="AO207" t="e">
            <v>#REF!</v>
          </cell>
          <cell r="AP207" t="e">
            <v>#REF!</v>
          </cell>
          <cell r="AQ207" t="e">
            <v>#REF!</v>
          </cell>
          <cell r="AR207" t="e">
            <v>#REF!</v>
          </cell>
          <cell r="AS207" t="e">
            <v>#REF!</v>
          </cell>
          <cell r="AT207" t="e">
            <v>#REF!</v>
          </cell>
          <cell r="AU207" t="e">
            <v>#REF!</v>
          </cell>
          <cell r="AV207" t="e">
            <v>#REF!</v>
          </cell>
          <cell r="AW207" t="e">
            <v>#DIV/0!</v>
          </cell>
          <cell r="AX207" t="e">
            <v>#DIV/0!</v>
          </cell>
          <cell r="AY207" t="e">
            <v>#DIV/0!</v>
          </cell>
          <cell r="AZ207" t="e">
            <v>#DIV/0!</v>
          </cell>
          <cell r="BE207" t="e">
            <v>#DIV/0!</v>
          </cell>
          <cell r="BF207" t="e">
            <v>#DIV/0!</v>
          </cell>
        </row>
        <row r="208">
          <cell r="A208" t="str">
            <v>-0</v>
          </cell>
          <cell r="B208" t="str">
            <v xml:space="preserve">-0  , </v>
          </cell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 t="str">
            <v>,</v>
          </cell>
          <cell r="AB208" t="str">
            <v>,</v>
          </cell>
          <cell r="AC208" t="e">
            <v>#DIV/0!</v>
          </cell>
          <cell r="AD208" t="e">
            <v>#DIV/0!</v>
          </cell>
          <cell r="AE208">
            <v>0.71</v>
          </cell>
          <cell r="AF208">
            <v>94.97</v>
          </cell>
          <cell r="AG208">
            <v>0</v>
          </cell>
          <cell r="AH208" t="e">
            <v>#DIV/0!</v>
          </cell>
          <cell r="AI208" t="e">
            <v>#DIV/0!</v>
          </cell>
          <cell r="AJ208" t="e">
            <v>#DIV/0!</v>
          </cell>
          <cell r="AK208" t="e">
            <v>#DIV/0!</v>
          </cell>
          <cell r="AL208" t="e">
            <v>#DIV/0!</v>
          </cell>
          <cell r="AM208" t="e">
            <v>#DIV/0!</v>
          </cell>
          <cell r="AN208" t="e">
            <v>#DIV/0!</v>
          </cell>
          <cell r="AO208" t="e">
            <v>#REF!</v>
          </cell>
          <cell r="AP208" t="e">
            <v>#REF!</v>
          </cell>
          <cell r="AQ208" t="e">
            <v>#REF!</v>
          </cell>
          <cell r="AR208" t="e">
            <v>#REF!</v>
          </cell>
          <cell r="AS208" t="e">
            <v>#REF!</v>
          </cell>
          <cell r="AT208" t="e">
            <v>#REF!</v>
          </cell>
          <cell r="AU208" t="e">
            <v>#REF!</v>
          </cell>
          <cell r="AV208" t="e">
            <v>#REF!</v>
          </cell>
          <cell r="AW208" t="e">
            <v>#DIV/0!</v>
          </cell>
          <cell r="AX208" t="e">
            <v>#DIV/0!</v>
          </cell>
          <cell r="AY208" t="e">
            <v>#DIV/0!</v>
          </cell>
          <cell r="AZ208" t="e">
            <v>#DIV/0!</v>
          </cell>
          <cell r="BE208" t="e">
            <v>#DIV/0!</v>
          </cell>
          <cell r="BF208" t="e">
            <v>#DIV/0!</v>
          </cell>
        </row>
        <row r="209">
          <cell r="A209" t="str">
            <v>-0</v>
          </cell>
          <cell r="B209" t="str">
            <v xml:space="preserve">-0  , </v>
          </cell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>
            <v>0</v>
          </cell>
          <cell r="Y209">
            <v>0</v>
          </cell>
          <cell r="Z209">
            <v>0</v>
          </cell>
          <cell r="AA209" t="str">
            <v>,</v>
          </cell>
          <cell r="AB209" t="str">
            <v>,</v>
          </cell>
          <cell r="AC209" t="e">
            <v>#DIV/0!</v>
          </cell>
          <cell r="AD209" t="e">
            <v>#DIV/0!</v>
          </cell>
          <cell r="AE209">
            <v>0.71</v>
          </cell>
          <cell r="AF209">
            <v>94.97</v>
          </cell>
          <cell r="AG209">
            <v>0</v>
          </cell>
          <cell r="AH209" t="e">
            <v>#DIV/0!</v>
          </cell>
          <cell r="AI209" t="e">
            <v>#DIV/0!</v>
          </cell>
          <cell r="AJ209" t="e">
            <v>#DIV/0!</v>
          </cell>
          <cell r="AK209" t="e">
            <v>#DIV/0!</v>
          </cell>
          <cell r="AL209" t="e">
            <v>#DIV/0!</v>
          </cell>
          <cell r="AM209" t="e">
            <v>#DIV/0!</v>
          </cell>
          <cell r="AN209" t="e">
            <v>#DIV/0!</v>
          </cell>
          <cell r="AO209" t="e">
            <v>#REF!</v>
          </cell>
          <cell r="AP209" t="e">
            <v>#REF!</v>
          </cell>
          <cell r="AQ209" t="e">
            <v>#REF!</v>
          </cell>
          <cell r="AR209" t="e">
            <v>#REF!</v>
          </cell>
          <cell r="AS209" t="e">
            <v>#REF!</v>
          </cell>
          <cell r="AT209" t="e">
            <v>#REF!</v>
          </cell>
          <cell r="AU209" t="e">
            <v>#REF!</v>
          </cell>
          <cell r="AV209" t="e">
            <v>#REF!</v>
          </cell>
          <cell r="AW209" t="e">
            <v>#DIV/0!</v>
          </cell>
          <cell r="AX209" t="e">
            <v>#DIV/0!</v>
          </cell>
          <cell r="AY209" t="e">
            <v>#DIV/0!</v>
          </cell>
          <cell r="AZ209" t="e">
            <v>#DIV/0!</v>
          </cell>
          <cell r="BE209" t="e">
            <v>#DIV/0!</v>
          </cell>
          <cell r="BF209" t="e">
            <v>#DIV/0!</v>
          </cell>
        </row>
        <row r="210">
          <cell r="A210" t="str">
            <v>-0</v>
          </cell>
          <cell r="B210" t="str">
            <v xml:space="preserve">-0  , </v>
          </cell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 t="str">
            <v>,</v>
          </cell>
          <cell r="AB210" t="str">
            <v>,</v>
          </cell>
          <cell r="AC210" t="e">
            <v>#DIV/0!</v>
          </cell>
          <cell r="AD210" t="e">
            <v>#DIV/0!</v>
          </cell>
          <cell r="AE210">
            <v>0.71</v>
          </cell>
          <cell r="AF210">
            <v>94.97</v>
          </cell>
          <cell r="AG210">
            <v>0</v>
          </cell>
          <cell r="AH210" t="e">
            <v>#DIV/0!</v>
          </cell>
          <cell r="AI210" t="e">
            <v>#DIV/0!</v>
          </cell>
          <cell r="AJ210" t="e">
            <v>#DIV/0!</v>
          </cell>
          <cell r="AK210" t="e">
            <v>#DIV/0!</v>
          </cell>
          <cell r="AL210" t="e">
            <v>#DIV/0!</v>
          </cell>
          <cell r="AM210" t="e">
            <v>#DIV/0!</v>
          </cell>
          <cell r="AN210" t="e">
            <v>#DIV/0!</v>
          </cell>
          <cell r="AO210" t="e">
            <v>#REF!</v>
          </cell>
          <cell r="AP210" t="e">
            <v>#REF!</v>
          </cell>
          <cell r="AQ210" t="e">
            <v>#REF!</v>
          </cell>
          <cell r="AR210" t="e">
            <v>#REF!</v>
          </cell>
          <cell r="AS210" t="e">
            <v>#REF!</v>
          </cell>
          <cell r="AT210" t="e">
            <v>#REF!</v>
          </cell>
          <cell r="AU210" t="e">
            <v>#REF!</v>
          </cell>
          <cell r="AV210" t="e">
            <v>#REF!</v>
          </cell>
          <cell r="AW210" t="e">
            <v>#DIV/0!</v>
          </cell>
          <cell r="AX210" t="e">
            <v>#DIV/0!</v>
          </cell>
          <cell r="AY210" t="e">
            <v>#DIV/0!</v>
          </cell>
          <cell r="AZ210" t="e">
            <v>#DIV/0!</v>
          </cell>
          <cell r="BE210" t="e">
            <v>#DIV/0!</v>
          </cell>
          <cell r="BF210" t="e">
            <v>#DIV/0!</v>
          </cell>
        </row>
        <row r="211">
          <cell r="A211" t="str">
            <v>-0</v>
          </cell>
          <cell r="B211" t="str">
            <v xml:space="preserve">-0  , </v>
          </cell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 t="str">
            <v>,</v>
          </cell>
          <cell r="AB211" t="str">
            <v>,</v>
          </cell>
          <cell r="AC211" t="e">
            <v>#DIV/0!</v>
          </cell>
          <cell r="AD211" t="e">
            <v>#DIV/0!</v>
          </cell>
          <cell r="AE211">
            <v>0.71</v>
          </cell>
          <cell r="AF211">
            <v>94.97</v>
          </cell>
          <cell r="AG211">
            <v>0</v>
          </cell>
          <cell r="AH211" t="e">
            <v>#DIV/0!</v>
          </cell>
          <cell r="AI211" t="e">
            <v>#DIV/0!</v>
          </cell>
          <cell r="AJ211" t="e">
            <v>#DIV/0!</v>
          </cell>
          <cell r="AK211" t="e">
            <v>#DIV/0!</v>
          </cell>
          <cell r="AL211" t="e">
            <v>#DIV/0!</v>
          </cell>
          <cell r="AM211" t="e">
            <v>#DIV/0!</v>
          </cell>
          <cell r="AN211" t="e">
            <v>#DIV/0!</v>
          </cell>
          <cell r="AO211" t="e">
            <v>#REF!</v>
          </cell>
          <cell r="AP211" t="e">
            <v>#REF!</v>
          </cell>
          <cell r="AQ211" t="e">
            <v>#REF!</v>
          </cell>
          <cell r="AR211" t="e">
            <v>#REF!</v>
          </cell>
          <cell r="AS211" t="e">
            <v>#REF!</v>
          </cell>
          <cell r="AT211" t="e">
            <v>#REF!</v>
          </cell>
          <cell r="AU211" t="e">
            <v>#REF!</v>
          </cell>
          <cell r="AV211" t="e">
            <v>#REF!</v>
          </cell>
          <cell r="AW211" t="e">
            <v>#DIV/0!</v>
          </cell>
          <cell r="AX211" t="e">
            <v>#DIV/0!</v>
          </cell>
          <cell r="AY211" t="e">
            <v>#DIV/0!</v>
          </cell>
          <cell r="AZ211" t="e">
            <v>#DIV/0!</v>
          </cell>
          <cell r="BE211" t="e">
            <v>#DIV/0!</v>
          </cell>
          <cell r="BF211" t="e">
            <v>#DIV/0!</v>
          </cell>
        </row>
        <row r="212">
          <cell r="A212" t="str">
            <v>-0</v>
          </cell>
          <cell r="B212" t="str">
            <v xml:space="preserve">-0  , </v>
          </cell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>
            <v>0</v>
          </cell>
          <cell r="Y212">
            <v>0</v>
          </cell>
          <cell r="Z212">
            <v>0</v>
          </cell>
          <cell r="AA212" t="str">
            <v>,</v>
          </cell>
          <cell r="AB212" t="str">
            <v>,</v>
          </cell>
          <cell r="AC212" t="e">
            <v>#DIV/0!</v>
          </cell>
          <cell r="AD212" t="e">
            <v>#DIV/0!</v>
          </cell>
          <cell r="AE212">
            <v>0.71</v>
          </cell>
          <cell r="AF212">
            <v>94.97</v>
          </cell>
          <cell r="AG212">
            <v>0</v>
          </cell>
          <cell r="AH212" t="e">
            <v>#DIV/0!</v>
          </cell>
          <cell r="AI212" t="e">
            <v>#DIV/0!</v>
          </cell>
          <cell r="AJ212" t="e">
            <v>#DIV/0!</v>
          </cell>
          <cell r="AK212" t="e">
            <v>#DIV/0!</v>
          </cell>
          <cell r="AL212" t="e">
            <v>#DIV/0!</v>
          </cell>
          <cell r="AM212" t="e">
            <v>#DIV/0!</v>
          </cell>
          <cell r="AN212" t="e">
            <v>#DIV/0!</v>
          </cell>
          <cell r="AO212" t="e">
            <v>#REF!</v>
          </cell>
          <cell r="AP212" t="e">
            <v>#REF!</v>
          </cell>
          <cell r="AQ212" t="e">
            <v>#REF!</v>
          </cell>
          <cell r="AR212" t="e">
            <v>#REF!</v>
          </cell>
          <cell r="AS212" t="e">
            <v>#REF!</v>
          </cell>
          <cell r="AT212" t="e">
            <v>#REF!</v>
          </cell>
          <cell r="AU212" t="e">
            <v>#REF!</v>
          </cell>
          <cell r="AV212" t="e">
            <v>#REF!</v>
          </cell>
          <cell r="AW212" t="e">
            <v>#DIV/0!</v>
          </cell>
          <cell r="AX212" t="e">
            <v>#DIV/0!</v>
          </cell>
          <cell r="AY212" t="e">
            <v>#DIV/0!</v>
          </cell>
          <cell r="AZ212" t="e">
            <v>#DIV/0!</v>
          </cell>
          <cell r="BE212" t="e">
            <v>#DIV/0!</v>
          </cell>
          <cell r="BF212" t="e">
            <v>#DIV/0!</v>
          </cell>
        </row>
        <row r="213">
          <cell r="A213" t="str">
            <v>-0</v>
          </cell>
          <cell r="B213" t="str">
            <v xml:space="preserve">-0  , </v>
          </cell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>
            <v>0</v>
          </cell>
          <cell r="Y213">
            <v>0</v>
          </cell>
          <cell r="Z213">
            <v>0</v>
          </cell>
          <cell r="AA213" t="str">
            <v>,</v>
          </cell>
          <cell r="AB213" t="str">
            <v>,</v>
          </cell>
          <cell r="AC213" t="e">
            <v>#DIV/0!</v>
          </cell>
          <cell r="AD213" t="e">
            <v>#DIV/0!</v>
          </cell>
          <cell r="AE213">
            <v>0.71</v>
          </cell>
          <cell r="AF213">
            <v>94.97</v>
          </cell>
          <cell r="AG213">
            <v>0</v>
          </cell>
          <cell r="AH213" t="e">
            <v>#DIV/0!</v>
          </cell>
          <cell r="AI213" t="e">
            <v>#DIV/0!</v>
          </cell>
          <cell r="AJ213" t="e">
            <v>#DIV/0!</v>
          </cell>
          <cell r="AK213" t="e">
            <v>#DIV/0!</v>
          </cell>
          <cell r="AL213" t="e">
            <v>#DIV/0!</v>
          </cell>
          <cell r="AM213" t="e">
            <v>#DIV/0!</v>
          </cell>
          <cell r="AN213" t="e">
            <v>#DIV/0!</v>
          </cell>
          <cell r="AO213" t="e">
            <v>#REF!</v>
          </cell>
          <cell r="AP213" t="e">
            <v>#REF!</v>
          </cell>
          <cell r="AQ213" t="e">
            <v>#REF!</v>
          </cell>
          <cell r="AR213" t="e">
            <v>#REF!</v>
          </cell>
          <cell r="AS213" t="e">
            <v>#REF!</v>
          </cell>
          <cell r="AT213" t="e">
            <v>#REF!</v>
          </cell>
          <cell r="AU213" t="e">
            <v>#REF!</v>
          </cell>
          <cell r="AV213" t="e">
            <v>#REF!</v>
          </cell>
          <cell r="AW213" t="e">
            <v>#DIV/0!</v>
          </cell>
          <cell r="AX213" t="e">
            <v>#DIV/0!</v>
          </cell>
          <cell r="AY213" t="e">
            <v>#DIV/0!</v>
          </cell>
          <cell r="AZ213" t="e">
            <v>#DIV/0!</v>
          </cell>
          <cell r="BE213" t="e">
            <v>#DIV/0!</v>
          </cell>
          <cell r="BF213" t="e">
            <v>#DIV/0!</v>
          </cell>
        </row>
        <row r="214">
          <cell r="A214" t="str">
            <v>-0</v>
          </cell>
          <cell r="B214" t="str">
            <v xml:space="preserve">-0  , </v>
          </cell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>
            <v>0</v>
          </cell>
          <cell r="Y214">
            <v>0</v>
          </cell>
          <cell r="Z214">
            <v>0</v>
          </cell>
          <cell r="AA214" t="str">
            <v>,</v>
          </cell>
          <cell r="AB214" t="str">
            <v>,</v>
          </cell>
          <cell r="AC214" t="e">
            <v>#DIV/0!</v>
          </cell>
          <cell r="AD214" t="e">
            <v>#DIV/0!</v>
          </cell>
          <cell r="AE214">
            <v>0.71</v>
          </cell>
          <cell r="AF214">
            <v>94.97</v>
          </cell>
          <cell r="AG214">
            <v>0</v>
          </cell>
          <cell r="AH214" t="e">
            <v>#DIV/0!</v>
          </cell>
          <cell r="AI214" t="e">
            <v>#DIV/0!</v>
          </cell>
          <cell r="AJ214" t="e">
            <v>#DIV/0!</v>
          </cell>
          <cell r="AK214" t="e">
            <v>#DIV/0!</v>
          </cell>
          <cell r="AL214" t="e">
            <v>#DIV/0!</v>
          </cell>
          <cell r="AM214" t="e">
            <v>#DIV/0!</v>
          </cell>
          <cell r="AN214" t="e">
            <v>#DIV/0!</v>
          </cell>
          <cell r="AO214" t="e">
            <v>#REF!</v>
          </cell>
          <cell r="AP214" t="e">
            <v>#REF!</v>
          </cell>
          <cell r="AQ214" t="e">
            <v>#REF!</v>
          </cell>
          <cell r="AR214" t="e">
            <v>#REF!</v>
          </cell>
          <cell r="AS214" t="e">
            <v>#REF!</v>
          </cell>
          <cell r="AT214" t="e">
            <v>#REF!</v>
          </cell>
          <cell r="AU214" t="e">
            <v>#REF!</v>
          </cell>
          <cell r="AV214" t="e">
            <v>#REF!</v>
          </cell>
          <cell r="AW214" t="e">
            <v>#DIV/0!</v>
          </cell>
          <cell r="AX214" t="e">
            <v>#DIV/0!</v>
          </cell>
          <cell r="AY214" t="e">
            <v>#DIV/0!</v>
          </cell>
          <cell r="AZ214" t="e">
            <v>#DIV/0!</v>
          </cell>
          <cell r="BE214" t="e">
            <v>#DIV/0!</v>
          </cell>
          <cell r="BF214" t="e">
            <v>#DIV/0!</v>
          </cell>
        </row>
        <row r="215">
          <cell r="A215" t="str">
            <v>-0</v>
          </cell>
          <cell r="B215" t="str">
            <v xml:space="preserve">-0  , </v>
          </cell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>
            <v>0</v>
          </cell>
          <cell r="Y215">
            <v>0</v>
          </cell>
          <cell r="Z215">
            <v>0</v>
          </cell>
          <cell r="AA215" t="str">
            <v>,</v>
          </cell>
          <cell r="AB215" t="str">
            <v>,</v>
          </cell>
          <cell r="AC215" t="e">
            <v>#DIV/0!</v>
          </cell>
          <cell r="AD215" t="e">
            <v>#DIV/0!</v>
          </cell>
          <cell r="AE215">
            <v>0.71</v>
          </cell>
          <cell r="AF215">
            <v>94.97</v>
          </cell>
          <cell r="AG215">
            <v>0</v>
          </cell>
          <cell r="AH215" t="e">
            <v>#DIV/0!</v>
          </cell>
          <cell r="AI215" t="e">
            <v>#DIV/0!</v>
          </cell>
          <cell r="AJ215" t="e">
            <v>#DIV/0!</v>
          </cell>
          <cell r="AK215" t="e">
            <v>#DIV/0!</v>
          </cell>
          <cell r="AL215" t="e">
            <v>#DIV/0!</v>
          </cell>
          <cell r="AM215" t="e">
            <v>#DIV/0!</v>
          </cell>
          <cell r="AN215" t="e">
            <v>#DIV/0!</v>
          </cell>
          <cell r="AO215" t="e">
            <v>#REF!</v>
          </cell>
          <cell r="AP215" t="e">
            <v>#REF!</v>
          </cell>
          <cell r="AQ215" t="e">
            <v>#REF!</v>
          </cell>
          <cell r="AR215" t="e">
            <v>#REF!</v>
          </cell>
          <cell r="AS215" t="e">
            <v>#REF!</v>
          </cell>
          <cell r="AT215" t="e">
            <v>#REF!</v>
          </cell>
          <cell r="AU215" t="e">
            <v>#REF!</v>
          </cell>
          <cell r="AV215" t="e">
            <v>#REF!</v>
          </cell>
          <cell r="AW215" t="e">
            <v>#DIV/0!</v>
          </cell>
          <cell r="AX215" t="e">
            <v>#DIV/0!</v>
          </cell>
          <cell r="AY215" t="e">
            <v>#DIV/0!</v>
          </cell>
          <cell r="AZ215" t="e">
            <v>#DIV/0!</v>
          </cell>
          <cell r="BE215" t="e">
            <v>#DIV/0!</v>
          </cell>
          <cell r="BF215" t="e">
            <v>#DIV/0!</v>
          </cell>
        </row>
        <row r="216">
          <cell r="A216" t="str">
            <v>-0</v>
          </cell>
          <cell r="B216" t="str">
            <v xml:space="preserve">-0  , </v>
          </cell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>
            <v>0</v>
          </cell>
          <cell r="Y216">
            <v>0</v>
          </cell>
          <cell r="Z216">
            <v>0</v>
          </cell>
          <cell r="AA216" t="str">
            <v>,</v>
          </cell>
          <cell r="AB216" t="str">
            <v>,</v>
          </cell>
          <cell r="AC216" t="e">
            <v>#DIV/0!</v>
          </cell>
          <cell r="AD216" t="e">
            <v>#DIV/0!</v>
          </cell>
          <cell r="AE216">
            <v>0.71</v>
          </cell>
          <cell r="AF216">
            <v>94.97</v>
          </cell>
          <cell r="AG216">
            <v>0</v>
          </cell>
          <cell r="AH216" t="e">
            <v>#DIV/0!</v>
          </cell>
          <cell r="AI216" t="e">
            <v>#DIV/0!</v>
          </cell>
          <cell r="AJ216" t="e">
            <v>#DIV/0!</v>
          </cell>
          <cell r="AK216" t="e">
            <v>#DIV/0!</v>
          </cell>
          <cell r="AL216" t="e">
            <v>#DIV/0!</v>
          </cell>
          <cell r="AM216" t="e">
            <v>#DIV/0!</v>
          </cell>
          <cell r="AN216" t="e">
            <v>#DIV/0!</v>
          </cell>
          <cell r="AO216" t="e">
            <v>#REF!</v>
          </cell>
          <cell r="AP216" t="e">
            <v>#REF!</v>
          </cell>
          <cell r="AQ216" t="e">
            <v>#REF!</v>
          </cell>
          <cell r="AR216" t="e">
            <v>#REF!</v>
          </cell>
          <cell r="AS216" t="e">
            <v>#REF!</v>
          </cell>
          <cell r="AT216" t="e">
            <v>#REF!</v>
          </cell>
          <cell r="AU216" t="e">
            <v>#REF!</v>
          </cell>
          <cell r="AV216" t="e">
            <v>#REF!</v>
          </cell>
          <cell r="AW216" t="e">
            <v>#DIV/0!</v>
          </cell>
          <cell r="AX216" t="e">
            <v>#DIV/0!</v>
          </cell>
          <cell r="AY216" t="e">
            <v>#DIV/0!</v>
          </cell>
          <cell r="AZ216" t="e">
            <v>#DIV/0!</v>
          </cell>
          <cell r="BE216" t="e">
            <v>#DIV/0!</v>
          </cell>
          <cell r="BF216" t="e">
            <v>#DIV/0!</v>
          </cell>
        </row>
        <row r="217">
          <cell r="A217" t="str">
            <v>-0</v>
          </cell>
          <cell r="B217" t="str">
            <v xml:space="preserve">-0  , </v>
          </cell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>
            <v>0</v>
          </cell>
          <cell r="AA217" t="str">
            <v>,</v>
          </cell>
          <cell r="AB217" t="str">
            <v>,</v>
          </cell>
          <cell r="AC217" t="e">
            <v>#DIV/0!</v>
          </cell>
          <cell r="AD217" t="e">
            <v>#DIV/0!</v>
          </cell>
          <cell r="AE217">
            <v>0.71</v>
          </cell>
          <cell r="AF217">
            <v>94.97</v>
          </cell>
          <cell r="AG217">
            <v>0</v>
          </cell>
          <cell r="AH217" t="e">
            <v>#DIV/0!</v>
          </cell>
          <cell r="AI217" t="e">
            <v>#DIV/0!</v>
          </cell>
          <cell r="AJ217" t="e">
            <v>#DIV/0!</v>
          </cell>
          <cell r="AK217" t="e">
            <v>#DIV/0!</v>
          </cell>
          <cell r="AL217" t="e">
            <v>#DIV/0!</v>
          </cell>
          <cell r="AM217" t="e">
            <v>#DIV/0!</v>
          </cell>
          <cell r="AN217" t="e">
            <v>#DIV/0!</v>
          </cell>
          <cell r="AO217" t="e">
            <v>#REF!</v>
          </cell>
          <cell r="AP217" t="e">
            <v>#REF!</v>
          </cell>
          <cell r="AQ217" t="e">
            <v>#REF!</v>
          </cell>
          <cell r="AR217" t="e">
            <v>#REF!</v>
          </cell>
          <cell r="AS217" t="e">
            <v>#REF!</v>
          </cell>
          <cell r="AT217" t="e">
            <v>#REF!</v>
          </cell>
          <cell r="AU217" t="e">
            <v>#REF!</v>
          </cell>
          <cell r="AV217" t="e">
            <v>#REF!</v>
          </cell>
          <cell r="AW217" t="e">
            <v>#DIV/0!</v>
          </cell>
          <cell r="AX217" t="e">
            <v>#DIV/0!</v>
          </cell>
          <cell r="AY217" t="e">
            <v>#DIV/0!</v>
          </cell>
          <cell r="AZ217" t="e">
            <v>#DIV/0!</v>
          </cell>
          <cell r="BE217" t="e">
            <v>#DIV/0!</v>
          </cell>
          <cell r="BF217" t="e">
            <v>#DIV/0!</v>
          </cell>
        </row>
        <row r="218">
          <cell r="A218" t="str">
            <v>-0</v>
          </cell>
          <cell r="B218" t="str">
            <v xml:space="preserve">-0  , </v>
          </cell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>
            <v>0</v>
          </cell>
          <cell r="Y218">
            <v>0</v>
          </cell>
          <cell r="Z218">
            <v>0</v>
          </cell>
          <cell r="AA218" t="str">
            <v>,</v>
          </cell>
          <cell r="AB218" t="str">
            <v>,</v>
          </cell>
          <cell r="AC218" t="e">
            <v>#DIV/0!</v>
          </cell>
          <cell r="AD218" t="e">
            <v>#DIV/0!</v>
          </cell>
          <cell r="AE218">
            <v>0.71</v>
          </cell>
          <cell r="AF218">
            <v>94.97</v>
          </cell>
          <cell r="AG218">
            <v>0</v>
          </cell>
          <cell r="AH218" t="e">
            <v>#DIV/0!</v>
          </cell>
          <cell r="AI218" t="e">
            <v>#DIV/0!</v>
          </cell>
          <cell r="AJ218" t="e">
            <v>#DIV/0!</v>
          </cell>
          <cell r="AK218" t="e">
            <v>#DIV/0!</v>
          </cell>
          <cell r="AL218" t="e">
            <v>#DIV/0!</v>
          </cell>
          <cell r="AM218" t="e">
            <v>#DIV/0!</v>
          </cell>
          <cell r="AN218" t="e">
            <v>#DIV/0!</v>
          </cell>
          <cell r="AO218" t="e">
            <v>#REF!</v>
          </cell>
          <cell r="AP218" t="e">
            <v>#REF!</v>
          </cell>
          <cell r="AQ218" t="e">
            <v>#REF!</v>
          </cell>
          <cell r="AR218" t="e">
            <v>#REF!</v>
          </cell>
          <cell r="AS218" t="e">
            <v>#REF!</v>
          </cell>
          <cell r="AT218" t="e">
            <v>#REF!</v>
          </cell>
          <cell r="AU218" t="e">
            <v>#REF!</v>
          </cell>
          <cell r="AV218" t="e">
            <v>#REF!</v>
          </cell>
          <cell r="AW218" t="e">
            <v>#DIV/0!</v>
          </cell>
          <cell r="AX218" t="e">
            <v>#DIV/0!</v>
          </cell>
          <cell r="AY218" t="e">
            <v>#DIV/0!</v>
          </cell>
          <cell r="AZ218" t="e">
            <v>#DIV/0!</v>
          </cell>
          <cell r="BE218" t="e">
            <v>#DIV/0!</v>
          </cell>
          <cell r="BF218" t="e">
            <v>#DIV/0!</v>
          </cell>
        </row>
        <row r="219">
          <cell r="A219" t="str">
            <v>-0</v>
          </cell>
          <cell r="B219" t="str">
            <v xml:space="preserve">-0  , </v>
          </cell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>
            <v>0</v>
          </cell>
          <cell r="Y219">
            <v>0</v>
          </cell>
          <cell r="Z219">
            <v>0</v>
          </cell>
          <cell r="AA219" t="str">
            <v>,</v>
          </cell>
          <cell r="AB219" t="str">
            <v>,</v>
          </cell>
          <cell r="AC219" t="e">
            <v>#DIV/0!</v>
          </cell>
          <cell r="AD219" t="e">
            <v>#DIV/0!</v>
          </cell>
          <cell r="AE219">
            <v>0.71</v>
          </cell>
          <cell r="AF219">
            <v>94.97</v>
          </cell>
          <cell r="AG219">
            <v>0</v>
          </cell>
          <cell r="AH219" t="e">
            <v>#DIV/0!</v>
          </cell>
          <cell r="AI219" t="e">
            <v>#DIV/0!</v>
          </cell>
          <cell r="AJ219" t="e">
            <v>#DIV/0!</v>
          </cell>
          <cell r="AK219" t="e">
            <v>#DIV/0!</v>
          </cell>
          <cell r="AL219" t="e">
            <v>#DIV/0!</v>
          </cell>
          <cell r="AM219" t="e">
            <v>#DIV/0!</v>
          </cell>
          <cell r="AN219" t="e">
            <v>#DIV/0!</v>
          </cell>
          <cell r="AO219" t="e">
            <v>#REF!</v>
          </cell>
          <cell r="AP219" t="e">
            <v>#REF!</v>
          </cell>
          <cell r="AQ219" t="e">
            <v>#REF!</v>
          </cell>
          <cell r="AR219" t="e">
            <v>#REF!</v>
          </cell>
          <cell r="AS219" t="e">
            <v>#REF!</v>
          </cell>
          <cell r="AT219" t="e">
            <v>#REF!</v>
          </cell>
          <cell r="AU219" t="e">
            <v>#REF!</v>
          </cell>
          <cell r="AV219" t="e">
            <v>#REF!</v>
          </cell>
          <cell r="AW219" t="e">
            <v>#DIV/0!</v>
          </cell>
          <cell r="AX219" t="e">
            <v>#DIV/0!</v>
          </cell>
          <cell r="AY219" t="e">
            <v>#DIV/0!</v>
          </cell>
          <cell r="AZ219" t="e">
            <v>#DIV/0!</v>
          </cell>
          <cell r="BE219" t="e">
            <v>#DIV/0!</v>
          </cell>
          <cell r="BF219" t="e">
            <v>#DIV/0!</v>
          </cell>
        </row>
        <row r="220">
          <cell r="A220" t="str">
            <v>-0</v>
          </cell>
          <cell r="B220" t="str">
            <v xml:space="preserve">-0  , </v>
          </cell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>
            <v>0</v>
          </cell>
          <cell r="Y220">
            <v>0</v>
          </cell>
          <cell r="Z220">
            <v>0</v>
          </cell>
          <cell r="AA220" t="str">
            <v>,</v>
          </cell>
          <cell r="AB220" t="str">
            <v>,</v>
          </cell>
          <cell r="AC220" t="e">
            <v>#DIV/0!</v>
          </cell>
          <cell r="AD220" t="e">
            <v>#DIV/0!</v>
          </cell>
          <cell r="AE220">
            <v>0.71</v>
          </cell>
          <cell r="AF220">
            <v>94.97</v>
          </cell>
          <cell r="AG220">
            <v>0</v>
          </cell>
          <cell r="AH220" t="e">
            <v>#DIV/0!</v>
          </cell>
          <cell r="AI220" t="e">
            <v>#DIV/0!</v>
          </cell>
          <cell r="AJ220" t="e">
            <v>#DIV/0!</v>
          </cell>
          <cell r="AK220" t="e">
            <v>#DIV/0!</v>
          </cell>
          <cell r="AL220" t="e">
            <v>#DIV/0!</v>
          </cell>
          <cell r="AM220" t="e">
            <v>#DIV/0!</v>
          </cell>
          <cell r="AN220" t="e">
            <v>#DIV/0!</v>
          </cell>
          <cell r="AO220" t="e">
            <v>#REF!</v>
          </cell>
          <cell r="AP220" t="e">
            <v>#REF!</v>
          </cell>
          <cell r="AQ220" t="e">
            <v>#REF!</v>
          </cell>
          <cell r="AR220" t="e">
            <v>#REF!</v>
          </cell>
          <cell r="AS220" t="e">
            <v>#REF!</v>
          </cell>
          <cell r="AT220" t="e">
            <v>#REF!</v>
          </cell>
          <cell r="AU220" t="e">
            <v>#REF!</v>
          </cell>
          <cell r="AV220" t="e">
            <v>#REF!</v>
          </cell>
          <cell r="AW220" t="e">
            <v>#DIV/0!</v>
          </cell>
          <cell r="AX220" t="e">
            <v>#DIV/0!</v>
          </cell>
          <cell r="AY220" t="e">
            <v>#DIV/0!</v>
          </cell>
          <cell r="AZ220" t="e">
            <v>#DIV/0!</v>
          </cell>
          <cell r="BE220" t="e">
            <v>#DIV/0!</v>
          </cell>
          <cell r="BF220" t="e">
            <v>#DIV/0!</v>
          </cell>
        </row>
        <row r="221">
          <cell r="A221" t="str">
            <v>-0</v>
          </cell>
          <cell r="B221" t="str">
            <v xml:space="preserve">-0  , </v>
          </cell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>
            <v>0</v>
          </cell>
          <cell r="Y221">
            <v>0</v>
          </cell>
          <cell r="Z221">
            <v>0</v>
          </cell>
          <cell r="AA221" t="str">
            <v>,</v>
          </cell>
          <cell r="AB221" t="str">
            <v>,</v>
          </cell>
          <cell r="AC221" t="e">
            <v>#DIV/0!</v>
          </cell>
          <cell r="AD221" t="e">
            <v>#DIV/0!</v>
          </cell>
          <cell r="AE221">
            <v>0.71</v>
          </cell>
          <cell r="AF221">
            <v>94.97</v>
          </cell>
          <cell r="AG221">
            <v>0</v>
          </cell>
          <cell r="AH221" t="e">
            <v>#DIV/0!</v>
          </cell>
          <cell r="AI221" t="e">
            <v>#DIV/0!</v>
          </cell>
          <cell r="AJ221" t="e">
            <v>#DIV/0!</v>
          </cell>
          <cell r="AK221" t="e">
            <v>#DIV/0!</v>
          </cell>
          <cell r="AL221" t="e">
            <v>#DIV/0!</v>
          </cell>
          <cell r="AM221" t="e">
            <v>#DIV/0!</v>
          </cell>
          <cell r="AN221" t="e">
            <v>#DIV/0!</v>
          </cell>
          <cell r="AO221" t="e">
            <v>#REF!</v>
          </cell>
          <cell r="AP221" t="e">
            <v>#REF!</v>
          </cell>
          <cell r="AQ221" t="e">
            <v>#REF!</v>
          </cell>
          <cell r="AR221" t="e">
            <v>#REF!</v>
          </cell>
          <cell r="AS221" t="e">
            <v>#REF!</v>
          </cell>
          <cell r="AT221" t="e">
            <v>#REF!</v>
          </cell>
          <cell r="AU221" t="e">
            <v>#REF!</v>
          </cell>
          <cell r="AV221" t="e">
            <v>#REF!</v>
          </cell>
          <cell r="AW221" t="e">
            <v>#DIV/0!</v>
          </cell>
          <cell r="AX221" t="e">
            <v>#DIV/0!</v>
          </cell>
          <cell r="AY221" t="e">
            <v>#DIV/0!</v>
          </cell>
          <cell r="AZ221" t="e">
            <v>#DIV/0!</v>
          </cell>
          <cell r="BE221" t="e">
            <v>#DIV/0!</v>
          </cell>
          <cell r="BF221" t="e">
            <v>#DIV/0!</v>
          </cell>
        </row>
        <row r="222">
          <cell r="A222" t="str">
            <v>-0</v>
          </cell>
          <cell r="B222" t="str">
            <v xml:space="preserve">-0  , </v>
          </cell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>
            <v>0</v>
          </cell>
          <cell r="Y222">
            <v>0</v>
          </cell>
          <cell r="Z222">
            <v>0</v>
          </cell>
          <cell r="AA222" t="str">
            <v>,</v>
          </cell>
          <cell r="AB222" t="str">
            <v>,</v>
          </cell>
          <cell r="AC222" t="e">
            <v>#DIV/0!</v>
          </cell>
          <cell r="AD222" t="e">
            <v>#DIV/0!</v>
          </cell>
          <cell r="AE222">
            <v>0.71</v>
          </cell>
          <cell r="AF222">
            <v>94.97</v>
          </cell>
          <cell r="AG222">
            <v>0</v>
          </cell>
          <cell r="AH222" t="e">
            <v>#DIV/0!</v>
          </cell>
          <cell r="AI222" t="e">
            <v>#DIV/0!</v>
          </cell>
          <cell r="AJ222" t="e">
            <v>#DIV/0!</v>
          </cell>
          <cell r="AK222" t="e">
            <v>#DIV/0!</v>
          </cell>
          <cell r="AL222" t="e">
            <v>#DIV/0!</v>
          </cell>
          <cell r="AM222" t="e">
            <v>#DIV/0!</v>
          </cell>
          <cell r="AN222" t="e">
            <v>#DIV/0!</v>
          </cell>
          <cell r="AO222" t="e">
            <v>#REF!</v>
          </cell>
          <cell r="AP222" t="e">
            <v>#REF!</v>
          </cell>
          <cell r="AQ222" t="e">
            <v>#REF!</v>
          </cell>
          <cell r="AR222" t="e">
            <v>#REF!</v>
          </cell>
          <cell r="AS222" t="e">
            <v>#REF!</v>
          </cell>
          <cell r="AT222" t="e">
            <v>#REF!</v>
          </cell>
          <cell r="AU222" t="e">
            <v>#REF!</v>
          </cell>
          <cell r="AV222" t="e">
            <v>#REF!</v>
          </cell>
          <cell r="AW222" t="e">
            <v>#DIV/0!</v>
          </cell>
          <cell r="AX222" t="e">
            <v>#DIV/0!</v>
          </cell>
          <cell r="AY222" t="e">
            <v>#DIV/0!</v>
          </cell>
          <cell r="AZ222" t="e">
            <v>#DIV/0!</v>
          </cell>
          <cell r="BE222" t="e">
            <v>#DIV/0!</v>
          </cell>
          <cell r="BF222" t="e">
            <v>#DIV/0!</v>
          </cell>
        </row>
        <row r="223">
          <cell r="A223" t="str">
            <v>-0</v>
          </cell>
          <cell r="B223" t="str">
            <v xml:space="preserve">-0  , </v>
          </cell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>
            <v>0</v>
          </cell>
          <cell r="Y223">
            <v>0</v>
          </cell>
          <cell r="Z223">
            <v>0</v>
          </cell>
          <cell r="AA223" t="str">
            <v>,</v>
          </cell>
          <cell r="AB223" t="str">
            <v>,</v>
          </cell>
          <cell r="AC223" t="e">
            <v>#DIV/0!</v>
          </cell>
          <cell r="AD223" t="e">
            <v>#DIV/0!</v>
          </cell>
          <cell r="AE223">
            <v>0.71</v>
          </cell>
          <cell r="AF223">
            <v>94.97</v>
          </cell>
          <cell r="AG223">
            <v>0</v>
          </cell>
          <cell r="AH223" t="e">
            <v>#DIV/0!</v>
          </cell>
          <cell r="AI223" t="e">
            <v>#DIV/0!</v>
          </cell>
          <cell r="AJ223" t="e">
            <v>#DIV/0!</v>
          </cell>
          <cell r="AK223" t="e">
            <v>#DIV/0!</v>
          </cell>
          <cell r="AL223" t="e">
            <v>#DIV/0!</v>
          </cell>
          <cell r="AM223" t="e">
            <v>#DIV/0!</v>
          </cell>
          <cell r="AN223" t="e">
            <v>#DIV/0!</v>
          </cell>
          <cell r="AO223" t="e">
            <v>#REF!</v>
          </cell>
          <cell r="AP223" t="e">
            <v>#REF!</v>
          </cell>
          <cell r="AQ223" t="e">
            <v>#REF!</v>
          </cell>
          <cell r="AR223" t="e">
            <v>#REF!</v>
          </cell>
          <cell r="AS223" t="e">
            <v>#REF!</v>
          </cell>
          <cell r="AT223" t="e">
            <v>#REF!</v>
          </cell>
          <cell r="AU223" t="e">
            <v>#REF!</v>
          </cell>
          <cell r="AV223" t="e">
            <v>#REF!</v>
          </cell>
          <cell r="AW223" t="e">
            <v>#DIV/0!</v>
          </cell>
          <cell r="AX223" t="e">
            <v>#DIV/0!</v>
          </cell>
          <cell r="AY223" t="e">
            <v>#DIV/0!</v>
          </cell>
          <cell r="AZ223" t="e">
            <v>#DIV/0!</v>
          </cell>
          <cell r="BE223" t="e">
            <v>#DIV/0!</v>
          </cell>
          <cell r="BF223" t="e">
            <v>#DIV/0!</v>
          </cell>
        </row>
        <row r="224">
          <cell r="A224" t="str">
            <v>-0</v>
          </cell>
          <cell r="B224" t="str">
            <v xml:space="preserve">-0  , </v>
          </cell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>
            <v>0</v>
          </cell>
          <cell r="Y224">
            <v>0</v>
          </cell>
          <cell r="Z224">
            <v>0</v>
          </cell>
          <cell r="AA224" t="str">
            <v>,</v>
          </cell>
          <cell r="AB224" t="str">
            <v>,</v>
          </cell>
          <cell r="AC224" t="e">
            <v>#DIV/0!</v>
          </cell>
          <cell r="AD224" t="e">
            <v>#DIV/0!</v>
          </cell>
          <cell r="AE224">
            <v>0.71</v>
          </cell>
          <cell r="AF224">
            <v>94.97</v>
          </cell>
          <cell r="AG224">
            <v>0</v>
          </cell>
          <cell r="AH224" t="e">
            <v>#DIV/0!</v>
          </cell>
          <cell r="AI224" t="e">
            <v>#DIV/0!</v>
          </cell>
          <cell r="AJ224" t="e">
            <v>#DIV/0!</v>
          </cell>
          <cell r="AK224" t="e">
            <v>#DIV/0!</v>
          </cell>
          <cell r="AL224" t="e">
            <v>#DIV/0!</v>
          </cell>
          <cell r="AM224" t="e">
            <v>#DIV/0!</v>
          </cell>
          <cell r="AN224" t="e">
            <v>#DIV/0!</v>
          </cell>
          <cell r="AO224" t="e">
            <v>#REF!</v>
          </cell>
          <cell r="AP224" t="e">
            <v>#REF!</v>
          </cell>
          <cell r="AQ224" t="e">
            <v>#REF!</v>
          </cell>
          <cell r="AR224" t="e">
            <v>#REF!</v>
          </cell>
          <cell r="AS224" t="e">
            <v>#REF!</v>
          </cell>
          <cell r="AT224" t="e">
            <v>#REF!</v>
          </cell>
          <cell r="AU224" t="e">
            <v>#REF!</v>
          </cell>
          <cell r="AV224" t="e">
            <v>#REF!</v>
          </cell>
          <cell r="AW224" t="e">
            <v>#DIV/0!</v>
          </cell>
          <cell r="AX224" t="e">
            <v>#DIV/0!</v>
          </cell>
          <cell r="AY224" t="e">
            <v>#DIV/0!</v>
          </cell>
          <cell r="AZ224" t="e">
            <v>#DIV/0!</v>
          </cell>
          <cell r="BE224" t="e">
            <v>#DIV/0!</v>
          </cell>
          <cell r="BF224" t="e">
            <v>#DIV/0!</v>
          </cell>
        </row>
        <row r="225">
          <cell r="A225" t="str">
            <v>-0</v>
          </cell>
          <cell r="B225" t="str">
            <v xml:space="preserve">-0  , </v>
          </cell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>
            <v>0</v>
          </cell>
          <cell r="Y225">
            <v>0</v>
          </cell>
          <cell r="Z225">
            <v>0</v>
          </cell>
          <cell r="AA225" t="str">
            <v>,</v>
          </cell>
          <cell r="AB225" t="str">
            <v>,</v>
          </cell>
          <cell r="AC225" t="e">
            <v>#DIV/0!</v>
          </cell>
          <cell r="AD225" t="e">
            <v>#DIV/0!</v>
          </cell>
          <cell r="AE225">
            <v>0.71</v>
          </cell>
          <cell r="AF225">
            <v>94.97</v>
          </cell>
          <cell r="AG225">
            <v>0</v>
          </cell>
          <cell r="AH225" t="e">
            <v>#DIV/0!</v>
          </cell>
          <cell r="AI225" t="e">
            <v>#DIV/0!</v>
          </cell>
          <cell r="AJ225" t="e">
            <v>#DIV/0!</v>
          </cell>
          <cell r="AK225" t="e">
            <v>#DIV/0!</v>
          </cell>
          <cell r="AL225" t="e">
            <v>#DIV/0!</v>
          </cell>
          <cell r="AM225" t="e">
            <v>#DIV/0!</v>
          </cell>
          <cell r="AN225" t="e">
            <v>#DIV/0!</v>
          </cell>
          <cell r="AO225" t="e">
            <v>#REF!</v>
          </cell>
          <cell r="AP225" t="e">
            <v>#REF!</v>
          </cell>
          <cell r="AQ225" t="e">
            <v>#REF!</v>
          </cell>
          <cell r="AR225" t="e">
            <v>#REF!</v>
          </cell>
          <cell r="AS225" t="e">
            <v>#REF!</v>
          </cell>
          <cell r="AT225" t="e">
            <v>#REF!</v>
          </cell>
          <cell r="AU225" t="e">
            <v>#REF!</v>
          </cell>
          <cell r="AV225" t="e">
            <v>#REF!</v>
          </cell>
          <cell r="AW225" t="e">
            <v>#DIV/0!</v>
          </cell>
          <cell r="AX225" t="e">
            <v>#DIV/0!</v>
          </cell>
          <cell r="AY225" t="e">
            <v>#DIV/0!</v>
          </cell>
          <cell r="AZ225" t="e">
            <v>#DIV/0!</v>
          </cell>
          <cell r="BE225" t="e">
            <v>#DIV/0!</v>
          </cell>
          <cell r="BF225" t="e">
            <v>#DIV/0!</v>
          </cell>
        </row>
        <row r="226">
          <cell r="A226" t="str">
            <v>-0</v>
          </cell>
          <cell r="B226" t="str">
            <v xml:space="preserve">-0  , </v>
          </cell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>
            <v>0</v>
          </cell>
          <cell r="Y226">
            <v>0</v>
          </cell>
          <cell r="Z226">
            <v>0</v>
          </cell>
          <cell r="AA226" t="str">
            <v>,</v>
          </cell>
          <cell r="AB226" t="str">
            <v>,</v>
          </cell>
          <cell r="AC226" t="e">
            <v>#DIV/0!</v>
          </cell>
          <cell r="AD226" t="e">
            <v>#DIV/0!</v>
          </cell>
          <cell r="AE226">
            <v>0.71</v>
          </cell>
          <cell r="AF226">
            <v>94.97</v>
          </cell>
          <cell r="AG226">
            <v>0</v>
          </cell>
          <cell r="AH226" t="e">
            <v>#DIV/0!</v>
          </cell>
          <cell r="AI226" t="e">
            <v>#DIV/0!</v>
          </cell>
          <cell r="AJ226" t="e">
            <v>#DIV/0!</v>
          </cell>
          <cell r="AK226" t="e">
            <v>#DIV/0!</v>
          </cell>
          <cell r="AL226" t="e">
            <v>#DIV/0!</v>
          </cell>
          <cell r="AM226" t="e">
            <v>#DIV/0!</v>
          </cell>
          <cell r="AN226" t="e">
            <v>#DIV/0!</v>
          </cell>
          <cell r="AO226" t="e">
            <v>#REF!</v>
          </cell>
          <cell r="AP226" t="e">
            <v>#REF!</v>
          </cell>
          <cell r="AQ226" t="e">
            <v>#REF!</v>
          </cell>
          <cell r="AR226" t="e">
            <v>#REF!</v>
          </cell>
          <cell r="AS226" t="e">
            <v>#REF!</v>
          </cell>
          <cell r="AT226" t="e">
            <v>#REF!</v>
          </cell>
          <cell r="AU226" t="e">
            <v>#REF!</v>
          </cell>
          <cell r="AV226" t="e">
            <v>#REF!</v>
          </cell>
          <cell r="AW226" t="e">
            <v>#DIV/0!</v>
          </cell>
          <cell r="AX226" t="e">
            <v>#DIV/0!</v>
          </cell>
          <cell r="AY226" t="e">
            <v>#DIV/0!</v>
          </cell>
          <cell r="AZ226" t="e">
            <v>#DIV/0!</v>
          </cell>
          <cell r="BE226" t="e">
            <v>#DIV/0!</v>
          </cell>
          <cell r="BF226" t="e">
            <v>#DIV/0!</v>
          </cell>
        </row>
        <row r="227">
          <cell r="A227" t="str">
            <v>-0</v>
          </cell>
          <cell r="B227" t="str">
            <v xml:space="preserve">-0  , </v>
          </cell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>
            <v>0</v>
          </cell>
          <cell r="Y227">
            <v>0</v>
          </cell>
          <cell r="Z227">
            <v>0</v>
          </cell>
          <cell r="AA227" t="str">
            <v>,</v>
          </cell>
          <cell r="AB227" t="str">
            <v>,</v>
          </cell>
          <cell r="AC227" t="e">
            <v>#DIV/0!</v>
          </cell>
          <cell r="AD227" t="e">
            <v>#DIV/0!</v>
          </cell>
          <cell r="AE227">
            <v>0.71</v>
          </cell>
          <cell r="AF227">
            <v>94.97</v>
          </cell>
          <cell r="AG227">
            <v>0</v>
          </cell>
          <cell r="AH227" t="e">
            <v>#DIV/0!</v>
          </cell>
          <cell r="AI227" t="e">
            <v>#DIV/0!</v>
          </cell>
          <cell r="AJ227" t="e">
            <v>#DIV/0!</v>
          </cell>
          <cell r="AK227" t="e">
            <v>#DIV/0!</v>
          </cell>
          <cell r="AL227" t="e">
            <v>#DIV/0!</v>
          </cell>
          <cell r="AM227" t="e">
            <v>#DIV/0!</v>
          </cell>
          <cell r="AN227" t="e">
            <v>#DIV/0!</v>
          </cell>
          <cell r="AO227" t="e">
            <v>#REF!</v>
          </cell>
          <cell r="AP227" t="e">
            <v>#REF!</v>
          </cell>
          <cell r="AQ227" t="e">
            <v>#REF!</v>
          </cell>
          <cell r="AR227" t="e">
            <v>#REF!</v>
          </cell>
          <cell r="AS227" t="e">
            <v>#REF!</v>
          </cell>
          <cell r="AT227" t="e">
            <v>#REF!</v>
          </cell>
          <cell r="AU227" t="e">
            <v>#REF!</v>
          </cell>
          <cell r="AV227" t="e">
            <v>#REF!</v>
          </cell>
          <cell r="AW227" t="e">
            <v>#DIV/0!</v>
          </cell>
          <cell r="AX227" t="e">
            <v>#DIV/0!</v>
          </cell>
          <cell r="AY227" t="e">
            <v>#DIV/0!</v>
          </cell>
          <cell r="AZ227" t="e">
            <v>#DIV/0!</v>
          </cell>
          <cell r="BE227" t="e">
            <v>#DIV/0!</v>
          </cell>
          <cell r="BF227" t="e">
            <v>#DIV/0!</v>
          </cell>
        </row>
        <row r="228">
          <cell r="A228" t="str">
            <v>-0</v>
          </cell>
          <cell r="B228" t="str">
            <v xml:space="preserve">-0  , </v>
          </cell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>
            <v>0</v>
          </cell>
          <cell r="Y228">
            <v>0</v>
          </cell>
          <cell r="Z228">
            <v>0</v>
          </cell>
          <cell r="AA228" t="str">
            <v>,</v>
          </cell>
          <cell r="AB228" t="str">
            <v>,</v>
          </cell>
          <cell r="AC228" t="e">
            <v>#DIV/0!</v>
          </cell>
          <cell r="AD228" t="e">
            <v>#DIV/0!</v>
          </cell>
          <cell r="AE228">
            <v>0.71</v>
          </cell>
          <cell r="AF228">
            <v>94.97</v>
          </cell>
          <cell r="AG228">
            <v>0</v>
          </cell>
          <cell r="AH228" t="e">
            <v>#DIV/0!</v>
          </cell>
          <cell r="AI228" t="e">
            <v>#DIV/0!</v>
          </cell>
          <cell r="AJ228" t="e">
            <v>#DIV/0!</v>
          </cell>
          <cell r="AK228" t="e">
            <v>#DIV/0!</v>
          </cell>
          <cell r="AL228" t="e">
            <v>#DIV/0!</v>
          </cell>
          <cell r="AM228" t="e">
            <v>#DIV/0!</v>
          </cell>
          <cell r="AN228" t="e">
            <v>#DIV/0!</v>
          </cell>
          <cell r="AO228" t="e">
            <v>#REF!</v>
          </cell>
          <cell r="AP228" t="e">
            <v>#REF!</v>
          </cell>
          <cell r="AQ228" t="e">
            <v>#REF!</v>
          </cell>
          <cell r="AR228" t="e">
            <v>#REF!</v>
          </cell>
          <cell r="AS228" t="e">
            <v>#REF!</v>
          </cell>
          <cell r="AT228" t="e">
            <v>#REF!</v>
          </cell>
          <cell r="AU228" t="e">
            <v>#REF!</v>
          </cell>
          <cell r="AV228" t="e">
            <v>#REF!</v>
          </cell>
          <cell r="AW228" t="e">
            <v>#DIV/0!</v>
          </cell>
          <cell r="AX228" t="e">
            <v>#DIV/0!</v>
          </cell>
          <cell r="AY228" t="e">
            <v>#DIV/0!</v>
          </cell>
          <cell r="AZ228" t="e">
            <v>#DIV/0!</v>
          </cell>
          <cell r="BE228" t="e">
            <v>#DIV/0!</v>
          </cell>
          <cell r="BF228" t="e">
            <v>#DIV/0!</v>
          </cell>
        </row>
        <row r="229">
          <cell r="A229" t="str">
            <v>-0</v>
          </cell>
          <cell r="B229" t="str">
            <v xml:space="preserve">-0  , </v>
          </cell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>
            <v>0</v>
          </cell>
          <cell r="Y229">
            <v>0</v>
          </cell>
          <cell r="Z229">
            <v>0</v>
          </cell>
          <cell r="AA229" t="str">
            <v>,</v>
          </cell>
          <cell r="AB229" t="str">
            <v>,</v>
          </cell>
          <cell r="AC229" t="e">
            <v>#DIV/0!</v>
          </cell>
          <cell r="AD229" t="e">
            <v>#DIV/0!</v>
          </cell>
          <cell r="AE229">
            <v>0.71</v>
          </cell>
          <cell r="AF229">
            <v>94.97</v>
          </cell>
          <cell r="AG229">
            <v>0</v>
          </cell>
          <cell r="AH229" t="e">
            <v>#DIV/0!</v>
          </cell>
          <cell r="AI229" t="e">
            <v>#DIV/0!</v>
          </cell>
          <cell r="AJ229" t="e">
            <v>#DIV/0!</v>
          </cell>
          <cell r="AK229" t="e">
            <v>#DIV/0!</v>
          </cell>
          <cell r="AL229" t="e">
            <v>#DIV/0!</v>
          </cell>
          <cell r="AM229" t="e">
            <v>#DIV/0!</v>
          </cell>
          <cell r="AN229" t="e">
            <v>#DIV/0!</v>
          </cell>
          <cell r="AO229" t="e">
            <v>#REF!</v>
          </cell>
          <cell r="AP229" t="e">
            <v>#REF!</v>
          </cell>
          <cell r="AQ229" t="e">
            <v>#REF!</v>
          </cell>
          <cell r="AR229" t="e">
            <v>#REF!</v>
          </cell>
          <cell r="AS229" t="e">
            <v>#REF!</v>
          </cell>
          <cell r="AT229" t="e">
            <v>#REF!</v>
          </cell>
          <cell r="AU229" t="e">
            <v>#REF!</v>
          </cell>
          <cell r="AV229" t="e">
            <v>#REF!</v>
          </cell>
          <cell r="AW229" t="e">
            <v>#DIV/0!</v>
          </cell>
          <cell r="AX229" t="e">
            <v>#DIV/0!</v>
          </cell>
          <cell r="AY229" t="e">
            <v>#DIV/0!</v>
          </cell>
          <cell r="AZ229" t="e">
            <v>#DIV/0!</v>
          </cell>
          <cell r="BE229" t="e">
            <v>#DIV/0!</v>
          </cell>
          <cell r="BF229" t="e">
            <v>#DIV/0!</v>
          </cell>
        </row>
        <row r="230">
          <cell r="A230" t="str">
            <v>-0</v>
          </cell>
          <cell r="B230" t="str">
            <v xml:space="preserve">-0  , </v>
          </cell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>
            <v>0</v>
          </cell>
          <cell r="Y230">
            <v>0</v>
          </cell>
          <cell r="Z230">
            <v>0</v>
          </cell>
          <cell r="AA230" t="str">
            <v>,</v>
          </cell>
          <cell r="AB230" t="str">
            <v>,</v>
          </cell>
          <cell r="AC230" t="e">
            <v>#DIV/0!</v>
          </cell>
          <cell r="AD230" t="e">
            <v>#DIV/0!</v>
          </cell>
          <cell r="AE230">
            <v>0.71</v>
          </cell>
          <cell r="AF230">
            <v>94.97</v>
          </cell>
          <cell r="AG230">
            <v>0</v>
          </cell>
          <cell r="AH230" t="e">
            <v>#DIV/0!</v>
          </cell>
          <cell r="AI230" t="e">
            <v>#DIV/0!</v>
          </cell>
          <cell r="AJ230" t="e">
            <v>#DIV/0!</v>
          </cell>
          <cell r="AK230" t="e">
            <v>#DIV/0!</v>
          </cell>
          <cell r="AL230" t="e">
            <v>#DIV/0!</v>
          </cell>
          <cell r="AM230" t="e">
            <v>#DIV/0!</v>
          </cell>
          <cell r="AN230" t="e">
            <v>#DIV/0!</v>
          </cell>
          <cell r="AO230" t="e">
            <v>#REF!</v>
          </cell>
          <cell r="AP230" t="e">
            <v>#REF!</v>
          </cell>
          <cell r="AQ230" t="e">
            <v>#REF!</v>
          </cell>
          <cell r="AR230" t="e">
            <v>#REF!</v>
          </cell>
          <cell r="AS230" t="e">
            <v>#REF!</v>
          </cell>
          <cell r="AT230" t="e">
            <v>#REF!</v>
          </cell>
          <cell r="AU230" t="e">
            <v>#REF!</v>
          </cell>
          <cell r="AV230" t="e">
            <v>#REF!</v>
          </cell>
          <cell r="AW230" t="e">
            <v>#DIV/0!</v>
          </cell>
          <cell r="AX230" t="e">
            <v>#DIV/0!</v>
          </cell>
          <cell r="AY230" t="e">
            <v>#DIV/0!</v>
          </cell>
          <cell r="AZ230" t="e">
            <v>#DIV/0!</v>
          </cell>
          <cell r="BE230" t="e">
            <v>#DIV/0!</v>
          </cell>
          <cell r="BF230" t="e">
            <v>#DIV/0!</v>
          </cell>
        </row>
        <row r="231">
          <cell r="A231" t="str">
            <v>-0</v>
          </cell>
          <cell r="B231" t="str">
            <v xml:space="preserve">-0  , </v>
          </cell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>
            <v>0</v>
          </cell>
          <cell r="Y231">
            <v>0</v>
          </cell>
          <cell r="Z231">
            <v>0</v>
          </cell>
          <cell r="AA231" t="str">
            <v>,</v>
          </cell>
          <cell r="AB231" t="str">
            <v>,</v>
          </cell>
          <cell r="AC231" t="e">
            <v>#DIV/0!</v>
          </cell>
          <cell r="AD231" t="e">
            <v>#DIV/0!</v>
          </cell>
          <cell r="AE231">
            <v>0.71</v>
          </cell>
          <cell r="AF231">
            <v>94.97</v>
          </cell>
          <cell r="AG231">
            <v>0</v>
          </cell>
          <cell r="AH231" t="e">
            <v>#DIV/0!</v>
          </cell>
          <cell r="AI231" t="e">
            <v>#DIV/0!</v>
          </cell>
          <cell r="AJ231" t="e">
            <v>#DIV/0!</v>
          </cell>
          <cell r="AK231" t="e">
            <v>#DIV/0!</v>
          </cell>
          <cell r="AL231" t="e">
            <v>#DIV/0!</v>
          </cell>
          <cell r="AM231" t="e">
            <v>#DIV/0!</v>
          </cell>
          <cell r="AN231" t="e">
            <v>#DIV/0!</v>
          </cell>
          <cell r="AO231" t="e">
            <v>#REF!</v>
          </cell>
          <cell r="AP231" t="e">
            <v>#REF!</v>
          </cell>
          <cell r="AQ231" t="e">
            <v>#REF!</v>
          </cell>
          <cell r="AR231" t="e">
            <v>#REF!</v>
          </cell>
          <cell r="AS231" t="e">
            <v>#REF!</v>
          </cell>
          <cell r="AT231" t="e">
            <v>#REF!</v>
          </cell>
          <cell r="AU231" t="e">
            <v>#REF!</v>
          </cell>
          <cell r="AV231" t="e">
            <v>#REF!</v>
          </cell>
          <cell r="AW231" t="e">
            <v>#DIV/0!</v>
          </cell>
          <cell r="AX231" t="e">
            <v>#DIV/0!</v>
          </cell>
          <cell r="AY231" t="e">
            <v>#DIV/0!</v>
          </cell>
          <cell r="AZ231" t="e">
            <v>#DIV/0!</v>
          </cell>
          <cell r="BE231" t="e">
            <v>#DIV/0!</v>
          </cell>
          <cell r="BF231" t="e">
            <v>#DIV/0!</v>
          </cell>
        </row>
        <row r="232">
          <cell r="A232" t="str">
            <v>-0</v>
          </cell>
          <cell r="B232" t="str">
            <v xml:space="preserve">-0  , </v>
          </cell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>
            <v>0</v>
          </cell>
          <cell r="Y232">
            <v>0</v>
          </cell>
          <cell r="Z232">
            <v>0</v>
          </cell>
          <cell r="AA232" t="str">
            <v>,</v>
          </cell>
          <cell r="AB232" t="str">
            <v>,</v>
          </cell>
          <cell r="AC232" t="e">
            <v>#DIV/0!</v>
          </cell>
          <cell r="AD232" t="e">
            <v>#DIV/0!</v>
          </cell>
          <cell r="AE232">
            <v>0.71</v>
          </cell>
          <cell r="AF232">
            <v>94.97</v>
          </cell>
          <cell r="AG232">
            <v>0</v>
          </cell>
          <cell r="AH232" t="e">
            <v>#DIV/0!</v>
          </cell>
          <cell r="AI232" t="e">
            <v>#DIV/0!</v>
          </cell>
          <cell r="AJ232" t="e">
            <v>#DIV/0!</v>
          </cell>
          <cell r="AK232" t="e">
            <v>#DIV/0!</v>
          </cell>
          <cell r="AL232" t="e">
            <v>#DIV/0!</v>
          </cell>
          <cell r="AM232" t="e">
            <v>#DIV/0!</v>
          </cell>
          <cell r="AN232" t="e">
            <v>#DIV/0!</v>
          </cell>
          <cell r="AO232" t="e">
            <v>#REF!</v>
          </cell>
          <cell r="AP232" t="e">
            <v>#REF!</v>
          </cell>
          <cell r="AQ232" t="e">
            <v>#REF!</v>
          </cell>
          <cell r="AR232" t="e">
            <v>#REF!</v>
          </cell>
          <cell r="AS232" t="e">
            <v>#REF!</v>
          </cell>
          <cell r="AT232" t="e">
            <v>#REF!</v>
          </cell>
          <cell r="AU232" t="e">
            <v>#REF!</v>
          </cell>
          <cell r="AV232" t="e">
            <v>#REF!</v>
          </cell>
          <cell r="AW232" t="e">
            <v>#DIV/0!</v>
          </cell>
          <cell r="AX232" t="e">
            <v>#DIV/0!</v>
          </cell>
          <cell r="AY232" t="e">
            <v>#DIV/0!</v>
          </cell>
          <cell r="AZ232" t="e">
            <v>#DIV/0!</v>
          </cell>
          <cell r="BE232" t="e">
            <v>#DIV/0!</v>
          </cell>
          <cell r="BF232" t="e">
            <v>#DIV/0!</v>
          </cell>
        </row>
        <row r="233">
          <cell r="A233" t="str">
            <v>-0</v>
          </cell>
          <cell r="B233" t="str">
            <v xml:space="preserve">-0  , </v>
          </cell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>
            <v>0</v>
          </cell>
          <cell r="Y233">
            <v>0</v>
          </cell>
          <cell r="Z233">
            <v>0</v>
          </cell>
          <cell r="AA233" t="str">
            <v>,</v>
          </cell>
          <cell r="AB233" t="str">
            <v>,</v>
          </cell>
          <cell r="AC233" t="e">
            <v>#DIV/0!</v>
          </cell>
          <cell r="AD233" t="e">
            <v>#DIV/0!</v>
          </cell>
          <cell r="AE233">
            <v>0.71</v>
          </cell>
          <cell r="AF233">
            <v>94.97</v>
          </cell>
          <cell r="AG233">
            <v>0</v>
          </cell>
          <cell r="AH233" t="e">
            <v>#DIV/0!</v>
          </cell>
          <cell r="AI233" t="e">
            <v>#DIV/0!</v>
          </cell>
          <cell r="AJ233" t="e">
            <v>#DIV/0!</v>
          </cell>
          <cell r="AK233" t="e">
            <v>#DIV/0!</v>
          </cell>
          <cell r="AL233" t="e">
            <v>#DIV/0!</v>
          </cell>
          <cell r="AM233" t="e">
            <v>#DIV/0!</v>
          </cell>
          <cell r="AN233" t="e">
            <v>#DIV/0!</v>
          </cell>
          <cell r="AO233" t="e">
            <v>#REF!</v>
          </cell>
          <cell r="AP233" t="e">
            <v>#REF!</v>
          </cell>
          <cell r="AQ233" t="e">
            <v>#REF!</v>
          </cell>
          <cell r="AR233" t="e">
            <v>#REF!</v>
          </cell>
          <cell r="AS233" t="e">
            <v>#REF!</v>
          </cell>
          <cell r="AT233" t="e">
            <v>#REF!</v>
          </cell>
          <cell r="AU233" t="e">
            <v>#REF!</v>
          </cell>
          <cell r="AV233" t="e">
            <v>#REF!</v>
          </cell>
          <cell r="AW233" t="e">
            <v>#DIV/0!</v>
          </cell>
          <cell r="AX233" t="e">
            <v>#DIV/0!</v>
          </cell>
          <cell r="AY233" t="e">
            <v>#DIV/0!</v>
          </cell>
          <cell r="AZ233" t="e">
            <v>#DIV/0!</v>
          </cell>
          <cell r="BE233" t="e">
            <v>#DIV/0!</v>
          </cell>
          <cell r="BF233" t="e">
            <v>#DIV/0!</v>
          </cell>
        </row>
        <row r="234">
          <cell r="A234" t="str">
            <v>-0</v>
          </cell>
          <cell r="B234" t="str">
            <v xml:space="preserve">-0  , </v>
          </cell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>
            <v>0</v>
          </cell>
          <cell r="Y234">
            <v>0</v>
          </cell>
          <cell r="Z234">
            <v>0</v>
          </cell>
          <cell r="AA234" t="str">
            <v>,</v>
          </cell>
          <cell r="AB234" t="str">
            <v>,</v>
          </cell>
          <cell r="AC234" t="e">
            <v>#DIV/0!</v>
          </cell>
          <cell r="AD234" t="e">
            <v>#DIV/0!</v>
          </cell>
          <cell r="AE234">
            <v>0.71</v>
          </cell>
          <cell r="AF234">
            <v>94.97</v>
          </cell>
          <cell r="AG234">
            <v>0</v>
          </cell>
          <cell r="AH234" t="e">
            <v>#DIV/0!</v>
          </cell>
          <cell r="AI234" t="e">
            <v>#DIV/0!</v>
          </cell>
          <cell r="AJ234" t="e">
            <v>#DIV/0!</v>
          </cell>
          <cell r="AK234" t="e">
            <v>#DIV/0!</v>
          </cell>
          <cell r="AL234" t="e">
            <v>#DIV/0!</v>
          </cell>
          <cell r="AM234" t="e">
            <v>#DIV/0!</v>
          </cell>
          <cell r="AN234" t="e">
            <v>#DIV/0!</v>
          </cell>
          <cell r="AO234" t="e">
            <v>#REF!</v>
          </cell>
          <cell r="AP234" t="e">
            <v>#REF!</v>
          </cell>
          <cell r="AQ234" t="e">
            <v>#REF!</v>
          </cell>
          <cell r="AR234" t="e">
            <v>#REF!</v>
          </cell>
          <cell r="AS234" t="e">
            <v>#REF!</v>
          </cell>
          <cell r="AT234" t="e">
            <v>#REF!</v>
          </cell>
          <cell r="AU234" t="e">
            <v>#REF!</v>
          </cell>
          <cell r="AV234" t="e">
            <v>#REF!</v>
          </cell>
          <cell r="AW234" t="e">
            <v>#DIV/0!</v>
          </cell>
          <cell r="AX234" t="e">
            <v>#DIV/0!</v>
          </cell>
          <cell r="AY234" t="e">
            <v>#DIV/0!</v>
          </cell>
          <cell r="AZ234" t="e">
            <v>#DIV/0!</v>
          </cell>
          <cell r="BE234" t="e">
            <v>#DIV/0!</v>
          </cell>
          <cell r="BF234" t="e">
            <v>#DIV/0!</v>
          </cell>
        </row>
        <row r="235">
          <cell r="A235" t="str">
            <v>-0</v>
          </cell>
          <cell r="B235" t="str">
            <v xml:space="preserve">-0  , </v>
          </cell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>
            <v>0</v>
          </cell>
          <cell r="Y235">
            <v>0</v>
          </cell>
          <cell r="Z235">
            <v>0</v>
          </cell>
          <cell r="AA235" t="str">
            <v>,</v>
          </cell>
          <cell r="AB235" t="str">
            <v>,</v>
          </cell>
          <cell r="AC235" t="e">
            <v>#DIV/0!</v>
          </cell>
          <cell r="AD235" t="e">
            <v>#DIV/0!</v>
          </cell>
          <cell r="AE235">
            <v>0.71</v>
          </cell>
          <cell r="AF235">
            <v>94.97</v>
          </cell>
          <cell r="AG235">
            <v>0</v>
          </cell>
          <cell r="AH235" t="e">
            <v>#DIV/0!</v>
          </cell>
          <cell r="AI235" t="e">
            <v>#DIV/0!</v>
          </cell>
          <cell r="AJ235" t="e">
            <v>#DIV/0!</v>
          </cell>
          <cell r="AK235" t="e">
            <v>#DIV/0!</v>
          </cell>
          <cell r="AL235" t="e">
            <v>#DIV/0!</v>
          </cell>
          <cell r="AM235" t="e">
            <v>#DIV/0!</v>
          </cell>
          <cell r="AN235" t="e">
            <v>#DIV/0!</v>
          </cell>
          <cell r="AO235" t="e">
            <v>#REF!</v>
          </cell>
          <cell r="AP235" t="e">
            <v>#REF!</v>
          </cell>
          <cell r="AQ235" t="e">
            <v>#REF!</v>
          </cell>
          <cell r="AR235" t="e">
            <v>#REF!</v>
          </cell>
          <cell r="AS235" t="e">
            <v>#REF!</v>
          </cell>
          <cell r="AT235" t="e">
            <v>#REF!</v>
          </cell>
          <cell r="AU235" t="e">
            <v>#REF!</v>
          </cell>
          <cell r="AV235" t="e">
            <v>#REF!</v>
          </cell>
          <cell r="AW235" t="e">
            <v>#DIV/0!</v>
          </cell>
          <cell r="AX235" t="e">
            <v>#DIV/0!</v>
          </cell>
          <cell r="AY235" t="e">
            <v>#DIV/0!</v>
          </cell>
          <cell r="AZ235" t="e">
            <v>#DIV/0!</v>
          </cell>
          <cell r="BE235" t="e">
            <v>#DIV/0!</v>
          </cell>
          <cell r="BF235" t="e">
            <v>#DIV/0!</v>
          </cell>
        </row>
        <row r="236">
          <cell r="A236" t="str">
            <v>-0</v>
          </cell>
          <cell r="B236" t="str">
            <v xml:space="preserve">-0  , </v>
          </cell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>
            <v>0</v>
          </cell>
          <cell r="Y236">
            <v>0</v>
          </cell>
          <cell r="Z236">
            <v>0</v>
          </cell>
          <cell r="AA236" t="str">
            <v>,</v>
          </cell>
          <cell r="AB236" t="str">
            <v>,</v>
          </cell>
          <cell r="AC236" t="e">
            <v>#DIV/0!</v>
          </cell>
          <cell r="AD236" t="e">
            <v>#DIV/0!</v>
          </cell>
          <cell r="AE236">
            <v>0.71</v>
          </cell>
          <cell r="AF236">
            <v>94.97</v>
          </cell>
          <cell r="AG236">
            <v>0</v>
          </cell>
          <cell r="AH236" t="e">
            <v>#DIV/0!</v>
          </cell>
          <cell r="AI236" t="e">
            <v>#DIV/0!</v>
          </cell>
          <cell r="AJ236" t="e">
            <v>#DIV/0!</v>
          </cell>
          <cell r="AK236" t="e">
            <v>#DIV/0!</v>
          </cell>
          <cell r="AL236" t="e">
            <v>#DIV/0!</v>
          </cell>
          <cell r="AM236" t="e">
            <v>#DIV/0!</v>
          </cell>
          <cell r="AN236" t="e">
            <v>#DIV/0!</v>
          </cell>
          <cell r="AO236" t="e">
            <v>#REF!</v>
          </cell>
          <cell r="AP236" t="e">
            <v>#REF!</v>
          </cell>
          <cell r="AQ236" t="e">
            <v>#REF!</v>
          </cell>
          <cell r="AR236" t="e">
            <v>#REF!</v>
          </cell>
          <cell r="AS236" t="e">
            <v>#REF!</v>
          </cell>
          <cell r="AT236" t="e">
            <v>#REF!</v>
          </cell>
          <cell r="AU236" t="e">
            <v>#REF!</v>
          </cell>
          <cell r="AV236" t="e">
            <v>#REF!</v>
          </cell>
          <cell r="AW236" t="e">
            <v>#DIV/0!</v>
          </cell>
          <cell r="AX236" t="e">
            <v>#DIV/0!</v>
          </cell>
          <cell r="AY236" t="e">
            <v>#DIV/0!</v>
          </cell>
          <cell r="AZ236" t="e">
            <v>#DIV/0!</v>
          </cell>
          <cell r="BE236" t="e">
            <v>#DIV/0!</v>
          </cell>
          <cell r="BF236" t="e">
            <v>#DIV/0!</v>
          </cell>
        </row>
        <row r="237">
          <cell r="A237" t="str">
            <v>-0</v>
          </cell>
          <cell r="B237" t="str">
            <v xml:space="preserve">-0  , </v>
          </cell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>
            <v>0</v>
          </cell>
          <cell r="Y237">
            <v>0</v>
          </cell>
          <cell r="Z237">
            <v>0</v>
          </cell>
          <cell r="AA237" t="str">
            <v>,</v>
          </cell>
          <cell r="AB237" t="str">
            <v>,</v>
          </cell>
          <cell r="AC237" t="e">
            <v>#DIV/0!</v>
          </cell>
          <cell r="AD237" t="e">
            <v>#DIV/0!</v>
          </cell>
          <cell r="AE237">
            <v>0.71</v>
          </cell>
          <cell r="AF237">
            <v>94.97</v>
          </cell>
          <cell r="AG237">
            <v>0</v>
          </cell>
          <cell r="AH237" t="e">
            <v>#DIV/0!</v>
          </cell>
          <cell r="AI237" t="e">
            <v>#DIV/0!</v>
          </cell>
          <cell r="AJ237" t="e">
            <v>#DIV/0!</v>
          </cell>
          <cell r="AK237" t="e">
            <v>#DIV/0!</v>
          </cell>
          <cell r="AL237" t="e">
            <v>#DIV/0!</v>
          </cell>
          <cell r="AM237" t="e">
            <v>#DIV/0!</v>
          </cell>
          <cell r="AN237" t="e">
            <v>#DIV/0!</v>
          </cell>
          <cell r="AO237" t="e">
            <v>#REF!</v>
          </cell>
          <cell r="AP237" t="e">
            <v>#REF!</v>
          </cell>
          <cell r="AQ237" t="e">
            <v>#REF!</v>
          </cell>
          <cell r="AR237" t="e">
            <v>#REF!</v>
          </cell>
          <cell r="AS237" t="e">
            <v>#REF!</v>
          </cell>
          <cell r="AT237" t="e">
            <v>#REF!</v>
          </cell>
          <cell r="AU237" t="e">
            <v>#REF!</v>
          </cell>
          <cell r="AV237" t="e">
            <v>#REF!</v>
          </cell>
          <cell r="AW237" t="e">
            <v>#DIV/0!</v>
          </cell>
          <cell r="AX237" t="e">
            <v>#DIV/0!</v>
          </cell>
          <cell r="AY237" t="e">
            <v>#DIV/0!</v>
          </cell>
          <cell r="AZ237" t="e">
            <v>#DIV/0!</v>
          </cell>
          <cell r="BE237" t="e">
            <v>#DIV/0!</v>
          </cell>
          <cell r="BF237" t="e">
            <v>#DIV/0!</v>
          </cell>
        </row>
        <row r="238">
          <cell r="A238" t="str">
            <v>-0</v>
          </cell>
          <cell r="B238" t="str">
            <v xml:space="preserve">-0  , </v>
          </cell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>
            <v>0</v>
          </cell>
          <cell r="Y238">
            <v>0</v>
          </cell>
          <cell r="Z238">
            <v>0</v>
          </cell>
          <cell r="AA238" t="str">
            <v>,</v>
          </cell>
          <cell r="AB238" t="str">
            <v>,</v>
          </cell>
          <cell r="AC238" t="e">
            <v>#DIV/0!</v>
          </cell>
          <cell r="AD238" t="e">
            <v>#DIV/0!</v>
          </cell>
          <cell r="AE238">
            <v>0.71</v>
          </cell>
          <cell r="AF238">
            <v>94.97</v>
          </cell>
          <cell r="AG238">
            <v>0</v>
          </cell>
          <cell r="AH238" t="e">
            <v>#DIV/0!</v>
          </cell>
          <cell r="AI238" t="e">
            <v>#DIV/0!</v>
          </cell>
          <cell r="AJ238" t="e">
            <v>#DIV/0!</v>
          </cell>
          <cell r="AK238" t="e">
            <v>#DIV/0!</v>
          </cell>
          <cell r="AL238" t="e">
            <v>#DIV/0!</v>
          </cell>
          <cell r="AM238" t="e">
            <v>#DIV/0!</v>
          </cell>
          <cell r="AN238" t="e">
            <v>#DIV/0!</v>
          </cell>
          <cell r="AO238" t="e">
            <v>#REF!</v>
          </cell>
          <cell r="AP238" t="e">
            <v>#REF!</v>
          </cell>
          <cell r="AQ238" t="e">
            <v>#REF!</v>
          </cell>
          <cell r="AR238" t="e">
            <v>#REF!</v>
          </cell>
          <cell r="AS238" t="e">
            <v>#REF!</v>
          </cell>
          <cell r="AT238" t="e">
            <v>#REF!</v>
          </cell>
          <cell r="AU238" t="e">
            <v>#REF!</v>
          </cell>
          <cell r="AV238" t="e">
            <v>#REF!</v>
          </cell>
          <cell r="AW238" t="e">
            <v>#DIV/0!</v>
          </cell>
          <cell r="AX238" t="e">
            <v>#DIV/0!</v>
          </cell>
          <cell r="AY238" t="e">
            <v>#DIV/0!</v>
          </cell>
          <cell r="AZ238" t="e">
            <v>#DIV/0!</v>
          </cell>
          <cell r="BE238" t="e">
            <v>#DIV/0!</v>
          </cell>
          <cell r="BF238" t="e">
            <v>#DIV/0!</v>
          </cell>
        </row>
        <row r="239">
          <cell r="A239" t="str">
            <v>-0</v>
          </cell>
          <cell r="B239" t="str">
            <v xml:space="preserve">-0  , </v>
          </cell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>
            <v>0</v>
          </cell>
          <cell r="Y239">
            <v>0</v>
          </cell>
          <cell r="Z239">
            <v>0</v>
          </cell>
          <cell r="AA239" t="str">
            <v>,</v>
          </cell>
          <cell r="AB239" t="str">
            <v>,</v>
          </cell>
          <cell r="AC239" t="e">
            <v>#DIV/0!</v>
          </cell>
          <cell r="AD239" t="e">
            <v>#DIV/0!</v>
          </cell>
          <cell r="AE239">
            <v>0.71</v>
          </cell>
          <cell r="AF239">
            <v>94.97</v>
          </cell>
          <cell r="AG239">
            <v>0</v>
          </cell>
          <cell r="AH239" t="e">
            <v>#DIV/0!</v>
          </cell>
          <cell r="AI239" t="e">
            <v>#DIV/0!</v>
          </cell>
          <cell r="AJ239" t="e">
            <v>#DIV/0!</v>
          </cell>
          <cell r="AK239" t="e">
            <v>#DIV/0!</v>
          </cell>
          <cell r="AL239" t="e">
            <v>#DIV/0!</v>
          </cell>
          <cell r="AM239" t="e">
            <v>#DIV/0!</v>
          </cell>
          <cell r="AN239" t="e">
            <v>#DIV/0!</v>
          </cell>
          <cell r="AO239" t="e">
            <v>#REF!</v>
          </cell>
          <cell r="AP239" t="e">
            <v>#REF!</v>
          </cell>
          <cell r="AQ239" t="e">
            <v>#REF!</v>
          </cell>
          <cell r="AR239" t="e">
            <v>#REF!</v>
          </cell>
          <cell r="AS239" t="e">
            <v>#REF!</v>
          </cell>
          <cell r="AT239" t="e">
            <v>#REF!</v>
          </cell>
          <cell r="AU239" t="e">
            <v>#REF!</v>
          </cell>
          <cell r="AV239" t="e">
            <v>#REF!</v>
          </cell>
          <cell r="AW239" t="e">
            <v>#DIV/0!</v>
          </cell>
          <cell r="AX239" t="e">
            <v>#DIV/0!</v>
          </cell>
          <cell r="AY239" t="e">
            <v>#DIV/0!</v>
          </cell>
          <cell r="AZ239" t="e">
            <v>#DIV/0!</v>
          </cell>
          <cell r="BE239" t="e">
            <v>#DIV/0!</v>
          </cell>
          <cell r="BF239" t="e">
            <v>#DIV/0!</v>
          </cell>
        </row>
        <row r="240">
          <cell r="A240" t="str">
            <v>-0</v>
          </cell>
          <cell r="B240" t="str">
            <v xml:space="preserve">-0  , </v>
          </cell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>
            <v>0</v>
          </cell>
          <cell r="Y240">
            <v>0</v>
          </cell>
          <cell r="Z240">
            <v>0</v>
          </cell>
          <cell r="AA240" t="str">
            <v>,</v>
          </cell>
          <cell r="AB240" t="str">
            <v>,</v>
          </cell>
          <cell r="AC240" t="e">
            <v>#DIV/0!</v>
          </cell>
          <cell r="AD240" t="e">
            <v>#DIV/0!</v>
          </cell>
          <cell r="AE240">
            <v>0.71</v>
          </cell>
          <cell r="AF240">
            <v>94.97</v>
          </cell>
          <cell r="AG240">
            <v>0</v>
          </cell>
          <cell r="AH240" t="e">
            <v>#DIV/0!</v>
          </cell>
          <cell r="AI240" t="e">
            <v>#DIV/0!</v>
          </cell>
          <cell r="AJ240" t="e">
            <v>#DIV/0!</v>
          </cell>
          <cell r="AK240" t="e">
            <v>#DIV/0!</v>
          </cell>
          <cell r="AL240" t="e">
            <v>#DIV/0!</v>
          </cell>
          <cell r="AM240" t="e">
            <v>#DIV/0!</v>
          </cell>
          <cell r="AN240" t="e">
            <v>#DIV/0!</v>
          </cell>
          <cell r="AO240" t="e">
            <v>#REF!</v>
          </cell>
          <cell r="AP240" t="e">
            <v>#REF!</v>
          </cell>
          <cell r="AQ240" t="e">
            <v>#REF!</v>
          </cell>
          <cell r="AR240" t="e">
            <v>#REF!</v>
          </cell>
          <cell r="AS240" t="e">
            <v>#REF!</v>
          </cell>
          <cell r="AT240" t="e">
            <v>#REF!</v>
          </cell>
          <cell r="AU240" t="e">
            <v>#REF!</v>
          </cell>
          <cell r="AV240" t="e">
            <v>#REF!</v>
          </cell>
          <cell r="AW240" t="e">
            <v>#DIV/0!</v>
          </cell>
          <cell r="AX240" t="e">
            <v>#DIV/0!</v>
          </cell>
          <cell r="AY240" t="e">
            <v>#DIV/0!</v>
          </cell>
          <cell r="AZ240" t="e">
            <v>#DIV/0!</v>
          </cell>
          <cell r="BE240" t="e">
            <v>#DIV/0!</v>
          </cell>
          <cell r="BF240" t="e">
            <v>#DIV/0!</v>
          </cell>
        </row>
        <row r="241">
          <cell r="A241" t="str">
            <v>-0</v>
          </cell>
          <cell r="B241" t="str">
            <v xml:space="preserve">-0  , </v>
          </cell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>
            <v>0</v>
          </cell>
          <cell r="Y241">
            <v>0</v>
          </cell>
          <cell r="Z241">
            <v>0</v>
          </cell>
          <cell r="AA241" t="str">
            <v>,</v>
          </cell>
          <cell r="AB241" t="str">
            <v>,</v>
          </cell>
          <cell r="AC241" t="e">
            <v>#DIV/0!</v>
          </cell>
          <cell r="AD241" t="e">
            <v>#DIV/0!</v>
          </cell>
          <cell r="AE241">
            <v>0.71</v>
          </cell>
          <cell r="AF241">
            <v>94.97</v>
          </cell>
          <cell r="AG241">
            <v>0</v>
          </cell>
          <cell r="AH241" t="e">
            <v>#DIV/0!</v>
          </cell>
          <cell r="AI241" t="e">
            <v>#DIV/0!</v>
          </cell>
          <cell r="AJ241" t="e">
            <v>#DIV/0!</v>
          </cell>
          <cell r="AK241" t="e">
            <v>#DIV/0!</v>
          </cell>
          <cell r="AL241" t="e">
            <v>#DIV/0!</v>
          </cell>
          <cell r="AM241" t="e">
            <v>#DIV/0!</v>
          </cell>
          <cell r="AN241" t="e">
            <v>#DIV/0!</v>
          </cell>
          <cell r="AO241" t="e">
            <v>#REF!</v>
          </cell>
          <cell r="AP241" t="e">
            <v>#REF!</v>
          </cell>
          <cell r="AQ241" t="e">
            <v>#REF!</v>
          </cell>
          <cell r="AR241" t="e">
            <v>#REF!</v>
          </cell>
          <cell r="AS241" t="e">
            <v>#REF!</v>
          </cell>
          <cell r="AT241" t="e">
            <v>#REF!</v>
          </cell>
          <cell r="AU241" t="e">
            <v>#REF!</v>
          </cell>
          <cell r="AV241" t="e">
            <v>#REF!</v>
          </cell>
          <cell r="AW241" t="e">
            <v>#DIV/0!</v>
          </cell>
          <cell r="AX241" t="e">
            <v>#DIV/0!</v>
          </cell>
          <cell r="AY241" t="e">
            <v>#DIV/0!</v>
          </cell>
          <cell r="AZ241" t="e">
            <v>#DIV/0!</v>
          </cell>
          <cell r="BE241" t="e">
            <v>#DIV/0!</v>
          </cell>
          <cell r="BF241" t="e">
            <v>#DIV/0!</v>
          </cell>
        </row>
        <row r="242">
          <cell r="A242" t="str">
            <v>-0</v>
          </cell>
          <cell r="B242" t="str">
            <v xml:space="preserve">-0  , </v>
          </cell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>
            <v>0</v>
          </cell>
          <cell r="Y242">
            <v>0</v>
          </cell>
          <cell r="Z242">
            <v>0</v>
          </cell>
          <cell r="AA242" t="str">
            <v>,</v>
          </cell>
          <cell r="AB242" t="str">
            <v>,</v>
          </cell>
          <cell r="AC242" t="e">
            <v>#DIV/0!</v>
          </cell>
          <cell r="AD242" t="e">
            <v>#DIV/0!</v>
          </cell>
          <cell r="AE242">
            <v>0.71</v>
          </cell>
          <cell r="AF242">
            <v>94.97</v>
          </cell>
          <cell r="AG242">
            <v>0</v>
          </cell>
          <cell r="AH242" t="e">
            <v>#DIV/0!</v>
          </cell>
          <cell r="AI242" t="e">
            <v>#DIV/0!</v>
          </cell>
          <cell r="AJ242" t="e">
            <v>#DIV/0!</v>
          </cell>
          <cell r="AK242" t="e">
            <v>#DIV/0!</v>
          </cell>
          <cell r="AL242" t="e">
            <v>#DIV/0!</v>
          </cell>
          <cell r="AM242" t="e">
            <v>#DIV/0!</v>
          </cell>
          <cell r="AN242" t="e">
            <v>#DIV/0!</v>
          </cell>
          <cell r="AO242" t="e">
            <v>#REF!</v>
          </cell>
          <cell r="AP242" t="e">
            <v>#REF!</v>
          </cell>
          <cell r="AQ242" t="e">
            <v>#REF!</v>
          </cell>
          <cell r="AR242" t="e">
            <v>#REF!</v>
          </cell>
          <cell r="AS242" t="e">
            <v>#REF!</v>
          </cell>
          <cell r="AT242" t="e">
            <v>#REF!</v>
          </cell>
          <cell r="AU242" t="e">
            <v>#REF!</v>
          </cell>
          <cell r="AV242" t="e">
            <v>#REF!</v>
          </cell>
          <cell r="AW242" t="e">
            <v>#DIV/0!</v>
          </cell>
          <cell r="AX242" t="e">
            <v>#DIV/0!</v>
          </cell>
          <cell r="AY242" t="e">
            <v>#DIV/0!</v>
          </cell>
          <cell r="AZ242" t="e">
            <v>#DIV/0!</v>
          </cell>
          <cell r="BE242" t="e">
            <v>#DIV/0!</v>
          </cell>
          <cell r="BF242" t="e">
            <v>#DIV/0!</v>
          </cell>
        </row>
        <row r="243">
          <cell r="A243" t="str">
            <v>-0</v>
          </cell>
          <cell r="B243" t="str">
            <v xml:space="preserve">-0  , </v>
          </cell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>
            <v>0</v>
          </cell>
          <cell r="Y243">
            <v>0</v>
          </cell>
          <cell r="Z243">
            <v>0</v>
          </cell>
          <cell r="AA243" t="str">
            <v>,</v>
          </cell>
          <cell r="AB243" t="str">
            <v>,</v>
          </cell>
          <cell r="AC243" t="e">
            <v>#DIV/0!</v>
          </cell>
          <cell r="AD243" t="e">
            <v>#DIV/0!</v>
          </cell>
          <cell r="AE243">
            <v>0.71</v>
          </cell>
          <cell r="AF243">
            <v>94.97</v>
          </cell>
          <cell r="AG243">
            <v>0</v>
          </cell>
          <cell r="AH243" t="e">
            <v>#DIV/0!</v>
          </cell>
          <cell r="AI243" t="e">
            <v>#DIV/0!</v>
          </cell>
          <cell r="AJ243" t="e">
            <v>#DIV/0!</v>
          </cell>
          <cell r="AK243" t="e">
            <v>#DIV/0!</v>
          </cell>
          <cell r="AL243" t="e">
            <v>#DIV/0!</v>
          </cell>
          <cell r="AM243" t="e">
            <v>#DIV/0!</v>
          </cell>
          <cell r="AN243" t="e">
            <v>#DIV/0!</v>
          </cell>
          <cell r="AO243" t="e">
            <v>#REF!</v>
          </cell>
          <cell r="AP243" t="e">
            <v>#REF!</v>
          </cell>
          <cell r="AQ243" t="e">
            <v>#REF!</v>
          </cell>
          <cell r="AR243" t="e">
            <v>#REF!</v>
          </cell>
          <cell r="AS243" t="e">
            <v>#REF!</v>
          </cell>
          <cell r="AT243" t="e">
            <v>#REF!</v>
          </cell>
          <cell r="AU243" t="e">
            <v>#REF!</v>
          </cell>
          <cell r="AV243" t="e">
            <v>#REF!</v>
          </cell>
          <cell r="AW243" t="e">
            <v>#DIV/0!</v>
          </cell>
          <cell r="AX243" t="e">
            <v>#DIV/0!</v>
          </cell>
          <cell r="AY243" t="e">
            <v>#DIV/0!</v>
          </cell>
          <cell r="AZ243" t="e">
            <v>#DIV/0!</v>
          </cell>
          <cell r="BE243" t="e">
            <v>#DIV/0!</v>
          </cell>
          <cell r="BF243" t="e">
            <v>#DIV/0!</v>
          </cell>
        </row>
        <row r="244">
          <cell r="A244" t="str">
            <v>-0</v>
          </cell>
          <cell r="B244" t="str">
            <v xml:space="preserve">-0  , </v>
          </cell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>
            <v>0</v>
          </cell>
          <cell r="Y244">
            <v>0</v>
          </cell>
          <cell r="Z244">
            <v>0</v>
          </cell>
          <cell r="AA244" t="str">
            <v>,</v>
          </cell>
          <cell r="AB244" t="str">
            <v>,</v>
          </cell>
          <cell r="AC244" t="e">
            <v>#DIV/0!</v>
          </cell>
          <cell r="AD244" t="e">
            <v>#DIV/0!</v>
          </cell>
          <cell r="AE244">
            <v>0.71</v>
          </cell>
          <cell r="AF244">
            <v>94.97</v>
          </cell>
          <cell r="AG244">
            <v>0</v>
          </cell>
          <cell r="AH244" t="e">
            <v>#DIV/0!</v>
          </cell>
          <cell r="AI244" t="e">
            <v>#DIV/0!</v>
          </cell>
          <cell r="AJ244" t="e">
            <v>#DIV/0!</v>
          </cell>
          <cell r="AK244" t="e">
            <v>#DIV/0!</v>
          </cell>
          <cell r="AL244" t="e">
            <v>#DIV/0!</v>
          </cell>
          <cell r="AM244" t="e">
            <v>#DIV/0!</v>
          </cell>
          <cell r="AN244" t="e">
            <v>#DIV/0!</v>
          </cell>
          <cell r="AO244" t="e">
            <v>#REF!</v>
          </cell>
          <cell r="AP244" t="e">
            <v>#REF!</v>
          </cell>
          <cell r="AQ244" t="e">
            <v>#REF!</v>
          </cell>
          <cell r="AR244" t="e">
            <v>#REF!</v>
          </cell>
          <cell r="AS244" t="e">
            <v>#REF!</v>
          </cell>
          <cell r="AT244" t="e">
            <v>#REF!</v>
          </cell>
          <cell r="AU244" t="e">
            <v>#REF!</v>
          </cell>
          <cell r="AV244" t="e">
            <v>#REF!</v>
          </cell>
          <cell r="AW244" t="e">
            <v>#DIV/0!</v>
          </cell>
          <cell r="AX244" t="e">
            <v>#DIV/0!</v>
          </cell>
          <cell r="AY244" t="e">
            <v>#DIV/0!</v>
          </cell>
          <cell r="AZ244" t="e">
            <v>#DIV/0!</v>
          </cell>
          <cell r="BE244" t="e">
            <v>#DIV/0!</v>
          </cell>
          <cell r="BF244" t="e">
            <v>#DIV/0!</v>
          </cell>
        </row>
        <row r="245">
          <cell r="A245" t="str">
            <v>-0</v>
          </cell>
          <cell r="B245" t="str">
            <v xml:space="preserve">-0  , </v>
          </cell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>
            <v>0</v>
          </cell>
          <cell r="Y245">
            <v>0</v>
          </cell>
          <cell r="Z245">
            <v>0</v>
          </cell>
          <cell r="AA245" t="str">
            <v>,</v>
          </cell>
          <cell r="AB245" t="str">
            <v>,</v>
          </cell>
          <cell r="AC245" t="e">
            <v>#DIV/0!</v>
          </cell>
          <cell r="AD245" t="e">
            <v>#DIV/0!</v>
          </cell>
          <cell r="AE245">
            <v>0.71</v>
          </cell>
          <cell r="AF245">
            <v>94.97</v>
          </cell>
          <cell r="AG245">
            <v>0</v>
          </cell>
          <cell r="AH245" t="e">
            <v>#DIV/0!</v>
          </cell>
          <cell r="AI245" t="e">
            <v>#DIV/0!</v>
          </cell>
          <cell r="AJ245" t="e">
            <v>#DIV/0!</v>
          </cell>
          <cell r="AK245" t="e">
            <v>#DIV/0!</v>
          </cell>
          <cell r="AL245" t="e">
            <v>#DIV/0!</v>
          </cell>
          <cell r="AM245" t="e">
            <v>#DIV/0!</v>
          </cell>
          <cell r="AN245" t="e">
            <v>#DIV/0!</v>
          </cell>
          <cell r="AO245" t="e">
            <v>#REF!</v>
          </cell>
          <cell r="AP245" t="e">
            <v>#REF!</v>
          </cell>
          <cell r="AQ245" t="e">
            <v>#REF!</v>
          </cell>
          <cell r="AR245" t="e">
            <v>#REF!</v>
          </cell>
          <cell r="AS245" t="e">
            <v>#REF!</v>
          </cell>
          <cell r="AT245" t="e">
            <v>#REF!</v>
          </cell>
          <cell r="AU245" t="e">
            <v>#REF!</v>
          </cell>
          <cell r="AV245" t="e">
            <v>#REF!</v>
          </cell>
          <cell r="AW245" t="e">
            <v>#DIV/0!</v>
          </cell>
          <cell r="AX245" t="e">
            <v>#DIV/0!</v>
          </cell>
          <cell r="AY245" t="e">
            <v>#DIV/0!</v>
          </cell>
          <cell r="AZ245" t="e">
            <v>#DIV/0!</v>
          </cell>
          <cell r="BE245" t="e">
            <v>#DIV/0!</v>
          </cell>
          <cell r="BF245" t="e">
            <v>#DIV/0!</v>
          </cell>
        </row>
        <row r="246">
          <cell r="A246" t="str">
            <v>-0</v>
          </cell>
          <cell r="B246" t="str">
            <v xml:space="preserve">-0  , </v>
          </cell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>
            <v>0</v>
          </cell>
          <cell r="Y246">
            <v>0</v>
          </cell>
          <cell r="Z246">
            <v>0</v>
          </cell>
          <cell r="AA246" t="str">
            <v>,</v>
          </cell>
          <cell r="AB246" t="str">
            <v>,</v>
          </cell>
          <cell r="AC246" t="e">
            <v>#DIV/0!</v>
          </cell>
          <cell r="AD246" t="e">
            <v>#DIV/0!</v>
          </cell>
          <cell r="AE246">
            <v>0.71</v>
          </cell>
          <cell r="AF246">
            <v>94.97</v>
          </cell>
          <cell r="AG246">
            <v>0</v>
          </cell>
          <cell r="AH246" t="e">
            <v>#DIV/0!</v>
          </cell>
          <cell r="AI246" t="e">
            <v>#DIV/0!</v>
          </cell>
          <cell r="AJ246" t="e">
            <v>#DIV/0!</v>
          </cell>
          <cell r="AK246" t="e">
            <v>#DIV/0!</v>
          </cell>
          <cell r="AL246" t="e">
            <v>#DIV/0!</v>
          </cell>
          <cell r="AM246" t="e">
            <v>#DIV/0!</v>
          </cell>
          <cell r="AN246" t="e">
            <v>#DIV/0!</v>
          </cell>
          <cell r="AO246" t="e">
            <v>#REF!</v>
          </cell>
          <cell r="AP246" t="e">
            <v>#REF!</v>
          </cell>
          <cell r="AQ246" t="e">
            <v>#REF!</v>
          </cell>
          <cell r="AR246" t="e">
            <v>#REF!</v>
          </cell>
          <cell r="AS246" t="e">
            <v>#REF!</v>
          </cell>
          <cell r="AT246" t="e">
            <v>#REF!</v>
          </cell>
          <cell r="AU246" t="e">
            <v>#REF!</v>
          </cell>
          <cell r="AV246" t="e">
            <v>#REF!</v>
          </cell>
          <cell r="AW246" t="e">
            <v>#DIV/0!</v>
          </cell>
          <cell r="AX246" t="e">
            <v>#DIV/0!</v>
          </cell>
          <cell r="AY246" t="e">
            <v>#DIV/0!</v>
          </cell>
          <cell r="AZ246" t="e">
            <v>#DIV/0!</v>
          </cell>
          <cell r="BE246" t="e">
            <v>#DIV/0!</v>
          </cell>
          <cell r="BF246" t="e">
            <v>#DIV/0!</v>
          </cell>
        </row>
        <row r="247">
          <cell r="A247" t="str">
            <v>-0</v>
          </cell>
          <cell r="B247" t="str">
            <v xml:space="preserve">-0  , </v>
          </cell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>
            <v>0</v>
          </cell>
          <cell r="Y247">
            <v>0</v>
          </cell>
          <cell r="Z247">
            <v>0</v>
          </cell>
          <cell r="AA247" t="str">
            <v>,</v>
          </cell>
          <cell r="AB247" t="str">
            <v>,</v>
          </cell>
          <cell r="AC247" t="e">
            <v>#DIV/0!</v>
          </cell>
          <cell r="AD247" t="e">
            <v>#DIV/0!</v>
          </cell>
          <cell r="AE247">
            <v>0.71</v>
          </cell>
          <cell r="AF247">
            <v>94.97</v>
          </cell>
          <cell r="AG247">
            <v>0</v>
          </cell>
          <cell r="AH247" t="e">
            <v>#DIV/0!</v>
          </cell>
          <cell r="AI247" t="e">
            <v>#DIV/0!</v>
          </cell>
          <cell r="AJ247" t="e">
            <v>#DIV/0!</v>
          </cell>
          <cell r="AK247" t="e">
            <v>#DIV/0!</v>
          </cell>
          <cell r="AL247" t="e">
            <v>#DIV/0!</v>
          </cell>
          <cell r="AM247" t="e">
            <v>#DIV/0!</v>
          </cell>
          <cell r="AN247" t="e">
            <v>#DIV/0!</v>
          </cell>
          <cell r="AO247" t="e">
            <v>#REF!</v>
          </cell>
          <cell r="AP247" t="e">
            <v>#REF!</v>
          </cell>
          <cell r="AQ247" t="e">
            <v>#REF!</v>
          </cell>
          <cell r="AR247" t="e">
            <v>#REF!</v>
          </cell>
          <cell r="AS247" t="e">
            <v>#REF!</v>
          </cell>
          <cell r="AT247" t="e">
            <v>#REF!</v>
          </cell>
          <cell r="AU247" t="e">
            <v>#REF!</v>
          </cell>
          <cell r="AV247" t="e">
            <v>#REF!</v>
          </cell>
          <cell r="AW247" t="e">
            <v>#DIV/0!</v>
          </cell>
          <cell r="AX247" t="e">
            <v>#DIV/0!</v>
          </cell>
          <cell r="AY247" t="e">
            <v>#DIV/0!</v>
          </cell>
          <cell r="AZ247" t="e">
            <v>#DIV/0!</v>
          </cell>
          <cell r="BE247" t="e">
            <v>#DIV/0!</v>
          </cell>
          <cell r="BF247" t="e">
            <v>#DIV/0!</v>
          </cell>
        </row>
        <row r="248">
          <cell r="A248" t="str">
            <v>-0</v>
          </cell>
          <cell r="B248" t="str">
            <v xml:space="preserve">-0  , </v>
          </cell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>
            <v>0</v>
          </cell>
          <cell r="Y248">
            <v>0</v>
          </cell>
          <cell r="Z248">
            <v>0</v>
          </cell>
          <cell r="AA248" t="str">
            <v>,</v>
          </cell>
          <cell r="AB248" t="str">
            <v>,</v>
          </cell>
          <cell r="AC248" t="e">
            <v>#DIV/0!</v>
          </cell>
          <cell r="AD248" t="e">
            <v>#DIV/0!</v>
          </cell>
          <cell r="AE248">
            <v>0.71</v>
          </cell>
          <cell r="AF248">
            <v>94.97</v>
          </cell>
          <cell r="AG248">
            <v>0</v>
          </cell>
          <cell r="AH248" t="e">
            <v>#DIV/0!</v>
          </cell>
          <cell r="AI248" t="e">
            <v>#DIV/0!</v>
          </cell>
          <cell r="AJ248" t="e">
            <v>#DIV/0!</v>
          </cell>
          <cell r="AK248" t="e">
            <v>#DIV/0!</v>
          </cell>
          <cell r="AL248" t="e">
            <v>#DIV/0!</v>
          </cell>
          <cell r="AM248" t="e">
            <v>#DIV/0!</v>
          </cell>
          <cell r="AN248" t="e">
            <v>#DIV/0!</v>
          </cell>
          <cell r="AO248" t="e">
            <v>#REF!</v>
          </cell>
          <cell r="AP248" t="e">
            <v>#REF!</v>
          </cell>
          <cell r="AQ248" t="e">
            <v>#REF!</v>
          </cell>
          <cell r="AR248" t="e">
            <v>#REF!</v>
          </cell>
          <cell r="AS248" t="e">
            <v>#REF!</v>
          </cell>
          <cell r="AT248" t="e">
            <v>#REF!</v>
          </cell>
          <cell r="AU248" t="e">
            <v>#REF!</v>
          </cell>
          <cell r="AV248" t="e">
            <v>#REF!</v>
          </cell>
          <cell r="AW248" t="e">
            <v>#DIV/0!</v>
          </cell>
          <cell r="AX248" t="e">
            <v>#DIV/0!</v>
          </cell>
          <cell r="AY248" t="e">
            <v>#DIV/0!</v>
          </cell>
          <cell r="AZ248" t="e">
            <v>#DIV/0!</v>
          </cell>
          <cell r="BE248" t="e">
            <v>#DIV/0!</v>
          </cell>
          <cell r="BF248" t="e">
            <v>#DIV/0!</v>
          </cell>
        </row>
        <row r="249">
          <cell r="A249" t="str">
            <v>-0</v>
          </cell>
          <cell r="B249" t="str">
            <v xml:space="preserve">-0  , </v>
          </cell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>
            <v>0</v>
          </cell>
          <cell r="Y249">
            <v>0</v>
          </cell>
          <cell r="Z249">
            <v>0</v>
          </cell>
          <cell r="AA249" t="str">
            <v>,</v>
          </cell>
          <cell r="AB249" t="str">
            <v>,</v>
          </cell>
          <cell r="AC249" t="e">
            <v>#DIV/0!</v>
          </cell>
          <cell r="AD249" t="e">
            <v>#DIV/0!</v>
          </cell>
          <cell r="AE249">
            <v>0.71</v>
          </cell>
          <cell r="AF249">
            <v>94.97</v>
          </cell>
          <cell r="AG249">
            <v>0</v>
          </cell>
          <cell r="AH249" t="e">
            <v>#DIV/0!</v>
          </cell>
          <cell r="AI249" t="e">
            <v>#DIV/0!</v>
          </cell>
          <cell r="AJ249" t="e">
            <v>#DIV/0!</v>
          </cell>
          <cell r="AK249" t="e">
            <v>#DIV/0!</v>
          </cell>
          <cell r="AL249" t="e">
            <v>#DIV/0!</v>
          </cell>
          <cell r="AM249" t="e">
            <v>#DIV/0!</v>
          </cell>
          <cell r="AN249" t="e">
            <v>#DIV/0!</v>
          </cell>
          <cell r="AO249" t="e">
            <v>#REF!</v>
          </cell>
          <cell r="AP249" t="e">
            <v>#REF!</v>
          </cell>
          <cell r="AQ249" t="e">
            <v>#REF!</v>
          </cell>
          <cell r="AR249" t="e">
            <v>#REF!</v>
          </cell>
          <cell r="AS249" t="e">
            <v>#REF!</v>
          </cell>
          <cell r="AT249" t="e">
            <v>#REF!</v>
          </cell>
          <cell r="AU249" t="e">
            <v>#REF!</v>
          </cell>
          <cell r="AV249" t="e">
            <v>#REF!</v>
          </cell>
          <cell r="AW249" t="e">
            <v>#DIV/0!</v>
          </cell>
          <cell r="AX249" t="e">
            <v>#DIV/0!</v>
          </cell>
          <cell r="AY249" t="e">
            <v>#DIV/0!</v>
          </cell>
          <cell r="AZ249" t="e">
            <v>#DIV/0!</v>
          </cell>
          <cell r="BE249" t="e">
            <v>#DIV/0!</v>
          </cell>
          <cell r="BF249" t="e">
            <v>#DIV/0!</v>
          </cell>
        </row>
        <row r="250">
          <cell r="A250" t="str">
            <v>-0</v>
          </cell>
          <cell r="B250" t="str">
            <v xml:space="preserve">-0  , </v>
          </cell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>
            <v>0</v>
          </cell>
          <cell r="Y250">
            <v>0</v>
          </cell>
          <cell r="Z250">
            <v>0</v>
          </cell>
          <cell r="AA250" t="str">
            <v>,</v>
          </cell>
          <cell r="AB250" t="str">
            <v>,</v>
          </cell>
          <cell r="AC250" t="e">
            <v>#DIV/0!</v>
          </cell>
          <cell r="AD250" t="e">
            <v>#DIV/0!</v>
          </cell>
          <cell r="AE250">
            <v>0.71</v>
          </cell>
          <cell r="AF250">
            <v>94.97</v>
          </cell>
          <cell r="AG250">
            <v>0</v>
          </cell>
          <cell r="AH250" t="e">
            <v>#DIV/0!</v>
          </cell>
          <cell r="AI250" t="e">
            <v>#DIV/0!</v>
          </cell>
          <cell r="AJ250" t="e">
            <v>#DIV/0!</v>
          </cell>
          <cell r="AK250" t="e">
            <v>#DIV/0!</v>
          </cell>
          <cell r="AL250" t="e">
            <v>#DIV/0!</v>
          </cell>
          <cell r="AM250" t="e">
            <v>#DIV/0!</v>
          </cell>
          <cell r="AN250" t="e">
            <v>#DIV/0!</v>
          </cell>
          <cell r="AO250" t="e">
            <v>#REF!</v>
          </cell>
          <cell r="AP250" t="e">
            <v>#REF!</v>
          </cell>
          <cell r="AQ250" t="e">
            <v>#REF!</v>
          </cell>
          <cell r="AR250" t="e">
            <v>#REF!</v>
          </cell>
          <cell r="AS250" t="e">
            <v>#REF!</v>
          </cell>
          <cell r="AT250" t="e">
            <v>#REF!</v>
          </cell>
          <cell r="AU250" t="e">
            <v>#REF!</v>
          </cell>
          <cell r="AV250" t="e">
            <v>#REF!</v>
          </cell>
          <cell r="AW250" t="e">
            <v>#DIV/0!</v>
          </cell>
          <cell r="AX250" t="e">
            <v>#DIV/0!</v>
          </cell>
          <cell r="AY250" t="e">
            <v>#DIV/0!</v>
          </cell>
          <cell r="AZ250" t="e">
            <v>#DIV/0!</v>
          </cell>
          <cell r="BE250" t="e">
            <v>#DIV/0!</v>
          </cell>
          <cell r="BF250" t="e">
            <v>#DIV/0!</v>
          </cell>
        </row>
        <row r="251">
          <cell r="A251" t="str">
            <v>-0</v>
          </cell>
          <cell r="B251" t="str">
            <v xml:space="preserve">-0  , </v>
          </cell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>
            <v>0</v>
          </cell>
          <cell r="Y251">
            <v>0</v>
          </cell>
          <cell r="Z251">
            <v>0</v>
          </cell>
          <cell r="AA251" t="str">
            <v>,</v>
          </cell>
          <cell r="AB251" t="str">
            <v>,</v>
          </cell>
          <cell r="AC251" t="e">
            <v>#DIV/0!</v>
          </cell>
          <cell r="AD251" t="e">
            <v>#DIV/0!</v>
          </cell>
          <cell r="AE251">
            <v>0.71</v>
          </cell>
          <cell r="AF251">
            <v>94.97</v>
          </cell>
          <cell r="AG251">
            <v>0</v>
          </cell>
          <cell r="AH251" t="e">
            <v>#DIV/0!</v>
          </cell>
          <cell r="AI251" t="e">
            <v>#DIV/0!</v>
          </cell>
          <cell r="AJ251" t="e">
            <v>#DIV/0!</v>
          </cell>
          <cell r="AK251" t="e">
            <v>#DIV/0!</v>
          </cell>
          <cell r="AL251" t="e">
            <v>#DIV/0!</v>
          </cell>
          <cell r="AM251" t="e">
            <v>#DIV/0!</v>
          </cell>
          <cell r="AN251" t="e">
            <v>#DIV/0!</v>
          </cell>
          <cell r="AO251" t="e">
            <v>#REF!</v>
          </cell>
          <cell r="AP251" t="e">
            <v>#REF!</v>
          </cell>
          <cell r="AQ251" t="e">
            <v>#REF!</v>
          </cell>
          <cell r="AR251" t="e">
            <v>#REF!</v>
          </cell>
          <cell r="AS251" t="e">
            <v>#REF!</v>
          </cell>
          <cell r="AT251" t="e">
            <v>#REF!</v>
          </cell>
          <cell r="AU251" t="e">
            <v>#REF!</v>
          </cell>
          <cell r="AV251" t="e">
            <v>#REF!</v>
          </cell>
          <cell r="AW251" t="e">
            <v>#DIV/0!</v>
          </cell>
          <cell r="AX251" t="e">
            <v>#DIV/0!</v>
          </cell>
          <cell r="AY251" t="e">
            <v>#DIV/0!</v>
          </cell>
          <cell r="AZ251" t="e">
            <v>#DIV/0!</v>
          </cell>
          <cell r="BE251" t="e">
            <v>#DIV/0!</v>
          </cell>
          <cell r="BF251" t="e">
            <v>#DIV/0!</v>
          </cell>
        </row>
        <row r="252">
          <cell r="A252" t="str">
            <v>-0</v>
          </cell>
          <cell r="B252" t="str">
            <v xml:space="preserve">-0  , </v>
          </cell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>
            <v>0</v>
          </cell>
          <cell r="Y252">
            <v>0</v>
          </cell>
          <cell r="Z252">
            <v>0</v>
          </cell>
          <cell r="AA252" t="str">
            <v>,</v>
          </cell>
          <cell r="AB252" t="str">
            <v>,</v>
          </cell>
          <cell r="AC252" t="e">
            <v>#DIV/0!</v>
          </cell>
          <cell r="AD252" t="e">
            <v>#DIV/0!</v>
          </cell>
          <cell r="AE252">
            <v>0.71</v>
          </cell>
          <cell r="AF252">
            <v>94.97</v>
          </cell>
          <cell r="AG252">
            <v>0</v>
          </cell>
          <cell r="AH252" t="e">
            <v>#DIV/0!</v>
          </cell>
          <cell r="AI252" t="e">
            <v>#DIV/0!</v>
          </cell>
          <cell r="AJ252" t="e">
            <v>#DIV/0!</v>
          </cell>
          <cell r="AK252" t="e">
            <v>#DIV/0!</v>
          </cell>
          <cell r="AL252" t="e">
            <v>#DIV/0!</v>
          </cell>
          <cell r="AM252" t="e">
            <v>#DIV/0!</v>
          </cell>
          <cell r="AN252" t="e">
            <v>#DIV/0!</v>
          </cell>
          <cell r="AO252" t="e">
            <v>#REF!</v>
          </cell>
          <cell r="AP252" t="e">
            <v>#REF!</v>
          </cell>
          <cell r="AQ252" t="e">
            <v>#REF!</v>
          </cell>
          <cell r="AR252" t="e">
            <v>#REF!</v>
          </cell>
          <cell r="AS252" t="e">
            <v>#REF!</v>
          </cell>
          <cell r="AT252" t="e">
            <v>#REF!</v>
          </cell>
          <cell r="AU252" t="e">
            <v>#REF!</v>
          </cell>
          <cell r="AV252" t="e">
            <v>#REF!</v>
          </cell>
          <cell r="AW252" t="e">
            <v>#DIV/0!</v>
          </cell>
          <cell r="AX252" t="e">
            <v>#DIV/0!</v>
          </cell>
          <cell r="AY252" t="e">
            <v>#DIV/0!</v>
          </cell>
          <cell r="AZ252" t="e">
            <v>#DIV/0!</v>
          </cell>
          <cell r="BE252" t="e">
            <v>#DIV/0!</v>
          </cell>
          <cell r="BF252" t="e">
            <v>#DIV/0!</v>
          </cell>
        </row>
        <row r="253">
          <cell r="A253" t="str">
            <v>-0</v>
          </cell>
          <cell r="B253" t="str">
            <v xml:space="preserve">-0  , </v>
          </cell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>
            <v>0</v>
          </cell>
          <cell r="Y253">
            <v>0</v>
          </cell>
          <cell r="Z253">
            <v>0</v>
          </cell>
          <cell r="AA253" t="str">
            <v>,</v>
          </cell>
          <cell r="AB253" t="str">
            <v>,</v>
          </cell>
          <cell r="AC253" t="e">
            <v>#DIV/0!</v>
          </cell>
          <cell r="AD253" t="e">
            <v>#DIV/0!</v>
          </cell>
          <cell r="AE253">
            <v>0.71</v>
          </cell>
          <cell r="AF253">
            <v>94.97</v>
          </cell>
          <cell r="AG253">
            <v>0</v>
          </cell>
          <cell r="AH253" t="e">
            <v>#DIV/0!</v>
          </cell>
          <cell r="AI253" t="e">
            <v>#DIV/0!</v>
          </cell>
          <cell r="AJ253" t="e">
            <v>#DIV/0!</v>
          </cell>
          <cell r="AK253" t="e">
            <v>#DIV/0!</v>
          </cell>
          <cell r="AL253" t="e">
            <v>#DIV/0!</v>
          </cell>
          <cell r="AM253" t="e">
            <v>#DIV/0!</v>
          </cell>
          <cell r="AN253" t="e">
            <v>#DIV/0!</v>
          </cell>
          <cell r="AO253" t="e">
            <v>#REF!</v>
          </cell>
          <cell r="AP253" t="e">
            <v>#REF!</v>
          </cell>
          <cell r="AQ253" t="e">
            <v>#REF!</v>
          </cell>
          <cell r="AR253" t="e">
            <v>#REF!</v>
          </cell>
          <cell r="AS253" t="e">
            <v>#REF!</v>
          </cell>
          <cell r="AT253" t="e">
            <v>#REF!</v>
          </cell>
          <cell r="AU253" t="e">
            <v>#REF!</v>
          </cell>
          <cell r="AV253" t="e">
            <v>#REF!</v>
          </cell>
          <cell r="AW253" t="e">
            <v>#DIV/0!</v>
          </cell>
          <cell r="AX253" t="e">
            <v>#DIV/0!</v>
          </cell>
          <cell r="AY253" t="e">
            <v>#DIV/0!</v>
          </cell>
          <cell r="AZ253" t="e">
            <v>#DIV/0!</v>
          </cell>
          <cell r="BE253" t="e">
            <v>#DIV/0!</v>
          </cell>
          <cell r="BF253" t="e">
            <v>#DIV/0!</v>
          </cell>
        </row>
        <row r="254">
          <cell r="A254" t="str">
            <v>-0</v>
          </cell>
          <cell r="B254" t="str">
            <v xml:space="preserve">-0  , </v>
          </cell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>
            <v>0</v>
          </cell>
          <cell r="Y254">
            <v>0</v>
          </cell>
          <cell r="Z254">
            <v>0</v>
          </cell>
          <cell r="AA254" t="str">
            <v>,</v>
          </cell>
          <cell r="AB254" t="str">
            <v>,</v>
          </cell>
          <cell r="AC254" t="e">
            <v>#DIV/0!</v>
          </cell>
          <cell r="AD254" t="e">
            <v>#DIV/0!</v>
          </cell>
          <cell r="AE254">
            <v>0.71</v>
          </cell>
          <cell r="AF254">
            <v>94.97</v>
          </cell>
          <cell r="AG254">
            <v>0</v>
          </cell>
          <cell r="AH254" t="e">
            <v>#DIV/0!</v>
          </cell>
          <cell r="AI254" t="e">
            <v>#DIV/0!</v>
          </cell>
          <cell r="AJ254" t="e">
            <v>#DIV/0!</v>
          </cell>
          <cell r="AK254" t="e">
            <v>#DIV/0!</v>
          </cell>
          <cell r="AL254" t="e">
            <v>#DIV/0!</v>
          </cell>
          <cell r="AM254" t="e">
            <v>#DIV/0!</v>
          </cell>
          <cell r="AN254" t="e">
            <v>#DIV/0!</v>
          </cell>
          <cell r="AO254" t="e">
            <v>#REF!</v>
          </cell>
          <cell r="AP254" t="e">
            <v>#REF!</v>
          </cell>
          <cell r="AQ254" t="e">
            <v>#REF!</v>
          </cell>
          <cell r="AR254" t="e">
            <v>#REF!</v>
          </cell>
          <cell r="AS254" t="e">
            <v>#REF!</v>
          </cell>
          <cell r="AT254" t="e">
            <v>#REF!</v>
          </cell>
          <cell r="AU254" t="e">
            <v>#REF!</v>
          </cell>
          <cell r="AV254" t="e">
            <v>#REF!</v>
          </cell>
          <cell r="AW254" t="e">
            <v>#DIV/0!</v>
          </cell>
          <cell r="AX254" t="e">
            <v>#DIV/0!</v>
          </cell>
          <cell r="AY254" t="e">
            <v>#DIV/0!</v>
          </cell>
          <cell r="AZ254" t="e">
            <v>#DIV/0!</v>
          </cell>
          <cell r="BE254" t="e">
            <v>#DIV/0!</v>
          </cell>
          <cell r="BF254" t="e">
            <v>#DIV/0!</v>
          </cell>
        </row>
        <row r="255">
          <cell r="A255" t="str">
            <v>-0</v>
          </cell>
          <cell r="B255" t="str">
            <v xml:space="preserve">-0  , </v>
          </cell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>
            <v>0</v>
          </cell>
          <cell r="Y255">
            <v>0</v>
          </cell>
          <cell r="Z255">
            <v>0</v>
          </cell>
          <cell r="AA255" t="str">
            <v>,</v>
          </cell>
          <cell r="AB255" t="str">
            <v>,</v>
          </cell>
          <cell r="AC255" t="e">
            <v>#DIV/0!</v>
          </cell>
          <cell r="AD255" t="e">
            <v>#DIV/0!</v>
          </cell>
          <cell r="AE255">
            <v>0.71</v>
          </cell>
          <cell r="AF255">
            <v>94.97</v>
          </cell>
          <cell r="AG255">
            <v>0</v>
          </cell>
          <cell r="AH255" t="e">
            <v>#DIV/0!</v>
          </cell>
          <cell r="AI255" t="e">
            <v>#DIV/0!</v>
          </cell>
          <cell r="AJ255" t="e">
            <v>#DIV/0!</v>
          </cell>
          <cell r="AK255" t="e">
            <v>#DIV/0!</v>
          </cell>
          <cell r="AL255" t="e">
            <v>#DIV/0!</v>
          </cell>
          <cell r="AM255" t="e">
            <v>#DIV/0!</v>
          </cell>
          <cell r="AN255" t="e">
            <v>#DIV/0!</v>
          </cell>
          <cell r="AO255" t="e">
            <v>#REF!</v>
          </cell>
          <cell r="AP255" t="e">
            <v>#REF!</v>
          </cell>
          <cell r="AQ255" t="e">
            <v>#REF!</v>
          </cell>
          <cell r="AR255" t="e">
            <v>#REF!</v>
          </cell>
          <cell r="AS255" t="e">
            <v>#REF!</v>
          </cell>
          <cell r="AT255" t="e">
            <v>#REF!</v>
          </cell>
          <cell r="AU255" t="e">
            <v>#REF!</v>
          </cell>
          <cell r="AV255" t="e">
            <v>#REF!</v>
          </cell>
          <cell r="AW255" t="e">
            <v>#DIV/0!</v>
          </cell>
          <cell r="AX255" t="e">
            <v>#DIV/0!</v>
          </cell>
          <cell r="AY255" t="e">
            <v>#DIV/0!</v>
          </cell>
          <cell r="AZ255" t="e">
            <v>#DIV/0!</v>
          </cell>
          <cell r="BE255" t="e">
            <v>#DIV/0!</v>
          </cell>
          <cell r="BF255" t="e">
            <v>#DIV/0!</v>
          </cell>
        </row>
        <row r="256">
          <cell r="A256" t="str">
            <v>-0</v>
          </cell>
          <cell r="B256" t="str">
            <v xml:space="preserve">-0  , </v>
          </cell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>
            <v>0</v>
          </cell>
          <cell r="Y256">
            <v>0</v>
          </cell>
          <cell r="Z256">
            <v>0</v>
          </cell>
          <cell r="AA256" t="str">
            <v>,</v>
          </cell>
          <cell r="AB256" t="str">
            <v>,</v>
          </cell>
          <cell r="AC256" t="e">
            <v>#DIV/0!</v>
          </cell>
          <cell r="AD256" t="e">
            <v>#DIV/0!</v>
          </cell>
          <cell r="AE256">
            <v>0.71</v>
          </cell>
          <cell r="AF256">
            <v>94.97</v>
          </cell>
          <cell r="AG256">
            <v>0</v>
          </cell>
          <cell r="AH256" t="e">
            <v>#DIV/0!</v>
          </cell>
          <cell r="AI256" t="e">
            <v>#DIV/0!</v>
          </cell>
          <cell r="AJ256" t="e">
            <v>#DIV/0!</v>
          </cell>
          <cell r="AK256" t="e">
            <v>#DIV/0!</v>
          </cell>
          <cell r="AL256" t="e">
            <v>#DIV/0!</v>
          </cell>
          <cell r="AM256" t="e">
            <v>#DIV/0!</v>
          </cell>
          <cell r="AN256" t="e">
            <v>#DIV/0!</v>
          </cell>
          <cell r="AO256" t="e">
            <v>#REF!</v>
          </cell>
          <cell r="AP256" t="e">
            <v>#REF!</v>
          </cell>
          <cell r="AQ256" t="e">
            <v>#REF!</v>
          </cell>
          <cell r="AR256" t="e">
            <v>#REF!</v>
          </cell>
          <cell r="AS256" t="e">
            <v>#REF!</v>
          </cell>
          <cell r="AT256" t="e">
            <v>#REF!</v>
          </cell>
          <cell r="AU256" t="e">
            <v>#REF!</v>
          </cell>
          <cell r="AV256" t="e">
            <v>#REF!</v>
          </cell>
          <cell r="AW256" t="e">
            <v>#DIV/0!</v>
          </cell>
          <cell r="AX256" t="e">
            <v>#DIV/0!</v>
          </cell>
          <cell r="AY256" t="e">
            <v>#DIV/0!</v>
          </cell>
          <cell r="AZ256" t="e">
            <v>#DIV/0!</v>
          </cell>
          <cell r="BE256" t="e">
            <v>#DIV/0!</v>
          </cell>
          <cell r="BF256" t="e">
            <v>#DIV/0!</v>
          </cell>
        </row>
        <row r="257">
          <cell r="A257" t="str">
            <v>-0</v>
          </cell>
          <cell r="B257" t="str">
            <v xml:space="preserve">-0  , </v>
          </cell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>
            <v>0</v>
          </cell>
          <cell r="Y257">
            <v>0</v>
          </cell>
          <cell r="Z257">
            <v>0</v>
          </cell>
          <cell r="AA257" t="str">
            <v>,</v>
          </cell>
          <cell r="AB257" t="str">
            <v>,</v>
          </cell>
          <cell r="AC257" t="e">
            <v>#DIV/0!</v>
          </cell>
          <cell r="AD257" t="e">
            <v>#DIV/0!</v>
          </cell>
          <cell r="AE257">
            <v>0.71</v>
          </cell>
          <cell r="AF257">
            <v>94.97</v>
          </cell>
          <cell r="AG257">
            <v>0</v>
          </cell>
          <cell r="AH257" t="e">
            <v>#DIV/0!</v>
          </cell>
          <cell r="AI257" t="e">
            <v>#DIV/0!</v>
          </cell>
          <cell r="AJ257" t="e">
            <v>#DIV/0!</v>
          </cell>
          <cell r="AK257" t="e">
            <v>#DIV/0!</v>
          </cell>
          <cell r="AL257" t="e">
            <v>#DIV/0!</v>
          </cell>
          <cell r="AM257" t="e">
            <v>#DIV/0!</v>
          </cell>
          <cell r="AN257" t="e">
            <v>#DIV/0!</v>
          </cell>
          <cell r="AO257" t="e">
            <v>#REF!</v>
          </cell>
          <cell r="AP257" t="e">
            <v>#REF!</v>
          </cell>
          <cell r="AQ257" t="e">
            <v>#REF!</v>
          </cell>
          <cell r="AR257" t="e">
            <v>#REF!</v>
          </cell>
          <cell r="AS257" t="e">
            <v>#REF!</v>
          </cell>
          <cell r="AT257" t="e">
            <v>#REF!</v>
          </cell>
          <cell r="AU257" t="e">
            <v>#REF!</v>
          </cell>
          <cell r="AV257" t="e">
            <v>#REF!</v>
          </cell>
          <cell r="AW257" t="e">
            <v>#DIV/0!</v>
          </cell>
          <cell r="AX257" t="e">
            <v>#DIV/0!</v>
          </cell>
          <cell r="AY257" t="e">
            <v>#DIV/0!</v>
          </cell>
          <cell r="AZ257" t="e">
            <v>#DIV/0!</v>
          </cell>
          <cell r="BE257" t="e">
            <v>#DIV/0!</v>
          </cell>
          <cell r="BF257" t="e">
            <v>#DIV/0!</v>
          </cell>
        </row>
        <row r="258">
          <cell r="A258" t="str">
            <v>-0</v>
          </cell>
          <cell r="B258" t="str">
            <v xml:space="preserve">-0  , </v>
          </cell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>
            <v>0</v>
          </cell>
          <cell r="Y258">
            <v>0</v>
          </cell>
          <cell r="Z258">
            <v>0</v>
          </cell>
          <cell r="AA258" t="str">
            <v>,</v>
          </cell>
          <cell r="AB258" t="str">
            <v>,</v>
          </cell>
          <cell r="AC258" t="e">
            <v>#DIV/0!</v>
          </cell>
          <cell r="AD258" t="e">
            <v>#DIV/0!</v>
          </cell>
          <cell r="AE258">
            <v>0.71</v>
          </cell>
          <cell r="AF258">
            <v>94.97</v>
          </cell>
          <cell r="AG258">
            <v>0</v>
          </cell>
          <cell r="AH258" t="e">
            <v>#DIV/0!</v>
          </cell>
          <cell r="AI258" t="e">
            <v>#DIV/0!</v>
          </cell>
          <cell r="AJ258" t="e">
            <v>#DIV/0!</v>
          </cell>
          <cell r="AK258" t="e">
            <v>#DIV/0!</v>
          </cell>
          <cell r="AL258" t="e">
            <v>#DIV/0!</v>
          </cell>
          <cell r="AM258" t="e">
            <v>#DIV/0!</v>
          </cell>
          <cell r="AN258" t="e">
            <v>#DIV/0!</v>
          </cell>
          <cell r="AO258" t="e">
            <v>#REF!</v>
          </cell>
          <cell r="AP258" t="e">
            <v>#REF!</v>
          </cell>
          <cell r="AQ258" t="e">
            <v>#REF!</v>
          </cell>
          <cell r="AR258" t="e">
            <v>#REF!</v>
          </cell>
          <cell r="AS258" t="e">
            <v>#REF!</v>
          </cell>
          <cell r="AT258" t="e">
            <v>#REF!</v>
          </cell>
          <cell r="AU258" t="e">
            <v>#REF!</v>
          </cell>
          <cell r="AV258" t="e">
            <v>#REF!</v>
          </cell>
          <cell r="AW258" t="e">
            <v>#DIV/0!</v>
          </cell>
          <cell r="AX258" t="e">
            <v>#DIV/0!</v>
          </cell>
          <cell r="AY258" t="e">
            <v>#DIV/0!</v>
          </cell>
          <cell r="AZ258" t="e">
            <v>#DIV/0!</v>
          </cell>
          <cell r="BE258" t="e">
            <v>#DIV/0!</v>
          </cell>
          <cell r="BF258" t="e">
            <v>#DIV/0!</v>
          </cell>
        </row>
        <row r="259">
          <cell r="A259" t="str">
            <v>-0</v>
          </cell>
          <cell r="B259" t="str">
            <v xml:space="preserve">-0  , </v>
          </cell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>
            <v>0</v>
          </cell>
          <cell r="Y259">
            <v>0</v>
          </cell>
          <cell r="Z259">
            <v>0</v>
          </cell>
          <cell r="AA259" t="str">
            <v>,</v>
          </cell>
          <cell r="AB259" t="str">
            <v>,</v>
          </cell>
          <cell r="AC259" t="e">
            <v>#DIV/0!</v>
          </cell>
          <cell r="AD259" t="e">
            <v>#DIV/0!</v>
          </cell>
          <cell r="AE259">
            <v>0.71</v>
          </cell>
          <cell r="AF259">
            <v>94.97</v>
          </cell>
          <cell r="AG259">
            <v>0</v>
          </cell>
          <cell r="AH259" t="e">
            <v>#DIV/0!</v>
          </cell>
          <cell r="AI259" t="e">
            <v>#DIV/0!</v>
          </cell>
          <cell r="AJ259" t="e">
            <v>#DIV/0!</v>
          </cell>
          <cell r="AK259" t="e">
            <v>#DIV/0!</v>
          </cell>
          <cell r="AL259" t="e">
            <v>#DIV/0!</v>
          </cell>
          <cell r="AM259" t="e">
            <v>#DIV/0!</v>
          </cell>
          <cell r="AN259" t="e">
            <v>#DIV/0!</v>
          </cell>
          <cell r="AO259" t="e">
            <v>#REF!</v>
          </cell>
          <cell r="AP259" t="e">
            <v>#REF!</v>
          </cell>
          <cell r="AQ259" t="e">
            <v>#REF!</v>
          </cell>
          <cell r="AR259" t="e">
            <v>#REF!</v>
          </cell>
          <cell r="AS259" t="e">
            <v>#REF!</v>
          </cell>
          <cell r="AT259" t="e">
            <v>#REF!</v>
          </cell>
          <cell r="AU259" t="e">
            <v>#REF!</v>
          </cell>
          <cell r="AV259" t="e">
            <v>#REF!</v>
          </cell>
          <cell r="AW259" t="e">
            <v>#DIV/0!</v>
          </cell>
          <cell r="AX259" t="e">
            <v>#DIV/0!</v>
          </cell>
          <cell r="AY259" t="e">
            <v>#DIV/0!</v>
          </cell>
          <cell r="AZ259" t="e">
            <v>#DIV/0!</v>
          </cell>
          <cell r="BE259" t="e">
            <v>#DIV/0!</v>
          </cell>
          <cell r="BF259" t="e">
            <v>#DIV/0!</v>
          </cell>
        </row>
        <row r="260">
          <cell r="A260" t="str">
            <v>-0</v>
          </cell>
          <cell r="B260" t="str">
            <v xml:space="preserve">-0  , </v>
          </cell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>
            <v>0</v>
          </cell>
          <cell r="Y260">
            <v>0</v>
          </cell>
          <cell r="Z260">
            <v>0</v>
          </cell>
          <cell r="AA260" t="str">
            <v>,</v>
          </cell>
          <cell r="AB260" t="str">
            <v>,</v>
          </cell>
          <cell r="AC260" t="e">
            <v>#DIV/0!</v>
          </cell>
          <cell r="AD260" t="e">
            <v>#DIV/0!</v>
          </cell>
          <cell r="AE260">
            <v>0.71</v>
          </cell>
          <cell r="AF260">
            <v>94.97</v>
          </cell>
          <cell r="AG260">
            <v>0</v>
          </cell>
          <cell r="AH260" t="e">
            <v>#DIV/0!</v>
          </cell>
          <cell r="AI260" t="e">
            <v>#DIV/0!</v>
          </cell>
          <cell r="AJ260" t="e">
            <v>#DIV/0!</v>
          </cell>
          <cell r="AK260" t="e">
            <v>#DIV/0!</v>
          </cell>
          <cell r="AL260" t="e">
            <v>#DIV/0!</v>
          </cell>
          <cell r="AM260" t="e">
            <v>#DIV/0!</v>
          </cell>
          <cell r="AN260" t="e">
            <v>#DIV/0!</v>
          </cell>
          <cell r="AO260" t="e">
            <v>#REF!</v>
          </cell>
          <cell r="AP260" t="e">
            <v>#REF!</v>
          </cell>
          <cell r="AQ260" t="e">
            <v>#REF!</v>
          </cell>
          <cell r="AR260" t="e">
            <v>#REF!</v>
          </cell>
          <cell r="AS260" t="e">
            <v>#REF!</v>
          </cell>
          <cell r="AT260" t="e">
            <v>#REF!</v>
          </cell>
          <cell r="AU260" t="e">
            <v>#REF!</v>
          </cell>
          <cell r="AV260" t="e">
            <v>#REF!</v>
          </cell>
          <cell r="AW260" t="e">
            <v>#DIV/0!</v>
          </cell>
          <cell r="AX260" t="e">
            <v>#DIV/0!</v>
          </cell>
          <cell r="AY260" t="e">
            <v>#DIV/0!</v>
          </cell>
          <cell r="AZ260" t="e">
            <v>#DIV/0!</v>
          </cell>
          <cell r="BE260" t="e">
            <v>#DIV/0!</v>
          </cell>
          <cell r="BF260" t="e">
            <v>#DIV/0!</v>
          </cell>
        </row>
        <row r="261">
          <cell r="A261" t="str">
            <v>-0</v>
          </cell>
          <cell r="B261" t="str">
            <v xml:space="preserve">-0  , </v>
          </cell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>
            <v>0</v>
          </cell>
          <cell r="Y261">
            <v>0</v>
          </cell>
          <cell r="Z261">
            <v>0</v>
          </cell>
          <cell r="AA261" t="str">
            <v>,</v>
          </cell>
          <cell r="AB261" t="str">
            <v>,</v>
          </cell>
          <cell r="AC261" t="e">
            <v>#DIV/0!</v>
          </cell>
          <cell r="AD261" t="e">
            <v>#DIV/0!</v>
          </cell>
          <cell r="AE261">
            <v>0.71</v>
          </cell>
          <cell r="AF261">
            <v>94.97</v>
          </cell>
          <cell r="AG261">
            <v>0</v>
          </cell>
          <cell r="AH261" t="e">
            <v>#DIV/0!</v>
          </cell>
          <cell r="AI261" t="e">
            <v>#DIV/0!</v>
          </cell>
          <cell r="AJ261" t="e">
            <v>#DIV/0!</v>
          </cell>
          <cell r="AK261" t="e">
            <v>#DIV/0!</v>
          </cell>
          <cell r="AL261" t="e">
            <v>#DIV/0!</v>
          </cell>
          <cell r="AM261" t="e">
            <v>#DIV/0!</v>
          </cell>
          <cell r="AN261" t="e">
            <v>#DIV/0!</v>
          </cell>
          <cell r="AO261" t="e">
            <v>#REF!</v>
          </cell>
          <cell r="AP261" t="e">
            <v>#REF!</v>
          </cell>
          <cell r="AQ261" t="e">
            <v>#REF!</v>
          </cell>
          <cell r="AR261" t="e">
            <v>#REF!</v>
          </cell>
          <cell r="AS261" t="e">
            <v>#REF!</v>
          </cell>
          <cell r="AT261" t="e">
            <v>#REF!</v>
          </cell>
          <cell r="AU261" t="e">
            <v>#REF!</v>
          </cell>
          <cell r="AV261" t="e">
            <v>#REF!</v>
          </cell>
          <cell r="AW261" t="e">
            <v>#DIV/0!</v>
          </cell>
          <cell r="AX261" t="e">
            <v>#DIV/0!</v>
          </cell>
          <cell r="AY261" t="e">
            <v>#DIV/0!</v>
          </cell>
          <cell r="AZ261" t="e">
            <v>#DIV/0!</v>
          </cell>
          <cell r="BE261" t="e">
            <v>#DIV/0!</v>
          </cell>
          <cell r="BF261" t="e">
            <v>#DIV/0!</v>
          </cell>
        </row>
        <row r="262">
          <cell r="A262" t="str">
            <v>-0</v>
          </cell>
          <cell r="B262" t="str">
            <v xml:space="preserve">-0  , </v>
          </cell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>
            <v>0</v>
          </cell>
          <cell r="Y262">
            <v>0</v>
          </cell>
          <cell r="Z262">
            <v>0</v>
          </cell>
          <cell r="AA262" t="str">
            <v>,</v>
          </cell>
          <cell r="AB262" t="str">
            <v>,</v>
          </cell>
          <cell r="AC262" t="e">
            <v>#DIV/0!</v>
          </cell>
          <cell r="AD262" t="e">
            <v>#DIV/0!</v>
          </cell>
          <cell r="AE262">
            <v>0.71</v>
          </cell>
          <cell r="AF262">
            <v>94.97</v>
          </cell>
          <cell r="AG262">
            <v>0</v>
          </cell>
          <cell r="AH262" t="e">
            <v>#DIV/0!</v>
          </cell>
          <cell r="AI262" t="e">
            <v>#DIV/0!</v>
          </cell>
          <cell r="AJ262" t="e">
            <v>#DIV/0!</v>
          </cell>
          <cell r="AK262" t="e">
            <v>#DIV/0!</v>
          </cell>
          <cell r="AL262" t="e">
            <v>#DIV/0!</v>
          </cell>
          <cell r="AM262" t="e">
            <v>#DIV/0!</v>
          </cell>
          <cell r="AN262" t="e">
            <v>#DIV/0!</v>
          </cell>
          <cell r="AO262" t="e">
            <v>#REF!</v>
          </cell>
          <cell r="AP262" t="e">
            <v>#REF!</v>
          </cell>
          <cell r="AQ262" t="e">
            <v>#REF!</v>
          </cell>
          <cell r="AR262" t="e">
            <v>#REF!</v>
          </cell>
          <cell r="AS262" t="e">
            <v>#REF!</v>
          </cell>
          <cell r="AT262" t="e">
            <v>#REF!</v>
          </cell>
          <cell r="AU262" t="e">
            <v>#REF!</v>
          </cell>
          <cell r="AV262" t="e">
            <v>#REF!</v>
          </cell>
          <cell r="AW262" t="e">
            <v>#DIV/0!</v>
          </cell>
          <cell r="AX262" t="e">
            <v>#DIV/0!</v>
          </cell>
          <cell r="AY262" t="e">
            <v>#DIV/0!</v>
          </cell>
          <cell r="AZ262" t="e">
            <v>#DIV/0!</v>
          </cell>
          <cell r="BE262" t="e">
            <v>#DIV/0!</v>
          </cell>
          <cell r="BF262" t="e">
            <v>#DIV/0!</v>
          </cell>
        </row>
        <row r="263">
          <cell r="A263" t="str">
            <v>-0</v>
          </cell>
          <cell r="B263" t="str">
            <v xml:space="preserve">-0  , </v>
          </cell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>
            <v>0</v>
          </cell>
          <cell r="Y263">
            <v>0</v>
          </cell>
          <cell r="Z263">
            <v>0</v>
          </cell>
          <cell r="AA263" t="str">
            <v>,</v>
          </cell>
          <cell r="AB263" t="str">
            <v>,</v>
          </cell>
          <cell r="AC263" t="e">
            <v>#DIV/0!</v>
          </cell>
          <cell r="AD263" t="e">
            <v>#DIV/0!</v>
          </cell>
          <cell r="AE263">
            <v>0.71</v>
          </cell>
          <cell r="AF263">
            <v>94.97</v>
          </cell>
          <cell r="AG263">
            <v>0</v>
          </cell>
          <cell r="AH263" t="e">
            <v>#DIV/0!</v>
          </cell>
          <cell r="AI263" t="e">
            <v>#DIV/0!</v>
          </cell>
          <cell r="AJ263" t="e">
            <v>#DIV/0!</v>
          </cell>
          <cell r="AK263" t="e">
            <v>#DIV/0!</v>
          </cell>
          <cell r="AL263" t="e">
            <v>#DIV/0!</v>
          </cell>
          <cell r="AM263" t="e">
            <v>#DIV/0!</v>
          </cell>
          <cell r="AN263" t="e">
            <v>#DIV/0!</v>
          </cell>
          <cell r="AO263" t="e">
            <v>#REF!</v>
          </cell>
          <cell r="AP263" t="e">
            <v>#REF!</v>
          </cell>
          <cell r="AQ263" t="e">
            <v>#REF!</v>
          </cell>
          <cell r="AR263" t="e">
            <v>#REF!</v>
          </cell>
          <cell r="AS263" t="e">
            <v>#REF!</v>
          </cell>
          <cell r="AT263" t="e">
            <v>#REF!</v>
          </cell>
          <cell r="AU263" t="e">
            <v>#REF!</v>
          </cell>
          <cell r="AV263" t="e">
            <v>#REF!</v>
          </cell>
          <cell r="AW263" t="e">
            <v>#DIV/0!</v>
          </cell>
          <cell r="AX263" t="e">
            <v>#DIV/0!</v>
          </cell>
          <cell r="AY263" t="e">
            <v>#DIV/0!</v>
          </cell>
          <cell r="AZ263" t="e">
            <v>#DIV/0!</v>
          </cell>
          <cell r="BE263" t="e">
            <v>#DIV/0!</v>
          </cell>
          <cell r="BF263" t="e">
            <v>#DIV/0!</v>
          </cell>
        </row>
        <row r="264">
          <cell r="A264" t="str">
            <v>-0</v>
          </cell>
          <cell r="B264" t="str">
            <v xml:space="preserve">-0  , </v>
          </cell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>
            <v>0</v>
          </cell>
          <cell r="Y264">
            <v>0</v>
          </cell>
          <cell r="Z264">
            <v>0</v>
          </cell>
          <cell r="AA264" t="str">
            <v>,</v>
          </cell>
          <cell r="AB264" t="str">
            <v>,</v>
          </cell>
          <cell r="AC264" t="e">
            <v>#DIV/0!</v>
          </cell>
          <cell r="AD264" t="e">
            <v>#DIV/0!</v>
          </cell>
          <cell r="AE264">
            <v>0.71</v>
          </cell>
          <cell r="AF264">
            <v>94.97</v>
          </cell>
          <cell r="AG264">
            <v>0</v>
          </cell>
          <cell r="AH264" t="e">
            <v>#DIV/0!</v>
          </cell>
          <cell r="AI264" t="e">
            <v>#DIV/0!</v>
          </cell>
          <cell r="AJ264" t="e">
            <v>#DIV/0!</v>
          </cell>
          <cell r="AK264" t="e">
            <v>#DIV/0!</v>
          </cell>
          <cell r="AL264" t="e">
            <v>#DIV/0!</v>
          </cell>
          <cell r="AM264" t="e">
            <v>#DIV/0!</v>
          </cell>
          <cell r="AN264" t="e">
            <v>#DIV/0!</v>
          </cell>
          <cell r="AO264" t="e">
            <v>#REF!</v>
          </cell>
          <cell r="AP264" t="e">
            <v>#REF!</v>
          </cell>
          <cell r="AQ264" t="e">
            <v>#REF!</v>
          </cell>
          <cell r="AR264" t="e">
            <v>#REF!</v>
          </cell>
          <cell r="AS264" t="e">
            <v>#REF!</v>
          </cell>
          <cell r="AT264" t="e">
            <v>#REF!</v>
          </cell>
          <cell r="AU264" t="e">
            <v>#REF!</v>
          </cell>
          <cell r="AV264" t="e">
            <v>#REF!</v>
          </cell>
          <cell r="AW264" t="e">
            <v>#DIV/0!</v>
          </cell>
          <cell r="AX264" t="e">
            <v>#DIV/0!</v>
          </cell>
          <cell r="AY264" t="e">
            <v>#DIV/0!</v>
          </cell>
          <cell r="AZ264" t="e">
            <v>#DIV/0!</v>
          </cell>
          <cell r="BE264" t="e">
            <v>#DIV/0!</v>
          </cell>
          <cell r="BF264" t="e">
            <v>#DIV/0!</v>
          </cell>
        </row>
        <row r="265">
          <cell r="A265" t="str">
            <v>-0</v>
          </cell>
          <cell r="B265" t="str">
            <v xml:space="preserve">-0  , </v>
          </cell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>
            <v>0</v>
          </cell>
          <cell r="Y265">
            <v>0</v>
          </cell>
          <cell r="Z265">
            <v>0</v>
          </cell>
          <cell r="AA265" t="str">
            <v>,</v>
          </cell>
          <cell r="AB265" t="str">
            <v>,</v>
          </cell>
          <cell r="AC265" t="e">
            <v>#DIV/0!</v>
          </cell>
          <cell r="AD265" t="e">
            <v>#DIV/0!</v>
          </cell>
          <cell r="AE265">
            <v>0.71</v>
          </cell>
          <cell r="AF265">
            <v>94.97</v>
          </cell>
          <cell r="AG265">
            <v>0</v>
          </cell>
          <cell r="AH265" t="e">
            <v>#DIV/0!</v>
          </cell>
          <cell r="AI265" t="e">
            <v>#DIV/0!</v>
          </cell>
          <cell r="AJ265" t="e">
            <v>#DIV/0!</v>
          </cell>
          <cell r="AK265" t="e">
            <v>#DIV/0!</v>
          </cell>
          <cell r="AL265" t="e">
            <v>#DIV/0!</v>
          </cell>
          <cell r="AM265" t="e">
            <v>#DIV/0!</v>
          </cell>
          <cell r="AN265" t="e">
            <v>#DIV/0!</v>
          </cell>
          <cell r="AO265" t="e">
            <v>#REF!</v>
          </cell>
          <cell r="AP265" t="e">
            <v>#REF!</v>
          </cell>
          <cell r="AQ265" t="e">
            <v>#REF!</v>
          </cell>
          <cell r="AR265" t="e">
            <v>#REF!</v>
          </cell>
          <cell r="AS265" t="e">
            <v>#REF!</v>
          </cell>
          <cell r="AT265" t="e">
            <v>#REF!</v>
          </cell>
          <cell r="AU265" t="e">
            <v>#REF!</v>
          </cell>
          <cell r="AV265" t="e">
            <v>#REF!</v>
          </cell>
          <cell r="AW265" t="e">
            <v>#DIV/0!</v>
          </cell>
          <cell r="AX265" t="e">
            <v>#DIV/0!</v>
          </cell>
          <cell r="AY265" t="e">
            <v>#DIV/0!</v>
          </cell>
          <cell r="AZ265" t="e">
            <v>#DIV/0!</v>
          </cell>
          <cell r="BE265" t="e">
            <v>#DIV/0!</v>
          </cell>
          <cell r="BF265" t="e">
            <v>#DIV/0!</v>
          </cell>
        </row>
        <row r="266">
          <cell r="A266" t="str">
            <v>-0</v>
          </cell>
          <cell r="B266" t="str">
            <v xml:space="preserve">-0  , </v>
          </cell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>
            <v>0</v>
          </cell>
          <cell r="Y266">
            <v>0</v>
          </cell>
          <cell r="Z266">
            <v>0</v>
          </cell>
          <cell r="AA266" t="str">
            <v>,</v>
          </cell>
          <cell r="AB266" t="str">
            <v>,</v>
          </cell>
          <cell r="AC266" t="e">
            <v>#DIV/0!</v>
          </cell>
          <cell r="AD266" t="e">
            <v>#DIV/0!</v>
          </cell>
          <cell r="AE266">
            <v>0.71</v>
          </cell>
          <cell r="AF266">
            <v>94.97</v>
          </cell>
          <cell r="AG266">
            <v>0</v>
          </cell>
          <cell r="AH266" t="e">
            <v>#DIV/0!</v>
          </cell>
          <cell r="AI266" t="e">
            <v>#DIV/0!</v>
          </cell>
          <cell r="AJ266" t="e">
            <v>#DIV/0!</v>
          </cell>
          <cell r="AK266" t="e">
            <v>#DIV/0!</v>
          </cell>
          <cell r="AL266" t="e">
            <v>#DIV/0!</v>
          </cell>
          <cell r="AM266" t="e">
            <v>#DIV/0!</v>
          </cell>
          <cell r="AN266" t="e">
            <v>#DIV/0!</v>
          </cell>
          <cell r="AO266" t="e">
            <v>#REF!</v>
          </cell>
          <cell r="AP266" t="e">
            <v>#REF!</v>
          </cell>
          <cell r="AQ266" t="e">
            <v>#REF!</v>
          </cell>
          <cell r="AR266" t="e">
            <v>#REF!</v>
          </cell>
          <cell r="AS266" t="e">
            <v>#REF!</v>
          </cell>
          <cell r="AT266" t="e">
            <v>#REF!</v>
          </cell>
          <cell r="AU266" t="e">
            <v>#REF!</v>
          </cell>
          <cell r="AV266" t="e">
            <v>#REF!</v>
          </cell>
          <cell r="AW266" t="e">
            <v>#DIV/0!</v>
          </cell>
          <cell r="AX266" t="e">
            <v>#DIV/0!</v>
          </cell>
          <cell r="AY266" t="e">
            <v>#DIV/0!</v>
          </cell>
          <cell r="AZ266" t="e">
            <v>#DIV/0!</v>
          </cell>
          <cell r="BE266" t="e">
            <v>#DIV/0!</v>
          </cell>
          <cell r="BF266" t="e">
            <v>#DIV/0!</v>
          </cell>
        </row>
        <row r="267">
          <cell r="A267" t="str">
            <v>-0</v>
          </cell>
          <cell r="B267" t="str">
            <v xml:space="preserve">-0  , </v>
          </cell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>
            <v>0</v>
          </cell>
          <cell r="Y267">
            <v>0</v>
          </cell>
          <cell r="Z267">
            <v>0</v>
          </cell>
          <cell r="AA267" t="str">
            <v>,</v>
          </cell>
          <cell r="AB267" t="str">
            <v>,</v>
          </cell>
          <cell r="AC267" t="e">
            <v>#DIV/0!</v>
          </cell>
          <cell r="AD267" t="e">
            <v>#DIV/0!</v>
          </cell>
          <cell r="AE267">
            <v>0.71</v>
          </cell>
          <cell r="AF267">
            <v>94.97</v>
          </cell>
          <cell r="AG267">
            <v>0</v>
          </cell>
          <cell r="AH267" t="e">
            <v>#DIV/0!</v>
          </cell>
          <cell r="AI267" t="e">
            <v>#DIV/0!</v>
          </cell>
          <cell r="AJ267" t="e">
            <v>#DIV/0!</v>
          </cell>
          <cell r="AK267" t="e">
            <v>#DIV/0!</v>
          </cell>
          <cell r="AL267" t="e">
            <v>#DIV/0!</v>
          </cell>
          <cell r="AM267" t="e">
            <v>#DIV/0!</v>
          </cell>
          <cell r="AN267" t="e">
            <v>#DIV/0!</v>
          </cell>
          <cell r="AO267" t="e">
            <v>#REF!</v>
          </cell>
          <cell r="AP267" t="e">
            <v>#REF!</v>
          </cell>
          <cell r="AQ267" t="e">
            <v>#REF!</v>
          </cell>
          <cell r="AR267" t="e">
            <v>#REF!</v>
          </cell>
          <cell r="AS267" t="e">
            <v>#REF!</v>
          </cell>
          <cell r="AT267" t="e">
            <v>#REF!</v>
          </cell>
          <cell r="AU267" t="e">
            <v>#REF!</v>
          </cell>
          <cell r="AV267" t="e">
            <v>#REF!</v>
          </cell>
          <cell r="AW267" t="e">
            <v>#DIV/0!</v>
          </cell>
          <cell r="AX267" t="e">
            <v>#DIV/0!</v>
          </cell>
          <cell r="AY267" t="e">
            <v>#DIV/0!</v>
          </cell>
          <cell r="AZ267" t="e">
            <v>#DIV/0!</v>
          </cell>
          <cell r="BE267" t="e">
            <v>#DIV/0!</v>
          </cell>
          <cell r="BF267" t="e">
            <v>#DIV/0!</v>
          </cell>
        </row>
        <row r="268">
          <cell r="A268" t="str">
            <v>-0</v>
          </cell>
          <cell r="B268" t="str">
            <v xml:space="preserve">-0  , </v>
          </cell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>
            <v>0</v>
          </cell>
          <cell r="Y268">
            <v>0</v>
          </cell>
          <cell r="Z268">
            <v>0</v>
          </cell>
          <cell r="AA268" t="str">
            <v>,</v>
          </cell>
          <cell r="AB268" t="str">
            <v>,</v>
          </cell>
          <cell r="AC268" t="e">
            <v>#DIV/0!</v>
          </cell>
          <cell r="AD268" t="e">
            <v>#DIV/0!</v>
          </cell>
          <cell r="AE268">
            <v>0.71</v>
          </cell>
          <cell r="AF268">
            <v>94.97</v>
          </cell>
          <cell r="AG268">
            <v>0</v>
          </cell>
          <cell r="AH268" t="e">
            <v>#DIV/0!</v>
          </cell>
          <cell r="AI268" t="e">
            <v>#DIV/0!</v>
          </cell>
          <cell r="AJ268" t="e">
            <v>#DIV/0!</v>
          </cell>
          <cell r="AK268" t="e">
            <v>#DIV/0!</v>
          </cell>
          <cell r="AL268" t="e">
            <v>#DIV/0!</v>
          </cell>
          <cell r="AM268" t="e">
            <v>#DIV/0!</v>
          </cell>
          <cell r="AN268" t="e">
            <v>#DIV/0!</v>
          </cell>
          <cell r="AO268" t="e">
            <v>#REF!</v>
          </cell>
          <cell r="AP268" t="e">
            <v>#REF!</v>
          </cell>
          <cell r="AQ268" t="e">
            <v>#REF!</v>
          </cell>
          <cell r="AR268" t="e">
            <v>#REF!</v>
          </cell>
          <cell r="AS268" t="e">
            <v>#REF!</v>
          </cell>
          <cell r="AT268" t="e">
            <v>#REF!</v>
          </cell>
          <cell r="AU268" t="e">
            <v>#REF!</v>
          </cell>
          <cell r="AV268" t="e">
            <v>#REF!</v>
          </cell>
          <cell r="AW268" t="e">
            <v>#DIV/0!</v>
          </cell>
          <cell r="AX268" t="e">
            <v>#DIV/0!</v>
          </cell>
          <cell r="AY268" t="e">
            <v>#DIV/0!</v>
          </cell>
          <cell r="AZ268" t="e">
            <v>#DIV/0!</v>
          </cell>
          <cell r="BE268" t="e">
            <v>#DIV/0!</v>
          </cell>
          <cell r="BF268" t="e">
            <v>#DIV/0!</v>
          </cell>
        </row>
        <row r="269">
          <cell r="A269" t="str">
            <v>-0</v>
          </cell>
          <cell r="B269" t="str">
            <v xml:space="preserve">-0  , </v>
          </cell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>
            <v>0</v>
          </cell>
          <cell r="Y269">
            <v>0</v>
          </cell>
          <cell r="Z269">
            <v>0</v>
          </cell>
          <cell r="AA269" t="str">
            <v>,</v>
          </cell>
          <cell r="AB269" t="str">
            <v>,</v>
          </cell>
          <cell r="AC269" t="e">
            <v>#DIV/0!</v>
          </cell>
          <cell r="AD269" t="e">
            <v>#DIV/0!</v>
          </cell>
          <cell r="AE269">
            <v>0.71</v>
          </cell>
          <cell r="AF269">
            <v>94.97</v>
          </cell>
          <cell r="AG269">
            <v>0</v>
          </cell>
          <cell r="AH269" t="e">
            <v>#DIV/0!</v>
          </cell>
          <cell r="AI269" t="e">
            <v>#DIV/0!</v>
          </cell>
          <cell r="AJ269" t="e">
            <v>#DIV/0!</v>
          </cell>
          <cell r="AK269" t="e">
            <v>#DIV/0!</v>
          </cell>
          <cell r="AL269" t="e">
            <v>#DIV/0!</v>
          </cell>
          <cell r="AM269" t="e">
            <v>#DIV/0!</v>
          </cell>
          <cell r="AN269" t="e">
            <v>#DIV/0!</v>
          </cell>
          <cell r="AO269" t="e">
            <v>#REF!</v>
          </cell>
          <cell r="AP269" t="e">
            <v>#REF!</v>
          </cell>
          <cell r="AQ269" t="e">
            <v>#REF!</v>
          </cell>
          <cell r="AR269" t="e">
            <v>#REF!</v>
          </cell>
          <cell r="AS269" t="e">
            <v>#REF!</v>
          </cell>
          <cell r="AT269" t="e">
            <v>#REF!</v>
          </cell>
          <cell r="AU269" t="e">
            <v>#REF!</v>
          </cell>
          <cell r="AV269" t="e">
            <v>#REF!</v>
          </cell>
          <cell r="AW269" t="e">
            <v>#DIV/0!</v>
          </cell>
          <cell r="AX269" t="e">
            <v>#DIV/0!</v>
          </cell>
          <cell r="AY269" t="e">
            <v>#DIV/0!</v>
          </cell>
          <cell r="AZ269" t="e">
            <v>#DIV/0!</v>
          </cell>
          <cell r="BE269" t="e">
            <v>#DIV/0!</v>
          </cell>
          <cell r="BF269" t="e">
            <v>#DIV/0!</v>
          </cell>
        </row>
        <row r="270">
          <cell r="A270" t="str">
            <v>-0</v>
          </cell>
          <cell r="B270" t="str">
            <v xml:space="preserve">-0  , </v>
          </cell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>
            <v>0</v>
          </cell>
          <cell r="Y270">
            <v>0</v>
          </cell>
          <cell r="Z270">
            <v>0</v>
          </cell>
          <cell r="AA270" t="str">
            <v>,</v>
          </cell>
          <cell r="AB270" t="str">
            <v>,</v>
          </cell>
          <cell r="AC270" t="e">
            <v>#DIV/0!</v>
          </cell>
          <cell r="AD270" t="e">
            <v>#DIV/0!</v>
          </cell>
          <cell r="AE270">
            <v>0.71</v>
          </cell>
          <cell r="AF270">
            <v>94.97</v>
          </cell>
          <cell r="AG270">
            <v>0</v>
          </cell>
          <cell r="AH270" t="e">
            <v>#DIV/0!</v>
          </cell>
          <cell r="AI270" t="e">
            <v>#DIV/0!</v>
          </cell>
          <cell r="AJ270" t="e">
            <v>#DIV/0!</v>
          </cell>
          <cell r="AK270" t="e">
            <v>#DIV/0!</v>
          </cell>
          <cell r="AL270" t="e">
            <v>#DIV/0!</v>
          </cell>
          <cell r="AM270" t="e">
            <v>#DIV/0!</v>
          </cell>
          <cell r="AN270" t="e">
            <v>#DIV/0!</v>
          </cell>
          <cell r="AO270" t="e">
            <v>#REF!</v>
          </cell>
          <cell r="AP270" t="e">
            <v>#REF!</v>
          </cell>
          <cell r="AQ270" t="e">
            <v>#REF!</v>
          </cell>
          <cell r="AR270" t="e">
            <v>#REF!</v>
          </cell>
          <cell r="AS270" t="e">
            <v>#REF!</v>
          </cell>
          <cell r="AT270" t="e">
            <v>#REF!</v>
          </cell>
          <cell r="AU270" t="e">
            <v>#REF!</v>
          </cell>
          <cell r="AV270" t="e">
            <v>#REF!</v>
          </cell>
          <cell r="AW270" t="e">
            <v>#DIV/0!</v>
          </cell>
          <cell r="AX270" t="e">
            <v>#DIV/0!</v>
          </cell>
          <cell r="AY270" t="e">
            <v>#DIV/0!</v>
          </cell>
          <cell r="AZ270" t="e">
            <v>#DIV/0!</v>
          </cell>
          <cell r="BE270" t="e">
            <v>#DIV/0!</v>
          </cell>
          <cell r="BF270" t="e">
            <v>#DIV/0!</v>
          </cell>
        </row>
        <row r="271">
          <cell r="A271" t="str">
            <v>-0</v>
          </cell>
          <cell r="B271" t="str">
            <v xml:space="preserve">-0  , </v>
          </cell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>
            <v>0</v>
          </cell>
          <cell r="Y271">
            <v>0</v>
          </cell>
          <cell r="Z271">
            <v>0</v>
          </cell>
          <cell r="AA271" t="str">
            <v>,</v>
          </cell>
          <cell r="AB271" t="str">
            <v>,</v>
          </cell>
          <cell r="AC271" t="e">
            <v>#DIV/0!</v>
          </cell>
          <cell r="AD271" t="e">
            <v>#DIV/0!</v>
          </cell>
          <cell r="AE271">
            <v>0.71</v>
          </cell>
          <cell r="AF271">
            <v>94.97</v>
          </cell>
          <cell r="AG271">
            <v>0</v>
          </cell>
          <cell r="AH271" t="e">
            <v>#DIV/0!</v>
          </cell>
          <cell r="AI271" t="e">
            <v>#DIV/0!</v>
          </cell>
          <cell r="AJ271" t="e">
            <v>#DIV/0!</v>
          </cell>
          <cell r="AK271" t="e">
            <v>#DIV/0!</v>
          </cell>
          <cell r="AL271" t="e">
            <v>#DIV/0!</v>
          </cell>
          <cell r="AM271" t="e">
            <v>#DIV/0!</v>
          </cell>
          <cell r="AN271" t="e">
            <v>#DIV/0!</v>
          </cell>
          <cell r="AO271" t="e">
            <v>#REF!</v>
          </cell>
          <cell r="AP271" t="e">
            <v>#REF!</v>
          </cell>
          <cell r="AQ271" t="e">
            <v>#REF!</v>
          </cell>
          <cell r="AR271" t="e">
            <v>#REF!</v>
          </cell>
          <cell r="AS271" t="e">
            <v>#REF!</v>
          </cell>
          <cell r="AT271" t="e">
            <v>#REF!</v>
          </cell>
          <cell r="AU271" t="e">
            <v>#REF!</v>
          </cell>
          <cell r="AV271" t="e">
            <v>#REF!</v>
          </cell>
          <cell r="AW271" t="e">
            <v>#DIV/0!</v>
          </cell>
          <cell r="AX271" t="e">
            <v>#DIV/0!</v>
          </cell>
          <cell r="AY271" t="e">
            <v>#DIV/0!</v>
          </cell>
          <cell r="AZ271" t="e">
            <v>#DIV/0!</v>
          </cell>
          <cell r="BE271" t="e">
            <v>#DIV/0!</v>
          </cell>
          <cell r="BF271" t="e">
            <v>#DIV/0!</v>
          </cell>
        </row>
        <row r="272">
          <cell r="A272" t="str">
            <v>-0</v>
          </cell>
          <cell r="B272" t="str">
            <v xml:space="preserve">-0  , </v>
          </cell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>
            <v>0</v>
          </cell>
          <cell r="Y272">
            <v>0</v>
          </cell>
          <cell r="Z272">
            <v>0</v>
          </cell>
          <cell r="AA272" t="str">
            <v>,</v>
          </cell>
          <cell r="AB272" t="str">
            <v>,</v>
          </cell>
          <cell r="AC272" t="e">
            <v>#DIV/0!</v>
          </cell>
          <cell r="AD272" t="e">
            <v>#DIV/0!</v>
          </cell>
          <cell r="AE272">
            <v>0.71</v>
          </cell>
          <cell r="AF272">
            <v>94.97</v>
          </cell>
          <cell r="AG272">
            <v>0</v>
          </cell>
          <cell r="AH272" t="e">
            <v>#DIV/0!</v>
          </cell>
          <cell r="AI272" t="e">
            <v>#DIV/0!</v>
          </cell>
          <cell r="AJ272" t="e">
            <v>#DIV/0!</v>
          </cell>
          <cell r="AK272" t="e">
            <v>#DIV/0!</v>
          </cell>
          <cell r="AL272" t="e">
            <v>#DIV/0!</v>
          </cell>
          <cell r="AM272" t="e">
            <v>#DIV/0!</v>
          </cell>
          <cell r="AN272" t="e">
            <v>#DIV/0!</v>
          </cell>
          <cell r="AO272" t="e">
            <v>#REF!</v>
          </cell>
          <cell r="AP272" t="e">
            <v>#REF!</v>
          </cell>
          <cell r="AQ272" t="e">
            <v>#REF!</v>
          </cell>
          <cell r="AR272" t="e">
            <v>#REF!</v>
          </cell>
          <cell r="AS272" t="e">
            <v>#REF!</v>
          </cell>
          <cell r="AT272" t="e">
            <v>#REF!</v>
          </cell>
          <cell r="AU272" t="e">
            <v>#REF!</v>
          </cell>
          <cell r="AV272" t="e">
            <v>#REF!</v>
          </cell>
          <cell r="AW272" t="e">
            <v>#DIV/0!</v>
          </cell>
          <cell r="AX272" t="e">
            <v>#DIV/0!</v>
          </cell>
          <cell r="AY272" t="e">
            <v>#DIV/0!</v>
          </cell>
          <cell r="AZ272" t="e">
            <v>#DIV/0!</v>
          </cell>
          <cell r="BE272" t="e">
            <v>#DIV/0!</v>
          </cell>
          <cell r="BF272" t="e">
            <v>#DIV/0!</v>
          </cell>
        </row>
        <row r="273">
          <cell r="A273" t="str">
            <v>-0</v>
          </cell>
          <cell r="B273" t="str">
            <v xml:space="preserve">-0  , </v>
          </cell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>
            <v>0</v>
          </cell>
          <cell r="Y273">
            <v>0</v>
          </cell>
          <cell r="Z273">
            <v>0</v>
          </cell>
          <cell r="AA273" t="str">
            <v>,</v>
          </cell>
          <cell r="AB273" t="str">
            <v>,</v>
          </cell>
          <cell r="AC273" t="e">
            <v>#DIV/0!</v>
          </cell>
          <cell r="AD273" t="e">
            <v>#DIV/0!</v>
          </cell>
          <cell r="AE273">
            <v>0.71</v>
          </cell>
          <cell r="AF273">
            <v>94.97</v>
          </cell>
          <cell r="AG273">
            <v>0</v>
          </cell>
          <cell r="AH273" t="e">
            <v>#DIV/0!</v>
          </cell>
          <cell r="AI273" t="e">
            <v>#DIV/0!</v>
          </cell>
          <cell r="AJ273" t="e">
            <v>#DIV/0!</v>
          </cell>
          <cell r="AK273" t="e">
            <v>#DIV/0!</v>
          </cell>
          <cell r="AL273" t="e">
            <v>#DIV/0!</v>
          </cell>
          <cell r="AM273" t="e">
            <v>#DIV/0!</v>
          </cell>
          <cell r="AN273" t="e">
            <v>#DIV/0!</v>
          </cell>
          <cell r="AO273" t="e">
            <v>#REF!</v>
          </cell>
          <cell r="AP273" t="e">
            <v>#REF!</v>
          </cell>
          <cell r="AQ273" t="e">
            <v>#REF!</v>
          </cell>
          <cell r="AR273" t="e">
            <v>#REF!</v>
          </cell>
          <cell r="AS273" t="e">
            <v>#REF!</v>
          </cell>
          <cell r="AT273" t="e">
            <v>#REF!</v>
          </cell>
          <cell r="AU273" t="e">
            <v>#REF!</v>
          </cell>
          <cell r="AV273" t="e">
            <v>#REF!</v>
          </cell>
          <cell r="AW273" t="e">
            <v>#DIV/0!</v>
          </cell>
          <cell r="AX273" t="e">
            <v>#DIV/0!</v>
          </cell>
          <cell r="AY273" t="e">
            <v>#DIV/0!</v>
          </cell>
          <cell r="AZ273" t="e">
            <v>#DIV/0!</v>
          </cell>
          <cell r="BE273" t="e">
            <v>#DIV/0!</v>
          </cell>
          <cell r="BF273" t="e">
            <v>#DIV/0!</v>
          </cell>
        </row>
        <row r="274">
          <cell r="A274" t="str">
            <v>-0</v>
          </cell>
          <cell r="B274" t="str">
            <v xml:space="preserve">-0  , </v>
          </cell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>
            <v>0</v>
          </cell>
          <cell r="Y274">
            <v>0</v>
          </cell>
          <cell r="Z274">
            <v>0</v>
          </cell>
          <cell r="AA274" t="str">
            <v>,</v>
          </cell>
          <cell r="AB274" t="str">
            <v>,</v>
          </cell>
          <cell r="AC274" t="e">
            <v>#DIV/0!</v>
          </cell>
          <cell r="AD274" t="e">
            <v>#DIV/0!</v>
          </cell>
          <cell r="AE274">
            <v>0.71</v>
          </cell>
          <cell r="AF274">
            <v>94.97</v>
          </cell>
          <cell r="AG274">
            <v>0</v>
          </cell>
          <cell r="AH274" t="e">
            <v>#DIV/0!</v>
          </cell>
          <cell r="AI274" t="e">
            <v>#DIV/0!</v>
          </cell>
          <cell r="AJ274" t="e">
            <v>#DIV/0!</v>
          </cell>
          <cell r="AK274" t="e">
            <v>#DIV/0!</v>
          </cell>
          <cell r="AL274" t="e">
            <v>#DIV/0!</v>
          </cell>
          <cell r="AM274" t="e">
            <v>#DIV/0!</v>
          </cell>
          <cell r="AN274" t="e">
            <v>#DIV/0!</v>
          </cell>
          <cell r="AO274" t="e">
            <v>#REF!</v>
          </cell>
          <cell r="AP274" t="e">
            <v>#REF!</v>
          </cell>
          <cell r="AQ274" t="e">
            <v>#REF!</v>
          </cell>
          <cell r="AR274" t="e">
            <v>#REF!</v>
          </cell>
          <cell r="AS274" t="e">
            <v>#REF!</v>
          </cell>
          <cell r="AT274" t="e">
            <v>#REF!</v>
          </cell>
          <cell r="AU274" t="e">
            <v>#REF!</v>
          </cell>
          <cell r="AV274" t="e">
            <v>#REF!</v>
          </cell>
          <cell r="AW274" t="e">
            <v>#DIV/0!</v>
          </cell>
          <cell r="AX274" t="e">
            <v>#DIV/0!</v>
          </cell>
          <cell r="AY274" t="e">
            <v>#DIV/0!</v>
          </cell>
          <cell r="AZ274" t="e">
            <v>#DIV/0!</v>
          </cell>
          <cell r="BE274" t="e">
            <v>#DIV/0!</v>
          </cell>
          <cell r="BF274" t="e">
            <v>#DIV/0!</v>
          </cell>
        </row>
        <row r="275">
          <cell r="A275" t="str">
            <v>-0</v>
          </cell>
          <cell r="B275" t="str">
            <v xml:space="preserve">-0  , </v>
          </cell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>
            <v>0</v>
          </cell>
          <cell r="Y275">
            <v>0</v>
          </cell>
          <cell r="Z275">
            <v>0</v>
          </cell>
          <cell r="AA275" t="str">
            <v>,</v>
          </cell>
          <cell r="AB275" t="str">
            <v>,</v>
          </cell>
          <cell r="AC275" t="e">
            <v>#DIV/0!</v>
          </cell>
          <cell r="AD275" t="e">
            <v>#DIV/0!</v>
          </cell>
          <cell r="AE275">
            <v>0.71</v>
          </cell>
          <cell r="AF275">
            <v>94.97</v>
          </cell>
          <cell r="AG275">
            <v>0</v>
          </cell>
          <cell r="AH275" t="e">
            <v>#DIV/0!</v>
          </cell>
          <cell r="AI275" t="e">
            <v>#DIV/0!</v>
          </cell>
          <cell r="AJ275" t="e">
            <v>#DIV/0!</v>
          </cell>
          <cell r="AK275" t="e">
            <v>#DIV/0!</v>
          </cell>
          <cell r="AL275" t="e">
            <v>#DIV/0!</v>
          </cell>
          <cell r="AM275" t="e">
            <v>#DIV/0!</v>
          </cell>
          <cell r="AN275" t="e">
            <v>#DIV/0!</v>
          </cell>
          <cell r="AO275" t="e">
            <v>#REF!</v>
          </cell>
          <cell r="AP275" t="e">
            <v>#REF!</v>
          </cell>
          <cell r="AQ275" t="e">
            <v>#REF!</v>
          </cell>
          <cell r="AR275" t="e">
            <v>#REF!</v>
          </cell>
          <cell r="AS275" t="e">
            <v>#REF!</v>
          </cell>
          <cell r="AT275" t="e">
            <v>#REF!</v>
          </cell>
          <cell r="AU275" t="e">
            <v>#REF!</v>
          </cell>
          <cell r="AV275" t="e">
            <v>#REF!</v>
          </cell>
          <cell r="AW275" t="e">
            <v>#DIV/0!</v>
          </cell>
          <cell r="AX275" t="e">
            <v>#DIV/0!</v>
          </cell>
          <cell r="AY275" t="e">
            <v>#DIV/0!</v>
          </cell>
          <cell r="AZ275" t="e">
            <v>#DIV/0!</v>
          </cell>
          <cell r="BE275" t="e">
            <v>#DIV/0!</v>
          </cell>
          <cell r="BF275" t="e">
            <v>#DIV/0!</v>
          </cell>
        </row>
        <row r="276">
          <cell r="A276" t="str">
            <v>-0</v>
          </cell>
          <cell r="B276" t="str">
            <v xml:space="preserve">-0  , </v>
          </cell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>
            <v>0</v>
          </cell>
          <cell r="Y276">
            <v>0</v>
          </cell>
          <cell r="Z276">
            <v>0</v>
          </cell>
          <cell r="AA276" t="str">
            <v>,</v>
          </cell>
          <cell r="AB276" t="str">
            <v>,</v>
          </cell>
          <cell r="AC276" t="e">
            <v>#DIV/0!</v>
          </cell>
          <cell r="AD276" t="e">
            <v>#DIV/0!</v>
          </cell>
          <cell r="AE276">
            <v>0.71</v>
          </cell>
          <cell r="AF276">
            <v>94.97</v>
          </cell>
          <cell r="AG276">
            <v>0</v>
          </cell>
          <cell r="AH276" t="e">
            <v>#DIV/0!</v>
          </cell>
          <cell r="AI276" t="e">
            <v>#DIV/0!</v>
          </cell>
          <cell r="AJ276" t="e">
            <v>#DIV/0!</v>
          </cell>
          <cell r="AK276" t="e">
            <v>#DIV/0!</v>
          </cell>
          <cell r="AL276" t="e">
            <v>#DIV/0!</v>
          </cell>
          <cell r="AM276" t="e">
            <v>#DIV/0!</v>
          </cell>
          <cell r="AN276" t="e">
            <v>#DIV/0!</v>
          </cell>
          <cell r="AO276" t="e">
            <v>#REF!</v>
          </cell>
          <cell r="AP276" t="e">
            <v>#REF!</v>
          </cell>
          <cell r="AQ276" t="e">
            <v>#REF!</v>
          </cell>
          <cell r="AR276" t="e">
            <v>#REF!</v>
          </cell>
          <cell r="AS276" t="e">
            <v>#REF!</v>
          </cell>
          <cell r="AT276" t="e">
            <v>#REF!</v>
          </cell>
          <cell r="AU276" t="e">
            <v>#REF!</v>
          </cell>
          <cell r="AV276" t="e">
            <v>#REF!</v>
          </cell>
          <cell r="AW276" t="e">
            <v>#DIV/0!</v>
          </cell>
          <cell r="AX276" t="e">
            <v>#DIV/0!</v>
          </cell>
          <cell r="AY276" t="e">
            <v>#DIV/0!</v>
          </cell>
          <cell r="AZ276" t="e">
            <v>#DIV/0!</v>
          </cell>
          <cell r="BE276" t="e">
            <v>#DIV/0!</v>
          </cell>
          <cell r="BF276" t="e">
            <v>#DIV/0!</v>
          </cell>
        </row>
        <row r="277">
          <cell r="A277" t="str">
            <v>-0</v>
          </cell>
          <cell r="B277" t="str">
            <v xml:space="preserve">-0  , </v>
          </cell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>
            <v>0</v>
          </cell>
          <cell r="Y277">
            <v>0</v>
          </cell>
          <cell r="Z277">
            <v>0</v>
          </cell>
          <cell r="AA277" t="str">
            <v>,</v>
          </cell>
          <cell r="AB277" t="str">
            <v>,</v>
          </cell>
          <cell r="AC277" t="e">
            <v>#DIV/0!</v>
          </cell>
          <cell r="AD277" t="e">
            <v>#DIV/0!</v>
          </cell>
          <cell r="AE277">
            <v>0.71</v>
          </cell>
          <cell r="AF277">
            <v>94.97</v>
          </cell>
          <cell r="AG277">
            <v>0</v>
          </cell>
          <cell r="AH277" t="e">
            <v>#DIV/0!</v>
          </cell>
          <cell r="AI277" t="e">
            <v>#DIV/0!</v>
          </cell>
          <cell r="AJ277" t="e">
            <v>#DIV/0!</v>
          </cell>
          <cell r="AK277" t="e">
            <v>#DIV/0!</v>
          </cell>
          <cell r="AL277" t="e">
            <v>#DIV/0!</v>
          </cell>
          <cell r="AM277" t="e">
            <v>#DIV/0!</v>
          </cell>
          <cell r="AN277" t="e">
            <v>#DIV/0!</v>
          </cell>
          <cell r="AO277" t="e">
            <v>#REF!</v>
          </cell>
          <cell r="AP277" t="e">
            <v>#REF!</v>
          </cell>
          <cell r="AQ277" t="e">
            <v>#REF!</v>
          </cell>
          <cell r="AR277" t="e">
            <v>#REF!</v>
          </cell>
          <cell r="AS277" t="e">
            <v>#REF!</v>
          </cell>
          <cell r="AT277" t="e">
            <v>#REF!</v>
          </cell>
          <cell r="AU277" t="e">
            <v>#REF!</v>
          </cell>
          <cell r="AV277" t="e">
            <v>#REF!</v>
          </cell>
          <cell r="AW277" t="e">
            <v>#DIV/0!</v>
          </cell>
          <cell r="AX277" t="e">
            <v>#DIV/0!</v>
          </cell>
          <cell r="AY277" t="e">
            <v>#DIV/0!</v>
          </cell>
          <cell r="AZ277" t="e">
            <v>#DIV/0!</v>
          </cell>
          <cell r="BE277" t="e">
            <v>#DIV/0!</v>
          </cell>
          <cell r="BF277" t="e">
            <v>#DIV/0!</v>
          </cell>
        </row>
        <row r="278">
          <cell r="A278" t="str">
            <v>-0</v>
          </cell>
          <cell r="B278" t="str">
            <v xml:space="preserve">-0  , </v>
          </cell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>
            <v>0</v>
          </cell>
          <cell r="Y278">
            <v>0</v>
          </cell>
          <cell r="Z278">
            <v>0</v>
          </cell>
          <cell r="AA278" t="str">
            <v>,</v>
          </cell>
          <cell r="AB278" t="str">
            <v>,</v>
          </cell>
          <cell r="AC278" t="e">
            <v>#DIV/0!</v>
          </cell>
          <cell r="AD278" t="e">
            <v>#DIV/0!</v>
          </cell>
          <cell r="AE278">
            <v>0.71</v>
          </cell>
          <cell r="AF278">
            <v>94.97</v>
          </cell>
          <cell r="AG278">
            <v>0</v>
          </cell>
          <cell r="AH278" t="e">
            <v>#DIV/0!</v>
          </cell>
          <cell r="AI278" t="e">
            <v>#DIV/0!</v>
          </cell>
          <cell r="AJ278" t="e">
            <v>#DIV/0!</v>
          </cell>
          <cell r="AK278" t="e">
            <v>#DIV/0!</v>
          </cell>
          <cell r="AL278" t="e">
            <v>#DIV/0!</v>
          </cell>
          <cell r="AM278" t="e">
            <v>#DIV/0!</v>
          </cell>
          <cell r="AN278" t="e">
            <v>#DIV/0!</v>
          </cell>
          <cell r="AO278" t="e">
            <v>#REF!</v>
          </cell>
          <cell r="AP278" t="e">
            <v>#REF!</v>
          </cell>
          <cell r="AQ278" t="e">
            <v>#REF!</v>
          </cell>
          <cell r="AR278" t="e">
            <v>#REF!</v>
          </cell>
          <cell r="AS278" t="e">
            <v>#REF!</v>
          </cell>
          <cell r="AT278" t="e">
            <v>#REF!</v>
          </cell>
          <cell r="AU278" t="e">
            <v>#REF!</v>
          </cell>
          <cell r="AV278" t="e">
            <v>#REF!</v>
          </cell>
          <cell r="AW278" t="e">
            <v>#DIV/0!</v>
          </cell>
          <cell r="AX278" t="e">
            <v>#DIV/0!</v>
          </cell>
          <cell r="AY278" t="e">
            <v>#DIV/0!</v>
          </cell>
          <cell r="AZ278" t="e">
            <v>#DIV/0!</v>
          </cell>
          <cell r="BE278" t="e">
            <v>#DIV/0!</v>
          </cell>
          <cell r="BF278" t="e">
            <v>#DIV/0!</v>
          </cell>
        </row>
        <row r="279">
          <cell r="A279" t="str">
            <v>-0</v>
          </cell>
          <cell r="B279" t="str">
            <v xml:space="preserve">-0  , </v>
          </cell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>
            <v>0</v>
          </cell>
          <cell r="Y279">
            <v>0</v>
          </cell>
          <cell r="Z279">
            <v>0</v>
          </cell>
          <cell r="AA279" t="str">
            <v>,</v>
          </cell>
          <cell r="AB279" t="str">
            <v>,</v>
          </cell>
          <cell r="AC279" t="e">
            <v>#DIV/0!</v>
          </cell>
          <cell r="AD279" t="e">
            <v>#DIV/0!</v>
          </cell>
          <cell r="AE279">
            <v>0.71</v>
          </cell>
          <cell r="AF279">
            <v>94.97</v>
          </cell>
          <cell r="AG279">
            <v>0</v>
          </cell>
          <cell r="AH279" t="e">
            <v>#DIV/0!</v>
          </cell>
          <cell r="AI279" t="e">
            <v>#DIV/0!</v>
          </cell>
          <cell r="AJ279" t="e">
            <v>#DIV/0!</v>
          </cell>
          <cell r="AK279" t="e">
            <v>#DIV/0!</v>
          </cell>
          <cell r="AL279" t="e">
            <v>#DIV/0!</v>
          </cell>
          <cell r="AM279" t="e">
            <v>#DIV/0!</v>
          </cell>
          <cell r="AN279" t="e">
            <v>#DIV/0!</v>
          </cell>
          <cell r="AO279" t="e">
            <v>#REF!</v>
          </cell>
          <cell r="AP279" t="e">
            <v>#REF!</v>
          </cell>
          <cell r="AQ279" t="e">
            <v>#REF!</v>
          </cell>
          <cell r="AR279" t="e">
            <v>#REF!</v>
          </cell>
          <cell r="AS279" t="e">
            <v>#REF!</v>
          </cell>
          <cell r="AT279" t="e">
            <v>#REF!</v>
          </cell>
          <cell r="AU279" t="e">
            <v>#REF!</v>
          </cell>
          <cell r="AV279" t="e">
            <v>#REF!</v>
          </cell>
          <cell r="AW279" t="e">
            <v>#DIV/0!</v>
          </cell>
          <cell r="AX279" t="e">
            <v>#DIV/0!</v>
          </cell>
          <cell r="AY279" t="e">
            <v>#DIV/0!</v>
          </cell>
          <cell r="AZ279" t="e">
            <v>#DIV/0!</v>
          </cell>
          <cell r="BE279" t="e">
            <v>#DIV/0!</v>
          </cell>
          <cell r="BF279" t="e">
            <v>#DIV/0!</v>
          </cell>
        </row>
        <row r="280">
          <cell r="A280" t="str">
            <v>-0</v>
          </cell>
          <cell r="B280" t="str">
            <v xml:space="preserve">-0  , </v>
          </cell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>
            <v>0</v>
          </cell>
          <cell r="Y280">
            <v>0</v>
          </cell>
          <cell r="Z280">
            <v>0</v>
          </cell>
          <cell r="AA280" t="str">
            <v>,</v>
          </cell>
          <cell r="AB280" t="str">
            <v>,</v>
          </cell>
          <cell r="AC280" t="e">
            <v>#DIV/0!</v>
          </cell>
          <cell r="AD280" t="e">
            <v>#DIV/0!</v>
          </cell>
          <cell r="AE280">
            <v>0.71</v>
          </cell>
          <cell r="AF280">
            <v>94.97</v>
          </cell>
          <cell r="AG280">
            <v>0</v>
          </cell>
          <cell r="AH280" t="e">
            <v>#DIV/0!</v>
          </cell>
          <cell r="AI280" t="e">
            <v>#DIV/0!</v>
          </cell>
          <cell r="AJ280" t="e">
            <v>#DIV/0!</v>
          </cell>
          <cell r="AK280" t="e">
            <v>#DIV/0!</v>
          </cell>
          <cell r="AL280" t="e">
            <v>#DIV/0!</v>
          </cell>
          <cell r="AM280" t="e">
            <v>#DIV/0!</v>
          </cell>
          <cell r="AN280" t="e">
            <v>#DIV/0!</v>
          </cell>
          <cell r="AO280" t="e">
            <v>#REF!</v>
          </cell>
          <cell r="AP280" t="e">
            <v>#REF!</v>
          </cell>
          <cell r="AQ280" t="e">
            <v>#REF!</v>
          </cell>
          <cell r="AR280" t="e">
            <v>#REF!</v>
          </cell>
          <cell r="AS280" t="e">
            <v>#REF!</v>
          </cell>
          <cell r="AT280" t="e">
            <v>#REF!</v>
          </cell>
          <cell r="AU280" t="e">
            <v>#REF!</v>
          </cell>
          <cell r="AV280" t="e">
            <v>#REF!</v>
          </cell>
          <cell r="AW280" t="e">
            <v>#DIV/0!</v>
          </cell>
          <cell r="AX280" t="e">
            <v>#DIV/0!</v>
          </cell>
          <cell r="AY280" t="e">
            <v>#DIV/0!</v>
          </cell>
          <cell r="AZ280" t="e">
            <v>#DIV/0!</v>
          </cell>
          <cell r="BE280" t="e">
            <v>#DIV/0!</v>
          </cell>
          <cell r="BF280" t="e">
            <v>#DIV/0!</v>
          </cell>
        </row>
        <row r="281">
          <cell r="A281" t="str">
            <v>-0</v>
          </cell>
          <cell r="B281" t="str">
            <v xml:space="preserve">-0  , </v>
          </cell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>
            <v>0</v>
          </cell>
          <cell r="Y281">
            <v>0</v>
          </cell>
          <cell r="Z281">
            <v>0</v>
          </cell>
          <cell r="AA281" t="str">
            <v>,</v>
          </cell>
          <cell r="AB281" t="str">
            <v>,</v>
          </cell>
          <cell r="AC281" t="e">
            <v>#DIV/0!</v>
          </cell>
          <cell r="AD281" t="e">
            <v>#DIV/0!</v>
          </cell>
          <cell r="AE281">
            <v>0.71</v>
          </cell>
          <cell r="AF281">
            <v>94.97</v>
          </cell>
          <cell r="AG281">
            <v>0</v>
          </cell>
          <cell r="AH281" t="e">
            <v>#DIV/0!</v>
          </cell>
          <cell r="AI281" t="e">
            <v>#DIV/0!</v>
          </cell>
          <cell r="AJ281" t="e">
            <v>#DIV/0!</v>
          </cell>
          <cell r="AK281" t="e">
            <v>#DIV/0!</v>
          </cell>
          <cell r="AL281" t="e">
            <v>#DIV/0!</v>
          </cell>
          <cell r="AM281" t="e">
            <v>#DIV/0!</v>
          </cell>
          <cell r="AN281" t="e">
            <v>#DIV/0!</v>
          </cell>
          <cell r="AO281" t="e">
            <v>#REF!</v>
          </cell>
          <cell r="AP281" t="e">
            <v>#REF!</v>
          </cell>
          <cell r="AQ281" t="e">
            <v>#REF!</v>
          </cell>
          <cell r="AR281" t="e">
            <v>#REF!</v>
          </cell>
          <cell r="AS281" t="e">
            <v>#REF!</v>
          </cell>
          <cell r="AT281" t="e">
            <v>#REF!</v>
          </cell>
          <cell r="AU281" t="e">
            <v>#REF!</v>
          </cell>
          <cell r="AV281" t="e">
            <v>#REF!</v>
          </cell>
          <cell r="AW281" t="e">
            <v>#DIV/0!</v>
          </cell>
          <cell r="AX281" t="e">
            <v>#DIV/0!</v>
          </cell>
          <cell r="AY281" t="e">
            <v>#DIV/0!</v>
          </cell>
          <cell r="AZ281" t="e">
            <v>#DIV/0!</v>
          </cell>
          <cell r="BE281" t="e">
            <v>#DIV/0!</v>
          </cell>
          <cell r="BF281" t="e">
            <v>#DIV/0!</v>
          </cell>
        </row>
        <row r="282">
          <cell r="A282" t="str">
            <v>-0</v>
          </cell>
          <cell r="B282" t="str">
            <v xml:space="preserve">-0  , </v>
          </cell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>
            <v>0</v>
          </cell>
          <cell r="Y282">
            <v>0</v>
          </cell>
          <cell r="Z282">
            <v>0</v>
          </cell>
          <cell r="AA282" t="str">
            <v>,</v>
          </cell>
          <cell r="AB282" t="str">
            <v>,</v>
          </cell>
          <cell r="AC282" t="e">
            <v>#DIV/0!</v>
          </cell>
          <cell r="AD282" t="e">
            <v>#DIV/0!</v>
          </cell>
          <cell r="AE282">
            <v>0.71</v>
          </cell>
          <cell r="AF282">
            <v>94.97</v>
          </cell>
          <cell r="AG282">
            <v>0</v>
          </cell>
          <cell r="AH282" t="e">
            <v>#DIV/0!</v>
          </cell>
          <cell r="AI282" t="e">
            <v>#DIV/0!</v>
          </cell>
          <cell r="AJ282" t="e">
            <v>#DIV/0!</v>
          </cell>
          <cell r="AK282" t="e">
            <v>#DIV/0!</v>
          </cell>
          <cell r="AL282" t="e">
            <v>#DIV/0!</v>
          </cell>
          <cell r="AM282" t="e">
            <v>#DIV/0!</v>
          </cell>
          <cell r="AN282" t="e">
            <v>#DIV/0!</v>
          </cell>
          <cell r="AO282" t="e">
            <v>#REF!</v>
          </cell>
          <cell r="AP282" t="e">
            <v>#REF!</v>
          </cell>
          <cell r="AQ282" t="e">
            <v>#REF!</v>
          </cell>
          <cell r="AR282" t="e">
            <v>#REF!</v>
          </cell>
          <cell r="AS282" t="e">
            <v>#REF!</v>
          </cell>
          <cell r="AT282" t="e">
            <v>#REF!</v>
          </cell>
          <cell r="AU282" t="e">
            <v>#REF!</v>
          </cell>
          <cell r="AV282" t="e">
            <v>#REF!</v>
          </cell>
          <cell r="AW282" t="e">
            <v>#DIV/0!</v>
          </cell>
          <cell r="AX282" t="e">
            <v>#DIV/0!</v>
          </cell>
          <cell r="AY282" t="e">
            <v>#DIV/0!</v>
          </cell>
          <cell r="AZ282" t="e">
            <v>#DIV/0!</v>
          </cell>
          <cell r="BE282" t="e">
            <v>#DIV/0!</v>
          </cell>
          <cell r="BF282" t="e">
            <v>#DIV/0!</v>
          </cell>
        </row>
        <row r="283">
          <cell r="A283" t="str">
            <v>-0</v>
          </cell>
          <cell r="B283" t="str">
            <v xml:space="preserve">-0  , </v>
          </cell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>
            <v>0</v>
          </cell>
          <cell r="Y283">
            <v>0</v>
          </cell>
          <cell r="Z283">
            <v>0</v>
          </cell>
          <cell r="AA283" t="str">
            <v>,</v>
          </cell>
          <cell r="AB283" t="str">
            <v>,</v>
          </cell>
          <cell r="AC283" t="e">
            <v>#DIV/0!</v>
          </cell>
          <cell r="AD283" t="e">
            <v>#DIV/0!</v>
          </cell>
          <cell r="AE283">
            <v>0.71</v>
          </cell>
          <cell r="AF283">
            <v>94.97</v>
          </cell>
          <cell r="AG283">
            <v>0</v>
          </cell>
          <cell r="AH283" t="e">
            <v>#DIV/0!</v>
          </cell>
          <cell r="AI283" t="e">
            <v>#DIV/0!</v>
          </cell>
          <cell r="AJ283" t="e">
            <v>#DIV/0!</v>
          </cell>
          <cell r="AK283" t="e">
            <v>#DIV/0!</v>
          </cell>
          <cell r="AL283" t="e">
            <v>#DIV/0!</v>
          </cell>
          <cell r="AM283" t="e">
            <v>#DIV/0!</v>
          </cell>
          <cell r="AN283" t="e">
            <v>#DIV/0!</v>
          </cell>
          <cell r="AO283" t="e">
            <v>#REF!</v>
          </cell>
          <cell r="AP283" t="e">
            <v>#REF!</v>
          </cell>
          <cell r="AQ283" t="e">
            <v>#REF!</v>
          </cell>
          <cell r="AR283" t="e">
            <v>#REF!</v>
          </cell>
          <cell r="AS283" t="e">
            <v>#REF!</v>
          </cell>
          <cell r="AT283" t="e">
            <v>#REF!</v>
          </cell>
          <cell r="AU283" t="e">
            <v>#REF!</v>
          </cell>
          <cell r="AV283" t="e">
            <v>#REF!</v>
          </cell>
          <cell r="AW283" t="e">
            <v>#DIV/0!</v>
          </cell>
          <cell r="AX283" t="e">
            <v>#DIV/0!</v>
          </cell>
          <cell r="AY283" t="e">
            <v>#DIV/0!</v>
          </cell>
          <cell r="AZ283" t="e">
            <v>#DIV/0!</v>
          </cell>
          <cell r="BE283" t="e">
            <v>#DIV/0!</v>
          </cell>
          <cell r="BF283" t="e">
            <v>#DIV/0!</v>
          </cell>
        </row>
        <row r="284">
          <cell r="A284" t="str">
            <v>-0</v>
          </cell>
          <cell r="B284" t="str">
            <v xml:space="preserve">-0  , </v>
          </cell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>
            <v>0</v>
          </cell>
          <cell r="Y284">
            <v>0</v>
          </cell>
          <cell r="Z284">
            <v>0</v>
          </cell>
          <cell r="AA284" t="str">
            <v>,</v>
          </cell>
          <cell r="AB284" t="str">
            <v>,</v>
          </cell>
          <cell r="AC284" t="e">
            <v>#DIV/0!</v>
          </cell>
          <cell r="AD284" t="e">
            <v>#DIV/0!</v>
          </cell>
          <cell r="AE284">
            <v>0.71</v>
          </cell>
          <cell r="AF284">
            <v>94.97</v>
          </cell>
          <cell r="AG284">
            <v>0</v>
          </cell>
          <cell r="AH284" t="e">
            <v>#DIV/0!</v>
          </cell>
          <cell r="AI284" t="e">
            <v>#DIV/0!</v>
          </cell>
          <cell r="AJ284" t="e">
            <v>#DIV/0!</v>
          </cell>
          <cell r="AK284" t="e">
            <v>#DIV/0!</v>
          </cell>
          <cell r="AL284" t="e">
            <v>#DIV/0!</v>
          </cell>
          <cell r="AM284" t="e">
            <v>#DIV/0!</v>
          </cell>
          <cell r="AN284" t="e">
            <v>#DIV/0!</v>
          </cell>
          <cell r="AO284" t="e">
            <v>#REF!</v>
          </cell>
          <cell r="AP284" t="e">
            <v>#REF!</v>
          </cell>
          <cell r="AQ284" t="e">
            <v>#REF!</v>
          </cell>
          <cell r="AR284" t="e">
            <v>#REF!</v>
          </cell>
          <cell r="AS284" t="e">
            <v>#REF!</v>
          </cell>
          <cell r="AT284" t="e">
            <v>#REF!</v>
          </cell>
          <cell r="AU284" t="e">
            <v>#REF!</v>
          </cell>
          <cell r="AV284" t="e">
            <v>#REF!</v>
          </cell>
          <cell r="AW284" t="e">
            <v>#DIV/0!</v>
          </cell>
          <cell r="AX284" t="e">
            <v>#DIV/0!</v>
          </cell>
          <cell r="AY284" t="e">
            <v>#DIV/0!</v>
          </cell>
          <cell r="AZ284" t="e">
            <v>#DIV/0!</v>
          </cell>
          <cell r="BE284" t="e">
            <v>#DIV/0!</v>
          </cell>
          <cell r="BF284" t="e">
            <v>#DIV/0!</v>
          </cell>
        </row>
        <row r="285">
          <cell r="A285" t="str">
            <v>-0</v>
          </cell>
          <cell r="B285" t="str">
            <v xml:space="preserve">-0  , </v>
          </cell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>
            <v>0</v>
          </cell>
          <cell r="Y285">
            <v>0</v>
          </cell>
          <cell r="Z285">
            <v>0</v>
          </cell>
          <cell r="AA285" t="str">
            <v>,</v>
          </cell>
          <cell r="AB285" t="str">
            <v>,</v>
          </cell>
          <cell r="AC285" t="e">
            <v>#DIV/0!</v>
          </cell>
          <cell r="AD285" t="e">
            <v>#DIV/0!</v>
          </cell>
          <cell r="AE285">
            <v>0.71</v>
          </cell>
          <cell r="AF285">
            <v>94.97</v>
          </cell>
          <cell r="AG285">
            <v>0</v>
          </cell>
          <cell r="AH285" t="e">
            <v>#DIV/0!</v>
          </cell>
          <cell r="AI285" t="e">
            <v>#DIV/0!</v>
          </cell>
          <cell r="AJ285" t="e">
            <v>#DIV/0!</v>
          </cell>
          <cell r="AK285" t="e">
            <v>#DIV/0!</v>
          </cell>
          <cell r="AL285" t="e">
            <v>#DIV/0!</v>
          </cell>
          <cell r="AM285" t="e">
            <v>#DIV/0!</v>
          </cell>
          <cell r="AN285" t="e">
            <v>#DIV/0!</v>
          </cell>
          <cell r="AO285" t="e">
            <v>#REF!</v>
          </cell>
          <cell r="AP285" t="e">
            <v>#REF!</v>
          </cell>
          <cell r="AQ285" t="e">
            <v>#REF!</v>
          </cell>
          <cell r="AR285" t="e">
            <v>#REF!</v>
          </cell>
          <cell r="AS285" t="e">
            <v>#REF!</v>
          </cell>
          <cell r="AT285" t="e">
            <v>#REF!</v>
          </cell>
          <cell r="AU285" t="e">
            <v>#REF!</v>
          </cell>
          <cell r="AV285" t="e">
            <v>#REF!</v>
          </cell>
          <cell r="AW285" t="e">
            <v>#DIV/0!</v>
          </cell>
          <cell r="AX285" t="e">
            <v>#DIV/0!</v>
          </cell>
          <cell r="AY285" t="e">
            <v>#DIV/0!</v>
          </cell>
          <cell r="AZ285" t="e">
            <v>#DIV/0!</v>
          </cell>
          <cell r="BE285" t="e">
            <v>#DIV/0!</v>
          </cell>
          <cell r="BF285" t="e">
            <v>#DIV/0!</v>
          </cell>
        </row>
        <row r="286">
          <cell r="A286" t="str">
            <v>-0</v>
          </cell>
          <cell r="B286" t="str">
            <v xml:space="preserve">-0  , </v>
          </cell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>
            <v>0</v>
          </cell>
          <cell r="Y286">
            <v>0</v>
          </cell>
          <cell r="Z286">
            <v>0</v>
          </cell>
          <cell r="AA286" t="str">
            <v>,</v>
          </cell>
          <cell r="AB286" t="str">
            <v>,</v>
          </cell>
          <cell r="AC286" t="e">
            <v>#DIV/0!</v>
          </cell>
          <cell r="AD286" t="e">
            <v>#DIV/0!</v>
          </cell>
          <cell r="AE286">
            <v>0.71</v>
          </cell>
          <cell r="AF286">
            <v>94.97</v>
          </cell>
          <cell r="AG286">
            <v>0</v>
          </cell>
          <cell r="AH286" t="e">
            <v>#DIV/0!</v>
          </cell>
          <cell r="AI286" t="e">
            <v>#DIV/0!</v>
          </cell>
          <cell r="AJ286" t="e">
            <v>#DIV/0!</v>
          </cell>
          <cell r="AK286" t="e">
            <v>#DIV/0!</v>
          </cell>
          <cell r="AL286" t="e">
            <v>#DIV/0!</v>
          </cell>
          <cell r="AM286" t="e">
            <v>#DIV/0!</v>
          </cell>
          <cell r="AN286" t="e">
            <v>#DIV/0!</v>
          </cell>
          <cell r="AO286" t="e">
            <v>#REF!</v>
          </cell>
          <cell r="AP286" t="e">
            <v>#REF!</v>
          </cell>
          <cell r="AQ286" t="e">
            <v>#REF!</v>
          </cell>
          <cell r="AR286" t="e">
            <v>#REF!</v>
          </cell>
          <cell r="AS286" t="e">
            <v>#REF!</v>
          </cell>
          <cell r="AT286" t="e">
            <v>#REF!</v>
          </cell>
          <cell r="AU286" t="e">
            <v>#REF!</v>
          </cell>
          <cell r="AV286" t="e">
            <v>#REF!</v>
          </cell>
          <cell r="AW286" t="e">
            <v>#DIV/0!</v>
          </cell>
          <cell r="AX286" t="e">
            <v>#DIV/0!</v>
          </cell>
          <cell r="AY286" t="e">
            <v>#DIV/0!</v>
          </cell>
          <cell r="AZ286" t="e">
            <v>#DIV/0!</v>
          </cell>
          <cell r="BE286" t="e">
            <v>#DIV/0!</v>
          </cell>
          <cell r="BF286" t="e">
            <v>#DIV/0!</v>
          </cell>
        </row>
        <row r="287">
          <cell r="A287" t="str">
            <v>-0</v>
          </cell>
          <cell r="B287" t="str">
            <v xml:space="preserve">-0  , </v>
          </cell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>
            <v>0</v>
          </cell>
          <cell r="Y287">
            <v>0</v>
          </cell>
          <cell r="Z287">
            <v>0</v>
          </cell>
          <cell r="AA287" t="str">
            <v>,</v>
          </cell>
          <cell r="AB287" t="str">
            <v>,</v>
          </cell>
          <cell r="AC287" t="e">
            <v>#DIV/0!</v>
          </cell>
          <cell r="AD287" t="e">
            <v>#DIV/0!</v>
          </cell>
          <cell r="AE287">
            <v>0.71</v>
          </cell>
          <cell r="AF287">
            <v>94.97</v>
          </cell>
          <cell r="AG287">
            <v>0</v>
          </cell>
          <cell r="AH287" t="e">
            <v>#DIV/0!</v>
          </cell>
          <cell r="AI287" t="e">
            <v>#DIV/0!</v>
          </cell>
          <cell r="AJ287" t="e">
            <v>#DIV/0!</v>
          </cell>
          <cell r="AK287" t="e">
            <v>#DIV/0!</v>
          </cell>
          <cell r="AL287" t="e">
            <v>#DIV/0!</v>
          </cell>
          <cell r="AM287" t="e">
            <v>#DIV/0!</v>
          </cell>
          <cell r="AN287" t="e">
            <v>#DIV/0!</v>
          </cell>
          <cell r="AO287" t="e">
            <v>#REF!</v>
          </cell>
          <cell r="AP287" t="e">
            <v>#REF!</v>
          </cell>
          <cell r="AQ287" t="e">
            <v>#REF!</v>
          </cell>
          <cell r="AR287" t="e">
            <v>#REF!</v>
          </cell>
          <cell r="AS287" t="e">
            <v>#REF!</v>
          </cell>
          <cell r="AT287" t="e">
            <v>#REF!</v>
          </cell>
          <cell r="AU287" t="e">
            <v>#REF!</v>
          </cell>
          <cell r="AV287" t="e">
            <v>#REF!</v>
          </cell>
          <cell r="AW287" t="e">
            <v>#DIV/0!</v>
          </cell>
          <cell r="AX287" t="e">
            <v>#DIV/0!</v>
          </cell>
          <cell r="AY287" t="e">
            <v>#DIV/0!</v>
          </cell>
          <cell r="AZ287" t="e">
            <v>#DIV/0!</v>
          </cell>
          <cell r="BE287" t="e">
            <v>#DIV/0!</v>
          </cell>
          <cell r="BF287" t="e">
            <v>#DIV/0!</v>
          </cell>
        </row>
        <row r="288">
          <cell r="A288" t="str">
            <v>-0</v>
          </cell>
          <cell r="B288" t="str">
            <v xml:space="preserve">-0  , </v>
          </cell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>
            <v>0</v>
          </cell>
          <cell r="Y288">
            <v>0</v>
          </cell>
          <cell r="Z288">
            <v>0</v>
          </cell>
          <cell r="AA288" t="str">
            <v>,</v>
          </cell>
          <cell r="AB288" t="str">
            <v>,</v>
          </cell>
          <cell r="AC288" t="e">
            <v>#DIV/0!</v>
          </cell>
          <cell r="AD288" t="e">
            <v>#DIV/0!</v>
          </cell>
          <cell r="AE288">
            <v>0.71</v>
          </cell>
          <cell r="AF288">
            <v>94.97</v>
          </cell>
          <cell r="AG288">
            <v>0</v>
          </cell>
          <cell r="AH288" t="e">
            <v>#DIV/0!</v>
          </cell>
          <cell r="AI288" t="e">
            <v>#DIV/0!</v>
          </cell>
          <cell r="AJ288" t="e">
            <v>#DIV/0!</v>
          </cell>
          <cell r="AK288" t="e">
            <v>#DIV/0!</v>
          </cell>
          <cell r="AL288" t="e">
            <v>#DIV/0!</v>
          </cell>
          <cell r="AM288" t="e">
            <v>#DIV/0!</v>
          </cell>
          <cell r="AN288" t="e">
            <v>#DIV/0!</v>
          </cell>
          <cell r="AO288" t="e">
            <v>#REF!</v>
          </cell>
          <cell r="AP288" t="e">
            <v>#REF!</v>
          </cell>
          <cell r="AQ288" t="e">
            <v>#REF!</v>
          </cell>
          <cell r="AR288" t="e">
            <v>#REF!</v>
          </cell>
          <cell r="AS288" t="e">
            <v>#REF!</v>
          </cell>
          <cell r="AT288" t="e">
            <v>#REF!</v>
          </cell>
          <cell r="AU288" t="e">
            <v>#REF!</v>
          </cell>
          <cell r="AV288" t="e">
            <v>#REF!</v>
          </cell>
          <cell r="AW288" t="e">
            <v>#DIV/0!</v>
          </cell>
          <cell r="AX288" t="e">
            <v>#DIV/0!</v>
          </cell>
          <cell r="AY288" t="e">
            <v>#DIV/0!</v>
          </cell>
          <cell r="AZ288" t="e">
            <v>#DIV/0!</v>
          </cell>
          <cell r="BE288" t="e">
            <v>#DIV/0!</v>
          </cell>
          <cell r="BF288" t="e">
            <v>#DIV/0!</v>
          </cell>
        </row>
        <row r="289">
          <cell r="A289" t="str">
            <v>-0</v>
          </cell>
          <cell r="B289" t="str">
            <v xml:space="preserve">-0  , </v>
          </cell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>
            <v>0</v>
          </cell>
          <cell r="Y289">
            <v>0</v>
          </cell>
          <cell r="Z289">
            <v>0</v>
          </cell>
          <cell r="AA289" t="str">
            <v>,</v>
          </cell>
          <cell r="AB289" t="str">
            <v>,</v>
          </cell>
          <cell r="AC289" t="e">
            <v>#DIV/0!</v>
          </cell>
          <cell r="AD289" t="e">
            <v>#DIV/0!</v>
          </cell>
          <cell r="AE289">
            <v>0.71</v>
          </cell>
          <cell r="AF289">
            <v>94.97</v>
          </cell>
          <cell r="AG289">
            <v>0</v>
          </cell>
          <cell r="AH289" t="e">
            <v>#DIV/0!</v>
          </cell>
          <cell r="AI289" t="e">
            <v>#DIV/0!</v>
          </cell>
          <cell r="AJ289" t="e">
            <v>#DIV/0!</v>
          </cell>
          <cell r="AK289" t="e">
            <v>#DIV/0!</v>
          </cell>
          <cell r="AL289" t="e">
            <v>#DIV/0!</v>
          </cell>
          <cell r="AM289" t="e">
            <v>#DIV/0!</v>
          </cell>
          <cell r="AN289" t="e">
            <v>#DIV/0!</v>
          </cell>
          <cell r="AO289" t="e">
            <v>#REF!</v>
          </cell>
          <cell r="AP289" t="e">
            <v>#REF!</v>
          </cell>
          <cell r="AQ289" t="e">
            <v>#REF!</v>
          </cell>
          <cell r="AR289" t="e">
            <v>#REF!</v>
          </cell>
          <cell r="AS289" t="e">
            <v>#REF!</v>
          </cell>
          <cell r="AT289" t="e">
            <v>#REF!</v>
          </cell>
          <cell r="AU289" t="e">
            <v>#REF!</v>
          </cell>
          <cell r="AV289" t="e">
            <v>#REF!</v>
          </cell>
          <cell r="AW289" t="e">
            <v>#DIV/0!</v>
          </cell>
          <cell r="AX289" t="e">
            <v>#DIV/0!</v>
          </cell>
          <cell r="AY289" t="e">
            <v>#DIV/0!</v>
          </cell>
          <cell r="AZ289" t="e">
            <v>#DIV/0!</v>
          </cell>
          <cell r="BE289" t="e">
            <v>#DIV/0!</v>
          </cell>
          <cell r="BF289" t="e">
            <v>#DIV/0!</v>
          </cell>
        </row>
        <row r="290">
          <cell r="A290" t="str">
            <v>-0</v>
          </cell>
          <cell r="B290" t="str">
            <v xml:space="preserve">-0  , </v>
          </cell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>
            <v>0</v>
          </cell>
          <cell r="Y290">
            <v>0</v>
          </cell>
          <cell r="Z290">
            <v>0</v>
          </cell>
          <cell r="AA290" t="str">
            <v>,</v>
          </cell>
          <cell r="AB290" t="str">
            <v>,</v>
          </cell>
          <cell r="AC290" t="e">
            <v>#DIV/0!</v>
          </cell>
          <cell r="AD290" t="e">
            <v>#DIV/0!</v>
          </cell>
          <cell r="AE290">
            <v>0.71</v>
          </cell>
          <cell r="AF290">
            <v>94.97</v>
          </cell>
          <cell r="AG290">
            <v>0</v>
          </cell>
          <cell r="AH290" t="e">
            <v>#DIV/0!</v>
          </cell>
          <cell r="AI290" t="e">
            <v>#DIV/0!</v>
          </cell>
          <cell r="AJ290" t="e">
            <v>#DIV/0!</v>
          </cell>
          <cell r="AK290" t="e">
            <v>#DIV/0!</v>
          </cell>
          <cell r="AL290" t="e">
            <v>#DIV/0!</v>
          </cell>
          <cell r="AM290" t="e">
            <v>#DIV/0!</v>
          </cell>
          <cell r="AN290" t="e">
            <v>#DIV/0!</v>
          </cell>
          <cell r="AO290" t="e">
            <v>#REF!</v>
          </cell>
          <cell r="AP290" t="e">
            <v>#REF!</v>
          </cell>
          <cell r="AQ290" t="e">
            <v>#REF!</v>
          </cell>
          <cell r="AR290" t="e">
            <v>#REF!</v>
          </cell>
          <cell r="AS290" t="e">
            <v>#REF!</v>
          </cell>
          <cell r="AT290" t="e">
            <v>#REF!</v>
          </cell>
          <cell r="AU290" t="e">
            <v>#REF!</v>
          </cell>
          <cell r="AV290" t="e">
            <v>#REF!</v>
          </cell>
          <cell r="AW290" t="e">
            <v>#DIV/0!</v>
          </cell>
          <cell r="AX290" t="e">
            <v>#DIV/0!</v>
          </cell>
          <cell r="AY290" t="e">
            <v>#DIV/0!</v>
          </cell>
          <cell r="AZ290" t="e">
            <v>#DIV/0!</v>
          </cell>
          <cell r="BE290" t="e">
            <v>#DIV/0!</v>
          </cell>
          <cell r="BF290" t="e">
            <v>#DIV/0!</v>
          </cell>
        </row>
        <row r="291">
          <cell r="A291" t="str">
            <v>-0</v>
          </cell>
          <cell r="B291" t="str">
            <v xml:space="preserve">-0  , </v>
          </cell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>
            <v>0</v>
          </cell>
          <cell r="Y291">
            <v>0</v>
          </cell>
          <cell r="Z291">
            <v>0</v>
          </cell>
          <cell r="AA291" t="str">
            <v>,</v>
          </cell>
          <cell r="AB291" t="str">
            <v>,</v>
          </cell>
          <cell r="AC291" t="e">
            <v>#DIV/0!</v>
          </cell>
          <cell r="AD291" t="e">
            <v>#DIV/0!</v>
          </cell>
          <cell r="AE291">
            <v>0.71</v>
          </cell>
          <cell r="AF291">
            <v>94.97</v>
          </cell>
          <cell r="AG291">
            <v>0</v>
          </cell>
          <cell r="AH291" t="e">
            <v>#DIV/0!</v>
          </cell>
          <cell r="AI291" t="e">
            <v>#DIV/0!</v>
          </cell>
          <cell r="AJ291" t="e">
            <v>#DIV/0!</v>
          </cell>
          <cell r="AK291" t="e">
            <v>#DIV/0!</v>
          </cell>
          <cell r="AL291" t="e">
            <v>#DIV/0!</v>
          </cell>
          <cell r="AM291" t="e">
            <v>#DIV/0!</v>
          </cell>
          <cell r="AN291" t="e">
            <v>#DIV/0!</v>
          </cell>
          <cell r="AO291" t="e">
            <v>#REF!</v>
          </cell>
          <cell r="AP291" t="e">
            <v>#REF!</v>
          </cell>
          <cell r="AQ291" t="e">
            <v>#REF!</v>
          </cell>
          <cell r="AR291" t="e">
            <v>#REF!</v>
          </cell>
          <cell r="AS291" t="e">
            <v>#REF!</v>
          </cell>
          <cell r="AT291" t="e">
            <v>#REF!</v>
          </cell>
          <cell r="AU291" t="e">
            <v>#REF!</v>
          </cell>
          <cell r="AV291" t="e">
            <v>#REF!</v>
          </cell>
          <cell r="AW291" t="e">
            <v>#DIV/0!</v>
          </cell>
          <cell r="AX291" t="e">
            <v>#DIV/0!</v>
          </cell>
          <cell r="AY291" t="e">
            <v>#DIV/0!</v>
          </cell>
          <cell r="AZ291" t="e">
            <v>#DIV/0!</v>
          </cell>
          <cell r="BE291" t="e">
            <v>#DIV/0!</v>
          </cell>
          <cell r="BF291" t="e">
            <v>#DIV/0!</v>
          </cell>
        </row>
        <row r="292">
          <cell r="A292" t="str">
            <v>-0</v>
          </cell>
          <cell r="B292" t="str">
            <v xml:space="preserve">-0  , </v>
          </cell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>
            <v>0</v>
          </cell>
          <cell r="Y292">
            <v>0</v>
          </cell>
          <cell r="Z292">
            <v>0</v>
          </cell>
          <cell r="AA292" t="str">
            <v>,</v>
          </cell>
          <cell r="AB292" t="str">
            <v>,</v>
          </cell>
          <cell r="AC292" t="e">
            <v>#DIV/0!</v>
          </cell>
          <cell r="AD292" t="e">
            <v>#DIV/0!</v>
          </cell>
          <cell r="AE292">
            <v>0.71</v>
          </cell>
          <cell r="AF292">
            <v>94.97</v>
          </cell>
          <cell r="AG292">
            <v>0</v>
          </cell>
          <cell r="AH292" t="e">
            <v>#DIV/0!</v>
          </cell>
          <cell r="AI292" t="e">
            <v>#DIV/0!</v>
          </cell>
          <cell r="AJ292" t="e">
            <v>#DIV/0!</v>
          </cell>
          <cell r="AK292" t="e">
            <v>#DIV/0!</v>
          </cell>
          <cell r="AL292" t="e">
            <v>#DIV/0!</v>
          </cell>
          <cell r="AM292" t="e">
            <v>#DIV/0!</v>
          </cell>
          <cell r="AN292" t="e">
            <v>#DIV/0!</v>
          </cell>
          <cell r="AO292" t="e">
            <v>#REF!</v>
          </cell>
          <cell r="AP292" t="e">
            <v>#REF!</v>
          </cell>
          <cell r="AQ292" t="e">
            <v>#REF!</v>
          </cell>
          <cell r="AR292" t="e">
            <v>#REF!</v>
          </cell>
          <cell r="AS292" t="e">
            <v>#REF!</v>
          </cell>
          <cell r="AT292" t="e">
            <v>#REF!</v>
          </cell>
          <cell r="AU292" t="e">
            <v>#REF!</v>
          </cell>
          <cell r="AV292" t="e">
            <v>#REF!</v>
          </cell>
          <cell r="AW292" t="e">
            <v>#DIV/0!</v>
          </cell>
          <cell r="AX292" t="e">
            <v>#DIV/0!</v>
          </cell>
          <cell r="AY292" t="e">
            <v>#DIV/0!</v>
          </cell>
          <cell r="AZ292" t="e">
            <v>#DIV/0!</v>
          </cell>
          <cell r="BE292" t="e">
            <v>#DIV/0!</v>
          </cell>
          <cell r="BF292" t="e">
            <v>#DIV/0!</v>
          </cell>
        </row>
        <row r="293">
          <cell r="A293" t="str">
            <v>-0</v>
          </cell>
          <cell r="B293" t="str">
            <v xml:space="preserve">-0  , </v>
          </cell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>
            <v>0</v>
          </cell>
          <cell r="Y293">
            <v>0</v>
          </cell>
          <cell r="Z293">
            <v>0</v>
          </cell>
          <cell r="AA293" t="str">
            <v>,</v>
          </cell>
          <cell r="AB293" t="str">
            <v>,</v>
          </cell>
          <cell r="AC293" t="e">
            <v>#DIV/0!</v>
          </cell>
          <cell r="AD293" t="e">
            <v>#DIV/0!</v>
          </cell>
          <cell r="AE293">
            <v>0.71</v>
          </cell>
          <cell r="AF293">
            <v>94.97</v>
          </cell>
          <cell r="AG293">
            <v>0</v>
          </cell>
          <cell r="AH293" t="e">
            <v>#DIV/0!</v>
          </cell>
          <cell r="AI293" t="e">
            <v>#DIV/0!</v>
          </cell>
          <cell r="AJ293" t="e">
            <v>#DIV/0!</v>
          </cell>
          <cell r="AK293" t="e">
            <v>#DIV/0!</v>
          </cell>
          <cell r="AL293" t="e">
            <v>#DIV/0!</v>
          </cell>
          <cell r="AM293" t="e">
            <v>#DIV/0!</v>
          </cell>
          <cell r="AN293" t="e">
            <v>#DIV/0!</v>
          </cell>
          <cell r="AO293" t="e">
            <v>#REF!</v>
          </cell>
          <cell r="AP293" t="e">
            <v>#REF!</v>
          </cell>
          <cell r="AQ293" t="e">
            <v>#REF!</v>
          </cell>
          <cell r="AR293" t="e">
            <v>#REF!</v>
          </cell>
          <cell r="AS293" t="e">
            <v>#REF!</v>
          </cell>
          <cell r="AT293" t="e">
            <v>#REF!</v>
          </cell>
          <cell r="AU293" t="e">
            <v>#REF!</v>
          </cell>
          <cell r="AV293" t="e">
            <v>#REF!</v>
          </cell>
          <cell r="AW293" t="e">
            <v>#DIV/0!</v>
          </cell>
          <cell r="AX293" t="e">
            <v>#DIV/0!</v>
          </cell>
          <cell r="AY293" t="e">
            <v>#DIV/0!</v>
          </cell>
          <cell r="AZ293" t="e">
            <v>#DIV/0!</v>
          </cell>
          <cell r="BE293" t="e">
            <v>#DIV/0!</v>
          </cell>
          <cell r="BF293" t="e">
            <v>#DIV/0!</v>
          </cell>
        </row>
        <row r="294">
          <cell r="A294" t="str">
            <v>-0</v>
          </cell>
          <cell r="B294" t="str">
            <v xml:space="preserve">-0  , </v>
          </cell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>
            <v>0</v>
          </cell>
          <cell r="Y294">
            <v>0</v>
          </cell>
          <cell r="Z294">
            <v>0</v>
          </cell>
          <cell r="AA294" t="str">
            <v>,</v>
          </cell>
          <cell r="AB294" t="str">
            <v>,</v>
          </cell>
          <cell r="AC294" t="e">
            <v>#DIV/0!</v>
          </cell>
          <cell r="AD294" t="e">
            <v>#DIV/0!</v>
          </cell>
          <cell r="AE294">
            <v>0.71</v>
          </cell>
          <cell r="AF294">
            <v>94.97</v>
          </cell>
          <cell r="AG294">
            <v>0</v>
          </cell>
          <cell r="AH294" t="e">
            <v>#DIV/0!</v>
          </cell>
          <cell r="AI294" t="e">
            <v>#DIV/0!</v>
          </cell>
          <cell r="AJ294" t="e">
            <v>#DIV/0!</v>
          </cell>
          <cell r="AK294" t="e">
            <v>#DIV/0!</v>
          </cell>
          <cell r="AL294" t="e">
            <v>#DIV/0!</v>
          </cell>
          <cell r="AM294" t="e">
            <v>#DIV/0!</v>
          </cell>
          <cell r="AN294" t="e">
            <v>#DIV/0!</v>
          </cell>
          <cell r="AO294" t="e">
            <v>#REF!</v>
          </cell>
          <cell r="AP294" t="e">
            <v>#REF!</v>
          </cell>
          <cell r="AQ294" t="e">
            <v>#REF!</v>
          </cell>
          <cell r="AR294" t="e">
            <v>#REF!</v>
          </cell>
          <cell r="AS294" t="e">
            <v>#REF!</v>
          </cell>
          <cell r="AT294" t="e">
            <v>#REF!</v>
          </cell>
          <cell r="AU294" t="e">
            <v>#REF!</v>
          </cell>
          <cell r="AV294" t="e">
            <v>#REF!</v>
          </cell>
          <cell r="AW294" t="e">
            <v>#DIV/0!</v>
          </cell>
          <cell r="AX294" t="e">
            <v>#DIV/0!</v>
          </cell>
          <cell r="AY294" t="e">
            <v>#DIV/0!</v>
          </cell>
          <cell r="AZ294" t="e">
            <v>#DIV/0!</v>
          </cell>
          <cell r="BE294" t="e">
            <v>#DIV/0!</v>
          </cell>
          <cell r="BF294" t="e">
            <v>#DIV/0!</v>
          </cell>
        </row>
        <row r="295">
          <cell r="A295" t="str">
            <v>-0</v>
          </cell>
          <cell r="B295" t="str">
            <v xml:space="preserve">-0  , </v>
          </cell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>
            <v>0</v>
          </cell>
          <cell r="Y295">
            <v>0</v>
          </cell>
          <cell r="Z295">
            <v>0</v>
          </cell>
          <cell r="AA295" t="str">
            <v>,</v>
          </cell>
          <cell r="AB295" t="str">
            <v>,</v>
          </cell>
          <cell r="AC295" t="e">
            <v>#DIV/0!</v>
          </cell>
          <cell r="AD295" t="e">
            <v>#DIV/0!</v>
          </cell>
          <cell r="AE295">
            <v>0.71</v>
          </cell>
          <cell r="AF295">
            <v>94.97</v>
          </cell>
          <cell r="AG295">
            <v>0</v>
          </cell>
          <cell r="AH295" t="e">
            <v>#DIV/0!</v>
          </cell>
          <cell r="AI295" t="e">
            <v>#DIV/0!</v>
          </cell>
          <cell r="AJ295" t="e">
            <v>#DIV/0!</v>
          </cell>
          <cell r="AK295" t="e">
            <v>#DIV/0!</v>
          </cell>
          <cell r="AL295" t="e">
            <v>#DIV/0!</v>
          </cell>
          <cell r="AM295" t="e">
            <v>#DIV/0!</v>
          </cell>
          <cell r="AN295" t="e">
            <v>#DIV/0!</v>
          </cell>
          <cell r="AO295" t="e">
            <v>#REF!</v>
          </cell>
          <cell r="AP295" t="e">
            <v>#REF!</v>
          </cell>
          <cell r="AQ295" t="e">
            <v>#REF!</v>
          </cell>
          <cell r="AR295" t="e">
            <v>#REF!</v>
          </cell>
          <cell r="AS295" t="e">
            <v>#REF!</v>
          </cell>
          <cell r="AT295" t="e">
            <v>#REF!</v>
          </cell>
          <cell r="AU295" t="e">
            <v>#REF!</v>
          </cell>
          <cell r="AV295" t="e">
            <v>#REF!</v>
          </cell>
          <cell r="AW295" t="e">
            <v>#DIV/0!</v>
          </cell>
          <cell r="AX295" t="e">
            <v>#DIV/0!</v>
          </cell>
          <cell r="AY295" t="e">
            <v>#DIV/0!</v>
          </cell>
          <cell r="AZ295" t="e">
            <v>#DIV/0!</v>
          </cell>
          <cell r="BE295" t="e">
            <v>#DIV/0!</v>
          </cell>
          <cell r="BF295" t="e">
            <v>#DIV/0!</v>
          </cell>
        </row>
        <row r="296">
          <cell r="A296" t="str">
            <v>-0</v>
          </cell>
          <cell r="B296" t="str">
            <v xml:space="preserve">-0  , </v>
          </cell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>
            <v>0</v>
          </cell>
          <cell r="Y296">
            <v>0</v>
          </cell>
          <cell r="Z296">
            <v>0</v>
          </cell>
          <cell r="AA296" t="str">
            <v>,</v>
          </cell>
          <cell r="AB296" t="str">
            <v>,</v>
          </cell>
          <cell r="AC296" t="e">
            <v>#DIV/0!</v>
          </cell>
          <cell r="AD296" t="e">
            <v>#DIV/0!</v>
          </cell>
          <cell r="AE296">
            <v>0.71</v>
          </cell>
          <cell r="AF296">
            <v>94.97</v>
          </cell>
          <cell r="AG296">
            <v>0</v>
          </cell>
          <cell r="AH296" t="e">
            <v>#DIV/0!</v>
          </cell>
          <cell r="AI296" t="e">
            <v>#DIV/0!</v>
          </cell>
          <cell r="AJ296" t="e">
            <v>#DIV/0!</v>
          </cell>
          <cell r="AK296" t="e">
            <v>#DIV/0!</v>
          </cell>
          <cell r="AL296" t="e">
            <v>#DIV/0!</v>
          </cell>
          <cell r="AM296" t="e">
            <v>#DIV/0!</v>
          </cell>
          <cell r="AN296" t="e">
            <v>#DIV/0!</v>
          </cell>
          <cell r="AO296" t="e">
            <v>#REF!</v>
          </cell>
          <cell r="AP296" t="e">
            <v>#REF!</v>
          </cell>
          <cell r="AQ296" t="e">
            <v>#REF!</v>
          </cell>
          <cell r="AR296" t="e">
            <v>#REF!</v>
          </cell>
          <cell r="AS296" t="e">
            <v>#REF!</v>
          </cell>
          <cell r="AT296" t="e">
            <v>#REF!</v>
          </cell>
          <cell r="AU296" t="e">
            <v>#REF!</v>
          </cell>
          <cell r="AV296" t="e">
            <v>#REF!</v>
          </cell>
          <cell r="AW296" t="e">
            <v>#DIV/0!</v>
          </cell>
          <cell r="AX296" t="e">
            <v>#DIV/0!</v>
          </cell>
          <cell r="AY296" t="e">
            <v>#DIV/0!</v>
          </cell>
          <cell r="AZ296" t="e">
            <v>#DIV/0!</v>
          </cell>
          <cell r="BE296" t="e">
            <v>#DIV/0!</v>
          </cell>
          <cell r="BF296" t="e">
            <v>#DIV/0!</v>
          </cell>
        </row>
        <row r="297">
          <cell r="A297" t="str">
            <v>-0</v>
          </cell>
          <cell r="B297" t="str">
            <v xml:space="preserve">-0  , </v>
          </cell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>
            <v>0</v>
          </cell>
          <cell r="Y297">
            <v>0</v>
          </cell>
          <cell r="Z297">
            <v>0</v>
          </cell>
          <cell r="AA297" t="str">
            <v>,</v>
          </cell>
          <cell r="AB297" t="str">
            <v>,</v>
          </cell>
          <cell r="AC297" t="e">
            <v>#DIV/0!</v>
          </cell>
          <cell r="AD297" t="e">
            <v>#DIV/0!</v>
          </cell>
          <cell r="AE297">
            <v>0.71</v>
          </cell>
          <cell r="AF297">
            <v>94.97</v>
          </cell>
          <cell r="AG297">
            <v>0</v>
          </cell>
          <cell r="AH297" t="e">
            <v>#DIV/0!</v>
          </cell>
          <cell r="AI297" t="e">
            <v>#DIV/0!</v>
          </cell>
          <cell r="AJ297" t="e">
            <v>#DIV/0!</v>
          </cell>
          <cell r="AK297" t="e">
            <v>#DIV/0!</v>
          </cell>
          <cell r="AL297" t="e">
            <v>#DIV/0!</v>
          </cell>
          <cell r="AM297" t="e">
            <v>#DIV/0!</v>
          </cell>
          <cell r="AN297" t="e">
            <v>#DIV/0!</v>
          </cell>
          <cell r="AO297" t="e">
            <v>#REF!</v>
          </cell>
          <cell r="AP297" t="e">
            <v>#REF!</v>
          </cell>
          <cell r="AQ297" t="e">
            <v>#REF!</v>
          </cell>
          <cell r="AR297" t="e">
            <v>#REF!</v>
          </cell>
          <cell r="AS297" t="e">
            <v>#REF!</v>
          </cell>
          <cell r="AT297" t="e">
            <v>#REF!</v>
          </cell>
          <cell r="AU297" t="e">
            <v>#REF!</v>
          </cell>
          <cell r="AV297" t="e">
            <v>#REF!</v>
          </cell>
          <cell r="AW297" t="e">
            <v>#DIV/0!</v>
          </cell>
          <cell r="AX297" t="e">
            <v>#DIV/0!</v>
          </cell>
          <cell r="AY297" t="e">
            <v>#DIV/0!</v>
          </cell>
          <cell r="AZ297" t="e">
            <v>#DIV/0!</v>
          </cell>
          <cell r="BE297" t="e">
            <v>#DIV/0!</v>
          </cell>
          <cell r="BF297" t="e">
            <v>#DIV/0!</v>
          </cell>
        </row>
        <row r="298">
          <cell r="A298" t="str">
            <v>-0</v>
          </cell>
          <cell r="B298" t="str">
            <v xml:space="preserve">-0  , </v>
          </cell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>
            <v>0</v>
          </cell>
          <cell r="Y298">
            <v>0</v>
          </cell>
          <cell r="Z298">
            <v>0</v>
          </cell>
          <cell r="AA298" t="str">
            <v>,</v>
          </cell>
          <cell r="AB298" t="str">
            <v>,</v>
          </cell>
          <cell r="AC298" t="e">
            <v>#DIV/0!</v>
          </cell>
          <cell r="AD298" t="e">
            <v>#DIV/0!</v>
          </cell>
          <cell r="AE298">
            <v>0.71</v>
          </cell>
          <cell r="AF298">
            <v>94.97</v>
          </cell>
          <cell r="AG298">
            <v>0</v>
          </cell>
          <cell r="AH298" t="e">
            <v>#DIV/0!</v>
          </cell>
          <cell r="AI298" t="e">
            <v>#DIV/0!</v>
          </cell>
          <cell r="AJ298" t="e">
            <v>#DIV/0!</v>
          </cell>
          <cell r="AK298" t="e">
            <v>#DIV/0!</v>
          </cell>
          <cell r="AL298" t="e">
            <v>#DIV/0!</v>
          </cell>
          <cell r="AM298" t="e">
            <v>#DIV/0!</v>
          </cell>
          <cell r="AN298" t="e">
            <v>#DIV/0!</v>
          </cell>
          <cell r="AO298" t="e">
            <v>#REF!</v>
          </cell>
          <cell r="AP298" t="e">
            <v>#REF!</v>
          </cell>
          <cell r="AQ298" t="e">
            <v>#REF!</v>
          </cell>
          <cell r="AR298" t="e">
            <v>#REF!</v>
          </cell>
          <cell r="AS298" t="e">
            <v>#REF!</v>
          </cell>
          <cell r="AT298" t="e">
            <v>#REF!</v>
          </cell>
          <cell r="AU298" t="e">
            <v>#REF!</v>
          </cell>
          <cell r="AV298" t="e">
            <v>#REF!</v>
          </cell>
          <cell r="AW298" t="e">
            <v>#DIV/0!</v>
          </cell>
          <cell r="AX298" t="e">
            <v>#DIV/0!</v>
          </cell>
          <cell r="AY298" t="e">
            <v>#DIV/0!</v>
          </cell>
          <cell r="AZ298" t="e">
            <v>#DIV/0!</v>
          </cell>
          <cell r="BE298" t="e">
            <v>#DIV/0!</v>
          </cell>
          <cell r="BF298" t="e">
            <v>#DIV/0!</v>
          </cell>
        </row>
        <row r="299">
          <cell r="A299" t="str">
            <v>-0</v>
          </cell>
          <cell r="B299" t="str">
            <v xml:space="preserve">-0  , </v>
          </cell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>
            <v>0</v>
          </cell>
          <cell r="Y299">
            <v>0</v>
          </cell>
          <cell r="Z299">
            <v>0</v>
          </cell>
          <cell r="AA299" t="str">
            <v>,</v>
          </cell>
          <cell r="AB299" t="str">
            <v>,</v>
          </cell>
          <cell r="AC299" t="e">
            <v>#DIV/0!</v>
          </cell>
          <cell r="AD299" t="e">
            <v>#DIV/0!</v>
          </cell>
          <cell r="AE299">
            <v>0.71</v>
          </cell>
          <cell r="AF299">
            <v>94.97</v>
          </cell>
          <cell r="AG299">
            <v>0</v>
          </cell>
          <cell r="AH299" t="e">
            <v>#DIV/0!</v>
          </cell>
          <cell r="AI299" t="e">
            <v>#DIV/0!</v>
          </cell>
          <cell r="AJ299" t="e">
            <v>#DIV/0!</v>
          </cell>
          <cell r="AK299" t="e">
            <v>#DIV/0!</v>
          </cell>
          <cell r="AL299" t="e">
            <v>#DIV/0!</v>
          </cell>
          <cell r="AM299" t="e">
            <v>#DIV/0!</v>
          </cell>
          <cell r="AN299" t="e">
            <v>#DIV/0!</v>
          </cell>
          <cell r="AO299" t="e">
            <v>#REF!</v>
          </cell>
          <cell r="AP299" t="e">
            <v>#REF!</v>
          </cell>
          <cell r="AQ299" t="e">
            <v>#REF!</v>
          </cell>
          <cell r="AR299" t="e">
            <v>#REF!</v>
          </cell>
          <cell r="AS299" t="e">
            <v>#REF!</v>
          </cell>
          <cell r="AT299" t="e">
            <v>#REF!</v>
          </cell>
          <cell r="AU299" t="e">
            <v>#REF!</v>
          </cell>
          <cell r="AV299" t="e">
            <v>#REF!</v>
          </cell>
          <cell r="AW299" t="e">
            <v>#DIV/0!</v>
          </cell>
          <cell r="AX299" t="e">
            <v>#DIV/0!</v>
          </cell>
          <cell r="AY299" t="e">
            <v>#DIV/0!</v>
          </cell>
          <cell r="AZ299" t="e">
            <v>#DIV/0!</v>
          </cell>
          <cell r="BE299" t="e">
            <v>#DIV/0!</v>
          </cell>
          <cell r="BF299" t="e">
            <v>#DIV/0!</v>
          </cell>
        </row>
        <row r="300">
          <cell r="A300" t="str">
            <v>-0</v>
          </cell>
          <cell r="B300" t="str">
            <v xml:space="preserve">-0  , </v>
          </cell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>
            <v>0</v>
          </cell>
          <cell r="Y300">
            <v>0</v>
          </cell>
          <cell r="Z300">
            <v>0</v>
          </cell>
          <cell r="AA300" t="str">
            <v>,</v>
          </cell>
          <cell r="AB300" t="str">
            <v>,</v>
          </cell>
          <cell r="AC300" t="e">
            <v>#DIV/0!</v>
          </cell>
          <cell r="AD300" t="e">
            <v>#DIV/0!</v>
          </cell>
          <cell r="AE300">
            <v>0.71</v>
          </cell>
          <cell r="AF300">
            <v>94.97</v>
          </cell>
          <cell r="AG300">
            <v>0</v>
          </cell>
          <cell r="AH300" t="e">
            <v>#DIV/0!</v>
          </cell>
          <cell r="AI300" t="e">
            <v>#DIV/0!</v>
          </cell>
          <cell r="AJ300" t="e">
            <v>#DIV/0!</v>
          </cell>
          <cell r="AK300" t="e">
            <v>#DIV/0!</v>
          </cell>
          <cell r="AL300" t="e">
            <v>#DIV/0!</v>
          </cell>
          <cell r="AM300" t="e">
            <v>#DIV/0!</v>
          </cell>
          <cell r="AN300" t="e">
            <v>#DIV/0!</v>
          </cell>
          <cell r="AO300" t="e">
            <v>#REF!</v>
          </cell>
          <cell r="AP300" t="e">
            <v>#REF!</v>
          </cell>
          <cell r="AQ300" t="e">
            <v>#REF!</v>
          </cell>
          <cell r="AR300" t="e">
            <v>#REF!</v>
          </cell>
          <cell r="AS300" t="e">
            <v>#REF!</v>
          </cell>
          <cell r="AT300" t="e">
            <v>#REF!</v>
          </cell>
          <cell r="AU300" t="e">
            <v>#REF!</v>
          </cell>
          <cell r="AV300" t="e">
            <v>#REF!</v>
          </cell>
          <cell r="AW300" t="e">
            <v>#DIV/0!</v>
          </cell>
          <cell r="AX300" t="e">
            <v>#DIV/0!</v>
          </cell>
          <cell r="AY300" t="e">
            <v>#DIV/0!</v>
          </cell>
          <cell r="AZ300" t="e">
            <v>#DIV/0!</v>
          </cell>
          <cell r="BE300" t="e">
            <v>#DIV/0!</v>
          </cell>
          <cell r="BF300" t="e">
            <v>#DIV/0!</v>
          </cell>
        </row>
        <row r="301">
          <cell r="A301" t="str">
            <v>-0</v>
          </cell>
          <cell r="B301" t="str">
            <v xml:space="preserve">-0  , </v>
          </cell>
          <cell r="C301"/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  <cell r="X301">
            <v>0</v>
          </cell>
          <cell r="Y301">
            <v>0</v>
          </cell>
          <cell r="Z301">
            <v>0</v>
          </cell>
          <cell r="AA301" t="str">
            <v>,</v>
          </cell>
          <cell r="AB301" t="str">
            <v>,</v>
          </cell>
          <cell r="AC301" t="e">
            <v>#DIV/0!</v>
          </cell>
          <cell r="AD301" t="e">
            <v>#DIV/0!</v>
          </cell>
          <cell r="AE301">
            <v>0.71</v>
          </cell>
          <cell r="AF301">
            <v>94.97</v>
          </cell>
          <cell r="AG301">
            <v>0</v>
          </cell>
          <cell r="AH301" t="e">
            <v>#DIV/0!</v>
          </cell>
          <cell r="AI301" t="e">
            <v>#DIV/0!</v>
          </cell>
          <cell r="AJ301" t="e">
            <v>#DIV/0!</v>
          </cell>
          <cell r="AK301" t="e">
            <v>#DIV/0!</v>
          </cell>
          <cell r="AL301" t="e">
            <v>#DIV/0!</v>
          </cell>
          <cell r="AM301" t="e">
            <v>#DIV/0!</v>
          </cell>
          <cell r="AN301" t="e">
            <v>#DIV/0!</v>
          </cell>
          <cell r="AO301" t="e">
            <v>#REF!</v>
          </cell>
          <cell r="AP301" t="e">
            <v>#REF!</v>
          </cell>
          <cell r="AQ301" t="e">
            <v>#REF!</v>
          </cell>
          <cell r="AR301" t="e">
            <v>#REF!</v>
          </cell>
          <cell r="AS301" t="e">
            <v>#REF!</v>
          </cell>
          <cell r="AT301" t="e">
            <v>#REF!</v>
          </cell>
          <cell r="AU301" t="e">
            <v>#REF!</v>
          </cell>
          <cell r="AV301" t="e">
            <v>#REF!</v>
          </cell>
          <cell r="AW301" t="e">
            <v>#DIV/0!</v>
          </cell>
          <cell r="AX301" t="e">
            <v>#DIV/0!</v>
          </cell>
          <cell r="AY301" t="e">
            <v>#DIV/0!</v>
          </cell>
          <cell r="AZ301" t="e">
            <v>#DIV/0!</v>
          </cell>
          <cell r="BE301" t="e">
            <v>#DIV/0!</v>
          </cell>
          <cell r="BF301" t="e">
            <v>#DIV/0!</v>
          </cell>
        </row>
        <row r="302">
          <cell r="A302" t="str">
            <v>-0</v>
          </cell>
          <cell r="B302" t="str">
            <v xml:space="preserve">-0  , </v>
          </cell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  <cell r="X302">
            <v>0</v>
          </cell>
          <cell r="Y302">
            <v>0</v>
          </cell>
          <cell r="Z302">
            <v>0</v>
          </cell>
          <cell r="AA302" t="str">
            <v>,</v>
          </cell>
          <cell r="AB302" t="str">
            <v>,</v>
          </cell>
          <cell r="AC302" t="e">
            <v>#DIV/0!</v>
          </cell>
          <cell r="AD302" t="e">
            <v>#DIV/0!</v>
          </cell>
          <cell r="AE302">
            <v>0.71</v>
          </cell>
          <cell r="AF302">
            <v>94.97</v>
          </cell>
          <cell r="AG302">
            <v>0</v>
          </cell>
          <cell r="AH302" t="e">
            <v>#DIV/0!</v>
          </cell>
          <cell r="AI302" t="e">
            <v>#DIV/0!</v>
          </cell>
          <cell r="AJ302" t="e">
            <v>#DIV/0!</v>
          </cell>
          <cell r="AK302" t="e">
            <v>#DIV/0!</v>
          </cell>
          <cell r="AL302" t="e">
            <v>#DIV/0!</v>
          </cell>
          <cell r="AM302" t="e">
            <v>#DIV/0!</v>
          </cell>
          <cell r="AN302" t="e">
            <v>#DIV/0!</v>
          </cell>
          <cell r="AO302" t="e">
            <v>#REF!</v>
          </cell>
          <cell r="AP302" t="e">
            <v>#REF!</v>
          </cell>
          <cell r="AQ302" t="e">
            <v>#REF!</v>
          </cell>
          <cell r="AR302" t="e">
            <v>#REF!</v>
          </cell>
          <cell r="AS302" t="e">
            <v>#REF!</v>
          </cell>
          <cell r="AT302" t="e">
            <v>#REF!</v>
          </cell>
          <cell r="AU302" t="e">
            <v>#REF!</v>
          </cell>
          <cell r="AV302" t="e">
            <v>#REF!</v>
          </cell>
          <cell r="AW302" t="e">
            <v>#DIV/0!</v>
          </cell>
          <cell r="AX302" t="e">
            <v>#DIV/0!</v>
          </cell>
          <cell r="AY302" t="e">
            <v>#DIV/0!</v>
          </cell>
          <cell r="AZ302" t="e">
            <v>#DIV/0!</v>
          </cell>
          <cell r="BE302" t="e">
            <v>#DIV/0!</v>
          </cell>
          <cell r="BF302" t="e">
            <v>#DIV/0!</v>
          </cell>
        </row>
        <row r="303">
          <cell r="A303" t="str">
            <v>-0</v>
          </cell>
          <cell r="B303" t="str">
            <v xml:space="preserve">-0  , </v>
          </cell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/>
          <cell r="T303"/>
          <cell r="U303"/>
          <cell r="V303"/>
          <cell r="W303"/>
          <cell r="X303">
            <v>0</v>
          </cell>
          <cell r="Y303">
            <v>0</v>
          </cell>
          <cell r="Z303">
            <v>0</v>
          </cell>
          <cell r="AA303" t="str">
            <v>,</v>
          </cell>
          <cell r="AB303" t="str">
            <v>,</v>
          </cell>
          <cell r="AC303" t="e">
            <v>#DIV/0!</v>
          </cell>
          <cell r="AD303" t="e">
            <v>#DIV/0!</v>
          </cell>
          <cell r="AE303">
            <v>0.71</v>
          </cell>
          <cell r="AF303">
            <v>94.97</v>
          </cell>
          <cell r="AG303">
            <v>0</v>
          </cell>
          <cell r="AH303" t="e">
            <v>#DIV/0!</v>
          </cell>
          <cell r="AI303" t="e">
            <v>#DIV/0!</v>
          </cell>
          <cell r="AJ303" t="e">
            <v>#DIV/0!</v>
          </cell>
          <cell r="AK303" t="e">
            <v>#DIV/0!</v>
          </cell>
          <cell r="AL303" t="e">
            <v>#DIV/0!</v>
          </cell>
          <cell r="AM303" t="e">
            <v>#DIV/0!</v>
          </cell>
          <cell r="AN303" t="e">
            <v>#DIV/0!</v>
          </cell>
          <cell r="AO303" t="e">
            <v>#REF!</v>
          </cell>
          <cell r="AP303" t="e">
            <v>#REF!</v>
          </cell>
          <cell r="AQ303" t="e">
            <v>#REF!</v>
          </cell>
          <cell r="AR303" t="e">
            <v>#REF!</v>
          </cell>
          <cell r="AS303" t="e">
            <v>#REF!</v>
          </cell>
          <cell r="AT303" t="e">
            <v>#REF!</v>
          </cell>
          <cell r="AU303" t="e">
            <v>#REF!</v>
          </cell>
          <cell r="AV303" t="e">
            <v>#REF!</v>
          </cell>
          <cell r="AW303" t="e">
            <v>#DIV/0!</v>
          </cell>
          <cell r="AX303" t="e">
            <v>#DIV/0!</v>
          </cell>
          <cell r="AY303" t="e">
            <v>#DIV/0!</v>
          </cell>
          <cell r="AZ303" t="e">
            <v>#DIV/0!</v>
          </cell>
          <cell r="BE303" t="e">
            <v>#DIV/0!</v>
          </cell>
          <cell r="BF303" t="e">
            <v>#DIV/0!</v>
          </cell>
        </row>
        <row r="304">
          <cell r="A304" t="str">
            <v>-0</v>
          </cell>
          <cell r="B304" t="str">
            <v xml:space="preserve">-0  , </v>
          </cell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/>
          <cell r="T304"/>
          <cell r="U304"/>
          <cell r="V304"/>
          <cell r="W304"/>
          <cell r="X304">
            <v>0</v>
          </cell>
          <cell r="Y304">
            <v>0</v>
          </cell>
          <cell r="Z304">
            <v>0</v>
          </cell>
          <cell r="AA304" t="str">
            <v>,</v>
          </cell>
          <cell r="AB304" t="str">
            <v>,</v>
          </cell>
          <cell r="AC304" t="e">
            <v>#DIV/0!</v>
          </cell>
          <cell r="AD304" t="e">
            <v>#DIV/0!</v>
          </cell>
          <cell r="AE304">
            <v>0.71</v>
          </cell>
          <cell r="AF304">
            <v>94.97</v>
          </cell>
          <cell r="AG304">
            <v>0</v>
          </cell>
          <cell r="AH304" t="e">
            <v>#DIV/0!</v>
          </cell>
          <cell r="AI304" t="e">
            <v>#DIV/0!</v>
          </cell>
          <cell r="AJ304" t="e">
            <v>#DIV/0!</v>
          </cell>
          <cell r="AK304" t="e">
            <v>#DIV/0!</v>
          </cell>
          <cell r="AL304" t="e">
            <v>#DIV/0!</v>
          </cell>
          <cell r="AM304" t="e">
            <v>#DIV/0!</v>
          </cell>
          <cell r="AN304" t="e">
            <v>#DIV/0!</v>
          </cell>
          <cell r="AO304" t="e">
            <v>#REF!</v>
          </cell>
          <cell r="AP304" t="e">
            <v>#REF!</v>
          </cell>
          <cell r="AQ304" t="e">
            <v>#REF!</v>
          </cell>
          <cell r="AR304" t="e">
            <v>#REF!</v>
          </cell>
          <cell r="AS304" t="e">
            <v>#REF!</v>
          </cell>
          <cell r="AT304" t="e">
            <v>#REF!</v>
          </cell>
          <cell r="AU304" t="e">
            <v>#REF!</v>
          </cell>
          <cell r="AV304" t="e">
            <v>#REF!</v>
          </cell>
          <cell r="AW304" t="e">
            <v>#DIV/0!</v>
          </cell>
          <cell r="AX304" t="e">
            <v>#DIV/0!</v>
          </cell>
          <cell r="AY304" t="e">
            <v>#DIV/0!</v>
          </cell>
          <cell r="AZ304" t="e">
            <v>#DIV/0!</v>
          </cell>
          <cell r="BE304" t="e">
            <v>#DIV/0!</v>
          </cell>
          <cell r="BF304" t="e">
            <v>#DIV/0!</v>
          </cell>
        </row>
        <row r="305">
          <cell r="A305" t="str">
            <v>-0</v>
          </cell>
          <cell r="B305" t="str">
            <v xml:space="preserve">-0  , </v>
          </cell>
          <cell r="C305"/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  <cell r="X305">
            <v>0</v>
          </cell>
          <cell r="Y305">
            <v>0</v>
          </cell>
          <cell r="Z305">
            <v>0</v>
          </cell>
          <cell r="AA305" t="str">
            <v>,</v>
          </cell>
          <cell r="AB305" t="str">
            <v>,</v>
          </cell>
          <cell r="AC305" t="e">
            <v>#DIV/0!</v>
          </cell>
          <cell r="AD305" t="e">
            <v>#DIV/0!</v>
          </cell>
          <cell r="AE305">
            <v>0.71</v>
          </cell>
          <cell r="AF305">
            <v>94.97</v>
          </cell>
          <cell r="AG305">
            <v>0</v>
          </cell>
          <cell r="AH305" t="e">
            <v>#DIV/0!</v>
          </cell>
          <cell r="AI305" t="e">
            <v>#DIV/0!</v>
          </cell>
          <cell r="AJ305" t="e">
            <v>#DIV/0!</v>
          </cell>
          <cell r="AK305" t="e">
            <v>#DIV/0!</v>
          </cell>
          <cell r="AL305" t="e">
            <v>#DIV/0!</v>
          </cell>
          <cell r="AM305" t="e">
            <v>#DIV/0!</v>
          </cell>
          <cell r="AN305" t="e">
            <v>#DIV/0!</v>
          </cell>
          <cell r="AO305" t="e">
            <v>#REF!</v>
          </cell>
          <cell r="AP305" t="e">
            <v>#REF!</v>
          </cell>
          <cell r="AQ305" t="e">
            <v>#REF!</v>
          </cell>
          <cell r="AR305" t="e">
            <v>#REF!</v>
          </cell>
          <cell r="AS305" t="e">
            <v>#REF!</v>
          </cell>
          <cell r="AT305" t="e">
            <v>#REF!</v>
          </cell>
          <cell r="AU305" t="e">
            <v>#REF!</v>
          </cell>
          <cell r="AV305" t="e">
            <v>#REF!</v>
          </cell>
          <cell r="AW305" t="e">
            <v>#DIV/0!</v>
          </cell>
          <cell r="AX305" t="e">
            <v>#DIV/0!</v>
          </cell>
          <cell r="AY305" t="e">
            <v>#DIV/0!</v>
          </cell>
          <cell r="AZ305" t="e">
            <v>#DIV/0!</v>
          </cell>
          <cell r="BE305" t="e">
            <v>#DIV/0!</v>
          </cell>
          <cell r="BF305" t="e">
            <v>#DIV/0!</v>
          </cell>
        </row>
        <row r="306">
          <cell r="A306" t="str">
            <v>-0</v>
          </cell>
          <cell r="B306" t="str">
            <v xml:space="preserve">-0  , </v>
          </cell>
          <cell r="C306"/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  <cell r="X306">
            <v>0</v>
          </cell>
          <cell r="Y306">
            <v>0</v>
          </cell>
          <cell r="Z306">
            <v>0</v>
          </cell>
          <cell r="AA306" t="str">
            <v>,</v>
          </cell>
          <cell r="AB306" t="str">
            <v>,</v>
          </cell>
          <cell r="AC306" t="e">
            <v>#DIV/0!</v>
          </cell>
          <cell r="AD306" t="e">
            <v>#DIV/0!</v>
          </cell>
          <cell r="AE306">
            <v>0.71</v>
          </cell>
          <cell r="AF306">
            <v>94.97</v>
          </cell>
          <cell r="AG306">
            <v>0</v>
          </cell>
          <cell r="AH306" t="e">
            <v>#DIV/0!</v>
          </cell>
          <cell r="AI306" t="e">
            <v>#DIV/0!</v>
          </cell>
          <cell r="AJ306" t="e">
            <v>#DIV/0!</v>
          </cell>
          <cell r="AK306" t="e">
            <v>#DIV/0!</v>
          </cell>
          <cell r="AL306" t="e">
            <v>#DIV/0!</v>
          </cell>
          <cell r="AM306" t="e">
            <v>#DIV/0!</v>
          </cell>
          <cell r="AN306" t="e">
            <v>#DIV/0!</v>
          </cell>
          <cell r="AO306" t="e">
            <v>#REF!</v>
          </cell>
          <cell r="AP306" t="e">
            <v>#REF!</v>
          </cell>
          <cell r="AQ306" t="e">
            <v>#REF!</v>
          </cell>
          <cell r="AR306" t="e">
            <v>#REF!</v>
          </cell>
          <cell r="AS306" t="e">
            <v>#REF!</v>
          </cell>
          <cell r="AT306" t="e">
            <v>#REF!</v>
          </cell>
          <cell r="AU306" t="e">
            <v>#REF!</v>
          </cell>
          <cell r="AV306" t="e">
            <v>#REF!</v>
          </cell>
          <cell r="AW306" t="e">
            <v>#DIV/0!</v>
          </cell>
          <cell r="AX306" t="e">
            <v>#DIV/0!</v>
          </cell>
          <cell r="AY306" t="e">
            <v>#DIV/0!</v>
          </cell>
          <cell r="AZ306" t="e">
            <v>#DIV/0!</v>
          </cell>
          <cell r="BE306" t="e">
            <v>#DIV/0!</v>
          </cell>
          <cell r="BF306" t="e">
            <v>#DIV/0!</v>
          </cell>
        </row>
        <row r="307">
          <cell r="A307" t="str">
            <v>-0</v>
          </cell>
          <cell r="B307" t="str">
            <v xml:space="preserve">-0  , </v>
          </cell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  <cell r="X307">
            <v>0</v>
          </cell>
          <cell r="Y307">
            <v>0</v>
          </cell>
          <cell r="Z307">
            <v>0</v>
          </cell>
          <cell r="AA307" t="str">
            <v>,</v>
          </cell>
          <cell r="AB307" t="str">
            <v>,</v>
          </cell>
          <cell r="AC307" t="e">
            <v>#DIV/0!</v>
          </cell>
          <cell r="AD307" t="e">
            <v>#DIV/0!</v>
          </cell>
          <cell r="AE307">
            <v>0.71</v>
          </cell>
          <cell r="AF307">
            <v>94.97</v>
          </cell>
          <cell r="AG307">
            <v>0</v>
          </cell>
          <cell r="AH307" t="e">
            <v>#DIV/0!</v>
          </cell>
          <cell r="AI307" t="e">
            <v>#DIV/0!</v>
          </cell>
          <cell r="AJ307" t="e">
            <v>#DIV/0!</v>
          </cell>
          <cell r="AK307" t="e">
            <v>#DIV/0!</v>
          </cell>
          <cell r="AL307" t="e">
            <v>#DIV/0!</v>
          </cell>
          <cell r="AM307" t="e">
            <v>#DIV/0!</v>
          </cell>
          <cell r="AN307" t="e">
            <v>#DIV/0!</v>
          </cell>
          <cell r="AO307" t="e">
            <v>#REF!</v>
          </cell>
          <cell r="AP307" t="e">
            <v>#REF!</v>
          </cell>
          <cell r="AQ307" t="e">
            <v>#REF!</v>
          </cell>
          <cell r="AR307" t="e">
            <v>#REF!</v>
          </cell>
          <cell r="AS307" t="e">
            <v>#REF!</v>
          </cell>
          <cell r="AT307" t="e">
            <v>#REF!</v>
          </cell>
          <cell r="AU307" t="e">
            <v>#REF!</v>
          </cell>
          <cell r="AV307" t="e">
            <v>#REF!</v>
          </cell>
          <cell r="AW307" t="e">
            <v>#DIV/0!</v>
          </cell>
          <cell r="AX307" t="e">
            <v>#DIV/0!</v>
          </cell>
          <cell r="AY307" t="e">
            <v>#DIV/0!</v>
          </cell>
          <cell r="AZ307" t="e">
            <v>#DIV/0!</v>
          </cell>
          <cell r="BE307" t="e">
            <v>#DIV/0!</v>
          </cell>
          <cell r="BF307" t="e">
            <v>#DIV/0!</v>
          </cell>
        </row>
        <row r="308">
          <cell r="A308" t="str">
            <v>-0</v>
          </cell>
          <cell r="B308" t="str">
            <v xml:space="preserve">-0  , </v>
          </cell>
          <cell r="C308"/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/>
          <cell r="T308"/>
          <cell r="U308"/>
          <cell r="V308"/>
          <cell r="W308"/>
          <cell r="X308">
            <v>0</v>
          </cell>
          <cell r="Y308">
            <v>0</v>
          </cell>
          <cell r="Z308">
            <v>0</v>
          </cell>
          <cell r="AA308" t="str">
            <v>,</v>
          </cell>
          <cell r="AB308" t="str">
            <v>,</v>
          </cell>
          <cell r="AC308" t="e">
            <v>#DIV/0!</v>
          </cell>
          <cell r="AD308" t="e">
            <v>#DIV/0!</v>
          </cell>
          <cell r="AE308">
            <v>0.71</v>
          </cell>
          <cell r="AF308">
            <v>94.97</v>
          </cell>
          <cell r="AG308">
            <v>0</v>
          </cell>
          <cell r="AH308" t="e">
            <v>#DIV/0!</v>
          </cell>
          <cell r="AI308" t="e">
            <v>#DIV/0!</v>
          </cell>
          <cell r="AJ308" t="e">
            <v>#DIV/0!</v>
          </cell>
          <cell r="AK308" t="e">
            <v>#DIV/0!</v>
          </cell>
          <cell r="AL308" t="e">
            <v>#DIV/0!</v>
          </cell>
          <cell r="AM308" t="e">
            <v>#DIV/0!</v>
          </cell>
          <cell r="AN308" t="e">
            <v>#DIV/0!</v>
          </cell>
          <cell r="AO308" t="e">
            <v>#REF!</v>
          </cell>
          <cell r="AP308" t="e">
            <v>#REF!</v>
          </cell>
          <cell r="AQ308" t="e">
            <v>#REF!</v>
          </cell>
          <cell r="AR308" t="e">
            <v>#REF!</v>
          </cell>
          <cell r="AS308" t="e">
            <v>#REF!</v>
          </cell>
          <cell r="AT308" t="e">
            <v>#REF!</v>
          </cell>
          <cell r="AU308" t="e">
            <v>#REF!</v>
          </cell>
          <cell r="AV308" t="e">
            <v>#REF!</v>
          </cell>
          <cell r="AW308" t="e">
            <v>#DIV/0!</v>
          </cell>
          <cell r="AX308" t="e">
            <v>#DIV/0!</v>
          </cell>
          <cell r="AY308" t="e">
            <v>#DIV/0!</v>
          </cell>
          <cell r="AZ308" t="e">
            <v>#DIV/0!</v>
          </cell>
          <cell r="BE308" t="e">
            <v>#DIV/0!</v>
          </cell>
          <cell r="BF308" t="e">
            <v>#DIV/0!</v>
          </cell>
        </row>
        <row r="309">
          <cell r="A309" t="str">
            <v>-0</v>
          </cell>
          <cell r="B309" t="str">
            <v xml:space="preserve">-0  , </v>
          </cell>
          <cell r="C309"/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/>
          <cell r="T309"/>
          <cell r="U309"/>
          <cell r="V309"/>
          <cell r="W309"/>
          <cell r="X309">
            <v>0</v>
          </cell>
          <cell r="Y309">
            <v>0</v>
          </cell>
          <cell r="Z309">
            <v>0</v>
          </cell>
          <cell r="AA309" t="str">
            <v>,</v>
          </cell>
          <cell r="AB309" t="str">
            <v>,</v>
          </cell>
          <cell r="AC309" t="e">
            <v>#DIV/0!</v>
          </cell>
          <cell r="AD309" t="e">
            <v>#DIV/0!</v>
          </cell>
          <cell r="AE309">
            <v>0.71</v>
          </cell>
          <cell r="AF309">
            <v>94.97</v>
          </cell>
          <cell r="AG309">
            <v>0</v>
          </cell>
          <cell r="AH309" t="e">
            <v>#DIV/0!</v>
          </cell>
          <cell r="AI309" t="e">
            <v>#DIV/0!</v>
          </cell>
          <cell r="AJ309" t="e">
            <v>#DIV/0!</v>
          </cell>
          <cell r="AK309" t="e">
            <v>#DIV/0!</v>
          </cell>
          <cell r="AL309" t="e">
            <v>#DIV/0!</v>
          </cell>
          <cell r="AM309" t="e">
            <v>#DIV/0!</v>
          </cell>
          <cell r="AN309" t="e">
            <v>#DIV/0!</v>
          </cell>
          <cell r="AO309" t="e">
            <v>#REF!</v>
          </cell>
          <cell r="AP309" t="e">
            <v>#REF!</v>
          </cell>
          <cell r="AQ309" t="e">
            <v>#REF!</v>
          </cell>
          <cell r="AR309" t="e">
            <v>#REF!</v>
          </cell>
          <cell r="AS309" t="e">
            <v>#REF!</v>
          </cell>
          <cell r="AT309" t="e">
            <v>#REF!</v>
          </cell>
          <cell r="AU309" t="e">
            <v>#REF!</v>
          </cell>
          <cell r="AV309" t="e">
            <v>#REF!</v>
          </cell>
          <cell r="AW309" t="e">
            <v>#DIV/0!</v>
          </cell>
          <cell r="AX309" t="e">
            <v>#DIV/0!</v>
          </cell>
          <cell r="AY309" t="e">
            <v>#DIV/0!</v>
          </cell>
          <cell r="AZ309" t="e">
            <v>#DIV/0!</v>
          </cell>
          <cell r="BE309" t="e">
            <v>#DIV/0!</v>
          </cell>
          <cell r="BF309" t="e">
            <v>#DIV/0!</v>
          </cell>
        </row>
        <row r="310">
          <cell r="A310" t="str">
            <v>-0</v>
          </cell>
          <cell r="B310" t="str">
            <v xml:space="preserve">-0  , </v>
          </cell>
          <cell r="C310"/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  <cell r="X310">
            <v>0</v>
          </cell>
          <cell r="Y310">
            <v>0</v>
          </cell>
          <cell r="Z310">
            <v>0</v>
          </cell>
          <cell r="AA310" t="str">
            <v>,</v>
          </cell>
          <cell r="AB310" t="str">
            <v>,</v>
          </cell>
          <cell r="AC310" t="e">
            <v>#DIV/0!</v>
          </cell>
          <cell r="AD310" t="e">
            <v>#DIV/0!</v>
          </cell>
          <cell r="AE310">
            <v>0.71</v>
          </cell>
          <cell r="AF310">
            <v>94.97</v>
          </cell>
          <cell r="AG310">
            <v>0</v>
          </cell>
          <cell r="AH310" t="e">
            <v>#DIV/0!</v>
          </cell>
          <cell r="AI310" t="e">
            <v>#DIV/0!</v>
          </cell>
          <cell r="AJ310" t="e">
            <v>#DIV/0!</v>
          </cell>
          <cell r="AK310" t="e">
            <v>#DIV/0!</v>
          </cell>
          <cell r="AL310" t="e">
            <v>#DIV/0!</v>
          </cell>
          <cell r="AM310" t="e">
            <v>#DIV/0!</v>
          </cell>
          <cell r="AN310" t="e">
            <v>#DIV/0!</v>
          </cell>
          <cell r="AO310" t="e">
            <v>#REF!</v>
          </cell>
          <cell r="AP310" t="e">
            <v>#REF!</v>
          </cell>
          <cell r="AQ310" t="e">
            <v>#REF!</v>
          </cell>
          <cell r="AR310" t="e">
            <v>#REF!</v>
          </cell>
          <cell r="AS310" t="e">
            <v>#REF!</v>
          </cell>
          <cell r="AT310" t="e">
            <v>#REF!</v>
          </cell>
          <cell r="AU310" t="e">
            <v>#REF!</v>
          </cell>
          <cell r="AV310" t="e">
            <v>#REF!</v>
          </cell>
          <cell r="AW310" t="e">
            <v>#DIV/0!</v>
          </cell>
          <cell r="AX310" t="e">
            <v>#DIV/0!</v>
          </cell>
          <cell r="AY310" t="e">
            <v>#DIV/0!</v>
          </cell>
          <cell r="AZ310" t="e">
            <v>#DIV/0!</v>
          </cell>
          <cell r="BE310" t="e">
            <v>#DIV/0!</v>
          </cell>
          <cell r="BF310" t="e">
            <v>#DIV/0!</v>
          </cell>
        </row>
        <row r="311">
          <cell r="A311" t="str">
            <v>-0</v>
          </cell>
          <cell r="B311" t="str">
            <v xml:space="preserve">-0  , </v>
          </cell>
          <cell r="C311"/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  <cell r="X311">
            <v>0</v>
          </cell>
          <cell r="Y311">
            <v>0</v>
          </cell>
          <cell r="Z311">
            <v>0</v>
          </cell>
          <cell r="AA311" t="str">
            <v>,</v>
          </cell>
          <cell r="AB311" t="str">
            <v>,</v>
          </cell>
          <cell r="AC311" t="e">
            <v>#DIV/0!</v>
          </cell>
          <cell r="AD311" t="e">
            <v>#DIV/0!</v>
          </cell>
          <cell r="AE311">
            <v>0.71</v>
          </cell>
          <cell r="AF311">
            <v>94.97</v>
          </cell>
          <cell r="AG311">
            <v>0</v>
          </cell>
          <cell r="AH311" t="e">
            <v>#DIV/0!</v>
          </cell>
          <cell r="AI311" t="e">
            <v>#DIV/0!</v>
          </cell>
          <cell r="AJ311" t="e">
            <v>#DIV/0!</v>
          </cell>
          <cell r="AK311" t="e">
            <v>#DIV/0!</v>
          </cell>
          <cell r="AL311" t="e">
            <v>#DIV/0!</v>
          </cell>
          <cell r="AM311" t="e">
            <v>#DIV/0!</v>
          </cell>
          <cell r="AN311" t="e">
            <v>#DIV/0!</v>
          </cell>
          <cell r="AO311" t="e">
            <v>#REF!</v>
          </cell>
          <cell r="AP311" t="e">
            <v>#REF!</v>
          </cell>
          <cell r="AQ311" t="e">
            <v>#REF!</v>
          </cell>
          <cell r="AR311" t="e">
            <v>#REF!</v>
          </cell>
          <cell r="AS311" t="e">
            <v>#REF!</v>
          </cell>
          <cell r="AT311" t="e">
            <v>#REF!</v>
          </cell>
          <cell r="AU311" t="e">
            <v>#REF!</v>
          </cell>
          <cell r="AV311" t="e">
            <v>#REF!</v>
          </cell>
          <cell r="AW311" t="e">
            <v>#DIV/0!</v>
          </cell>
          <cell r="AX311" t="e">
            <v>#DIV/0!</v>
          </cell>
          <cell r="AY311" t="e">
            <v>#DIV/0!</v>
          </cell>
          <cell r="AZ311" t="e">
            <v>#DIV/0!</v>
          </cell>
          <cell r="BE311" t="e">
            <v>#DIV/0!</v>
          </cell>
          <cell r="BF311" t="e">
            <v>#DIV/0!</v>
          </cell>
        </row>
        <row r="312">
          <cell r="A312" t="str">
            <v>-0</v>
          </cell>
          <cell r="B312" t="str">
            <v xml:space="preserve">-0  , </v>
          </cell>
          <cell r="C312"/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/>
          <cell r="T312"/>
          <cell r="U312"/>
          <cell r="V312"/>
          <cell r="W312"/>
          <cell r="X312">
            <v>0</v>
          </cell>
          <cell r="Y312">
            <v>0</v>
          </cell>
          <cell r="Z312">
            <v>0</v>
          </cell>
          <cell r="AA312" t="str">
            <v>,</v>
          </cell>
          <cell r="AB312" t="str">
            <v>,</v>
          </cell>
          <cell r="AC312" t="e">
            <v>#DIV/0!</v>
          </cell>
          <cell r="AD312" t="e">
            <v>#DIV/0!</v>
          </cell>
          <cell r="AE312">
            <v>0.71</v>
          </cell>
          <cell r="AF312">
            <v>94.97</v>
          </cell>
          <cell r="AG312">
            <v>0</v>
          </cell>
          <cell r="AH312" t="e">
            <v>#DIV/0!</v>
          </cell>
          <cell r="AI312" t="e">
            <v>#DIV/0!</v>
          </cell>
          <cell r="AJ312" t="e">
            <v>#DIV/0!</v>
          </cell>
          <cell r="AK312" t="e">
            <v>#DIV/0!</v>
          </cell>
          <cell r="AL312" t="e">
            <v>#DIV/0!</v>
          </cell>
          <cell r="AM312" t="e">
            <v>#DIV/0!</v>
          </cell>
          <cell r="AN312" t="e">
            <v>#DIV/0!</v>
          </cell>
          <cell r="AO312" t="e">
            <v>#REF!</v>
          </cell>
          <cell r="AP312" t="e">
            <v>#REF!</v>
          </cell>
          <cell r="AQ312" t="e">
            <v>#REF!</v>
          </cell>
          <cell r="AR312" t="e">
            <v>#REF!</v>
          </cell>
          <cell r="AS312" t="e">
            <v>#REF!</v>
          </cell>
          <cell r="AT312" t="e">
            <v>#REF!</v>
          </cell>
          <cell r="AU312" t="e">
            <v>#REF!</v>
          </cell>
          <cell r="AV312" t="e">
            <v>#REF!</v>
          </cell>
          <cell r="AW312" t="e">
            <v>#DIV/0!</v>
          </cell>
          <cell r="AX312" t="e">
            <v>#DIV/0!</v>
          </cell>
          <cell r="AY312" t="e">
            <v>#DIV/0!</v>
          </cell>
          <cell r="AZ312" t="e">
            <v>#DIV/0!</v>
          </cell>
          <cell r="BE312" t="e">
            <v>#DIV/0!</v>
          </cell>
          <cell r="BF312" t="e">
            <v>#DIV/0!</v>
          </cell>
        </row>
        <row r="313">
          <cell r="A313" t="str">
            <v>-0</v>
          </cell>
          <cell r="B313" t="str">
            <v xml:space="preserve">-0  , </v>
          </cell>
          <cell r="C313"/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  <cell r="X313">
            <v>0</v>
          </cell>
          <cell r="Y313">
            <v>0</v>
          </cell>
          <cell r="Z313">
            <v>0</v>
          </cell>
          <cell r="AA313" t="str">
            <v>,</v>
          </cell>
          <cell r="AB313" t="str">
            <v>,</v>
          </cell>
          <cell r="AC313" t="e">
            <v>#DIV/0!</v>
          </cell>
          <cell r="AD313" t="e">
            <v>#DIV/0!</v>
          </cell>
          <cell r="AE313">
            <v>0.71</v>
          </cell>
          <cell r="AF313">
            <v>94.97</v>
          </cell>
          <cell r="AG313">
            <v>0</v>
          </cell>
          <cell r="AH313" t="e">
            <v>#DIV/0!</v>
          </cell>
          <cell r="AI313" t="e">
            <v>#DIV/0!</v>
          </cell>
          <cell r="AJ313" t="e">
            <v>#DIV/0!</v>
          </cell>
          <cell r="AK313" t="e">
            <v>#DIV/0!</v>
          </cell>
          <cell r="AL313" t="e">
            <v>#DIV/0!</v>
          </cell>
          <cell r="AM313" t="e">
            <v>#DIV/0!</v>
          </cell>
          <cell r="AN313" t="e">
            <v>#DIV/0!</v>
          </cell>
          <cell r="AO313" t="e">
            <v>#REF!</v>
          </cell>
          <cell r="AP313" t="e">
            <v>#REF!</v>
          </cell>
          <cell r="AQ313" t="e">
            <v>#REF!</v>
          </cell>
          <cell r="AR313" t="e">
            <v>#REF!</v>
          </cell>
          <cell r="AS313" t="e">
            <v>#REF!</v>
          </cell>
          <cell r="AT313" t="e">
            <v>#REF!</v>
          </cell>
          <cell r="AU313" t="e">
            <v>#REF!</v>
          </cell>
          <cell r="AV313" t="e">
            <v>#REF!</v>
          </cell>
          <cell r="AW313" t="e">
            <v>#DIV/0!</v>
          </cell>
          <cell r="AX313" t="e">
            <v>#DIV/0!</v>
          </cell>
          <cell r="AY313" t="e">
            <v>#DIV/0!</v>
          </cell>
          <cell r="AZ313" t="e">
            <v>#DIV/0!</v>
          </cell>
          <cell r="BE313" t="e">
            <v>#DIV/0!</v>
          </cell>
          <cell r="BF313" t="e">
            <v>#DIV/0!</v>
          </cell>
        </row>
        <row r="314">
          <cell r="A314" t="str">
            <v>-0</v>
          </cell>
          <cell r="B314" t="str">
            <v xml:space="preserve">-0  , </v>
          </cell>
          <cell r="C314"/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/>
          <cell r="T314"/>
          <cell r="U314"/>
          <cell r="V314"/>
          <cell r="W314"/>
          <cell r="X314">
            <v>0</v>
          </cell>
          <cell r="Y314">
            <v>0</v>
          </cell>
          <cell r="Z314">
            <v>0</v>
          </cell>
          <cell r="AA314" t="str">
            <v>,</v>
          </cell>
          <cell r="AB314" t="str">
            <v>,</v>
          </cell>
          <cell r="AC314" t="e">
            <v>#DIV/0!</v>
          </cell>
          <cell r="AD314" t="e">
            <v>#DIV/0!</v>
          </cell>
          <cell r="AE314">
            <v>0.71</v>
          </cell>
          <cell r="AF314">
            <v>94.97</v>
          </cell>
          <cell r="AG314">
            <v>0</v>
          </cell>
          <cell r="AH314" t="e">
            <v>#DIV/0!</v>
          </cell>
          <cell r="AI314" t="e">
            <v>#DIV/0!</v>
          </cell>
          <cell r="AJ314" t="e">
            <v>#DIV/0!</v>
          </cell>
          <cell r="AK314" t="e">
            <v>#DIV/0!</v>
          </cell>
          <cell r="AL314" t="e">
            <v>#DIV/0!</v>
          </cell>
          <cell r="AM314" t="e">
            <v>#DIV/0!</v>
          </cell>
          <cell r="AN314" t="e">
            <v>#DIV/0!</v>
          </cell>
          <cell r="AO314" t="e">
            <v>#REF!</v>
          </cell>
          <cell r="AP314" t="e">
            <v>#REF!</v>
          </cell>
          <cell r="AQ314" t="e">
            <v>#REF!</v>
          </cell>
          <cell r="AR314" t="e">
            <v>#REF!</v>
          </cell>
          <cell r="AS314" t="e">
            <v>#REF!</v>
          </cell>
          <cell r="AT314" t="e">
            <v>#REF!</v>
          </cell>
          <cell r="AU314" t="e">
            <v>#REF!</v>
          </cell>
          <cell r="AV314" t="e">
            <v>#REF!</v>
          </cell>
          <cell r="AW314" t="e">
            <v>#DIV/0!</v>
          </cell>
          <cell r="AX314" t="e">
            <v>#DIV/0!</v>
          </cell>
          <cell r="AY314" t="e">
            <v>#DIV/0!</v>
          </cell>
          <cell r="AZ314" t="e">
            <v>#DIV/0!</v>
          </cell>
          <cell r="BE314" t="e">
            <v>#DIV/0!</v>
          </cell>
          <cell r="BF314" t="e">
            <v>#DIV/0!</v>
          </cell>
        </row>
        <row r="315">
          <cell r="A315" t="str">
            <v>-0</v>
          </cell>
          <cell r="B315" t="str">
            <v xml:space="preserve">-0  , </v>
          </cell>
          <cell r="C315"/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  <cell r="X315">
            <v>0</v>
          </cell>
          <cell r="Y315">
            <v>0</v>
          </cell>
          <cell r="Z315">
            <v>0</v>
          </cell>
          <cell r="AA315" t="str">
            <v>,</v>
          </cell>
          <cell r="AB315" t="str">
            <v>,</v>
          </cell>
          <cell r="AC315" t="e">
            <v>#DIV/0!</v>
          </cell>
          <cell r="AD315" t="e">
            <v>#DIV/0!</v>
          </cell>
          <cell r="AE315">
            <v>0.71</v>
          </cell>
          <cell r="AF315">
            <v>94.97</v>
          </cell>
          <cell r="AG315">
            <v>0</v>
          </cell>
          <cell r="AH315" t="e">
            <v>#DIV/0!</v>
          </cell>
          <cell r="AI315" t="e">
            <v>#DIV/0!</v>
          </cell>
          <cell r="AJ315" t="e">
            <v>#DIV/0!</v>
          </cell>
          <cell r="AK315" t="e">
            <v>#DIV/0!</v>
          </cell>
          <cell r="AL315" t="e">
            <v>#DIV/0!</v>
          </cell>
          <cell r="AM315" t="e">
            <v>#DIV/0!</v>
          </cell>
          <cell r="AN315" t="e">
            <v>#DIV/0!</v>
          </cell>
          <cell r="AO315" t="e">
            <v>#REF!</v>
          </cell>
          <cell r="AP315" t="e">
            <v>#REF!</v>
          </cell>
          <cell r="AQ315" t="e">
            <v>#REF!</v>
          </cell>
          <cell r="AR315" t="e">
            <v>#REF!</v>
          </cell>
          <cell r="AS315" t="e">
            <v>#REF!</v>
          </cell>
          <cell r="AT315" t="e">
            <v>#REF!</v>
          </cell>
          <cell r="AU315" t="e">
            <v>#REF!</v>
          </cell>
          <cell r="AV315" t="e">
            <v>#REF!</v>
          </cell>
          <cell r="AW315" t="e">
            <v>#DIV/0!</v>
          </cell>
          <cell r="AX315" t="e">
            <v>#DIV/0!</v>
          </cell>
          <cell r="AY315" t="e">
            <v>#DIV/0!</v>
          </cell>
          <cell r="AZ315" t="e">
            <v>#DIV/0!</v>
          </cell>
          <cell r="BE315" t="e">
            <v>#DIV/0!</v>
          </cell>
          <cell r="BF315" t="e">
            <v>#DIV/0!</v>
          </cell>
        </row>
        <row r="316">
          <cell r="A316" t="str">
            <v>-0</v>
          </cell>
          <cell r="B316" t="str">
            <v xml:space="preserve">-0  , </v>
          </cell>
          <cell r="C316"/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  <cell r="X316">
            <v>0</v>
          </cell>
          <cell r="Y316">
            <v>0</v>
          </cell>
          <cell r="Z316">
            <v>0</v>
          </cell>
          <cell r="AA316" t="str">
            <v>,</v>
          </cell>
          <cell r="AB316" t="str">
            <v>,</v>
          </cell>
          <cell r="AC316" t="e">
            <v>#DIV/0!</v>
          </cell>
          <cell r="AD316" t="e">
            <v>#DIV/0!</v>
          </cell>
          <cell r="AE316">
            <v>0.71</v>
          </cell>
          <cell r="AF316">
            <v>94.97</v>
          </cell>
          <cell r="AG316">
            <v>0</v>
          </cell>
          <cell r="AH316" t="e">
            <v>#DIV/0!</v>
          </cell>
          <cell r="AI316" t="e">
            <v>#DIV/0!</v>
          </cell>
          <cell r="AJ316" t="e">
            <v>#DIV/0!</v>
          </cell>
          <cell r="AK316" t="e">
            <v>#DIV/0!</v>
          </cell>
          <cell r="AL316" t="e">
            <v>#DIV/0!</v>
          </cell>
          <cell r="AM316" t="e">
            <v>#DIV/0!</v>
          </cell>
          <cell r="AN316" t="e">
            <v>#DIV/0!</v>
          </cell>
          <cell r="AO316" t="e">
            <v>#REF!</v>
          </cell>
          <cell r="AP316" t="e">
            <v>#REF!</v>
          </cell>
          <cell r="AQ316" t="e">
            <v>#REF!</v>
          </cell>
          <cell r="AR316" t="e">
            <v>#REF!</v>
          </cell>
          <cell r="AS316" t="e">
            <v>#REF!</v>
          </cell>
          <cell r="AT316" t="e">
            <v>#REF!</v>
          </cell>
          <cell r="AU316" t="e">
            <v>#REF!</v>
          </cell>
          <cell r="AV316" t="e">
            <v>#REF!</v>
          </cell>
          <cell r="AW316" t="e">
            <v>#DIV/0!</v>
          </cell>
          <cell r="AX316" t="e">
            <v>#DIV/0!</v>
          </cell>
          <cell r="AY316" t="e">
            <v>#DIV/0!</v>
          </cell>
          <cell r="AZ316" t="e">
            <v>#DIV/0!</v>
          </cell>
          <cell r="BE316" t="e">
            <v>#DIV/0!</v>
          </cell>
          <cell r="BF316" t="e">
            <v>#DIV/0!</v>
          </cell>
        </row>
        <row r="317">
          <cell r="A317" t="str">
            <v>-0</v>
          </cell>
          <cell r="B317" t="str">
            <v xml:space="preserve">-0  , </v>
          </cell>
          <cell r="C317"/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  <cell r="X317">
            <v>0</v>
          </cell>
          <cell r="Y317">
            <v>0</v>
          </cell>
          <cell r="Z317">
            <v>0</v>
          </cell>
          <cell r="AA317" t="str">
            <v>,</v>
          </cell>
          <cell r="AB317" t="str">
            <v>,</v>
          </cell>
          <cell r="AC317" t="e">
            <v>#DIV/0!</v>
          </cell>
          <cell r="AD317" t="e">
            <v>#DIV/0!</v>
          </cell>
          <cell r="AE317">
            <v>0.71</v>
          </cell>
          <cell r="AF317">
            <v>94.97</v>
          </cell>
          <cell r="AG317">
            <v>0</v>
          </cell>
          <cell r="AH317" t="e">
            <v>#DIV/0!</v>
          </cell>
          <cell r="AI317" t="e">
            <v>#DIV/0!</v>
          </cell>
          <cell r="AJ317" t="e">
            <v>#DIV/0!</v>
          </cell>
          <cell r="AK317" t="e">
            <v>#DIV/0!</v>
          </cell>
          <cell r="AL317" t="e">
            <v>#DIV/0!</v>
          </cell>
          <cell r="AM317" t="e">
            <v>#DIV/0!</v>
          </cell>
          <cell r="AN317" t="e">
            <v>#DIV/0!</v>
          </cell>
          <cell r="AO317" t="e">
            <v>#REF!</v>
          </cell>
          <cell r="AP317" t="e">
            <v>#REF!</v>
          </cell>
          <cell r="AQ317" t="e">
            <v>#REF!</v>
          </cell>
          <cell r="AR317" t="e">
            <v>#REF!</v>
          </cell>
          <cell r="AS317" t="e">
            <v>#REF!</v>
          </cell>
          <cell r="AT317" t="e">
            <v>#REF!</v>
          </cell>
          <cell r="AU317" t="e">
            <v>#REF!</v>
          </cell>
          <cell r="AV317" t="e">
            <v>#REF!</v>
          </cell>
          <cell r="AW317" t="e">
            <v>#DIV/0!</v>
          </cell>
          <cell r="AX317" t="e">
            <v>#DIV/0!</v>
          </cell>
          <cell r="AY317" t="e">
            <v>#DIV/0!</v>
          </cell>
          <cell r="AZ317" t="e">
            <v>#DIV/0!</v>
          </cell>
          <cell r="BE317" t="e">
            <v>#DIV/0!</v>
          </cell>
          <cell r="BF317" t="e">
            <v>#DIV/0!</v>
          </cell>
        </row>
        <row r="318">
          <cell r="A318" t="str">
            <v>-0</v>
          </cell>
          <cell r="B318" t="str">
            <v xml:space="preserve">-0  , </v>
          </cell>
          <cell r="C318"/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/>
          <cell r="T318"/>
          <cell r="U318"/>
          <cell r="V318"/>
          <cell r="W318"/>
          <cell r="X318">
            <v>0</v>
          </cell>
          <cell r="Y318">
            <v>0</v>
          </cell>
          <cell r="Z318">
            <v>0</v>
          </cell>
          <cell r="AA318" t="str">
            <v>,</v>
          </cell>
          <cell r="AB318" t="str">
            <v>,</v>
          </cell>
          <cell r="AC318" t="e">
            <v>#DIV/0!</v>
          </cell>
          <cell r="AD318" t="e">
            <v>#DIV/0!</v>
          </cell>
          <cell r="AE318">
            <v>0.71</v>
          </cell>
          <cell r="AF318">
            <v>94.97</v>
          </cell>
          <cell r="AG318">
            <v>0</v>
          </cell>
          <cell r="AH318" t="e">
            <v>#DIV/0!</v>
          </cell>
          <cell r="AI318" t="e">
            <v>#DIV/0!</v>
          </cell>
          <cell r="AJ318" t="e">
            <v>#DIV/0!</v>
          </cell>
          <cell r="AK318" t="e">
            <v>#DIV/0!</v>
          </cell>
          <cell r="AL318" t="e">
            <v>#DIV/0!</v>
          </cell>
          <cell r="AM318" t="e">
            <v>#DIV/0!</v>
          </cell>
          <cell r="AN318" t="e">
            <v>#DIV/0!</v>
          </cell>
          <cell r="AO318" t="e">
            <v>#REF!</v>
          </cell>
          <cell r="AP318" t="e">
            <v>#REF!</v>
          </cell>
          <cell r="AQ318" t="e">
            <v>#REF!</v>
          </cell>
          <cell r="AR318" t="e">
            <v>#REF!</v>
          </cell>
          <cell r="AS318" t="e">
            <v>#REF!</v>
          </cell>
          <cell r="AT318" t="e">
            <v>#REF!</v>
          </cell>
          <cell r="AU318" t="e">
            <v>#REF!</v>
          </cell>
          <cell r="AV318" t="e">
            <v>#REF!</v>
          </cell>
          <cell r="AW318" t="e">
            <v>#DIV/0!</v>
          </cell>
          <cell r="AX318" t="e">
            <v>#DIV/0!</v>
          </cell>
          <cell r="AY318" t="e">
            <v>#DIV/0!</v>
          </cell>
          <cell r="AZ318" t="e">
            <v>#DIV/0!</v>
          </cell>
          <cell r="BE318" t="e">
            <v>#DIV/0!</v>
          </cell>
          <cell r="BF318" t="e">
            <v>#DIV/0!</v>
          </cell>
        </row>
        <row r="319">
          <cell r="A319" t="str">
            <v>-0</v>
          </cell>
          <cell r="B319" t="str">
            <v xml:space="preserve">-0  , </v>
          </cell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/>
          <cell r="T319"/>
          <cell r="U319"/>
          <cell r="V319"/>
          <cell r="W319"/>
          <cell r="X319">
            <v>0</v>
          </cell>
          <cell r="Y319">
            <v>0</v>
          </cell>
          <cell r="Z319">
            <v>0</v>
          </cell>
          <cell r="AA319" t="str">
            <v>,</v>
          </cell>
          <cell r="AB319" t="str">
            <v>,</v>
          </cell>
          <cell r="AC319" t="e">
            <v>#DIV/0!</v>
          </cell>
          <cell r="AD319" t="e">
            <v>#DIV/0!</v>
          </cell>
          <cell r="AE319">
            <v>0.71</v>
          </cell>
          <cell r="AF319">
            <v>94.97</v>
          </cell>
          <cell r="AG319">
            <v>0</v>
          </cell>
          <cell r="AH319" t="e">
            <v>#DIV/0!</v>
          </cell>
          <cell r="AI319" t="e">
            <v>#DIV/0!</v>
          </cell>
          <cell r="AJ319" t="e">
            <v>#DIV/0!</v>
          </cell>
          <cell r="AK319" t="e">
            <v>#DIV/0!</v>
          </cell>
          <cell r="AL319" t="e">
            <v>#DIV/0!</v>
          </cell>
          <cell r="AM319" t="e">
            <v>#DIV/0!</v>
          </cell>
          <cell r="AN319" t="e">
            <v>#DIV/0!</v>
          </cell>
          <cell r="AO319" t="e">
            <v>#REF!</v>
          </cell>
          <cell r="AP319" t="e">
            <v>#REF!</v>
          </cell>
          <cell r="AQ319" t="e">
            <v>#REF!</v>
          </cell>
          <cell r="AR319" t="e">
            <v>#REF!</v>
          </cell>
          <cell r="AS319" t="e">
            <v>#REF!</v>
          </cell>
          <cell r="AT319" t="e">
            <v>#REF!</v>
          </cell>
          <cell r="AU319" t="e">
            <v>#REF!</v>
          </cell>
          <cell r="AV319" t="e">
            <v>#REF!</v>
          </cell>
          <cell r="AW319" t="e">
            <v>#DIV/0!</v>
          </cell>
          <cell r="AX319" t="e">
            <v>#DIV/0!</v>
          </cell>
          <cell r="AY319" t="e">
            <v>#DIV/0!</v>
          </cell>
          <cell r="AZ319" t="e">
            <v>#DIV/0!</v>
          </cell>
          <cell r="BE319" t="e">
            <v>#DIV/0!</v>
          </cell>
          <cell r="BF319" t="e">
            <v>#DIV/0!</v>
          </cell>
        </row>
        <row r="320">
          <cell r="A320" t="str">
            <v>-0</v>
          </cell>
          <cell r="B320" t="str">
            <v xml:space="preserve">-0  , </v>
          </cell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/>
          <cell r="T320"/>
          <cell r="U320"/>
          <cell r="V320"/>
          <cell r="W320"/>
          <cell r="X320">
            <v>0</v>
          </cell>
          <cell r="Y320">
            <v>0</v>
          </cell>
          <cell r="Z320">
            <v>0</v>
          </cell>
          <cell r="AA320" t="str">
            <v>,</v>
          </cell>
          <cell r="AB320" t="str">
            <v>,</v>
          </cell>
          <cell r="AC320" t="e">
            <v>#DIV/0!</v>
          </cell>
          <cell r="AD320" t="e">
            <v>#DIV/0!</v>
          </cell>
          <cell r="AE320">
            <v>0.71</v>
          </cell>
          <cell r="AF320">
            <v>94.97</v>
          </cell>
          <cell r="AG320">
            <v>0</v>
          </cell>
          <cell r="AH320" t="e">
            <v>#DIV/0!</v>
          </cell>
          <cell r="AI320" t="e">
            <v>#DIV/0!</v>
          </cell>
          <cell r="AJ320" t="e">
            <v>#DIV/0!</v>
          </cell>
          <cell r="AK320" t="e">
            <v>#DIV/0!</v>
          </cell>
          <cell r="AL320" t="e">
            <v>#DIV/0!</v>
          </cell>
          <cell r="AM320" t="e">
            <v>#DIV/0!</v>
          </cell>
          <cell r="AN320" t="e">
            <v>#DIV/0!</v>
          </cell>
          <cell r="AO320" t="e">
            <v>#REF!</v>
          </cell>
          <cell r="AP320" t="e">
            <v>#REF!</v>
          </cell>
          <cell r="AQ320" t="e">
            <v>#REF!</v>
          </cell>
          <cell r="AR320" t="e">
            <v>#REF!</v>
          </cell>
          <cell r="AS320" t="e">
            <v>#REF!</v>
          </cell>
          <cell r="AT320" t="e">
            <v>#REF!</v>
          </cell>
          <cell r="AU320" t="e">
            <v>#REF!</v>
          </cell>
          <cell r="AV320" t="e">
            <v>#REF!</v>
          </cell>
          <cell r="AW320" t="e">
            <v>#DIV/0!</v>
          </cell>
          <cell r="AX320" t="e">
            <v>#DIV/0!</v>
          </cell>
          <cell r="AY320" t="e">
            <v>#DIV/0!</v>
          </cell>
          <cell r="AZ320" t="e">
            <v>#DIV/0!</v>
          </cell>
          <cell r="BE320" t="e">
            <v>#DIV/0!</v>
          </cell>
          <cell r="BF320" t="e">
            <v>#DIV/0!</v>
          </cell>
        </row>
        <row r="321">
          <cell r="A321" t="str">
            <v>-0</v>
          </cell>
          <cell r="B321" t="str">
            <v xml:space="preserve">-0  , </v>
          </cell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  <cell r="X321">
            <v>0</v>
          </cell>
          <cell r="Y321">
            <v>0</v>
          </cell>
          <cell r="Z321">
            <v>0</v>
          </cell>
          <cell r="AA321" t="str">
            <v>,</v>
          </cell>
          <cell r="AB321" t="str">
            <v>,</v>
          </cell>
          <cell r="AC321" t="e">
            <v>#DIV/0!</v>
          </cell>
          <cell r="AD321" t="e">
            <v>#DIV/0!</v>
          </cell>
          <cell r="AE321">
            <v>0.71</v>
          </cell>
          <cell r="AF321">
            <v>94.97</v>
          </cell>
          <cell r="AG321">
            <v>0</v>
          </cell>
          <cell r="AH321" t="e">
            <v>#DIV/0!</v>
          </cell>
          <cell r="AI321" t="e">
            <v>#DIV/0!</v>
          </cell>
          <cell r="AJ321" t="e">
            <v>#DIV/0!</v>
          </cell>
          <cell r="AK321" t="e">
            <v>#DIV/0!</v>
          </cell>
          <cell r="AL321" t="e">
            <v>#DIV/0!</v>
          </cell>
          <cell r="AM321" t="e">
            <v>#DIV/0!</v>
          </cell>
          <cell r="AN321" t="e">
            <v>#DIV/0!</v>
          </cell>
          <cell r="AO321" t="e">
            <v>#REF!</v>
          </cell>
          <cell r="AP321" t="e">
            <v>#REF!</v>
          </cell>
          <cell r="AQ321" t="e">
            <v>#REF!</v>
          </cell>
          <cell r="AR321" t="e">
            <v>#REF!</v>
          </cell>
          <cell r="AS321" t="e">
            <v>#REF!</v>
          </cell>
          <cell r="AT321" t="e">
            <v>#REF!</v>
          </cell>
          <cell r="AU321" t="e">
            <v>#REF!</v>
          </cell>
          <cell r="AV321" t="e">
            <v>#REF!</v>
          </cell>
          <cell r="AW321" t="e">
            <v>#DIV/0!</v>
          </cell>
          <cell r="AX321" t="e">
            <v>#DIV/0!</v>
          </cell>
          <cell r="AY321" t="e">
            <v>#DIV/0!</v>
          </cell>
          <cell r="AZ321" t="e">
            <v>#DIV/0!</v>
          </cell>
          <cell r="BE321" t="e">
            <v>#DIV/0!</v>
          </cell>
          <cell r="BF321" t="e">
            <v>#DIV/0!</v>
          </cell>
        </row>
        <row r="322">
          <cell r="A322" t="str">
            <v>-0</v>
          </cell>
          <cell r="B322" t="str">
            <v xml:space="preserve">-0  , </v>
          </cell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/>
          <cell r="T322"/>
          <cell r="U322"/>
          <cell r="V322"/>
          <cell r="W322"/>
          <cell r="X322">
            <v>0</v>
          </cell>
          <cell r="Y322">
            <v>0</v>
          </cell>
          <cell r="Z322">
            <v>0</v>
          </cell>
          <cell r="AA322" t="str">
            <v>,</v>
          </cell>
          <cell r="AB322" t="str">
            <v>,</v>
          </cell>
          <cell r="AC322" t="e">
            <v>#DIV/0!</v>
          </cell>
          <cell r="AD322" t="e">
            <v>#DIV/0!</v>
          </cell>
          <cell r="AE322">
            <v>0.71</v>
          </cell>
          <cell r="AF322">
            <v>94.97</v>
          </cell>
          <cell r="AG322">
            <v>0</v>
          </cell>
          <cell r="AH322" t="e">
            <v>#DIV/0!</v>
          </cell>
          <cell r="AI322" t="e">
            <v>#DIV/0!</v>
          </cell>
          <cell r="AJ322" t="e">
            <v>#DIV/0!</v>
          </cell>
          <cell r="AK322" t="e">
            <v>#DIV/0!</v>
          </cell>
          <cell r="AL322" t="e">
            <v>#DIV/0!</v>
          </cell>
          <cell r="AM322" t="e">
            <v>#DIV/0!</v>
          </cell>
          <cell r="AN322" t="e">
            <v>#DIV/0!</v>
          </cell>
          <cell r="AO322" t="e">
            <v>#REF!</v>
          </cell>
          <cell r="AP322" t="e">
            <v>#REF!</v>
          </cell>
          <cell r="AQ322" t="e">
            <v>#REF!</v>
          </cell>
          <cell r="AR322" t="e">
            <v>#REF!</v>
          </cell>
          <cell r="AS322" t="e">
            <v>#REF!</v>
          </cell>
          <cell r="AT322" t="e">
            <v>#REF!</v>
          </cell>
          <cell r="AU322" t="e">
            <v>#REF!</v>
          </cell>
          <cell r="AV322" t="e">
            <v>#REF!</v>
          </cell>
          <cell r="AW322" t="e">
            <v>#DIV/0!</v>
          </cell>
          <cell r="AX322" t="e">
            <v>#DIV/0!</v>
          </cell>
          <cell r="AY322" t="e">
            <v>#DIV/0!</v>
          </cell>
          <cell r="AZ322" t="e">
            <v>#DIV/0!</v>
          </cell>
          <cell r="BE322" t="e">
            <v>#DIV/0!</v>
          </cell>
          <cell r="BF322" t="e">
            <v>#DIV/0!</v>
          </cell>
        </row>
        <row r="323">
          <cell r="A323" t="str">
            <v>-0</v>
          </cell>
          <cell r="B323" t="str">
            <v xml:space="preserve">-0  , </v>
          </cell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/>
          <cell r="T323"/>
          <cell r="U323"/>
          <cell r="V323"/>
          <cell r="W323"/>
          <cell r="X323">
            <v>0</v>
          </cell>
          <cell r="Y323">
            <v>0</v>
          </cell>
          <cell r="Z323">
            <v>0</v>
          </cell>
          <cell r="AA323" t="str">
            <v>,</v>
          </cell>
          <cell r="AB323" t="str">
            <v>,</v>
          </cell>
          <cell r="AC323" t="e">
            <v>#DIV/0!</v>
          </cell>
          <cell r="AD323" t="e">
            <v>#DIV/0!</v>
          </cell>
          <cell r="AE323">
            <v>0.71</v>
          </cell>
          <cell r="AF323">
            <v>94.97</v>
          </cell>
          <cell r="AG323">
            <v>0</v>
          </cell>
          <cell r="AH323" t="e">
            <v>#DIV/0!</v>
          </cell>
          <cell r="AI323" t="e">
            <v>#DIV/0!</v>
          </cell>
          <cell r="AJ323" t="e">
            <v>#DIV/0!</v>
          </cell>
          <cell r="AK323" t="e">
            <v>#DIV/0!</v>
          </cell>
          <cell r="AL323" t="e">
            <v>#DIV/0!</v>
          </cell>
          <cell r="AM323" t="e">
            <v>#DIV/0!</v>
          </cell>
          <cell r="AN323" t="e">
            <v>#DIV/0!</v>
          </cell>
          <cell r="AO323" t="e">
            <v>#REF!</v>
          </cell>
          <cell r="AP323" t="e">
            <v>#REF!</v>
          </cell>
          <cell r="AQ323" t="e">
            <v>#REF!</v>
          </cell>
          <cell r="AR323" t="e">
            <v>#REF!</v>
          </cell>
          <cell r="AS323" t="e">
            <v>#REF!</v>
          </cell>
          <cell r="AT323" t="e">
            <v>#REF!</v>
          </cell>
          <cell r="AU323" t="e">
            <v>#REF!</v>
          </cell>
          <cell r="AV323" t="e">
            <v>#REF!</v>
          </cell>
          <cell r="AW323" t="e">
            <v>#DIV/0!</v>
          </cell>
          <cell r="AX323" t="e">
            <v>#DIV/0!</v>
          </cell>
          <cell r="AY323" t="e">
            <v>#DIV/0!</v>
          </cell>
          <cell r="AZ323" t="e">
            <v>#DIV/0!</v>
          </cell>
          <cell r="BE323" t="e">
            <v>#DIV/0!</v>
          </cell>
          <cell r="BF323" t="e">
            <v>#DIV/0!</v>
          </cell>
        </row>
        <row r="324">
          <cell r="A324" t="str">
            <v>-0</v>
          </cell>
          <cell r="B324" t="str">
            <v xml:space="preserve">-0  , </v>
          </cell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/>
          <cell r="T324"/>
          <cell r="U324"/>
          <cell r="V324"/>
          <cell r="W324"/>
          <cell r="X324">
            <v>0</v>
          </cell>
          <cell r="Y324">
            <v>0</v>
          </cell>
          <cell r="Z324">
            <v>0</v>
          </cell>
          <cell r="AA324" t="str">
            <v>,</v>
          </cell>
          <cell r="AB324" t="str">
            <v>,</v>
          </cell>
          <cell r="AC324" t="e">
            <v>#DIV/0!</v>
          </cell>
          <cell r="AD324" t="e">
            <v>#DIV/0!</v>
          </cell>
          <cell r="AE324">
            <v>0.71</v>
          </cell>
          <cell r="AF324">
            <v>94.97</v>
          </cell>
          <cell r="AG324">
            <v>0</v>
          </cell>
          <cell r="AH324" t="e">
            <v>#DIV/0!</v>
          </cell>
          <cell r="AI324" t="e">
            <v>#DIV/0!</v>
          </cell>
          <cell r="AJ324" t="e">
            <v>#DIV/0!</v>
          </cell>
          <cell r="AK324" t="e">
            <v>#DIV/0!</v>
          </cell>
          <cell r="AL324" t="e">
            <v>#DIV/0!</v>
          </cell>
          <cell r="AM324" t="e">
            <v>#DIV/0!</v>
          </cell>
          <cell r="AN324" t="e">
            <v>#DIV/0!</v>
          </cell>
          <cell r="AO324" t="e">
            <v>#REF!</v>
          </cell>
          <cell r="AP324" t="e">
            <v>#REF!</v>
          </cell>
          <cell r="AQ324" t="e">
            <v>#REF!</v>
          </cell>
          <cell r="AR324" t="e">
            <v>#REF!</v>
          </cell>
          <cell r="AS324" t="e">
            <v>#REF!</v>
          </cell>
          <cell r="AT324" t="e">
            <v>#REF!</v>
          </cell>
          <cell r="AU324" t="e">
            <v>#REF!</v>
          </cell>
          <cell r="AV324" t="e">
            <v>#REF!</v>
          </cell>
          <cell r="AW324" t="e">
            <v>#DIV/0!</v>
          </cell>
          <cell r="AX324" t="e">
            <v>#DIV/0!</v>
          </cell>
          <cell r="AY324" t="e">
            <v>#DIV/0!</v>
          </cell>
          <cell r="AZ324" t="e">
            <v>#DIV/0!</v>
          </cell>
          <cell r="BE324" t="e">
            <v>#DIV/0!</v>
          </cell>
          <cell r="BF324" t="e">
            <v>#DIV/0!</v>
          </cell>
        </row>
        <row r="325">
          <cell r="A325" t="str">
            <v>-0</v>
          </cell>
          <cell r="B325" t="str">
            <v xml:space="preserve">-0  , </v>
          </cell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  <cell r="X325">
            <v>0</v>
          </cell>
          <cell r="Y325">
            <v>0</v>
          </cell>
          <cell r="Z325">
            <v>0</v>
          </cell>
          <cell r="AA325" t="str">
            <v>,</v>
          </cell>
          <cell r="AB325" t="str">
            <v>,</v>
          </cell>
          <cell r="AC325" t="e">
            <v>#DIV/0!</v>
          </cell>
          <cell r="AD325" t="e">
            <v>#DIV/0!</v>
          </cell>
          <cell r="AE325">
            <v>0.71</v>
          </cell>
          <cell r="AF325">
            <v>94.97</v>
          </cell>
          <cell r="AG325">
            <v>0</v>
          </cell>
          <cell r="AH325" t="e">
            <v>#DIV/0!</v>
          </cell>
          <cell r="AI325" t="e">
            <v>#DIV/0!</v>
          </cell>
          <cell r="AJ325" t="e">
            <v>#DIV/0!</v>
          </cell>
          <cell r="AK325" t="e">
            <v>#DIV/0!</v>
          </cell>
          <cell r="AL325" t="e">
            <v>#DIV/0!</v>
          </cell>
          <cell r="AM325" t="e">
            <v>#DIV/0!</v>
          </cell>
          <cell r="AN325" t="e">
            <v>#DIV/0!</v>
          </cell>
          <cell r="AO325" t="e">
            <v>#REF!</v>
          </cell>
          <cell r="AP325" t="e">
            <v>#REF!</v>
          </cell>
          <cell r="AQ325" t="e">
            <v>#REF!</v>
          </cell>
          <cell r="AR325" t="e">
            <v>#REF!</v>
          </cell>
          <cell r="AS325" t="e">
            <v>#REF!</v>
          </cell>
          <cell r="AT325" t="e">
            <v>#REF!</v>
          </cell>
          <cell r="AU325" t="e">
            <v>#REF!</v>
          </cell>
          <cell r="AV325" t="e">
            <v>#REF!</v>
          </cell>
          <cell r="AW325" t="e">
            <v>#DIV/0!</v>
          </cell>
          <cell r="AX325" t="e">
            <v>#DIV/0!</v>
          </cell>
          <cell r="AY325" t="e">
            <v>#DIV/0!</v>
          </cell>
          <cell r="AZ325" t="e">
            <v>#DIV/0!</v>
          </cell>
          <cell r="BE325" t="e">
            <v>#DIV/0!</v>
          </cell>
          <cell r="BF325" t="e">
            <v>#DIV/0!</v>
          </cell>
        </row>
        <row r="326">
          <cell r="A326" t="str">
            <v>-0</v>
          </cell>
          <cell r="B326" t="str">
            <v xml:space="preserve">-0  , </v>
          </cell>
          <cell r="C326"/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/>
          <cell r="S326"/>
          <cell r="T326"/>
          <cell r="U326"/>
          <cell r="V326"/>
          <cell r="W326"/>
          <cell r="X326">
            <v>0</v>
          </cell>
          <cell r="Y326">
            <v>0</v>
          </cell>
          <cell r="Z326">
            <v>0</v>
          </cell>
          <cell r="AA326" t="str">
            <v>,</v>
          </cell>
          <cell r="AB326" t="str">
            <v>,</v>
          </cell>
          <cell r="AC326" t="e">
            <v>#DIV/0!</v>
          </cell>
          <cell r="AD326" t="e">
            <v>#DIV/0!</v>
          </cell>
          <cell r="AE326">
            <v>0.71</v>
          </cell>
          <cell r="AF326">
            <v>94.97</v>
          </cell>
          <cell r="AG326">
            <v>0</v>
          </cell>
          <cell r="AH326" t="e">
            <v>#DIV/0!</v>
          </cell>
          <cell r="AI326" t="e">
            <v>#DIV/0!</v>
          </cell>
          <cell r="AJ326" t="e">
            <v>#DIV/0!</v>
          </cell>
          <cell r="AK326" t="e">
            <v>#DIV/0!</v>
          </cell>
          <cell r="AL326" t="e">
            <v>#DIV/0!</v>
          </cell>
          <cell r="AM326" t="e">
            <v>#DIV/0!</v>
          </cell>
          <cell r="AN326" t="e">
            <v>#DIV/0!</v>
          </cell>
          <cell r="AO326" t="e">
            <v>#REF!</v>
          </cell>
          <cell r="AP326" t="e">
            <v>#REF!</v>
          </cell>
          <cell r="AQ326" t="e">
            <v>#REF!</v>
          </cell>
          <cell r="AR326" t="e">
            <v>#REF!</v>
          </cell>
          <cell r="AS326" t="e">
            <v>#REF!</v>
          </cell>
          <cell r="AT326" t="e">
            <v>#REF!</v>
          </cell>
          <cell r="AU326" t="e">
            <v>#REF!</v>
          </cell>
          <cell r="AV326" t="e">
            <v>#REF!</v>
          </cell>
          <cell r="AW326" t="e">
            <v>#DIV/0!</v>
          </cell>
          <cell r="AX326" t="e">
            <v>#DIV/0!</v>
          </cell>
          <cell r="AY326" t="e">
            <v>#DIV/0!</v>
          </cell>
          <cell r="AZ326" t="e">
            <v>#DIV/0!</v>
          </cell>
          <cell r="BE326" t="e">
            <v>#DIV/0!</v>
          </cell>
          <cell r="BF326" t="e">
            <v>#DIV/0!</v>
          </cell>
        </row>
        <row r="327">
          <cell r="A327" t="str">
            <v>-0</v>
          </cell>
          <cell r="B327" t="str">
            <v xml:space="preserve">-0  , </v>
          </cell>
          <cell r="C327"/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/>
          <cell r="T327"/>
          <cell r="U327"/>
          <cell r="V327"/>
          <cell r="W327"/>
          <cell r="X327">
            <v>0</v>
          </cell>
          <cell r="Y327">
            <v>0</v>
          </cell>
          <cell r="Z327">
            <v>0</v>
          </cell>
          <cell r="AA327" t="str">
            <v>,</v>
          </cell>
          <cell r="AB327" t="str">
            <v>,</v>
          </cell>
          <cell r="AC327" t="e">
            <v>#DIV/0!</v>
          </cell>
          <cell r="AD327" t="e">
            <v>#DIV/0!</v>
          </cell>
          <cell r="AE327">
            <v>0.71</v>
          </cell>
          <cell r="AF327">
            <v>94.97</v>
          </cell>
          <cell r="AG327">
            <v>0</v>
          </cell>
          <cell r="AH327" t="e">
            <v>#DIV/0!</v>
          </cell>
          <cell r="AI327" t="e">
            <v>#DIV/0!</v>
          </cell>
          <cell r="AJ327" t="e">
            <v>#DIV/0!</v>
          </cell>
          <cell r="AK327" t="e">
            <v>#DIV/0!</v>
          </cell>
          <cell r="AL327" t="e">
            <v>#DIV/0!</v>
          </cell>
          <cell r="AM327" t="e">
            <v>#DIV/0!</v>
          </cell>
          <cell r="AN327" t="e">
            <v>#DIV/0!</v>
          </cell>
          <cell r="AO327" t="e">
            <v>#REF!</v>
          </cell>
          <cell r="AP327" t="e">
            <v>#REF!</v>
          </cell>
          <cell r="AQ327" t="e">
            <v>#REF!</v>
          </cell>
          <cell r="AR327" t="e">
            <v>#REF!</v>
          </cell>
          <cell r="AS327" t="e">
            <v>#REF!</v>
          </cell>
          <cell r="AT327" t="e">
            <v>#REF!</v>
          </cell>
          <cell r="AU327" t="e">
            <v>#REF!</v>
          </cell>
          <cell r="AV327" t="e">
            <v>#REF!</v>
          </cell>
          <cell r="AW327" t="e">
            <v>#DIV/0!</v>
          </cell>
          <cell r="AX327" t="e">
            <v>#DIV/0!</v>
          </cell>
          <cell r="AY327" t="e">
            <v>#DIV/0!</v>
          </cell>
          <cell r="AZ327" t="e">
            <v>#DIV/0!</v>
          </cell>
          <cell r="BE327" t="e">
            <v>#DIV/0!</v>
          </cell>
          <cell r="BF327" t="e">
            <v>#DIV/0!</v>
          </cell>
        </row>
        <row r="328">
          <cell r="A328" t="str">
            <v>-0</v>
          </cell>
          <cell r="B328" t="str">
            <v xml:space="preserve">-0  , </v>
          </cell>
          <cell r="C328"/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/>
          <cell r="T328"/>
          <cell r="U328"/>
          <cell r="V328"/>
          <cell r="W328"/>
          <cell r="X328">
            <v>0</v>
          </cell>
          <cell r="Y328">
            <v>0</v>
          </cell>
          <cell r="Z328">
            <v>0</v>
          </cell>
          <cell r="AA328" t="str">
            <v>,</v>
          </cell>
          <cell r="AB328" t="str">
            <v>,</v>
          </cell>
          <cell r="AC328" t="e">
            <v>#DIV/0!</v>
          </cell>
          <cell r="AD328" t="e">
            <v>#DIV/0!</v>
          </cell>
          <cell r="AE328">
            <v>0.71</v>
          </cell>
          <cell r="AF328">
            <v>94.97</v>
          </cell>
          <cell r="AG328">
            <v>0</v>
          </cell>
          <cell r="AH328" t="e">
            <v>#DIV/0!</v>
          </cell>
          <cell r="AI328" t="e">
            <v>#DIV/0!</v>
          </cell>
          <cell r="AJ328" t="e">
            <v>#DIV/0!</v>
          </cell>
          <cell r="AK328" t="e">
            <v>#DIV/0!</v>
          </cell>
          <cell r="AL328" t="e">
            <v>#DIV/0!</v>
          </cell>
          <cell r="AM328" t="e">
            <v>#DIV/0!</v>
          </cell>
          <cell r="AN328" t="e">
            <v>#DIV/0!</v>
          </cell>
          <cell r="AO328" t="e">
            <v>#REF!</v>
          </cell>
          <cell r="AP328" t="e">
            <v>#REF!</v>
          </cell>
          <cell r="AQ328" t="e">
            <v>#REF!</v>
          </cell>
          <cell r="AR328" t="e">
            <v>#REF!</v>
          </cell>
          <cell r="AS328" t="e">
            <v>#REF!</v>
          </cell>
          <cell r="AT328" t="e">
            <v>#REF!</v>
          </cell>
          <cell r="AU328" t="e">
            <v>#REF!</v>
          </cell>
          <cell r="AV328" t="e">
            <v>#REF!</v>
          </cell>
          <cell r="AW328" t="e">
            <v>#DIV/0!</v>
          </cell>
          <cell r="AX328" t="e">
            <v>#DIV/0!</v>
          </cell>
          <cell r="AY328" t="e">
            <v>#DIV/0!</v>
          </cell>
          <cell r="AZ328" t="e">
            <v>#DIV/0!</v>
          </cell>
          <cell r="BE328" t="e">
            <v>#DIV/0!</v>
          </cell>
          <cell r="BF328" t="e">
            <v>#DIV/0!</v>
          </cell>
        </row>
        <row r="329">
          <cell r="A329" t="str">
            <v>-0</v>
          </cell>
          <cell r="B329" t="str">
            <v xml:space="preserve">-0  , </v>
          </cell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/>
          <cell r="T329"/>
          <cell r="U329"/>
          <cell r="V329"/>
          <cell r="W329"/>
          <cell r="X329">
            <v>0</v>
          </cell>
          <cell r="Y329">
            <v>0</v>
          </cell>
          <cell r="Z329">
            <v>0</v>
          </cell>
          <cell r="AA329" t="str">
            <v>,</v>
          </cell>
          <cell r="AB329" t="str">
            <v>,</v>
          </cell>
          <cell r="AC329" t="e">
            <v>#DIV/0!</v>
          </cell>
          <cell r="AD329" t="e">
            <v>#DIV/0!</v>
          </cell>
          <cell r="AE329">
            <v>0.71</v>
          </cell>
          <cell r="AF329">
            <v>94.97</v>
          </cell>
          <cell r="AG329">
            <v>0</v>
          </cell>
          <cell r="AH329" t="e">
            <v>#DIV/0!</v>
          </cell>
          <cell r="AI329" t="e">
            <v>#DIV/0!</v>
          </cell>
          <cell r="AJ329" t="e">
            <v>#DIV/0!</v>
          </cell>
          <cell r="AK329" t="e">
            <v>#DIV/0!</v>
          </cell>
          <cell r="AL329" t="e">
            <v>#DIV/0!</v>
          </cell>
          <cell r="AM329" t="e">
            <v>#DIV/0!</v>
          </cell>
          <cell r="AN329" t="e">
            <v>#DIV/0!</v>
          </cell>
          <cell r="AO329" t="e">
            <v>#REF!</v>
          </cell>
          <cell r="AP329" t="e">
            <v>#REF!</v>
          </cell>
          <cell r="AQ329" t="e">
            <v>#REF!</v>
          </cell>
          <cell r="AR329" t="e">
            <v>#REF!</v>
          </cell>
          <cell r="AS329" t="e">
            <v>#REF!</v>
          </cell>
          <cell r="AT329" t="e">
            <v>#REF!</v>
          </cell>
          <cell r="AU329" t="e">
            <v>#REF!</v>
          </cell>
          <cell r="AV329" t="e">
            <v>#REF!</v>
          </cell>
          <cell r="AW329" t="e">
            <v>#DIV/0!</v>
          </cell>
          <cell r="AX329" t="e">
            <v>#DIV/0!</v>
          </cell>
          <cell r="AY329" t="e">
            <v>#DIV/0!</v>
          </cell>
          <cell r="AZ329" t="e">
            <v>#DIV/0!</v>
          </cell>
          <cell r="BE329" t="e">
            <v>#DIV/0!</v>
          </cell>
          <cell r="BF329" t="e">
            <v>#DIV/0!</v>
          </cell>
        </row>
        <row r="330">
          <cell r="A330" t="str">
            <v>-0</v>
          </cell>
          <cell r="B330" t="str">
            <v xml:space="preserve">-0  , </v>
          </cell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  <cell r="X330">
            <v>0</v>
          </cell>
          <cell r="Y330">
            <v>0</v>
          </cell>
          <cell r="Z330">
            <v>0</v>
          </cell>
          <cell r="AA330" t="str">
            <v>,</v>
          </cell>
          <cell r="AB330" t="str">
            <v>,</v>
          </cell>
          <cell r="AC330" t="e">
            <v>#DIV/0!</v>
          </cell>
          <cell r="AD330" t="e">
            <v>#DIV/0!</v>
          </cell>
          <cell r="AE330">
            <v>0.71</v>
          </cell>
          <cell r="AF330">
            <v>94.97</v>
          </cell>
          <cell r="AG330">
            <v>0</v>
          </cell>
          <cell r="AH330" t="e">
            <v>#DIV/0!</v>
          </cell>
          <cell r="AI330" t="e">
            <v>#DIV/0!</v>
          </cell>
          <cell r="AJ330" t="e">
            <v>#DIV/0!</v>
          </cell>
          <cell r="AK330" t="e">
            <v>#DIV/0!</v>
          </cell>
          <cell r="AL330" t="e">
            <v>#DIV/0!</v>
          </cell>
          <cell r="AM330" t="e">
            <v>#DIV/0!</v>
          </cell>
          <cell r="AN330" t="e">
            <v>#DIV/0!</v>
          </cell>
          <cell r="AO330" t="e">
            <v>#REF!</v>
          </cell>
          <cell r="AP330" t="e">
            <v>#REF!</v>
          </cell>
          <cell r="AQ330" t="e">
            <v>#REF!</v>
          </cell>
          <cell r="AR330" t="e">
            <v>#REF!</v>
          </cell>
          <cell r="AS330" t="e">
            <v>#REF!</v>
          </cell>
          <cell r="AT330" t="e">
            <v>#REF!</v>
          </cell>
          <cell r="AU330" t="e">
            <v>#REF!</v>
          </cell>
          <cell r="AV330" t="e">
            <v>#REF!</v>
          </cell>
          <cell r="AW330" t="e">
            <v>#DIV/0!</v>
          </cell>
          <cell r="AX330" t="e">
            <v>#DIV/0!</v>
          </cell>
          <cell r="AY330" t="e">
            <v>#DIV/0!</v>
          </cell>
          <cell r="AZ330" t="e">
            <v>#DIV/0!</v>
          </cell>
          <cell r="BE330" t="e">
            <v>#DIV/0!</v>
          </cell>
          <cell r="BF330" t="e">
            <v>#DIV/0!</v>
          </cell>
        </row>
        <row r="331">
          <cell r="A331" t="str">
            <v>-0</v>
          </cell>
          <cell r="B331" t="str">
            <v xml:space="preserve">-0  , </v>
          </cell>
          <cell r="C331"/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/>
          <cell r="T331"/>
          <cell r="U331"/>
          <cell r="V331"/>
          <cell r="W331"/>
          <cell r="X331">
            <v>0</v>
          </cell>
          <cell r="Y331">
            <v>0</v>
          </cell>
          <cell r="Z331">
            <v>0</v>
          </cell>
          <cell r="AA331" t="str">
            <v>,</v>
          </cell>
          <cell r="AB331" t="str">
            <v>,</v>
          </cell>
          <cell r="AC331" t="e">
            <v>#DIV/0!</v>
          </cell>
          <cell r="AD331" t="e">
            <v>#DIV/0!</v>
          </cell>
          <cell r="AE331">
            <v>0.71</v>
          </cell>
          <cell r="AF331">
            <v>94.97</v>
          </cell>
          <cell r="AG331">
            <v>0</v>
          </cell>
          <cell r="AH331" t="e">
            <v>#DIV/0!</v>
          </cell>
          <cell r="AI331" t="e">
            <v>#DIV/0!</v>
          </cell>
          <cell r="AJ331" t="e">
            <v>#DIV/0!</v>
          </cell>
          <cell r="AK331" t="e">
            <v>#DIV/0!</v>
          </cell>
          <cell r="AL331" t="e">
            <v>#DIV/0!</v>
          </cell>
          <cell r="AM331" t="e">
            <v>#DIV/0!</v>
          </cell>
          <cell r="AN331" t="e">
            <v>#DIV/0!</v>
          </cell>
          <cell r="AO331" t="e">
            <v>#REF!</v>
          </cell>
          <cell r="AP331" t="e">
            <v>#REF!</v>
          </cell>
          <cell r="AQ331" t="e">
            <v>#REF!</v>
          </cell>
          <cell r="AR331" t="e">
            <v>#REF!</v>
          </cell>
          <cell r="AS331" t="e">
            <v>#REF!</v>
          </cell>
          <cell r="AT331" t="e">
            <v>#REF!</v>
          </cell>
          <cell r="AU331" t="e">
            <v>#REF!</v>
          </cell>
          <cell r="AV331" t="e">
            <v>#REF!</v>
          </cell>
          <cell r="AW331" t="e">
            <v>#DIV/0!</v>
          </cell>
          <cell r="AX331" t="e">
            <v>#DIV/0!</v>
          </cell>
          <cell r="AY331" t="e">
            <v>#DIV/0!</v>
          </cell>
          <cell r="AZ331" t="e">
            <v>#DIV/0!</v>
          </cell>
          <cell r="BE331" t="e">
            <v>#DIV/0!</v>
          </cell>
          <cell r="BF331" t="e">
            <v>#DIV/0!</v>
          </cell>
        </row>
        <row r="332">
          <cell r="A332" t="str">
            <v>-0</v>
          </cell>
          <cell r="B332" t="str">
            <v xml:space="preserve">-0  , </v>
          </cell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/>
          <cell r="S332"/>
          <cell r="T332"/>
          <cell r="U332"/>
          <cell r="V332"/>
          <cell r="W332"/>
          <cell r="X332">
            <v>0</v>
          </cell>
          <cell r="Y332">
            <v>0</v>
          </cell>
          <cell r="Z332">
            <v>0</v>
          </cell>
          <cell r="AA332" t="str">
            <v>,</v>
          </cell>
          <cell r="AB332" t="str">
            <v>,</v>
          </cell>
          <cell r="AC332" t="e">
            <v>#DIV/0!</v>
          </cell>
          <cell r="AD332" t="e">
            <v>#DIV/0!</v>
          </cell>
          <cell r="AE332">
            <v>0.71</v>
          </cell>
          <cell r="AF332">
            <v>94.97</v>
          </cell>
          <cell r="AG332">
            <v>0</v>
          </cell>
          <cell r="AH332" t="e">
            <v>#DIV/0!</v>
          </cell>
          <cell r="AI332" t="e">
            <v>#DIV/0!</v>
          </cell>
          <cell r="AJ332" t="e">
            <v>#DIV/0!</v>
          </cell>
          <cell r="AK332" t="e">
            <v>#DIV/0!</v>
          </cell>
          <cell r="AL332" t="e">
            <v>#DIV/0!</v>
          </cell>
          <cell r="AM332" t="e">
            <v>#DIV/0!</v>
          </cell>
          <cell r="AN332" t="e">
            <v>#DIV/0!</v>
          </cell>
          <cell r="AO332" t="e">
            <v>#REF!</v>
          </cell>
          <cell r="AP332" t="e">
            <v>#REF!</v>
          </cell>
          <cell r="AQ332" t="e">
            <v>#REF!</v>
          </cell>
          <cell r="AR332" t="e">
            <v>#REF!</v>
          </cell>
          <cell r="AS332" t="e">
            <v>#REF!</v>
          </cell>
          <cell r="AT332" t="e">
            <v>#REF!</v>
          </cell>
          <cell r="AU332" t="e">
            <v>#REF!</v>
          </cell>
          <cell r="AV332" t="e">
            <v>#REF!</v>
          </cell>
          <cell r="AW332" t="e">
            <v>#DIV/0!</v>
          </cell>
          <cell r="AX332" t="e">
            <v>#DIV/0!</v>
          </cell>
          <cell r="AY332" t="e">
            <v>#DIV/0!</v>
          </cell>
          <cell r="AZ332" t="e">
            <v>#DIV/0!</v>
          </cell>
          <cell r="BE332" t="e">
            <v>#DIV/0!</v>
          </cell>
          <cell r="BF332" t="e">
            <v>#DIV/0!</v>
          </cell>
        </row>
        <row r="333">
          <cell r="A333" t="str">
            <v>-0</v>
          </cell>
          <cell r="B333" t="str">
            <v xml:space="preserve">-0  , </v>
          </cell>
          <cell r="C333"/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/>
          <cell r="T333"/>
          <cell r="U333"/>
          <cell r="V333"/>
          <cell r="W333"/>
          <cell r="X333">
            <v>0</v>
          </cell>
          <cell r="Y333">
            <v>0</v>
          </cell>
          <cell r="Z333">
            <v>0</v>
          </cell>
          <cell r="AA333" t="str">
            <v>,</v>
          </cell>
          <cell r="AB333" t="str">
            <v>,</v>
          </cell>
          <cell r="AC333" t="e">
            <v>#DIV/0!</v>
          </cell>
          <cell r="AD333" t="e">
            <v>#DIV/0!</v>
          </cell>
          <cell r="AE333">
            <v>0.71</v>
          </cell>
          <cell r="AF333">
            <v>94.97</v>
          </cell>
          <cell r="AG333">
            <v>0</v>
          </cell>
          <cell r="AH333" t="e">
            <v>#DIV/0!</v>
          </cell>
          <cell r="AI333" t="e">
            <v>#DIV/0!</v>
          </cell>
          <cell r="AJ333" t="e">
            <v>#DIV/0!</v>
          </cell>
          <cell r="AK333" t="e">
            <v>#DIV/0!</v>
          </cell>
          <cell r="AL333" t="e">
            <v>#DIV/0!</v>
          </cell>
          <cell r="AM333" t="e">
            <v>#DIV/0!</v>
          </cell>
          <cell r="AN333" t="e">
            <v>#DIV/0!</v>
          </cell>
          <cell r="AO333" t="e">
            <v>#REF!</v>
          </cell>
          <cell r="AP333" t="e">
            <v>#REF!</v>
          </cell>
          <cell r="AQ333" t="e">
            <v>#REF!</v>
          </cell>
          <cell r="AR333" t="e">
            <v>#REF!</v>
          </cell>
          <cell r="AS333" t="e">
            <v>#REF!</v>
          </cell>
          <cell r="AT333" t="e">
            <v>#REF!</v>
          </cell>
          <cell r="AU333" t="e">
            <v>#REF!</v>
          </cell>
          <cell r="AV333" t="e">
            <v>#REF!</v>
          </cell>
          <cell r="AW333" t="e">
            <v>#DIV/0!</v>
          </cell>
          <cell r="AX333" t="e">
            <v>#DIV/0!</v>
          </cell>
          <cell r="AY333" t="e">
            <v>#DIV/0!</v>
          </cell>
          <cell r="AZ333" t="e">
            <v>#DIV/0!</v>
          </cell>
          <cell r="BE333" t="e">
            <v>#DIV/0!</v>
          </cell>
          <cell r="BF333" t="e">
            <v>#DIV/0!</v>
          </cell>
        </row>
        <row r="334">
          <cell r="A334" t="str">
            <v>-0</v>
          </cell>
          <cell r="B334" t="str">
            <v xml:space="preserve">-0  , </v>
          </cell>
          <cell r="C334"/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  <cell r="X334">
            <v>0</v>
          </cell>
          <cell r="Y334">
            <v>0</v>
          </cell>
          <cell r="Z334">
            <v>0</v>
          </cell>
          <cell r="AA334" t="str">
            <v>,</v>
          </cell>
          <cell r="AB334" t="str">
            <v>,</v>
          </cell>
          <cell r="AC334" t="e">
            <v>#DIV/0!</v>
          </cell>
          <cell r="AD334" t="e">
            <v>#DIV/0!</v>
          </cell>
          <cell r="AE334">
            <v>0.71</v>
          </cell>
          <cell r="AF334">
            <v>94.97</v>
          </cell>
          <cell r="AG334">
            <v>0</v>
          </cell>
          <cell r="AH334" t="e">
            <v>#DIV/0!</v>
          </cell>
          <cell r="AI334" t="e">
            <v>#DIV/0!</v>
          </cell>
          <cell r="AJ334" t="e">
            <v>#DIV/0!</v>
          </cell>
          <cell r="AK334" t="e">
            <v>#DIV/0!</v>
          </cell>
          <cell r="AL334" t="e">
            <v>#DIV/0!</v>
          </cell>
          <cell r="AM334" t="e">
            <v>#DIV/0!</v>
          </cell>
          <cell r="AN334" t="e">
            <v>#DIV/0!</v>
          </cell>
          <cell r="AO334" t="e">
            <v>#REF!</v>
          </cell>
          <cell r="AP334" t="e">
            <v>#REF!</v>
          </cell>
          <cell r="AQ334" t="e">
            <v>#REF!</v>
          </cell>
          <cell r="AR334" t="e">
            <v>#REF!</v>
          </cell>
          <cell r="AS334" t="e">
            <v>#REF!</v>
          </cell>
          <cell r="AT334" t="e">
            <v>#REF!</v>
          </cell>
          <cell r="AU334" t="e">
            <v>#REF!</v>
          </cell>
          <cell r="AV334" t="e">
            <v>#REF!</v>
          </cell>
          <cell r="AW334" t="e">
            <v>#DIV/0!</v>
          </cell>
          <cell r="AX334" t="e">
            <v>#DIV/0!</v>
          </cell>
          <cell r="AY334" t="e">
            <v>#DIV/0!</v>
          </cell>
          <cell r="AZ334" t="e">
            <v>#DIV/0!</v>
          </cell>
          <cell r="BE334" t="e">
            <v>#DIV/0!</v>
          </cell>
          <cell r="BF334" t="e">
            <v>#DIV/0!</v>
          </cell>
        </row>
        <row r="335">
          <cell r="A335" t="str">
            <v>-0</v>
          </cell>
          <cell r="B335" t="str">
            <v xml:space="preserve">-0  , </v>
          </cell>
          <cell r="C335"/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  <cell r="X335">
            <v>0</v>
          </cell>
          <cell r="Y335">
            <v>0</v>
          </cell>
          <cell r="Z335">
            <v>0</v>
          </cell>
          <cell r="AA335" t="str">
            <v>,</v>
          </cell>
          <cell r="AB335" t="str">
            <v>,</v>
          </cell>
          <cell r="AC335" t="e">
            <v>#DIV/0!</v>
          </cell>
          <cell r="AD335" t="e">
            <v>#DIV/0!</v>
          </cell>
          <cell r="AE335">
            <v>0.71</v>
          </cell>
          <cell r="AF335">
            <v>94.97</v>
          </cell>
          <cell r="AG335">
            <v>0</v>
          </cell>
          <cell r="AH335" t="e">
            <v>#DIV/0!</v>
          </cell>
          <cell r="AI335" t="e">
            <v>#DIV/0!</v>
          </cell>
          <cell r="AJ335" t="e">
            <v>#DIV/0!</v>
          </cell>
          <cell r="AK335" t="e">
            <v>#DIV/0!</v>
          </cell>
          <cell r="AL335" t="e">
            <v>#DIV/0!</v>
          </cell>
          <cell r="AM335" t="e">
            <v>#DIV/0!</v>
          </cell>
          <cell r="AN335" t="e">
            <v>#DIV/0!</v>
          </cell>
          <cell r="AO335" t="e">
            <v>#REF!</v>
          </cell>
          <cell r="AP335" t="e">
            <v>#REF!</v>
          </cell>
          <cell r="AQ335" t="e">
            <v>#REF!</v>
          </cell>
          <cell r="AR335" t="e">
            <v>#REF!</v>
          </cell>
          <cell r="AS335" t="e">
            <v>#REF!</v>
          </cell>
          <cell r="AT335" t="e">
            <v>#REF!</v>
          </cell>
          <cell r="AU335" t="e">
            <v>#REF!</v>
          </cell>
          <cell r="AV335" t="e">
            <v>#REF!</v>
          </cell>
          <cell r="AW335" t="e">
            <v>#DIV/0!</v>
          </cell>
          <cell r="AX335" t="e">
            <v>#DIV/0!</v>
          </cell>
          <cell r="AY335" t="e">
            <v>#DIV/0!</v>
          </cell>
          <cell r="AZ335" t="e">
            <v>#DIV/0!</v>
          </cell>
          <cell r="BE335" t="e">
            <v>#DIV/0!</v>
          </cell>
          <cell r="BF335" t="e">
            <v>#DIV/0!</v>
          </cell>
        </row>
        <row r="336">
          <cell r="A336" t="str">
            <v>-0</v>
          </cell>
          <cell r="B336" t="str">
            <v xml:space="preserve">-0  , </v>
          </cell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  <cell r="X336">
            <v>0</v>
          </cell>
          <cell r="Y336">
            <v>0</v>
          </cell>
          <cell r="Z336">
            <v>0</v>
          </cell>
          <cell r="AA336" t="str">
            <v>,</v>
          </cell>
          <cell r="AB336" t="str">
            <v>,</v>
          </cell>
          <cell r="AC336" t="e">
            <v>#DIV/0!</v>
          </cell>
          <cell r="AD336" t="e">
            <v>#DIV/0!</v>
          </cell>
          <cell r="AE336">
            <v>0.71</v>
          </cell>
          <cell r="AF336">
            <v>94.97</v>
          </cell>
          <cell r="AG336">
            <v>0</v>
          </cell>
          <cell r="AH336" t="e">
            <v>#DIV/0!</v>
          </cell>
          <cell r="AI336" t="e">
            <v>#DIV/0!</v>
          </cell>
          <cell r="AJ336" t="e">
            <v>#DIV/0!</v>
          </cell>
          <cell r="AK336" t="e">
            <v>#DIV/0!</v>
          </cell>
          <cell r="AL336" t="e">
            <v>#DIV/0!</v>
          </cell>
          <cell r="AM336" t="e">
            <v>#DIV/0!</v>
          </cell>
          <cell r="AN336" t="e">
            <v>#DIV/0!</v>
          </cell>
          <cell r="AO336" t="e">
            <v>#REF!</v>
          </cell>
          <cell r="AP336" t="e">
            <v>#REF!</v>
          </cell>
          <cell r="AQ336" t="e">
            <v>#REF!</v>
          </cell>
          <cell r="AR336" t="e">
            <v>#REF!</v>
          </cell>
          <cell r="AS336" t="e">
            <v>#REF!</v>
          </cell>
          <cell r="AT336" t="e">
            <v>#REF!</v>
          </cell>
          <cell r="AU336" t="e">
            <v>#REF!</v>
          </cell>
          <cell r="AV336" t="e">
            <v>#REF!</v>
          </cell>
          <cell r="AW336" t="e">
            <v>#DIV/0!</v>
          </cell>
          <cell r="AX336" t="e">
            <v>#DIV/0!</v>
          </cell>
          <cell r="AY336" t="e">
            <v>#DIV/0!</v>
          </cell>
          <cell r="AZ336" t="e">
            <v>#DIV/0!</v>
          </cell>
          <cell r="BE336" t="e">
            <v>#DIV/0!</v>
          </cell>
          <cell r="BF336" t="e">
            <v>#DIV/0!</v>
          </cell>
        </row>
        <row r="337">
          <cell r="A337" t="str">
            <v>-0</v>
          </cell>
          <cell r="B337" t="str">
            <v xml:space="preserve">-0  , </v>
          </cell>
          <cell r="C337"/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>
            <v>0</v>
          </cell>
          <cell r="Y337">
            <v>0</v>
          </cell>
          <cell r="Z337">
            <v>0</v>
          </cell>
          <cell r="AA337" t="str">
            <v>,</v>
          </cell>
          <cell r="AB337" t="str">
            <v>,</v>
          </cell>
          <cell r="AC337" t="e">
            <v>#DIV/0!</v>
          </cell>
          <cell r="AD337" t="e">
            <v>#DIV/0!</v>
          </cell>
          <cell r="AE337">
            <v>0.71</v>
          </cell>
          <cell r="AF337">
            <v>94.97</v>
          </cell>
          <cell r="AG337">
            <v>0</v>
          </cell>
          <cell r="AH337" t="e">
            <v>#DIV/0!</v>
          </cell>
          <cell r="AI337" t="e">
            <v>#DIV/0!</v>
          </cell>
          <cell r="AJ337" t="e">
            <v>#DIV/0!</v>
          </cell>
          <cell r="AK337" t="e">
            <v>#DIV/0!</v>
          </cell>
          <cell r="AL337" t="e">
            <v>#DIV/0!</v>
          </cell>
          <cell r="AM337" t="e">
            <v>#DIV/0!</v>
          </cell>
          <cell r="AN337" t="e">
            <v>#DIV/0!</v>
          </cell>
          <cell r="AO337" t="e">
            <v>#REF!</v>
          </cell>
          <cell r="AP337" t="e">
            <v>#REF!</v>
          </cell>
          <cell r="AQ337" t="e">
            <v>#REF!</v>
          </cell>
          <cell r="AR337" t="e">
            <v>#REF!</v>
          </cell>
          <cell r="AS337" t="e">
            <v>#REF!</v>
          </cell>
          <cell r="AT337" t="e">
            <v>#REF!</v>
          </cell>
          <cell r="AU337" t="e">
            <v>#REF!</v>
          </cell>
          <cell r="AV337" t="e">
            <v>#REF!</v>
          </cell>
          <cell r="AW337" t="e">
            <v>#DIV/0!</v>
          </cell>
          <cell r="AX337" t="e">
            <v>#DIV/0!</v>
          </cell>
          <cell r="AY337" t="e">
            <v>#DIV/0!</v>
          </cell>
          <cell r="AZ337" t="e">
            <v>#DIV/0!</v>
          </cell>
          <cell r="BE337" t="e">
            <v>#DIV/0!</v>
          </cell>
          <cell r="BF337" t="e">
            <v>#DIV/0!</v>
          </cell>
        </row>
        <row r="338">
          <cell r="A338" t="str">
            <v>-0</v>
          </cell>
          <cell r="B338" t="str">
            <v xml:space="preserve">-0  , </v>
          </cell>
          <cell r="C338"/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/>
          <cell r="T338"/>
          <cell r="U338"/>
          <cell r="V338"/>
          <cell r="W338"/>
          <cell r="X338">
            <v>0</v>
          </cell>
          <cell r="Y338">
            <v>0</v>
          </cell>
          <cell r="Z338">
            <v>0</v>
          </cell>
          <cell r="AA338" t="str">
            <v>,</v>
          </cell>
          <cell r="AB338" t="str">
            <v>,</v>
          </cell>
          <cell r="AC338" t="e">
            <v>#DIV/0!</v>
          </cell>
          <cell r="AD338" t="e">
            <v>#DIV/0!</v>
          </cell>
          <cell r="AE338">
            <v>0.71</v>
          </cell>
          <cell r="AF338">
            <v>94.97</v>
          </cell>
          <cell r="AG338">
            <v>0</v>
          </cell>
          <cell r="AH338" t="e">
            <v>#DIV/0!</v>
          </cell>
          <cell r="AI338" t="e">
            <v>#DIV/0!</v>
          </cell>
          <cell r="AJ338" t="e">
            <v>#DIV/0!</v>
          </cell>
          <cell r="AK338" t="e">
            <v>#DIV/0!</v>
          </cell>
          <cell r="AL338" t="e">
            <v>#DIV/0!</v>
          </cell>
          <cell r="AM338" t="e">
            <v>#DIV/0!</v>
          </cell>
          <cell r="AN338" t="e">
            <v>#DIV/0!</v>
          </cell>
          <cell r="AO338" t="e">
            <v>#REF!</v>
          </cell>
          <cell r="AP338" t="e">
            <v>#REF!</v>
          </cell>
          <cell r="AQ338" t="e">
            <v>#REF!</v>
          </cell>
          <cell r="AR338" t="e">
            <v>#REF!</v>
          </cell>
          <cell r="AS338" t="e">
            <v>#REF!</v>
          </cell>
          <cell r="AT338" t="e">
            <v>#REF!</v>
          </cell>
          <cell r="AU338" t="e">
            <v>#REF!</v>
          </cell>
          <cell r="AV338" t="e">
            <v>#REF!</v>
          </cell>
          <cell r="AW338" t="e">
            <v>#DIV/0!</v>
          </cell>
          <cell r="AX338" t="e">
            <v>#DIV/0!</v>
          </cell>
          <cell r="AY338" t="e">
            <v>#DIV/0!</v>
          </cell>
          <cell r="AZ338" t="e">
            <v>#DIV/0!</v>
          </cell>
          <cell r="BE338" t="e">
            <v>#DIV/0!</v>
          </cell>
          <cell r="BF338" t="e">
            <v>#DIV/0!</v>
          </cell>
        </row>
        <row r="339">
          <cell r="A339" t="str">
            <v>-0</v>
          </cell>
          <cell r="B339" t="str">
            <v xml:space="preserve">-0  , </v>
          </cell>
          <cell r="C339"/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  <cell r="X339">
            <v>0</v>
          </cell>
          <cell r="Y339">
            <v>0</v>
          </cell>
          <cell r="Z339">
            <v>0</v>
          </cell>
          <cell r="AA339" t="str">
            <v>,</v>
          </cell>
          <cell r="AB339" t="str">
            <v>,</v>
          </cell>
          <cell r="AC339" t="e">
            <v>#DIV/0!</v>
          </cell>
          <cell r="AD339" t="e">
            <v>#DIV/0!</v>
          </cell>
          <cell r="AE339">
            <v>0.71</v>
          </cell>
          <cell r="AF339">
            <v>94.97</v>
          </cell>
          <cell r="AG339">
            <v>0</v>
          </cell>
          <cell r="AH339" t="e">
            <v>#DIV/0!</v>
          </cell>
          <cell r="AI339" t="e">
            <v>#DIV/0!</v>
          </cell>
          <cell r="AJ339" t="e">
            <v>#DIV/0!</v>
          </cell>
          <cell r="AK339" t="e">
            <v>#DIV/0!</v>
          </cell>
          <cell r="AL339" t="e">
            <v>#DIV/0!</v>
          </cell>
          <cell r="AM339" t="e">
            <v>#DIV/0!</v>
          </cell>
          <cell r="AN339" t="e">
            <v>#DIV/0!</v>
          </cell>
          <cell r="AO339" t="e">
            <v>#REF!</v>
          </cell>
          <cell r="AP339" t="e">
            <v>#REF!</v>
          </cell>
          <cell r="AQ339" t="e">
            <v>#REF!</v>
          </cell>
          <cell r="AR339" t="e">
            <v>#REF!</v>
          </cell>
          <cell r="AS339" t="e">
            <v>#REF!</v>
          </cell>
          <cell r="AT339" t="e">
            <v>#REF!</v>
          </cell>
          <cell r="AU339" t="e">
            <v>#REF!</v>
          </cell>
          <cell r="AV339" t="e">
            <v>#REF!</v>
          </cell>
          <cell r="AW339" t="e">
            <v>#DIV/0!</v>
          </cell>
          <cell r="AX339" t="e">
            <v>#DIV/0!</v>
          </cell>
          <cell r="AY339" t="e">
            <v>#DIV/0!</v>
          </cell>
          <cell r="AZ339" t="e">
            <v>#DIV/0!</v>
          </cell>
          <cell r="BE339" t="e">
            <v>#DIV/0!</v>
          </cell>
          <cell r="BF339" t="e">
            <v>#DIV/0!</v>
          </cell>
        </row>
        <row r="340">
          <cell r="A340" t="str">
            <v>-0</v>
          </cell>
          <cell r="B340" t="str">
            <v xml:space="preserve">-0  , </v>
          </cell>
          <cell r="C340"/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/>
          <cell r="T340"/>
          <cell r="U340"/>
          <cell r="V340"/>
          <cell r="W340"/>
          <cell r="X340">
            <v>0</v>
          </cell>
          <cell r="Y340">
            <v>0</v>
          </cell>
          <cell r="Z340">
            <v>0</v>
          </cell>
          <cell r="AA340" t="str">
            <v>,</v>
          </cell>
          <cell r="AB340" t="str">
            <v>,</v>
          </cell>
          <cell r="AC340" t="e">
            <v>#DIV/0!</v>
          </cell>
          <cell r="AD340" t="e">
            <v>#DIV/0!</v>
          </cell>
          <cell r="AE340">
            <v>0.71</v>
          </cell>
          <cell r="AF340">
            <v>94.97</v>
          </cell>
          <cell r="AG340">
            <v>0</v>
          </cell>
          <cell r="AH340" t="e">
            <v>#DIV/0!</v>
          </cell>
          <cell r="AI340" t="e">
            <v>#DIV/0!</v>
          </cell>
          <cell r="AJ340" t="e">
            <v>#DIV/0!</v>
          </cell>
          <cell r="AK340" t="e">
            <v>#DIV/0!</v>
          </cell>
          <cell r="AL340" t="e">
            <v>#DIV/0!</v>
          </cell>
          <cell r="AM340" t="e">
            <v>#DIV/0!</v>
          </cell>
          <cell r="AN340" t="e">
            <v>#DIV/0!</v>
          </cell>
          <cell r="AO340" t="e">
            <v>#REF!</v>
          </cell>
          <cell r="AP340" t="e">
            <v>#REF!</v>
          </cell>
          <cell r="AQ340" t="e">
            <v>#REF!</v>
          </cell>
          <cell r="AR340" t="e">
            <v>#REF!</v>
          </cell>
          <cell r="AS340" t="e">
            <v>#REF!</v>
          </cell>
          <cell r="AT340" t="e">
            <v>#REF!</v>
          </cell>
          <cell r="AU340" t="e">
            <v>#REF!</v>
          </cell>
          <cell r="AV340" t="e">
            <v>#REF!</v>
          </cell>
          <cell r="AW340" t="e">
            <v>#DIV/0!</v>
          </cell>
          <cell r="AX340" t="e">
            <v>#DIV/0!</v>
          </cell>
          <cell r="AY340" t="e">
            <v>#DIV/0!</v>
          </cell>
          <cell r="AZ340" t="e">
            <v>#DIV/0!</v>
          </cell>
          <cell r="BE340" t="e">
            <v>#DIV/0!</v>
          </cell>
          <cell r="BF340" t="e">
            <v>#DIV/0!</v>
          </cell>
        </row>
        <row r="341">
          <cell r="A341" t="str">
            <v>-0</v>
          </cell>
          <cell r="B341" t="str">
            <v xml:space="preserve">-0  , </v>
          </cell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/>
          <cell r="T341"/>
          <cell r="U341"/>
          <cell r="V341"/>
          <cell r="W341"/>
          <cell r="X341">
            <v>0</v>
          </cell>
          <cell r="Y341">
            <v>0</v>
          </cell>
          <cell r="Z341">
            <v>0</v>
          </cell>
          <cell r="AA341" t="str">
            <v>,</v>
          </cell>
          <cell r="AB341" t="str">
            <v>,</v>
          </cell>
          <cell r="AC341" t="e">
            <v>#DIV/0!</v>
          </cell>
          <cell r="AD341" t="e">
            <v>#DIV/0!</v>
          </cell>
          <cell r="AE341">
            <v>0.71</v>
          </cell>
          <cell r="AF341">
            <v>94.97</v>
          </cell>
          <cell r="AG341">
            <v>0</v>
          </cell>
          <cell r="AH341" t="e">
            <v>#DIV/0!</v>
          </cell>
          <cell r="AI341" t="e">
            <v>#DIV/0!</v>
          </cell>
          <cell r="AJ341" t="e">
            <v>#DIV/0!</v>
          </cell>
          <cell r="AK341" t="e">
            <v>#DIV/0!</v>
          </cell>
          <cell r="AL341" t="e">
            <v>#DIV/0!</v>
          </cell>
          <cell r="AM341" t="e">
            <v>#DIV/0!</v>
          </cell>
          <cell r="AN341" t="e">
            <v>#DIV/0!</v>
          </cell>
          <cell r="AO341" t="e">
            <v>#REF!</v>
          </cell>
          <cell r="AP341" t="e">
            <v>#REF!</v>
          </cell>
          <cell r="AQ341" t="e">
            <v>#REF!</v>
          </cell>
          <cell r="AR341" t="e">
            <v>#REF!</v>
          </cell>
          <cell r="AS341" t="e">
            <v>#REF!</v>
          </cell>
          <cell r="AT341" t="e">
            <v>#REF!</v>
          </cell>
          <cell r="AU341" t="e">
            <v>#REF!</v>
          </cell>
          <cell r="AV341" t="e">
            <v>#REF!</v>
          </cell>
          <cell r="AW341" t="e">
            <v>#DIV/0!</v>
          </cell>
          <cell r="AX341" t="e">
            <v>#DIV/0!</v>
          </cell>
          <cell r="AY341" t="e">
            <v>#DIV/0!</v>
          </cell>
          <cell r="AZ341" t="e">
            <v>#DIV/0!</v>
          </cell>
          <cell r="BE341" t="e">
            <v>#DIV/0!</v>
          </cell>
          <cell r="BF341" t="e">
            <v>#DIV/0!</v>
          </cell>
        </row>
        <row r="342">
          <cell r="A342" t="str">
            <v>-0</v>
          </cell>
          <cell r="B342" t="str">
            <v xml:space="preserve">-0  , </v>
          </cell>
          <cell r="C342"/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/>
          <cell r="T342"/>
          <cell r="U342"/>
          <cell r="V342"/>
          <cell r="W342"/>
          <cell r="X342">
            <v>0</v>
          </cell>
          <cell r="Y342">
            <v>0</v>
          </cell>
          <cell r="Z342">
            <v>0</v>
          </cell>
          <cell r="AA342" t="str">
            <v>,</v>
          </cell>
          <cell r="AB342" t="str">
            <v>,</v>
          </cell>
          <cell r="AC342" t="e">
            <v>#DIV/0!</v>
          </cell>
          <cell r="AD342" t="e">
            <v>#DIV/0!</v>
          </cell>
          <cell r="AE342">
            <v>0.71</v>
          </cell>
          <cell r="AF342">
            <v>94.97</v>
          </cell>
          <cell r="AG342">
            <v>0</v>
          </cell>
          <cell r="AH342" t="e">
            <v>#DIV/0!</v>
          </cell>
          <cell r="AI342" t="e">
            <v>#DIV/0!</v>
          </cell>
          <cell r="AJ342" t="e">
            <v>#DIV/0!</v>
          </cell>
          <cell r="AK342" t="e">
            <v>#DIV/0!</v>
          </cell>
          <cell r="AL342" t="e">
            <v>#DIV/0!</v>
          </cell>
          <cell r="AM342" t="e">
            <v>#DIV/0!</v>
          </cell>
          <cell r="AN342" t="e">
            <v>#DIV/0!</v>
          </cell>
          <cell r="AO342" t="e">
            <v>#REF!</v>
          </cell>
          <cell r="AP342" t="e">
            <v>#REF!</v>
          </cell>
          <cell r="AQ342" t="e">
            <v>#REF!</v>
          </cell>
          <cell r="AR342" t="e">
            <v>#REF!</v>
          </cell>
          <cell r="AS342" t="e">
            <v>#REF!</v>
          </cell>
          <cell r="AT342" t="e">
            <v>#REF!</v>
          </cell>
          <cell r="AU342" t="e">
            <v>#REF!</v>
          </cell>
          <cell r="AV342" t="e">
            <v>#REF!</v>
          </cell>
          <cell r="AW342" t="e">
            <v>#DIV/0!</v>
          </cell>
          <cell r="AX342" t="e">
            <v>#DIV/0!</v>
          </cell>
          <cell r="AY342" t="e">
            <v>#DIV/0!</v>
          </cell>
          <cell r="AZ342" t="e">
            <v>#DIV/0!</v>
          </cell>
          <cell r="BE342" t="e">
            <v>#DIV/0!</v>
          </cell>
          <cell r="BF342" t="e">
            <v>#DIV/0!</v>
          </cell>
        </row>
        <row r="343">
          <cell r="A343" t="str">
            <v>-0</v>
          </cell>
          <cell r="B343" t="str">
            <v xml:space="preserve">-0  , </v>
          </cell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/>
          <cell r="T343"/>
          <cell r="U343"/>
          <cell r="V343"/>
          <cell r="W343"/>
          <cell r="X343">
            <v>0</v>
          </cell>
          <cell r="Y343">
            <v>0</v>
          </cell>
          <cell r="Z343">
            <v>0</v>
          </cell>
          <cell r="AA343" t="str">
            <v>,</v>
          </cell>
          <cell r="AB343" t="str">
            <v>,</v>
          </cell>
          <cell r="AC343" t="e">
            <v>#DIV/0!</v>
          </cell>
          <cell r="AD343" t="e">
            <v>#DIV/0!</v>
          </cell>
          <cell r="AE343">
            <v>0.71</v>
          </cell>
          <cell r="AF343">
            <v>94.97</v>
          </cell>
          <cell r="AG343">
            <v>0</v>
          </cell>
          <cell r="AH343" t="e">
            <v>#DIV/0!</v>
          </cell>
          <cell r="AI343" t="e">
            <v>#DIV/0!</v>
          </cell>
          <cell r="AJ343" t="e">
            <v>#DIV/0!</v>
          </cell>
          <cell r="AK343" t="e">
            <v>#DIV/0!</v>
          </cell>
          <cell r="AL343" t="e">
            <v>#DIV/0!</v>
          </cell>
          <cell r="AM343" t="e">
            <v>#DIV/0!</v>
          </cell>
          <cell r="AN343" t="e">
            <v>#DIV/0!</v>
          </cell>
          <cell r="AO343" t="e">
            <v>#REF!</v>
          </cell>
          <cell r="AP343" t="e">
            <v>#REF!</v>
          </cell>
          <cell r="AQ343" t="e">
            <v>#REF!</v>
          </cell>
          <cell r="AR343" t="e">
            <v>#REF!</v>
          </cell>
          <cell r="AS343" t="e">
            <v>#REF!</v>
          </cell>
          <cell r="AT343" t="e">
            <v>#REF!</v>
          </cell>
          <cell r="AU343" t="e">
            <v>#REF!</v>
          </cell>
          <cell r="AV343" t="e">
            <v>#REF!</v>
          </cell>
          <cell r="AW343" t="e">
            <v>#DIV/0!</v>
          </cell>
          <cell r="AX343" t="e">
            <v>#DIV/0!</v>
          </cell>
          <cell r="AY343" t="e">
            <v>#DIV/0!</v>
          </cell>
          <cell r="AZ343" t="e">
            <v>#DIV/0!</v>
          </cell>
          <cell r="BE343" t="e">
            <v>#DIV/0!</v>
          </cell>
          <cell r="BF343" t="e">
            <v>#DIV/0!</v>
          </cell>
        </row>
        <row r="344">
          <cell r="A344" t="str">
            <v>-0</v>
          </cell>
          <cell r="B344" t="str">
            <v xml:space="preserve">-0  , </v>
          </cell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/>
          <cell r="T344"/>
          <cell r="U344"/>
          <cell r="V344"/>
          <cell r="W344"/>
          <cell r="X344">
            <v>0</v>
          </cell>
          <cell r="Y344">
            <v>0</v>
          </cell>
          <cell r="Z344">
            <v>0</v>
          </cell>
          <cell r="AA344" t="str">
            <v>,</v>
          </cell>
          <cell r="AB344" t="str">
            <v>,</v>
          </cell>
          <cell r="AC344" t="e">
            <v>#DIV/0!</v>
          </cell>
          <cell r="AD344" t="e">
            <v>#DIV/0!</v>
          </cell>
          <cell r="AE344">
            <v>0.71</v>
          </cell>
          <cell r="AF344">
            <v>94.97</v>
          </cell>
          <cell r="AG344">
            <v>0</v>
          </cell>
          <cell r="AH344" t="e">
            <v>#DIV/0!</v>
          </cell>
          <cell r="AI344" t="e">
            <v>#DIV/0!</v>
          </cell>
          <cell r="AJ344" t="e">
            <v>#DIV/0!</v>
          </cell>
          <cell r="AK344" t="e">
            <v>#DIV/0!</v>
          </cell>
          <cell r="AL344" t="e">
            <v>#DIV/0!</v>
          </cell>
          <cell r="AM344" t="e">
            <v>#DIV/0!</v>
          </cell>
          <cell r="AN344" t="e">
            <v>#DIV/0!</v>
          </cell>
          <cell r="AO344" t="e">
            <v>#REF!</v>
          </cell>
          <cell r="AP344" t="e">
            <v>#REF!</v>
          </cell>
          <cell r="AQ344" t="e">
            <v>#REF!</v>
          </cell>
          <cell r="AR344" t="e">
            <v>#REF!</v>
          </cell>
          <cell r="AS344" t="e">
            <v>#REF!</v>
          </cell>
          <cell r="AT344" t="e">
            <v>#REF!</v>
          </cell>
          <cell r="AU344" t="e">
            <v>#REF!</v>
          </cell>
          <cell r="AV344" t="e">
            <v>#REF!</v>
          </cell>
          <cell r="AW344" t="e">
            <v>#DIV/0!</v>
          </cell>
          <cell r="AX344" t="e">
            <v>#DIV/0!</v>
          </cell>
          <cell r="AY344" t="e">
            <v>#DIV/0!</v>
          </cell>
          <cell r="AZ344" t="e">
            <v>#DIV/0!</v>
          </cell>
          <cell r="BE344" t="e">
            <v>#DIV/0!</v>
          </cell>
          <cell r="BF344" t="e">
            <v>#DIV/0!</v>
          </cell>
        </row>
        <row r="345">
          <cell r="A345" t="str">
            <v>-0</v>
          </cell>
          <cell r="B345" t="str">
            <v xml:space="preserve">-0  , </v>
          </cell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  <cell r="X345">
            <v>0</v>
          </cell>
          <cell r="Y345">
            <v>0</v>
          </cell>
          <cell r="Z345">
            <v>0</v>
          </cell>
          <cell r="AA345" t="str">
            <v>,</v>
          </cell>
          <cell r="AB345" t="str">
            <v>,</v>
          </cell>
          <cell r="AC345" t="e">
            <v>#DIV/0!</v>
          </cell>
          <cell r="AD345" t="e">
            <v>#DIV/0!</v>
          </cell>
          <cell r="AE345">
            <v>0.71</v>
          </cell>
          <cell r="AF345">
            <v>94.97</v>
          </cell>
          <cell r="AG345">
            <v>0</v>
          </cell>
          <cell r="AH345" t="e">
            <v>#DIV/0!</v>
          </cell>
          <cell r="AI345" t="e">
            <v>#DIV/0!</v>
          </cell>
          <cell r="AJ345" t="e">
            <v>#DIV/0!</v>
          </cell>
          <cell r="AK345" t="e">
            <v>#DIV/0!</v>
          </cell>
          <cell r="AL345" t="e">
            <v>#DIV/0!</v>
          </cell>
          <cell r="AM345" t="e">
            <v>#DIV/0!</v>
          </cell>
          <cell r="AN345" t="e">
            <v>#DIV/0!</v>
          </cell>
          <cell r="AO345" t="e">
            <v>#REF!</v>
          </cell>
          <cell r="AP345" t="e">
            <v>#REF!</v>
          </cell>
          <cell r="AQ345" t="e">
            <v>#REF!</v>
          </cell>
          <cell r="AR345" t="e">
            <v>#REF!</v>
          </cell>
          <cell r="AS345" t="e">
            <v>#REF!</v>
          </cell>
          <cell r="AT345" t="e">
            <v>#REF!</v>
          </cell>
          <cell r="AU345" t="e">
            <v>#REF!</v>
          </cell>
          <cell r="AV345" t="e">
            <v>#REF!</v>
          </cell>
          <cell r="AW345" t="e">
            <v>#DIV/0!</v>
          </cell>
          <cell r="AX345" t="e">
            <v>#DIV/0!</v>
          </cell>
          <cell r="AY345" t="e">
            <v>#DIV/0!</v>
          </cell>
          <cell r="AZ345" t="e">
            <v>#DIV/0!</v>
          </cell>
          <cell r="BE345" t="e">
            <v>#DIV/0!</v>
          </cell>
          <cell r="BF345" t="e">
            <v>#DIV/0!</v>
          </cell>
        </row>
        <row r="346">
          <cell r="A346" t="str">
            <v>-0</v>
          </cell>
          <cell r="B346" t="str">
            <v xml:space="preserve">-0  , </v>
          </cell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/>
          <cell r="T346"/>
          <cell r="U346"/>
          <cell r="V346"/>
          <cell r="W346"/>
          <cell r="X346">
            <v>0</v>
          </cell>
          <cell r="Y346">
            <v>0</v>
          </cell>
          <cell r="Z346">
            <v>0</v>
          </cell>
          <cell r="AA346" t="str">
            <v>,</v>
          </cell>
          <cell r="AB346" t="str">
            <v>,</v>
          </cell>
          <cell r="AC346" t="e">
            <v>#DIV/0!</v>
          </cell>
          <cell r="AD346" t="e">
            <v>#DIV/0!</v>
          </cell>
          <cell r="AE346">
            <v>0.71</v>
          </cell>
          <cell r="AF346">
            <v>94.97</v>
          </cell>
          <cell r="AG346">
            <v>0</v>
          </cell>
          <cell r="AH346" t="e">
            <v>#DIV/0!</v>
          </cell>
          <cell r="AI346" t="e">
            <v>#DIV/0!</v>
          </cell>
          <cell r="AJ346" t="e">
            <v>#DIV/0!</v>
          </cell>
          <cell r="AK346" t="e">
            <v>#DIV/0!</v>
          </cell>
          <cell r="AL346" t="e">
            <v>#DIV/0!</v>
          </cell>
          <cell r="AM346" t="e">
            <v>#DIV/0!</v>
          </cell>
          <cell r="AN346" t="e">
            <v>#DIV/0!</v>
          </cell>
          <cell r="AO346" t="e">
            <v>#REF!</v>
          </cell>
          <cell r="AP346" t="e">
            <v>#REF!</v>
          </cell>
          <cell r="AQ346" t="e">
            <v>#REF!</v>
          </cell>
          <cell r="AR346" t="e">
            <v>#REF!</v>
          </cell>
          <cell r="AS346" t="e">
            <v>#REF!</v>
          </cell>
          <cell r="AT346" t="e">
            <v>#REF!</v>
          </cell>
          <cell r="AU346" t="e">
            <v>#REF!</v>
          </cell>
          <cell r="AV346" t="e">
            <v>#REF!</v>
          </cell>
          <cell r="AW346" t="e">
            <v>#DIV/0!</v>
          </cell>
          <cell r="AX346" t="e">
            <v>#DIV/0!</v>
          </cell>
          <cell r="AY346" t="e">
            <v>#DIV/0!</v>
          </cell>
          <cell r="AZ346" t="e">
            <v>#DIV/0!</v>
          </cell>
          <cell r="BE346" t="e">
            <v>#DIV/0!</v>
          </cell>
          <cell r="BF346" t="e">
            <v>#DIV/0!</v>
          </cell>
        </row>
        <row r="347">
          <cell r="A347" t="str">
            <v>-0</v>
          </cell>
          <cell r="B347" t="str">
            <v xml:space="preserve">-0  , </v>
          </cell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/>
          <cell r="T347"/>
          <cell r="U347"/>
          <cell r="V347"/>
          <cell r="W347"/>
          <cell r="X347">
            <v>0</v>
          </cell>
          <cell r="Y347">
            <v>0</v>
          </cell>
          <cell r="Z347">
            <v>0</v>
          </cell>
          <cell r="AA347" t="str">
            <v>,</v>
          </cell>
          <cell r="AB347" t="str">
            <v>,</v>
          </cell>
          <cell r="AC347" t="e">
            <v>#DIV/0!</v>
          </cell>
          <cell r="AD347" t="e">
            <v>#DIV/0!</v>
          </cell>
          <cell r="AE347">
            <v>0.71</v>
          </cell>
          <cell r="AF347">
            <v>94.97</v>
          </cell>
          <cell r="AG347">
            <v>0</v>
          </cell>
          <cell r="AH347" t="e">
            <v>#DIV/0!</v>
          </cell>
          <cell r="AI347" t="e">
            <v>#DIV/0!</v>
          </cell>
          <cell r="AJ347" t="e">
            <v>#DIV/0!</v>
          </cell>
          <cell r="AK347" t="e">
            <v>#DIV/0!</v>
          </cell>
          <cell r="AL347" t="e">
            <v>#DIV/0!</v>
          </cell>
          <cell r="AM347" t="e">
            <v>#DIV/0!</v>
          </cell>
          <cell r="AN347" t="e">
            <v>#DIV/0!</v>
          </cell>
          <cell r="AO347" t="e">
            <v>#REF!</v>
          </cell>
          <cell r="AP347" t="e">
            <v>#REF!</v>
          </cell>
          <cell r="AQ347" t="e">
            <v>#REF!</v>
          </cell>
          <cell r="AR347" t="e">
            <v>#REF!</v>
          </cell>
          <cell r="AS347" t="e">
            <v>#REF!</v>
          </cell>
          <cell r="AT347" t="e">
            <v>#REF!</v>
          </cell>
          <cell r="AU347" t="e">
            <v>#REF!</v>
          </cell>
          <cell r="AV347" t="e">
            <v>#REF!</v>
          </cell>
          <cell r="AW347" t="e">
            <v>#DIV/0!</v>
          </cell>
          <cell r="AX347" t="e">
            <v>#DIV/0!</v>
          </cell>
          <cell r="AY347" t="e">
            <v>#DIV/0!</v>
          </cell>
          <cell r="AZ347" t="e">
            <v>#DIV/0!</v>
          </cell>
          <cell r="BE347" t="e">
            <v>#DIV/0!</v>
          </cell>
          <cell r="BF347" t="e">
            <v>#DIV/0!</v>
          </cell>
        </row>
        <row r="348">
          <cell r="A348" t="str">
            <v>-0</v>
          </cell>
          <cell r="B348" t="str">
            <v xml:space="preserve">-0  , </v>
          </cell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  <cell r="X348">
            <v>0</v>
          </cell>
          <cell r="Y348">
            <v>0</v>
          </cell>
          <cell r="Z348">
            <v>0</v>
          </cell>
          <cell r="AA348" t="str">
            <v>,</v>
          </cell>
          <cell r="AB348" t="str">
            <v>,</v>
          </cell>
          <cell r="AC348" t="e">
            <v>#DIV/0!</v>
          </cell>
          <cell r="AD348" t="e">
            <v>#DIV/0!</v>
          </cell>
          <cell r="AE348">
            <v>0.71</v>
          </cell>
          <cell r="AF348">
            <v>94.97</v>
          </cell>
          <cell r="AG348">
            <v>0</v>
          </cell>
          <cell r="AH348" t="e">
            <v>#DIV/0!</v>
          </cell>
          <cell r="AI348" t="e">
            <v>#DIV/0!</v>
          </cell>
          <cell r="AJ348" t="e">
            <v>#DIV/0!</v>
          </cell>
          <cell r="AK348" t="e">
            <v>#DIV/0!</v>
          </cell>
          <cell r="AL348" t="e">
            <v>#DIV/0!</v>
          </cell>
          <cell r="AM348" t="e">
            <v>#DIV/0!</v>
          </cell>
          <cell r="AN348" t="e">
            <v>#DIV/0!</v>
          </cell>
          <cell r="AO348" t="e">
            <v>#REF!</v>
          </cell>
          <cell r="AP348" t="e">
            <v>#REF!</v>
          </cell>
          <cell r="AQ348" t="e">
            <v>#REF!</v>
          </cell>
          <cell r="AR348" t="e">
            <v>#REF!</v>
          </cell>
          <cell r="AS348" t="e">
            <v>#REF!</v>
          </cell>
          <cell r="AT348" t="e">
            <v>#REF!</v>
          </cell>
          <cell r="AU348" t="e">
            <v>#REF!</v>
          </cell>
          <cell r="AV348" t="e">
            <v>#REF!</v>
          </cell>
          <cell r="AW348" t="e">
            <v>#DIV/0!</v>
          </cell>
          <cell r="AX348" t="e">
            <v>#DIV/0!</v>
          </cell>
          <cell r="AY348" t="e">
            <v>#DIV/0!</v>
          </cell>
          <cell r="AZ348" t="e">
            <v>#DIV/0!</v>
          </cell>
          <cell r="BE348" t="e">
            <v>#DIV/0!</v>
          </cell>
          <cell r="BF348" t="e">
            <v>#DIV/0!</v>
          </cell>
        </row>
        <row r="349">
          <cell r="A349" t="str">
            <v>-0</v>
          </cell>
          <cell r="B349" t="str">
            <v xml:space="preserve">-0  , </v>
          </cell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  <cell r="X349">
            <v>0</v>
          </cell>
          <cell r="Y349">
            <v>0</v>
          </cell>
          <cell r="Z349">
            <v>0</v>
          </cell>
          <cell r="AA349" t="str">
            <v>,</v>
          </cell>
          <cell r="AB349" t="str">
            <v>,</v>
          </cell>
          <cell r="AC349" t="e">
            <v>#DIV/0!</v>
          </cell>
          <cell r="AD349" t="e">
            <v>#DIV/0!</v>
          </cell>
          <cell r="AE349">
            <v>0.71</v>
          </cell>
          <cell r="AF349">
            <v>94.97</v>
          </cell>
          <cell r="AG349">
            <v>0</v>
          </cell>
          <cell r="AH349" t="e">
            <v>#DIV/0!</v>
          </cell>
          <cell r="AI349" t="e">
            <v>#DIV/0!</v>
          </cell>
          <cell r="AJ349" t="e">
            <v>#DIV/0!</v>
          </cell>
          <cell r="AK349" t="e">
            <v>#DIV/0!</v>
          </cell>
          <cell r="AL349" t="e">
            <v>#DIV/0!</v>
          </cell>
          <cell r="AM349" t="e">
            <v>#DIV/0!</v>
          </cell>
          <cell r="AN349" t="e">
            <v>#DIV/0!</v>
          </cell>
          <cell r="AO349" t="e">
            <v>#REF!</v>
          </cell>
          <cell r="AP349" t="e">
            <v>#REF!</v>
          </cell>
          <cell r="AQ349" t="e">
            <v>#REF!</v>
          </cell>
          <cell r="AR349" t="e">
            <v>#REF!</v>
          </cell>
          <cell r="AS349" t="e">
            <v>#REF!</v>
          </cell>
          <cell r="AT349" t="e">
            <v>#REF!</v>
          </cell>
          <cell r="AU349" t="e">
            <v>#REF!</v>
          </cell>
          <cell r="AV349" t="e">
            <v>#REF!</v>
          </cell>
          <cell r="AW349" t="e">
            <v>#DIV/0!</v>
          </cell>
          <cell r="AX349" t="e">
            <v>#DIV/0!</v>
          </cell>
          <cell r="AY349" t="e">
            <v>#DIV/0!</v>
          </cell>
          <cell r="AZ349" t="e">
            <v>#DIV/0!</v>
          </cell>
          <cell r="BE349" t="e">
            <v>#DIV/0!</v>
          </cell>
          <cell r="BF349" t="e">
            <v>#DIV/0!</v>
          </cell>
        </row>
        <row r="350">
          <cell r="A350" t="str">
            <v>-0</v>
          </cell>
          <cell r="B350" t="str">
            <v xml:space="preserve">-0  , </v>
          </cell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  <cell r="X350">
            <v>0</v>
          </cell>
          <cell r="Y350">
            <v>0</v>
          </cell>
          <cell r="Z350">
            <v>0</v>
          </cell>
          <cell r="AA350" t="str">
            <v>,</v>
          </cell>
          <cell r="AB350" t="str">
            <v>,</v>
          </cell>
          <cell r="AC350" t="e">
            <v>#DIV/0!</v>
          </cell>
          <cell r="AD350" t="e">
            <v>#DIV/0!</v>
          </cell>
          <cell r="AE350">
            <v>0.71</v>
          </cell>
          <cell r="AF350">
            <v>94.97</v>
          </cell>
          <cell r="AG350">
            <v>0</v>
          </cell>
          <cell r="AH350" t="e">
            <v>#DIV/0!</v>
          </cell>
          <cell r="AI350" t="e">
            <v>#DIV/0!</v>
          </cell>
          <cell r="AJ350" t="e">
            <v>#DIV/0!</v>
          </cell>
          <cell r="AK350" t="e">
            <v>#DIV/0!</v>
          </cell>
          <cell r="AL350" t="e">
            <v>#DIV/0!</v>
          </cell>
          <cell r="AM350" t="e">
            <v>#DIV/0!</v>
          </cell>
          <cell r="AN350" t="e">
            <v>#DIV/0!</v>
          </cell>
          <cell r="AO350" t="e">
            <v>#REF!</v>
          </cell>
          <cell r="AP350" t="e">
            <v>#REF!</v>
          </cell>
          <cell r="AQ350" t="e">
            <v>#REF!</v>
          </cell>
          <cell r="AR350" t="e">
            <v>#REF!</v>
          </cell>
          <cell r="AS350" t="e">
            <v>#REF!</v>
          </cell>
          <cell r="AT350" t="e">
            <v>#REF!</v>
          </cell>
          <cell r="AU350" t="e">
            <v>#REF!</v>
          </cell>
          <cell r="AV350" t="e">
            <v>#REF!</v>
          </cell>
          <cell r="AW350" t="e">
            <v>#DIV/0!</v>
          </cell>
          <cell r="AX350" t="e">
            <v>#DIV/0!</v>
          </cell>
          <cell r="AY350" t="e">
            <v>#DIV/0!</v>
          </cell>
          <cell r="AZ350" t="e">
            <v>#DIV/0!</v>
          </cell>
          <cell r="BE350" t="e">
            <v>#DIV/0!</v>
          </cell>
          <cell r="BF350" t="e">
            <v>#DIV/0!</v>
          </cell>
        </row>
        <row r="351">
          <cell r="A351" t="str">
            <v>-0</v>
          </cell>
          <cell r="B351" t="str">
            <v xml:space="preserve">-0  , </v>
          </cell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/>
          <cell r="T351"/>
          <cell r="U351"/>
          <cell r="V351"/>
          <cell r="W351"/>
          <cell r="X351">
            <v>0</v>
          </cell>
          <cell r="Y351">
            <v>0</v>
          </cell>
          <cell r="Z351">
            <v>0</v>
          </cell>
          <cell r="AA351" t="str">
            <v>,</v>
          </cell>
          <cell r="AB351" t="str">
            <v>,</v>
          </cell>
          <cell r="AC351" t="e">
            <v>#DIV/0!</v>
          </cell>
          <cell r="AD351" t="e">
            <v>#DIV/0!</v>
          </cell>
          <cell r="AE351">
            <v>0.71</v>
          </cell>
          <cell r="AF351">
            <v>94.97</v>
          </cell>
          <cell r="AG351">
            <v>0</v>
          </cell>
          <cell r="AH351" t="e">
            <v>#DIV/0!</v>
          </cell>
          <cell r="AI351" t="e">
            <v>#DIV/0!</v>
          </cell>
          <cell r="AJ351" t="e">
            <v>#DIV/0!</v>
          </cell>
          <cell r="AK351" t="e">
            <v>#DIV/0!</v>
          </cell>
          <cell r="AL351" t="e">
            <v>#DIV/0!</v>
          </cell>
          <cell r="AM351" t="e">
            <v>#DIV/0!</v>
          </cell>
          <cell r="AN351" t="e">
            <v>#DIV/0!</v>
          </cell>
          <cell r="AO351" t="e">
            <v>#REF!</v>
          </cell>
          <cell r="AP351" t="e">
            <v>#REF!</v>
          </cell>
          <cell r="AQ351" t="e">
            <v>#REF!</v>
          </cell>
          <cell r="AR351" t="e">
            <v>#REF!</v>
          </cell>
          <cell r="AS351" t="e">
            <v>#REF!</v>
          </cell>
          <cell r="AT351" t="e">
            <v>#REF!</v>
          </cell>
          <cell r="AU351" t="e">
            <v>#REF!</v>
          </cell>
          <cell r="AV351" t="e">
            <v>#REF!</v>
          </cell>
          <cell r="AW351" t="e">
            <v>#DIV/0!</v>
          </cell>
          <cell r="AX351" t="e">
            <v>#DIV/0!</v>
          </cell>
          <cell r="AY351" t="e">
            <v>#DIV/0!</v>
          </cell>
          <cell r="AZ351" t="e">
            <v>#DIV/0!</v>
          </cell>
          <cell r="BE351" t="e">
            <v>#DIV/0!</v>
          </cell>
          <cell r="BF351" t="e">
            <v>#DIV/0!</v>
          </cell>
        </row>
        <row r="352">
          <cell r="A352" t="str">
            <v>-0</v>
          </cell>
          <cell r="B352" t="str">
            <v xml:space="preserve">-0  , </v>
          </cell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/>
          <cell r="T352"/>
          <cell r="U352"/>
          <cell r="V352"/>
          <cell r="W352"/>
          <cell r="X352">
            <v>0</v>
          </cell>
          <cell r="Y352">
            <v>0</v>
          </cell>
          <cell r="Z352">
            <v>0</v>
          </cell>
          <cell r="AA352" t="str">
            <v>,</v>
          </cell>
          <cell r="AB352" t="str">
            <v>,</v>
          </cell>
          <cell r="AC352" t="e">
            <v>#DIV/0!</v>
          </cell>
          <cell r="AD352" t="e">
            <v>#DIV/0!</v>
          </cell>
          <cell r="AE352">
            <v>0.71</v>
          </cell>
          <cell r="AF352">
            <v>94.97</v>
          </cell>
          <cell r="AG352">
            <v>0</v>
          </cell>
          <cell r="AH352" t="e">
            <v>#DIV/0!</v>
          </cell>
          <cell r="AI352" t="e">
            <v>#DIV/0!</v>
          </cell>
          <cell r="AJ352" t="e">
            <v>#DIV/0!</v>
          </cell>
          <cell r="AK352" t="e">
            <v>#DIV/0!</v>
          </cell>
          <cell r="AL352" t="e">
            <v>#DIV/0!</v>
          </cell>
          <cell r="AM352" t="e">
            <v>#DIV/0!</v>
          </cell>
          <cell r="AN352" t="e">
            <v>#DIV/0!</v>
          </cell>
          <cell r="AO352" t="e">
            <v>#REF!</v>
          </cell>
          <cell r="AP352" t="e">
            <v>#REF!</v>
          </cell>
          <cell r="AQ352" t="e">
            <v>#REF!</v>
          </cell>
          <cell r="AR352" t="e">
            <v>#REF!</v>
          </cell>
          <cell r="AS352" t="e">
            <v>#REF!</v>
          </cell>
          <cell r="AT352" t="e">
            <v>#REF!</v>
          </cell>
          <cell r="AU352" t="e">
            <v>#REF!</v>
          </cell>
          <cell r="AV352" t="e">
            <v>#REF!</v>
          </cell>
          <cell r="AW352" t="e">
            <v>#DIV/0!</v>
          </cell>
          <cell r="AX352" t="e">
            <v>#DIV/0!</v>
          </cell>
          <cell r="AY352" t="e">
            <v>#DIV/0!</v>
          </cell>
          <cell r="AZ352" t="e">
            <v>#DIV/0!</v>
          </cell>
          <cell r="BE352" t="e">
            <v>#DIV/0!</v>
          </cell>
          <cell r="BF352" t="e">
            <v>#DIV/0!</v>
          </cell>
        </row>
        <row r="353">
          <cell r="A353" t="str">
            <v>-0</v>
          </cell>
          <cell r="B353" t="str">
            <v xml:space="preserve">-0  , </v>
          </cell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/>
          <cell r="T353"/>
          <cell r="U353"/>
          <cell r="V353"/>
          <cell r="W353"/>
          <cell r="X353">
            <v>0</v>
          </cell>
          <cell r="Y353">
            <v>0</v>
          </cell>
          <cell r="Z353">
            <v>0</v>
          </cell>
          <cell r="AA353" t="str">
            <v>,</v>
          </cell>
          <cell r="AB353" t="str">
            <v>,</v>
          </cell>
          <cell r="AC353" t="e">
            <v>#DIV/0!</v>
          </cell>
          <cell r="AD353" t="e">
            <v>#DIV/0!</v>
          </cell>
          <cell r="AE353">
            <v>0.71</v>
          </cell>
          <cell r="AF353">
            <v>94.97</v>
          </cell>
          <cell r="AG353">
            <v>0</v>
          </cell>
          <cell r="AH353" t="e">
            <v>#DIV/0!</v>
          </cell>
          <cell r="AI353" t="e">
            <v>#DIV/0!</v>
          </cell>
          <cell r="AJ353" t="e">
            <v>#DIV/0!</v>
          </cell>
          <cell r="AK353" t="e">
            <v>#DIV/0!</v>
          </cell>
          <cell r="AL353" t="e">
            <v>#DIV/0!</v>
          </cell>
          <cell r="AM353" t="e">
            <v>#DIV/0!</v>
          </cell>
          <cell r="AN353" t="e">
            <v>#DIV/0!</v>
          </cell>
          <cell r="AO353" t="e">
            <v>#REF!</v>
          </cell>
          <cell r="AP353" t="e">
            <v>#REF!</v>
          </cell>
          <cell r="AQ353" t="e">
            <v>#REF!</v>
          </cell>
          <cell r="AR353" t="e">
            <v>#REF!</v>
          </cell>
          <cell r="AS353" t="e">
            <v>#REF!</v>
          </cell>
          <cell r="AT353" t="e">
            <v>#REF!</v>
          </cell>
          <cell r="AU353" t="e">
            <v>#REF!</v>
          </cell>
          <cell r="AV353" t="e">
            <v>#REF!</v>
          </cell>
          <cell r="AW353" t="e">
            <v>#DIV/0!</v>
          </cell>
          <cell r="AX353" t="e">
            <v>#DIV/0!</v>
          </cell>
          <cell r="AY353" t="e">
            <v>#DIV/0!</v>
          </cell>
          <cell r="AZ353" t="e">
            <v>#DIV/0!</v>
          </cell>
          <cell r="BE353" t="e">
            <v>#DIV/0!</v>
          </cell>
          <cell r="BF353" t="e">
            <v>#DIV/0!</v>
          </cell>
        </row>
        <row r="354">
          <cell r="A354" t="str">
            <v>-0</v>
          </cell>
          <cell r="B354" t="str">
            <v xml:space="preserve">-0  , </v>
          </cell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  <cell r="X354">
            <v>0</v>
          </cell>
          <cell r="Y354">
            <v>0</v>
          </cell>
          <cell r="Z354">
            <v>0</v>
          </cell>
          <cell r="AA354" t="str">
            <v>,</v>
          </cell>
          <cell r="AB354" t="str">
            <v>,</v>
          </cell>
          <cell r="AC354" t="e">
            <v>#DIV/0!</v>
          </cell>
          <cell r="AD354" t="e">
            <v>#DIV/0!</v>
          </cell>
          <cell r="AE354">
            <v>0.71</v>
          </cell>
          <cell r="AF354">
            <v>94.97</v>
          </cell>
          <cell r="AG354">
            <v>0</v>
          </cell>
          <cell r="AH354" t="e">
            <v>#DIV/0!</v>
          </cell>
          <cell r="AI354" t="e">
            <v>#DIV/0!</v>
          </cell>
          <cell r="AJ354" t="e">
            <v>#DIV/0!</v>
          </cell>
          <cell r="AK354" t="e">
            <v>#DIV/0!</v>
          </cell>
          <cell r="AL354" t="e">
            <v>#DIV/0!</v>
          </cell>
          <cell r="AM354" t="e">
            <v>#DIV/0!</v>
          </cell>
          <cell r="AN354" t="e">
            <v>#DIV/0!</v>
          </cell>
          <cell r="AO354" t="e">
            <v>#REF!</v>
          </cell>
          <cell r="AP354" t="e">
            <v>#REF!</v>
          </cell>
          <cell r="AQ354" t="e">
            <v>#REF!</v>
          </cell>
          <cell r="AR354" t="e">
            <v>#REF!</v>
          </cell>
          <cell r="AS354" t="e">
            <v>#REF!</v>
          </cell>
          <cell r="AT354" t="e">
            <v>#REF!</v>
          </cell>
          <cell r="AU354" t="e">
            <v>#REF!</v>
          </cell>
          <cell r="AV354" t="e">
            <v>#REF!</v>
          </cell>
          <cell r="AW354" t="e">
            <v>#DIV/0!</v>
          </cell>
          <cell r="AX354" t="e">
            <v>#DIV/0!</v>
          </cell>
          <cell r="AY354" t="e">
            <v>#DIV/0!</v>
          </cell>
          <cell r="AZ354" t="e">
            <v>#DIV/0!</v>
          </cell>
          <cell r="BE354" t="e">
            <v>#DIV/0!</v>
          </cell>
          <cell r="BF354" t="e">
            <v>#DIV/0!</v>
          </cell>
        </row>
        <row r="355">
          <cell r="A355" t="str">
            <v>-0</v>
          </cell>
          <cell r="B355" t="str">
            <v xml:space="preserve">-0  , </v>
          </cell>
          <cell r="C355"/>
          <cell r="D355"/>
          <cell r="E355"/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  <cell r="X355">
            <v>0</v>
          </cell>
          <cell r="Y355">
            <v>0</v>
          </cell>
          <cell r="Z355">
            <v>0</v>
          </cell>
          <cell r="AA355" t="str">
            <v>,</v>
          </cell>
          <cell r="AB355" t="str">
            <v>,</v>
          </cell>
          <cell r="AC355" t="e">
            <v>#DIV/0!</v>
          </cell>
          <cell r="AD355" t="e">
            <v>#DIV/0!</v>
          </cell>
          <cell r="AE355">
            <v>0.71</v>
          </cell>
          <cell r="AF355">
            <v>94.97</v>
          </cell>
          <cell r="AG355">
            <v>0</v>
          </cell>
          <cell r="AH355" t="e">
            <v>#DIV/0!</v>
          </cell>
          <cell r="AI355" t="e">
            <v>#DIV/0!</v>
          </cell>
          <cell r="AJ355" t="e">
            <v>#DIV/0!</v>
          </cell>
          <cell r="AK355" t="e">
            <v>#DIV/0!</v>
          </cell>
          <cell r="AL355" t="e">
            <v>#DIV/0!</v>
          </cell>
          <cell r="AM355" t="e">
            <v>#DIV/0!</v>
          </cell>
          <cell r="AN355" t="e">
            <v>#DIV/0!</v>
          </cell>
          <cell r="AO355" t="e">
            <v>#REF!</v>
          </cell>
          <cell r="AP355" t="e">
            <v>#REF!</v>
          </cell>
          <cell r="AQ355" t="e">
            <v>#REF!</v>
          </cell>
          <cell r="AR355" t="e">
            <v>#REF!</v>
          </cell>
          <cell r="AS355" t="e">
            <v>#REF!</v>
          </cell>
          <cell r="AT355" t="e">
            <v>#REF!</v>
          </cell>
          <cell r="AU355" t="e">
            <v>#REF!</v>
          </cell>
          <cell r="AV355" t="e">
            <v>#REF!</v>
          </cell>
          <cell r="AW355" t="e">
            <v>#DIV/0!</v>
          </cell>
          <cell r="AX355" t="e">
            <v>#DIV/0!</v>
          </cell>
          <cell r="AY355" t="e">
            <v>#DIV/0!</v>
          </cell>
          <cell r="AZ355" t="e">
            <v>#DIV/0!</v>
          </cell>
          <cell r="BE355" t="e">
            <v>#DIV/0!</v>
          </cell>
          <cell r="BF355" t="e">
            <v>#DIV/0!</v>
          </cell>
        </row>
        <row r="356">
          <cell r="A356" t="str">
            <v>-0</v>
          </cell>
          <cell r="B356" t="str">
            <v xml:space="preserve">-0  , </v>
          </cell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  <cell r="X356">
            <v>0</v>
          </cell>
          <cell r="Y356">
            <v>0</v>
          </cell>
          <cell r="Z356">
            <v>0</v>
          </cell>
          <cell r="AA356" t="str">
            <v>,</v>
          </cell>
          <cell r="AB356" t="str">
            <v>,</v>
          </cell>
          <cell r="AC356" t="e">
            <v>#DIV/0!</v>
          </cell>
          <cell r="AD356" t="e">
            <v>#DIV/0!</v>
          </cell>
          <cell r="AE356">
            <v>0.71</v>
          </cell>
          <cell r="AF356">
            <v>94.97</v>
          </cell>
          <cell r="AG356">
            <v>0</v>
          </cell>
          <cell r="AH356" t="e">
            <v>#DIV/0!</v>
          </cell>
          <cell r="AI356" t="e">
            <v>#DIV/0!</v>
          </cell>
          <cell r="AJ356" t="e">
            <v>#DIV/0!</v>
          </cell>
          <cell r="AK356" t="e">
            <v>#DIV/0!</v>
          </cell>
          <cell r="AL356" t="e">
            <v>#DIV/0!</v>
          </cell>
          <cell r="AM356" t="e">
            <v>#DIV/0!</v>
          </cell>
          <cell r="AN356" t="e">
            <v>#DIV/0!</v>
          </cell>
          <cell r="AO356" t="e">
            <v>#REF!</v>
          </cell>
          <cell r="AP356" t="e">
            <v>#REF!</v>
          </cell>
          <cell r="AQ356" t="e">
            <v>#REF!</v>
          </cell>
          <cell r="AR356" t="e">
            <v>#REF!</v>
          </cell>
          <cell r="AS356" t="e">
            <v>#REF!</v>
          </cell>
          <cell r="AT356" t="e">
            <v>#REF!</v>
          </cell>
          <cell r="AU356" t="e">
            <v>#REF!</v>
          </cell>
          <cell r="AV356" t="e">
            <v>#REF!</v>
          </cell>
          <cell r="AW356" t="e">
            <v>#DIV/0!</v>
          </cell>
          <cell r="AX356" t="e">
            <v>#DIV/0!</v>
          </cell>
          <cell r="AY356" t="e">
            <v>#DIV/0!</v>
          </cell>
          <cell r="AZ356" t="e">
            <v>#DIV/0!</v>
          </cell>
          <cell r="BE356" t="e">
            <v>#DIV/0!</v>
          </cell>
          <cell r="BF356" t="e">
            <v>#DIV/0!</v>
          </cell>
        </row>
        <row r="357">
          <cell r="A357" t="str">
            <v>-0</v>
          </cell>
          <cell r="B357" t="str">
            <v xml:space="preserve">-0  , </v>
          </cell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  <cell r="Q357"/>
          <cell r="R357"/>
          <cell r="S357"/>
          <cell r="T357"/>
          <cell r="U357"/>
          <cell r="V357"/>
          <cell r="W357"/>
          <cell r="X357">
            <v>0</v>
          </cell>
          <cell r="Y357">
            <v>0</v>
          </cell>
          <cell r="Z357">
            <v>0</v>
          </cell>
          <cell r="AA357" t="str">
            <v>,</v>
          </cell>
          <cell r="AB357" t="str">
            <v>,</v>
          </cell>
          <cell r="AC357" t="e">
            <v>#DIV/0!</v>
          </cell>
          <cell r="AD357" t="e">
            <v>#DIV/0!</v>
          </cell>
          <cell r="AE357">
            <v>0.71</v>
          </cell>
          <cell r="AF357">
            <v>94.97</v>
          </cell>
          <cell r="AG357">
            <v>0</v>
          </cell>
          <cell r="AH357" t="e">
            <v>#DIV/0!</v>
          </cell>
          <cell r="AI357" t="e">
            <v>#DIV/0!</v>
          </cell>
          <cell r="AJ357" t="e">
            <v>#DIV/0!</v>
          </cell>
          <cell r="AK357" t="e">
            <v>#DIV/0!</v>
          </cell>
          <cell r="AL357" t="e">
            <v>#DIV/0!</v>
          </cell>
          <cell r="AM357" t="e">
            <v>#DIV/0!</v>
          </cell>
          <cell r="AN357" t="e">
            <v>#DIV/0!</v>
          </cell>
          <cell r="AO357" t="e">
            <v>#REF!</v>
          </cell>
          <cell r="AP357" t="e">
            <v>#REF!</v>
          </cell>
          <cell r="AQ357" t="e">
            <v>#REF!</v>
          </cell>
          <cell r="AR357" t="e">
            <v>#REF!</v>
          </cell>
          <cell r="AS357" t="e">
            <v>#REF!</v>
          </cell>
          <cell r="AT357" t="e">
            <v>#REF!</v>
          </cell>
          <cell r="AU357" t="e">
            <v>#REF!</v>
          </cell>
          <cell r="AV357" t="e">
            <v>#REF!</v>
          </cell>
          <cell r="AW357" t="e">
            <v>#DIV/0!</v>
          </cell>
          <cell r="AX357" t="e">
            <v>#DIV/0!</v>
          </cell>
          <cell r="AY357" t="e">
            <v>#DIV/0!</v>
          </cell>
          <cell r="AZ357" t="e">
            <v>#DIV/0!</v>
          </cell>
          <cell r="BE357" t="e">
            <v>#DIV/0!</v>
          </cell>
          <cell r="BF357" t="e">
            <v>#DIV/0!</v>
          </cell>
        </row>
        <row r="358">
          <cell r="A358" t="str">
            <v>-0</v>
          </cell>
          <cell r="B358" t="str">
            <v xml:space="preserve">-0  , </v>
          </cell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  <cell r="X358">
            <v>0</v>
          </cell>
          <cell r="Y358">
            <v>0</v>
          </cell>
          <cell r="Z358">
            <v>0</v>
          </cell>
          <cell r="AA358" t="str">
            <v>,</v>
          </cell>
          <cell r="AB358" t="str">
            <v>,</v>
          </cell>
          <cell r="AC358" t="e">
            <v>#DIV/0!</v>
          </cell>
          <cell r="AD358" t="e">
            <v>#DIV/0!</v>
          </cell>
          <cell r="AE358">
            <v>0.71</v>
          </cell>
          <cell r="AF358">
            <v>94.97</v>
          </cell>
          <cell r="AG358">
            <v>0</v>
          </cell>
          <cell r="AH358" t="e">
            <v>#DIV/0!</v>
          </cell>
          <cell r="AI358" t="e">
            <v>#DIV/0!</v>
          </cell>
          <cell r="AJ358" t="e">
            <v>#DIV/0!</v>
          </cell>
          <cell r="AK358" t="e">
            <v>#DIV/0!</v>
          </cell>
          <cell r="AL358" t="e">
            <v>#DIV/0!</v>
          </cell>
          <cell r="AM358" t="e">
            <v>#DIV/0!</v>
          </cell>
          <cell r="AN358" t="e">
            <v>#DIV/0!</v>
          </cell>
          <cell r="AO358" t="e">
            <v>#REF!</v>
          </cell>
          <cell r="AP358" t="e">
            <v>#REF!</v>
          </cell>
          <cell r="AQ358" t="e">
            <v>#REF!</v>
          </cell>
          <cell r="AR358" t="e">
            <v>#REF!</v>
          </cell>
          <cell r="AS358" t="e">
            <v>#REF!</v>
          </cell>
          <cell r="AT358" t="e">
            <v>#REF!</v>
          </cell>
          <cell r="AU358" t="e">
            <v>#REF!</v>
          </cell>
          <cell r="AV358" t="e">
            <v>#REF!</v>
          </cell>
          <cell r="AW358" t="e">
            <v>#DIV/0!</v>
          </cell>
          <cell r="AX358" t="e">
            <v>#DIV/0!</v>
          </cell>
          <cell r="AY358" t="e">
            <v>#DIV/0!</v>
          </cell>
          <cell r="AZ358" t="e">
            <v>#DIV/0!</v>
          </cell>
          <cell r="BE358" t="e">
            <v>#DIV/0!</v>
          </cell>
          <cell r="BF358" t="e">
            <v>#DIV/0!</v>
          </cell>
        </row>
        <row r="359">
          <cell r="A359" t="str">
            <v>-0</v>
          </cell>
          <cell r="B359" t="str">
            <v xml:space="preserve">-0  , </v>
          </cell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O359"/>
          <cell r="P359"/>
          <cell r="Q359"/>
          <cell r="R359"/>
          <cell r="S359"/>
          <cell r="T359"/>
          <cell r="U359"/>
          <cell r="V359"/>
          <cell r="W359"/>
          <cell r="X359">
            <v>0</v>
          </cell>
          <cell r="Y359">
            <v>0</v>
          </cell>
          <cell r="Z359">
            <v>0</v>
          </cell>
          <cell r="AA359" t="str">
            <v>,</v>
          </cell>
          <cell r="AB359" t="str">
            <v>,</v>
          </cell>
          <cell r="AC359" t="e">
            <v>#DIV/0!</v>
          </cell>
          <cell r="AD359" t="e">
            <v>#DIV/0!</v>
          </cell>
          <cell r="AE359">
            <v>0.71</v>
          </cell>
          <cell r="AF359">
            <v>94.97</v>
          </cell>
          <cell r="AG359">
            <v>0</v>
          </cell>
          <cell r="AH359" t="e">
            <v>#DIV/0!</v>
          </cell>
          <cell r="AI359" t="e">
            <v>#DIV/0!</v>
          </cell>
          <cell r="AJ359" t="e">
            <v>#DIV/0!</v>
          </cell>
          <cell r="AK359" t="e">
            <v>#DIV/0!</v>
          </cell>
          <cell r="AL359" t="e">
            <v>#DIV/0!</v>
          </cell>
          <cell r="AM359" t="e">
            <v>#DIV/0!</v>
          </cell>
          <cell r="AN359" t="e">
            <v>#DIV/0!</v>
          </cell>
          <cell r="AO359" t="e">
            <v>#REF!</v>
          </cell>
          <cell r="AP359" t="e">
            <v>#REF!</v>
          </cell>
          <cell r="AQ359" t="e">
            <v>#REF!</v>
          </cell>
          <cell r="AR359" t="e">
            <v>#REF!</v>
          </cell>
          <cell r="AS359" t="e">
            <v>#REF!</v>
          </cell>
          <cell r="AT359" t="e">
            <v>#REF!</v>
          </cell>
          <cell r="AU359" t="e">
            <v>#REF!</v>
          </cell>
          <cell r="AV359" t="e">
            <v>#REF!</v>
          </cell>
          <cell r="AW359" t="e">
            <v>#DIV/0!</v>
          </cell>
          <cell r="AX359" t="e">
            <v>#DIV/0!</v>
          </cell>
          <cell r="AY359" t="e">
            <v>#DIV/0!</v>
          </cell>
          <cell r="AZ359" t="e">
            <v>#DIV/0!</v>
          </cell>
          <cell r="BE359" t="e">
            <v>#DIV/0!</v>
          </cell>
          <cell r="BF359" t="e">
            <v>#DIV/0!</v>
          </cell>
        </row>
        <row r="360">
          <cell r="A360" t="str">
            <v>-0</v>
          </cell>
          <cell r="B360" t="str">
            <v xml:space="preserve">-0  , </v>
          </cell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O360"/>
          <cell r="P360"/>
          <cell r="Q360"/>
          <cell r="R360"/>
          <cell r="S360"/>
          <cell r="T360"/>
          <cell r="U360"/>
          <cell r="V360"/>
          <cell r="W360"/>
          <cell r="X360">
            <v>0</v>
          </cell>
          <cell r="Y360">
            <v>0</v>
          </cell>
          <cell r="Z360">
            <v>0</v>
          </cell>
          <cell r="AA360" t="str">
            <v>,</v>
          </cell>
          <cell r="AB360" t="str">
            <v>,</v>
          </cell>
          <cell r="AC360" t="e">
            <v>#DIV/0!</v>
          </cell>
          <cell r="AD360" t="e">
            <v>#DIV/0!</v>
          </cell>
          <cell r="AE360">
            <v>0.71</v>
          </cell>
          <cell r="AF360">
            <v>94.97</v>
          </cell>
          <cell r="AG360">
            <v>0</v>
          </cell>
          <cell r="AH360" t="e">
            <v>#DIV/0!</v>
          </cell>
          <cell r="AI360" t="e">
            <v>#DIV/0!</v>
          </cell>
          <cell r="AJ360" t="e">
            <v>#DIV/0!</v>
          </cell>
          <cell r="AK360" t="e">
            <v>#DIV/0!</v>
          </cell>
          <cell r="AL360" t="e">
            <v>#DIV/0!</v>
          </cell>
          <cell r="AM360" t="e">
            <v>#DIV/0!</v>
          </cell>
          <cell r="AN360" t="e">
            <v>#DIV/0!</v>
          </cell>
          <cell r="AO360" t="e">
            <v>#REF!</v>
          </cell>
          <cell r="AP360" t="e">
            <v>#REF!</v>
          </cell>
          <cell r="AQ360" t="e">
            <v>#REF!</v>
          </cell>
          <cell r="AR360" t="e">
            <v>#REF!</v>
          </cell>
          <cell r="AS360" t="e">
            <v>#REF!</v>
          </cell>
          <cell r="AT360" t="e">
            <v>#REF!</v>
          </cell>
          <cell r="AU360" t="e">
            <v>#REF!</v>
          </cell>
          <cell r="AV360" t="e">
            <v>#REF!</v>
          </cell>
          <cell r="AW360" t="e">
            <v>#DIV/0!</v>
          </cell>
          <cell r="AX360" t="e">
            <v>#DIV/0!</v>
          </cell>
          <cell r="AY360" t="e">
            <v>#DIV/0!</v>
          </cell>
          <cell r="AZ360" t="e">
            <v>#DIV/0!</v>
          </cell>
          <cell r="BE360" t="e">
            <v>#DIV/0!</v>
          </cell>
          <cell r="BF360" t="e">
            <v>#DIV/0!</v>
          </cell>
        </row>
        <row r="361">
          <cell r="A361" t="str">
            <v>-0</v>
          </cell>
          <cell r="B361" t="str">
            <v xml:space="preserve">-0  , </v>
          </cell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/>
          <cell r="S361"/>
          <cell r="T361"/>
          <cell r="U361"/>
          <cell r="V361"/>
          <cell r="W361"/>
          <cell r="X361">
            <v>0</v>
          </cell>
          <cell r="Y361">
            <v>0</v>
          </cell>
          <cell r="Z361">
            <v>0</v>
          </cell>
          <cell r="AA361" t="str">
            <v>,</v>
          </cell>
          <cell r="AB361" t="str">
            <v>,</v>
          </cell>
          <cell r="AC361" t="e">
            <v>#DIV/0!</v>
          </cell>
          <cell r="AD361" t="e">
            <v>#DIV/0!</v>
          </cell>
          <cell r="AE361">
            <v>0.71</v>
          </cell>
          <cell r="AF361">
            <v>94.97</v>
          </cell>
          <cell r="AG361">
            <v>0</v>
          </cell>
          <cell r="AH361" t="e">
            <v>#DIV/0!</v>
          </cell>
          <cell r="AI361" t="e">
            <v>#DIV/0!</v>
          </cell>
          <cell r="AJ361" t="e">
            <v>#DIV/0!</v>
          </cell>
          <cell r="AK361" t="e">
            <v>#DIV/0!</v>
          </cell>
          <cell r="AL361" t="e">
            <v>#DIV/0!</v>
          </cell>
          <cell r="AM361" t="e">
            <v>#DIV/0!</v>
          </cell>
          <cell r="AN361" t="e">
            <v>#DIV/0!</v>
          </cell>
          <cell r="AO361" t="e">
            <v>#REF!</v>
          </cell>
          <cell r="AP361" t="e">
            <v>#REF!</v>
          </cell>
          <cell r="AQ361" t="e">
            <v>#REF!</v>
          </cell>
          <cell r="AR361" t="e">
            <v>#REF!</v>
          </cell>
          <cell r="AS361" t="e">
            <v>#REF!</v>
          </cell>
          <cell r="AT361" t="e">
            <v>#REF!</v>
          </cell>
          <cell r="AU361" t="e">
            <v>#REF!</v>
          </cell>
          <cell r="AV361" t="e">
            <v>#REF!</v>
          </cell>
          <cell r="AW361" t="e">
            <v>#DIV/0!</v>
          </cell>
          <cell r="AX361" t="e">
            <v>#DIV/0!</v>
          </cell>
          <cell r="AY361" t="e">
            <v>#DIV/0!</v>
          </cell>
          <cell r="AZ361" t="e">
            <v>#DIV/0!</v>
          </cell>
          <cell r="BE361" t="e">
            <v>#DIV/0!</v>
          </cell>
          <cell r="BF361" t="e">
            <v>#DIV/0!</v>
          </cell>
        </row>
        <row r="362">
          <cell r="A362" t="str">
            <v>-0</v>
          </cell>
          <cell r="B362" t="str">
            <v xml:space="preserve">-0  , </v>
          </cell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  <cell r="X362">
            <v>0</v>
          </cell>
          <cell r="Y362">
            <v>0</v>
          </cell>
          <cell r="Z362">
            <v>0</v>
          </cell>
          <cell r="AA362" t="str">
            <v>,</v>
          </cell>
          <cell r="AB362" t="str">
            <v>,</v>
          </cell>
          <cell r="AC362" t="e">
            <v>#DIV/0!</v>
          </cell>
          <cell r="AD362" t="e">
            <v>#DIV/0!</v>
          </cell>
          <cell r="AE362">
            <v>0.71</v>
          </cell>
          <cell r="AF362">
            <v>94.97</v>
          </cell>
          <cell r="AG362">
            <v>0</v>
          </cell>
          <cell r="AH362" t="e">
            <v>#DIV/0!</v>
          </cell>
          <cell r="AI362" t="e">
            <v>#DIV/0!</v>
          </cell>
          <cell r="AJ362" t="e">
            <v>#DIV/0!</v>
          </cell>
          <cell r="AK362" t="e">
            <v>#DIV/0!</v>
          </cell>
          <cell r="AL362" t="e">
            <v>#DIV/0!</v>
          </cell>
          <cell r="AM362" t="e">
            <v>#DIV/0!</v>
          </cell>
          <cell r="AN362" t="e">
            <v>#DIV/0!</v>
          </cell>
          <cell r="AO362" t="e">
            <v>#REF!</v>
          </cell>
          <cell r="AP362" t="e">
            <v>#REF!</v>
          </cell>
          <cell r="AQ362" t="e">
            <v>#REF!</v>
          </cell>
          <cell r="AR362" t="e">
            <v>#REF!</v>
          </cell>
          <cell r="AS362" t="e">
            <v>#REF!</v>
          </cell>
          <cell r="AT362" t="e">
            <v>#REF!</v>
          </cell>
          <cell r="AU362" t="e">
            <v>#REF!</v>
          </cell>
          <cell r="AV362" t="e">
            <v>#REF!</v>
          </cell>
          <cell r="AW362" t="e">
            <v>#DIV/0!</v>
          </cell>
          <cell r="AX362" t="e">
            <v>#DIV/0!</v>
          </cell>
          <cell r="AY362" t="e">
            <v>#DIV/0!</v>
          </cell>
          <cell r="AZ362" t="e">
            <v>#DIV/0!</v>
          </cell>
          <cell r="BE362" t="e">
            <v>#DIV/0!</v>
          </cell>
          <cell r="BF362" t="e">
            <v>#DIV/0!</v>
          </cell>
        </row>
        <row r="363">
          <cell r="A363" t="str">
            <v>-0</v>
          </cell>
          <cell r="B363" t="str">
            <v xml:space="preserve">-0  , </v>
          </cell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/>
          <cell r="S363"/>
          <cell r="T363"/>
          <cell r="U363"/>
          <cell r="V363"/>
          <cell r="W363"/>
          <cell r="X363">
            <v>0</v>
          </cell>
          <cell r="Y363">
            <v>0</v>
          </cell>
          <cell r="Z363">
            <v>0</v>
          </cell>
          <cell r="AA363" t="str">
            <v>,</v>
          </cell>
          <cell r="AB363" t="str">
            <v>,</v>
          </cell>
          <cell r="AC363" t="e">
            <v>#DIV/0!</v>
          </cell>
          <cell r="AD363" t="e">
            <v>#DIV/0!</v>
          </cell>
          <cell r="AE363">
            <v>0.71</v>
          </cell>
          <cell r="AF363">
            <v>94.97</v>
          </cell>
          <cell r="AG363">
            <v>0</v>
          </cell>
          <cell r="AH363" t="e">
            <v>#DIV/0!</v>
          </cell>
          <cell r="AI363" t="e">
            <v>#DIV/0!</v>
          </cell>
          <cell r="AJ363" t="e">
            <v>#DIV/0!</v>
          </cell>
          <cell r="AK363" t="e">
            <v>#DIV/0!</v>
          </cell>
          <cell r="AL363" t="e">
            <v>#DIV/0!</v>
          </cell>
          <cell r="AM363" t="e">
            <v>#DIV/0!</v>
          </cell>
          <cell r="AN363" t="e">
            <v>#DIV/0!</v>
          </cell>
          <cell r="AO363" t="e">
            <v>#REF!</v>
          </cell>
          <cell r="AP363" t="e">
            <v>#REF!</v>
          </cell>
          <cell r="AQ363" t="e">
            <v>#REF!</v>
          </cell>
          <cell r="AR363" t="e">
            <v>#REF!</v>
          </cell>
          <cell r="AS363" t="e">
            <v>#REF!</v>
          </cell>
          <cell r="AT363" t="e">
            <v>#REF!</v>
          </cell>
          <cell r="AU363" t="e">
            <v>#REF!</v>
          </cell>
          <cell r="AV363" t="e">
            <v>#REF!</v>
          </cell>
          <cell r="AW363" t="e">
            <v>#DIV/0!</v>
          </cell>
          <cell r="AX363" t="e">
            <v>#DIV/0!</v>
          </cell>
          <cell r="AY363" t="e">
            <v>#DIV/0!</v>
          </cell>
          <cell r="AZ363" t="e">
            <v>#DIV/0!</v>
          </cell>
          <cell r="BE363" t="e">
            <v>#DIV/0!</v>
          </cell>
          <cell r="BF363" t="e">
            <v>#DIV/0!</v>
          </cell>
        </row>
        <row r="364">
          <cell r="A364" t="str">
            <v>-0</v>
          </cell>
          <cell r="B364" t="str">
            <v xml:space="preserve">-0  , </v>
          </cell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O364"/>
          <cell r="P364"/>
          <cell r="Q364"/>
          <cell r="R364"/>
          <cell r="S364"/>
          <cell r="T364"/>
          <cell r="U364"/>
          <cell r="V364"/>
          <cell r="W364"/>
          <cell r="X364">
            <v>0</v>
          </cell>
          <cell r="Y364">
            <v>0</v>
          </cell>
          <cell r="Z364">
            <v>0</v>
          </cell>
          <cell r="AA364" t="str">
            <v>,</v>
          </cell>
          <cell r="AB364" t="str">
            <v>,</v>
          </cell>
          <cell r="AC364" t="e">
            <v>#DIV/0!</v>
          </cell>
          <cell r="AD364" t="e">
            <v>#DIV/0!</v>
          </cell>
          <cell r="AE364">
            <v>0.71</v>
          </cell>
          <cell r="AF364">
            <v>94.97</v>
          </cell>
          <cell r="AG364">
            <v>0</v>
          </cell>
          <cell r="AH364" t="e">
            <v>#DIV/0!</v>
          </cell>
          <cell r="AI364" t="e">
            <v>#DIV/0!</v>
          </cell>
          <cell r="AJ364" t="e">
            <v>#DIV/0!</v>
          </cell>
          <cell r="AK364" t="e">
            <v>#DIV/0!</v>
          </cell>
          <cell r="AL364" t="e">
            <v>#DIV/0!</v>
          </cell>
          <cell r="AM364" t="e">
            <v>#DIV/0!</v>
          </cell>
          <cell r="AN364" t="e">
            <v>#DIV/0!</v>
          </cell>
          <cell r="AO364" t="e">
            <v>#REF!</v>
          </cell>
          <cell r="AP364" t="e">
            <v>#REF!</v>
          </cell>
          <cell r="AQ364" t="e">
            <v>#REF!</v>
          </cell>
          <cell r="AR364" t="e">
            <v>#REF!</v>
          </cell>
          <cell r="AS364" t="e">
            <v>#REF!</v>
          </cell>
          <cell r="AT364" t="e">
            <v>#REF!</v>
          </cell>
          <cell r="AU364" t="e">
            <v>#REF!</v>
          </cell>
          <cell r="AV364" t="e">
            <v>#REF!</v>
          </cell>
          <cell r="AW364" t="e">
            <v>#DIV/0!</v>
          </cell>
          <cell r="AX364" t="e">
            <v>#DIV/0!</v>
          </cell>
          <cell r="AY364" t="e">
            <v>#DIV/0!</v>
          </cell>
          <cell r="AZ364" t="e">
            <v>#DIV/0!</v>
          </cell>
          <cell r="BE364" t="e">
            <v>#DIV/0!</v>
          </cell>
          <cell r="BF364" t="e">
            <v>#DIV/0!</v>
          </cell>
        </row>
        <row r="365">
          <cell r="A365" t="str">
            <v>-0</v>
          </cell>
          <cell r="B365" t="str">
            <v xml:space="preserve">-0  , </v>
          </cell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  <cell r="X365">
            <v>0</v>
          </cell>
          <cell r="Y365">
            <v>0</v>
          </cell>
          <cell r="Z365">
            <v>0</v>
          </cell>
          <cell r="AA365" t="str">
            <v>,</v>
          </cell>
          <cell r="AB365" t="str">
            <v>,</v>
          </cell>
          <cell r="AC365" t="e">
            <v>#DIV/0!</v>
          </cell>
          <cell r="AD365" t="e">
            <v>#DIV/0!</v>
          </cell>
          <cell r="AE365">
            <v>0.71</v>
          </cell>
          <cell r="AF365">
            <v>94.97</v>
          </cell>
          <cell r="AG365">
            <v>0</v>
          </cell>
          <cell r="AH365" t="e">
            <v>#DIV/0!</v>
          </cell>
          <cell r="AI365" t="e">
            <v>#DIV/0!</v>
          </cell>
          <cell r="AJ365" t="e">
            <v>#DIV/0!</v>
          </cell>
          <cell r="AK365" t="e">
            <v>#DIV/0!</v>
          </cell>
          <cell r="AL365" t="e">
            <v>#DIV/0!</v>
          </cell>
          <cell r="AM365" t="e">
            <v>#DIV/0!</v>
          </cell>
          <cell r="AN365" t="e">
            <v>#DIV/0!</v>
          </cell>
          <cell r="AO365" t="e">
            <v>#REF!</v>
          </cell>
          <cell r="AP365" t="e">
            <v>#REF!</v>
          </cell>
          <cell r="AQ365" t="e">
            <v>#REF!</v>
          </cell>
          <cell r="AR365" t="e">
            <v>#REF!</v>
          </cell>
          <cell r="AS365" t="e">
            <v>#REF!</v>
          </cell>
          <cell r="AT365" t="e">
            <v>#REF!</v>
          </cell>
          <cell r="AU365" t="e">
            <v>#REF!</v>
          </cell>
          <cell r="AV365" t="e">
            <v>#REF!</v>
          </cell>
          <cell r="AW365" t="e">
            <v>#DIV/0!</v>
          </cell>
          <cell r="AX365" t="e">
            <v>#DIV/0!</v>
          </cell>
          <cell r="AY365" t="e">
            <v>#DIV/0!</v>
          </cell>
          <cell r="AZ365" t="e">
            <v>#DIV/0!</v>
          </cell>
          <cell r="BE365" t="e">
            <v>#DIV/0!</v>
          </cell>
          <cell r="BF365" t="e">
            <v>#DIV/0!</v>
          </cell>
        </row>
        <row r="366">
          <cell r="A366" t="str">
            <v>-0</v>
          </cell>
          <cell r="B366" t="str">
            <v xml:space="preserve">-0  , </v>
          </cell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O366"/>
          <cell r="P366"/>
          <cell r="Q366"/>
          <cell r="R366"/>
          <cell r="S366"/>
          <cell r="T366"/>
          <cell r="U366"/>
          <cell r="V366"/>
          <cell r="W366"/>
          <cell r="X366">
            <v>0</v>
          </cell>
          <cell r="Y366">
            <v>0</v>
          </cell>
          <cell r="Z366">
            <v>0</v>
          </cell>
          <cell r="AA366" t="str">
            <v>,</v>
          </cell>
          <cell r="AB366" t="str">
            <v>,</v>
          </cell>
          <cell r="AC366" t="e">
            <v>#DIV/0!</v>
          </cell>
          <cell r="AD366" t="e">
            <v>#DIV/0!</v>
          </cell>
          <cell r="AE366">
            <v>0.71</v>
          </cell>
          <cell r="AF366">
            <v>94.97</v>
          </cell>
          <cell r="AG366">
            <v>0</v>
          </cell>
          <cell r="AH366" t="e">
            <v>#DIV/0!</v>
          </cell>
          <cell r="AI366" t="e">
            <v>#DIV/0!</v>
          </cell>
          <cell r="AJ366" t="e">
            <v>#DIV/0!</v>
          </cell>
          <cell r="AK366" t="e">
            <v>#DIV/0!</v>
          </cell>
          <cell r="AL366" t="e">
            <v>#DIV/0!</v>
          </cell>
          <cell r="AM366" t="e">
            <v>#DIV/0!</v>
          </cell>
          <cell r="AN366" t="e">
            <v>#DIV/0!</v>
          </cell>
          <cell r="AO366" t="e">
            <v>#REF!</v>
          </cell>
          <cell r="AP366" t="e">
            <v>#REF!</v>
          </cell>
          <cell r="AQ366" t="e">
            <v>#REF!</v>
          </cell>
          <cell r="AR366" t="e">
            <v>#REF!</v>
          </cell>
          <cell r="AS366" t="e">
            <v>#REF!</v>
          </cell>
          <cell r="AT366" t="e">
            <v>#REF!</v>
          </cell>
          <cell r="AU366" t="e">
            <v>#REF!</v>
          </cell>
          <cell r="AV366" t="e">
            <v>#REF!</v>
          </cell>
          <cell r="AW366" t="e">
            <v>#DIV/0!</v>
          </cell>
          <cell r="AX366" t="e">
            <v>#DIV/0!</v>
          </cell>
          <cell r="AY366" t="e">
            <v>#DIV/0!</v>
          </cell>
          <cell r="AZ366" t="e">
            <v>#DIV/0!</v>
          </cell>
          <cell r="BE366" t="e">
            <v>#DIV/0!</v>
          </cell>
          <cell r="BF366" t="e">
            <v>#DIV/0!</v>
          </cell>
        </row>
        <row r="367">
          <cell r="A367" t="str">
            <v>-0</v>
          </cell>
          <cell r="B367" t="str">
            <v xml:space="preserve">-0  , </v>
          </cell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/>
          <cell r="S367"/>
          <cell r="T367"/>
          <cell r="U367"/>
          <cell r="V367"/>
          <cell r="W367"/>
          <cell r="X367">
            <v>0</v>
          </cell>
          <cell r="Y367">
            <v>0</v>
          </cell>
          <cell r="Z367">
            <v>0</v>
          </cell>
          <cell r="AA367" t="str">
            <v>,</v>
          </cell>
          <cell r="AB367" t="str">
            <v>,</v>
          </cell>
          <cell r="AC367" t="e">
            <v>#DIV/0!</v>
          </cell>
          <cell r="AD367" t="e">
            <v>#DIV/0!</v>
          </cell>
          <cell r="AE367">
            <v>0.71</v>
          </cell>
          <cell r="AF367">
            <v>94.97</v>
          </cell>
          <cell r="AG367">
            <v>0</v>
          </cell>
          <cell r="AH367" t="e">
            <v>#DIV/0!</v>
          </cell>
          <cell r="AI367" t="e">
            <v>#DIV/0!</v>
          </cell>
          <cell r="AJ367" t="e">
            <v>#DIV/0!</v>
          </cell>
          <cell r="AK367" t="e">
            <v>#DIV/0!</v>
          </cell>
          <cell r="AL367" t="e">
            <v>#DIV/0!</v>
          </cell>
          <cell r="AM367" t="e">
            <v>#DIV/0!</v>
          </cell>
          <cell r="AN367" t="e">
            <v>#DIV/0!</v>
          </cell>
          <cell r="AO367" t="e">
            <v>#REF!</v>
          </cell>
          <cell r="AP367" t="e">
            <v>#REF!</v>
          </cell>
          <cell r="AQ367" t="e">
            <v>#REF!</v>
          </cell>
          <cell r="AR367" t="e">
            <v>#REF!</v>
          </cell>
          <cell r="AS367" t="e">
            <v>#REF!</v>
          </cell>
          <cell r="AT367" t="e">
            <v>#REF!</v>
          </cell>
          <cell r="AU367" t="e">
            <v>#REF!</v>
          </cell>
          <cell r="AV367" t="e">
            <v>#REF!</v>
          </cell>
          <cell r="AW367" t="e">
            <v>#DIV/0!</v>
          </cell>
          <cell r="AX367" t="e">
            <v>#DIV/0!</v>
          </cell>
          <cell r="AY367" t="e">
            <v>#DIV/0!</v>
          </cell>
          <cell r="AZ367" t="e">
            <v>#DIV/0!</v>
          </cell>
          <cell r="BE367" t="e">
            <v>#DIV/0!</v>
          </cell>
          <cell r="BF367" t="e">
            <v>#DIV/0!</v>
          </cell>
        </row>
        <row r="368">
          <cell r="A368" t="str">
            <v>-0</v>
          </cell>
          <cell r="B368" t="str">
            <v xml:space="preserve">-0  , </v>
          </cell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/>
          <cell r="S368"/>
          <cell r="T368"/>
          <cell r="U368"/>
          <cell r="V368"/>
          <cell r="W368"/>
          <cell r="X368">
            <v>0</v>
          </cell>
          <cell r="Y368">
            <v>0</v>
          </cell>
          <cell r="Z368">
            <v>0</v>
          </cell>
          <cell r="AA368" t="str">
            <v>,</v>
          </cell>
          <cell r="AB368" t="str">
            <v>,</v>
          </cell>
          <cell r="AC368" t="e">
            <v>#DIV/0!</v>
          </cell>
          <cell r="AD368" t="e">
            <v>#DIV/0!</v>
          </cell>
          <cell r="AE368">
            <v>0.71</v>
          </cell>
          <cell r="AF368">
            <v>94.97</v>
          </cell>
          <cell r="AG368">
            <v>0</v>
          </cell>
          <cell r="AH368" t="e">
            <v>#DIV/0!</v>
          </cell>
          <cell r="AI368" t="e">
            <v>#DIV/0!</v>
          </cell>
          <cell r="AJ368" t="e">
            <v>#DIV/0!</v>
          </cell>
          <cell r="AK368" t="e">
            <v>#DIV/0!</v>
          </cell>
          <cell r="AL368" t="e">
            <v>#DIV/0!</v>
          </cell>
          <cell r="AM368" t="e">
            <v>#DIV/0!</v>
          </cell>
          <cell r="AN368" t="e">
            <v>#DIV/0!</v>
          </cell>
          <cell r="AO368" t="e">
            <v>#REF!</v>
          </cell>
          <cell r="AP368" t="e">
            <v>#REF!</v>
          </cell>
          <cell r="AQ368" t="e">
            <v>#REF!</v>
          </cell>
          <cell r="AR368" t="e">
            <v>#REF!</v>
          </cell>
          <cell r="AS368" t="e">
            <v>#REF!</v>
          </cell>
          <cell r="AT368" t="e">
            <v>#REF!</v>
          </cell>
          <cell r="AU368" t="e">
            <v>#REF!</v>
          </cell>
          <cell r="AV368" t="e">
            <v>#REF!</v>
          </cell>
          <cell r="AW368" t="e">
            <v>#DIV/0!</v>
          </cell>
          <cell r="AX368" t="e">
            <v>#DIV/0!</v>
          </cell>
          <cell r="AY368" t="e">
            <v>#DIV/0!</v>
          </cell>
          <cell r="AZ368" t="e">
            <v>#DIV/0!</v>
          </cell>
          <cell r="BE368" t="e">
            <v>#DIV/0!</v>
          </cell>
          <cell r="BF368" t="e">
            <v>#DIV/0!</v>
          </cell>
        </row>
        <row r="369">
          <cell r="A369" t="str">
            <v>-0</v>
          </cell>
          <cell r="B369" t="str">
            <v xml:space="preserve">-0  , </v>
          </cell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  <cell r="X369">
            <v>0</v>
          </cell>
          <cell r="Y369">
            <v>0</v>
          </cell>
          <cell r="Z369">
            <v>0</v>
          </cell>
          <cell r="AA369" t="str">
            <v>,</v>
          </cell>
          <cell r="AB369" t="str">
            <v>,</v>
          </cell>
          <cell r="AC369" t="e">
            <v>#DIV/0!</v>
          </cell>
          <cell r="AD369" t="e">
            <v>#DIV/0!</v>
          </cell>
          <cell r="AE369">
            <v>0.71</v>
          </cell>
          <cell r="AF369">
            <v>94.97</v>
          </cell>
          <cell r="AG369">
            <v>0</v>
          </cell>
          <cell r="AH369" t="e">
            <v>#DIV/0!</v>
          </cell>
          <cell r="AI369" t="e">
            <v>#DIV/0!</v>
          </cell>
          <cell r="AJ369" t="e">
            <v>#DIV/0!</v>
          </cell>
          <cell r="AK369" t="e">
            <v>#DIV/0!</v>
          </cell>
          <cell r="AL369" t="e">
            <v>#DIV/0!</v>
          </cell>
          <cell r="AM369" t="e">
            <v>#DIV/0!</v>
          </cell>
          <cell r="AN369" t="e">
            <v>#DIV/0!</v>
          </cell>
          <cell r="AO369" t="e">
            <v>#REF!</v>
          </cell>
          <cell r="AP369" t="e">
            <v>#REF!</v>
          </cell>
          <cell r="AQ369" t="e">
            <v>#REF!</v>
          </cell>
          <cell r="AR369" t="e">
            <v>#REF!</v>
          </cell>
          <cell r="AS369" t="e">
            <v>#REF!</v>
          </cell>
          <cell r="AT369" t="e">
            <v>#REF!</v>
          </cell>
          <cell r="AU369" t="e">
            <v>#REF!</v>
          </cell>
          <cell r="AV369" t="e">
            <v>#REF!</v>
          </cell>
          <cell r="AW369" t="e">
            <v>#DIV/0!</v>
          </cell>
          <cell r="AX369" t="e">
            <v>#DIV/0!</v>
          </cell>
          <cell r="AY369" t="e">
            <v>#DIV/0!</v>
          </cell>
          <cell r="AZ369" t="e">
            <v>#DIV/0!</v>
          </cell>
          <cell r="BE369" t="e">
            <v>#DIV/0!</v>
          </cell>
          <cell r="BF369" t="e">
            <v>#DIV/0!</v>
          </cell>
        </row>
        <row r="370">
          <cell r="A370" t="str">
            <v>-0</v>
          </cell>
          <cell r="B370" t="str">
            <v xml:space="preserve">-0  , </v>
          </cell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O370"/>
          <cell r="P370"/>
          <cell r="Q370"/>
          <cell r="R370"/>
          <cell r="S370"/>
          <cell r="T370"/>
          <cell r="U370"/>
          <cell r="V370"/>
          <cell r="W370"/>
          <cell r="X370">
            <v>0</v>
          </cell>
          <cell r="Y370">
            <v>0</v>
          </cell>
          <cell r="Z370">
            <v>0</v>
          </cell>
          <cell r="AA370" t="str">
            <v>,</v>
          </cell>
          <cell r="AB370" t="str">
            <v>,</v>
          </cell>
          <cell r="AC370" t="e">
            <v>#DIV/0!</v>
          </cell>
          <cell r="AD370" t="e">
            <v>#DIV/0!</v>
          </cell>
          <cell r="AE370">
            <v>0.71</v>
          </cell>
          <cell r="AF370">
            <v>94.97</v>
          </cell>
          <cell r="AG370">
            <v>0</v>
          </cell>
          <cell r="AH370" t="e">
            <v>#DIV/0!</v>
          </cell>
          <cell r="AI370" t="e">
            <v>#DIV/0!</v>
          </cell>
          <cell r="AJ370" t="e">
            <v>#DIV/0!</v>
          </cell>
          <cell r="AK370" t="e">
            <v>#DIV/0!</v>
          </cell>
          <cell r="AL370" t="e">
            <v>#DIV/0!</v>
          </cell>
          <cell r="AM370" t="e">
            <v>#DIV/0!</v>
          </cell>
          <cell r="AN370" t="e">
            <v>#DIV/0!</v>
          </cell>
          <cell r="AO370" t="e">
            <v>#REF!</v>
          </cell>
          <cell r="AP370" t="e">
            <v>#REF!</v>
          </cell>
          <cell r="AQ370" t="e">
            <v>#REF!</v>
          </cell>
          <cell r="AR370" t="e">
            <v>#REF!</v>
          </cell>
          <cell r="AS370" t="e">
            <v>#REF!</v>
          </cell>
          <cell r="AT370" t="e">
            <v>#REF!</v>
          </cell>
          <cell r="AU370" t="e">
            <v>#REF!</v>
          </cell>
          <cell r="AV370" t="e">
            <v>#REF!</v>
          </cell>
          <cell r="AW370" t="e">
            <v>#DIV/0!</v>
          </cell>
          <cell r="AX370" t="e">
            <v>#DIV/0!</v>
          </cell>
          <cell r="AY370" t="e">
            <v>#DIV/0!</v>
          </cell>
          <cell r="AZ370" t="e">
            <v>#DIV/0!</v>
          </cell>
          <cell r="BE370" t="e">
            <v>#DIV/0!</v>
          </cell>
          <cell r="BF370" t="e">
            <v>#DIV/0!</v>
          </cell>
        </row>
        <row r="371">
          <cell r="A371" t="str">
            <v>-0</v>
          </cell>
          <cell r="B371" t="str">
            <v xml:space="preserve">-0  , </v>
          </cell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/>
          <cell r="S371"/>
          <cell r="T371"/>
          <cell r="U371"/>
          <cell r="V371"/>
          <cell r="W371"/>
          <cell r="X371">
            <v>0</v>
          </cell>
          <cell r="Y371">
            <v>0</v>
          </cell>
          <cell r="Z371">
            <v>0</v>
          </cell>
          <cell r="AA371" t="str">
            <v>,</v>
          </cell>
          <cell r="AB371" t="str">
            <v>,</v>
          </cell>
          <cell r="AC371" t="e">
            <v>#DIV/0!</v>
          </cell>
          <cell r="AD371" t="e">
            <v>#DIV/0!</v>
          </cell>
          <cell r="AE371">
            <v>0.71</v>
          </cell>
          <cell r="AF371">
            <v>94.97</v>
          </cell>
          <cell r="AG371">
            <v>0</v>
          </cell>
          <cell r="AH371" t="e">
            <v>#DIV/0!</v>
          </cell>
          <cell r="AI371" t="e">
            <v>#DIV/0!</v>
          </cell>
          <cell r="AJ371" t="e">
            <v>#DIV/0!</v>
          </cell>
          <cell r="AK371" t="e">
            <v>#DIV/0!</v>
          </cell>
          <cell r="AL371" t="e">
            <v>#DIV/0!</v>
          </cell>
          <cell r="AM371" t="e">
            <v>#DIV/0!</v>
          </cell>
          <cell r="AN371" t="e">
            <v>#DIV/0!</v>
          </cell>
          <cell r="AO371" t="e">
            <v>#REF!</v>
          </cell>
          <cell r="AP371" t="e">
            <v>#REF!</v>
          </cell>
          <cell r="AQ371" t="e">
            <v>#REF!</v>
          </cell>
          <cell r="AR371" t="e">
            <v>#REF!</v>
          </cell>
          <cell r="AS371" t="e">
            <v>#REF!</v>
          </cell>
          <cell r="AT371" t="e">
            <v>#REF!</v>
          </cell>
          <cell r="AU371" t="e">
            <v>#REF!</v>
          </cell>
          <cell r="AV371" t="e">
            <v>#REF!</v>
          </cell>
          <cell r="AW371" t="e">
            <v>#DIV/0!</v>
          </cell>
          <cell r="AX371" t="e">
            <v>#DIV/0!</v>
          </cell>
          <cell r="AY371" t="e">
            <v>#DIV/0!</v>
          </cell>
          <cell r="AZ371" t="e">
            <v>#DIV/0!</v>
          </cell>
          <cell r="BE371" t="e">
            <v>#DIV/0!</v>
          </cell>
          <cell r="BF371" t="e">
            <v>#DIV/0!</v>
          </cell>
        </row>
        <row r="372">
          <cell r="A372" t="str">
            <v>-0</v>
          </cell>
          <cell r="B372" t="str">
            <v xml:space="preserve">-0  , </v>
          </cell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O372"/>
          <cell r="P372"/>
          <cell r="Q372"/>
          <cell r="R372"/>
          <cell r="S372"/>
          <cell r="T372"/>
          <cell r="U372"/>
          <cell r="V372"/>
          <cell r="W372"/>
          <cell r="X372">
            <v>0</v>
          </cell>
          <cell r="Y372">
            <v>0</v>
          </cell>
          <cell r="Z372">
            <v>0</v>
          </cell>
          <cell r="AA372" t="str">
            <v>,</v>
          </cell>
          <cell r="AB372" t="str">
            <v>,</v>
          </cell>
          <cell r="AC372" t="e">
            <v>#DIV/0!</v>
          </cell>
          <cell r="AD372" t="e">
            <v>#DIV/0!</v>
          </cell>
          <cell r="AE372">
            <v>0.71</v>
          </cell>
          <cell r="AF372">
            <v>94.97</v>
          </cell>
          <cell r="AG372">
            <v>0</v>
          </cell>
          <cell r="AH372" t="e">
            <v>#DIV/0!</v>
          </cell>
          <cell r="AI372" t="e">
            <v>#DIV/0!</v>
          </cell>
          <cell r="AJ372" t="e">
            <v>#DIV/0!</v>
          </cell>
          <cell r="AK372" t="e">
            <v>#DIV/0!</v>
          </cell>
          <cell r="AL372" t="e">
            <v>#DIV/0!</v>
          </cell>
          <cell r="AM372" t="e">
            <v>#DIV/0!</v>
          </cell>
          <cell r="AN372" t="e">
            <v>#DIV/0!</v>
          </cell>
          <cell r="AO372" t="e">
            <v>#REF!</v>
          </cell>
          <cell r="AP372" t="e">
            <v>#REF!</v>
          </cell>
          <cell r="AQ372" t="e">
            <v>#REF!</v>
          </cell>
          <cell r="AR372" t="e">
            <v>#REF!</v>
          </cell>
          <cell r="AS372" t="e">
            <v>#REF!</v>
          </cell>
          <cell r="AT372" t="e">
            <v>#REF!</v>
          </cell>
          <cell r="AU372" t="e">
            <v>#REF!</v>
          </cell>
          <cell r="AV372" t="e">
            <v>#REF!</v>
          </cell>
          <cell r="AW372" t="e">
            <v>#DIV/0!</v>
          </cell>
          <cell r="AX372" t="e">
            <v>#DIV/0!</v>
          </cell>
          <cell r="AY372" t="e">
            <v>#DIV/0!</v>
          </cell>
          <cell r="AZ372" t="e">
            <v>#DIV/0!</v>
          </cell>
          <cell r="BE372" t="e">
            <v>#DIV/0!</v>
          </cell>
          <cell r="BF372" t="e">
            <v>#DIV/0!</v>
          </cell>
        </row>
        <row r="373">
          <cell r="A373" t="str">
            <v>-0</v>
          </cell>
          <cell r="B373" t="str">
            <v xml:space="preserve">-0  , </v>
          </cell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/>
          <cell r="R373"/>
          <cell r="S373"/>
          <cell r="T373"/>
          <cell r="U373"/>
          <cell r="V373"/>
          <cell r="W373"/>
          <cell r="X373">
            <v>0</v>
          </cell>
          <cell r="Y373">
            <v>0</v>
          </cell>
          <cell r="Z373">
            <v>0</v>
          </cell>
          <cell r="AA373" t="str">
            <v>,</v>
          </cell>
          <cell r="AB373" t="str">
            <v>,</v>
          </cell>
          <cell r="AC373" t="e">
            <v>#DIV/0!</v>
          </cell>
          <cell r="AD373" t="e">
            <v>#DIV/0!</v>
          </cell>
          <cell r="AE373">
            <v>0.71</v>
          </cell>
          <cell r="AF373">
            <v>94.97</v>
          </cell>
          <cell r="AG373">
            <v>0</v>
          </cell>
          <cell r="AH373" t="e">
            <v>#DIV/0!</v>
          </cell>
          <cell r="AI373" t="e">
            <v>#DIV/0!</v>
          </cell>
          <cell r="AJ373" t="e">
            <v>#DIV/0!</v>
          </cell>
          <cell r="AK373" t="e">
            <v>#DIV/0!</v>
          </cell>
          <cell r="AL373" t="e">
            <v>#DIV/0!</v>
          </cell>
          <cell r="AM373" t="e">
            <v>#DIV/0!</v>
          </cell>
          <cell r="AN373" t="e">
            <v>#DIV/0!</v>
          </cell>
          <cell r="AO373" t="e">
            <v>#REF!</v>
          </cell>
          <cell r="AP373" t="e">
            <v>#REF!</v>
          </cell>
          <cell r="AQ373" t="e">
            <v>#REF!</v>
          </cell>
          <cell r="AR373" t="e">
            <v>#REF!</v>
          </cell>
          <cell r="AS373" t="e">
            <v>#REF!</v>
          </cell>
          <cell r="AT373" t="e">
            <v>#REF!</v>
          </cell>
          <cell r="AU373" t="e">
            <v>#REF!</v>
          </cell>
          <cell r="AV373" t="e">
            <v>#REF!</v>
          </cell>
          <cell r="AW373" t="e">
            <v>#DIV/0!</v>
          </cell>
          <cell r="AX373" t="e">
            <v>#DIV/0!</v>
          </cell>
          <cell r="AY373" t="e">
            <v>#DIV/0!</v>
          </cell>
          <cell r="AZ373" t="e">
            <v>#DIV/0!</v>
          </cell>
          <cell r="BE373" t="e">
            <v>#DIV/0!</v>
          </cell>
          <cell r="BF373" t="e">
            <v>#DIV/0!</v>
          </cell>
        </row>
        <row r="374">
          <cell r="A374" t="str">
            <v>-0</v>
          </cell>
          <cell r="B374" t="str">
            <v xml:space="preserve">-0  , </v>
          </cell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O374"/>
          <cell r="P374"/>
          <cell r="Q374"/>
          <cell r="R374"/>
          <cell r="S374"/>
          <cell r="T374"/>
          <cell r="U374"/>
          <cell r="V374"/>
          <cell r="W374"/>
          <cell r="X374">
            <v>0</v>
          </cell>
          <cell r="Y374">
            <v>0</v>
          </cell>
          <cell r="Z374">
            <v>0</v>
          </cell>
          <cell r="AA374" t="str">
            <v>,</v>
          </cell>
          <cell r="AB374" t="str">
            <v>,</v>
          </cell>
          <cell r="AC374" t="e">
            <v>#DIV/0!</v>
          </cell>
          <cell r="AD374" t="e">
            <v>#DIV/0!</v>
          </cell>
          <cell r="AE374">
            <v>0.71</v>
          </cell>
          <cell r="AF374">
            <v>94.97</v>
          </cell>
          <cell r="AG374">
            <v>0</v>
          </cell>
          <cell r="AH374" t="e">
            <v>#DIV/0!</v>
          </cell>
          <cell r="AI374" t="e">
            <v>#DIV/0!</v>
          </cell>
          <cell r="AJ374" t="e">
            <v>#DIV/0!</v>
          </cell>
          <cell r="AK374" t="e">
            <v>#DIV/0!</v>
          </cell>
          <cell r="AL374" t="e">
            <v>#DIV/0!</v>
          </cell>
          <cell r="AM374" t="e">
            <v>#DIV/0!</v>
          </cell>
          <cell r="AN374" t="e">
            <v>#DIV/0!</v>
          </cell>
          <cell r="AO374" t="e">
            <v>#REF!</v>
          </cell>
          <cell r="AP374" t="e">
            <v>#REF!</v>
          </cell>
          <cell r="AQ374" t="e">
            <v>#REF!</v>
          </cell>
          <cell r="AR374" t="e">
            <v>#REF!</v>
          </cell>
          <cell r="AS374" t="e">
            <v>#REF!</v>
          </cell>
          <cell r="AT374" t="e">
            <v>#REF!</v>
          </cell>
          <cell r="AU374" t="e">
            <v>#REF!</v>
          </cell>
          <cell r="AV374" t="e">
            <v>#REF!</v>
          </cell>
          <cell r="AW374" t="e">
            <v>#DIV/0!</v>
          </cell>
          <cell r="AX374" t="e">
            <v>#DIV/0!</v>
          </cell>
          <cell r="AY374" t="e">
            <v>#DIV/0!</v>
          </cell>
          <cell r="AZ374" t="e">
            <v>#DIV/0!</v>
          </cell>
          <cell r="BE374" t="e">
            <v>#DIV/0!</v>
          </cell>
          <cell r="BF374" t="e">
            <v>#DIV/0!</v>
          </cell>
        </row>
        <row r="375">
          <cell r="A375" t="str">
            <v>-0</v>
          </cell>
          <cell r="B375" t="str">
            <v xml:space="preserve">-0  , </v>
          </cell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/>
          <cell r="S375"/>
          <cell r="T375"/>
          <cell r="U375"/>
          <cell r="V375"/>
          <cell r="W375"/>
          <cell r="X375">
            <v>0</v>
          </cell>
          <cell r="Y375">
            <v>0</v>
          </cell>
          <cell r="Z375">
            <v>0</v>
          </cell>
          <cell r="AA375" t="str">
            <v>,</v>
          </cell>
          <cell r="AB375" t="str">
            <v>,</v>
          </cell>
          <cell r="AC375" t="e">
            <v>#DIV/0!</v>
          </cell>
          <cell r="AD375" t="e">
            <v>#DIV/0!</v>
          </cell>
          <cell r="AE375">
            <v>0.71</v>
          </cell>
          <cell r="AF375">
            <v>94.97</v>
          </cell>
          <cell r="AG375">
            <v>0</v>
          </cell>
          <cell r="AH375" t="e">
            <v>#DIV/0!</v>
          </cell>
          <cell r="AI375" t="e">
            <v>#DIV/0!</v>
          </cell>
          <cell r="AJ375" t="e">
            <v>#DIV/0!</v>
          </cell>
          <cell r="AK375" t="e">
            <v>#DIV/0!</v>
          </cell>
          <cell r="AL375" t="e">
            <v>#DIV/0!</v>
          </cell>
          <cell r="AM375" t="e">
            <v>#DIV/0!</v>
          </cell>
          <cell r="AN375" t="e">
            <v>#DIV/0!</v>
          </cell>
          <cell r="AO375" t="e">
            <v>#REF!</v>
          </cell>
          <cell r="AP375" t="e">
            <v>#REF!</v>
          </cell>
          <cell r="AQ375" t="e">
            <v>#REF!</v>
          </cell>
          <cell r="AR375" t="e">
            <v>#REF!</v>
          </cell>
          <cell r="AS375" t="e">
            <v>#REF!</v>
          </cell>
          <cell r="AT375" t="e">
            <v>#REF!</v>
          </cell>
          <cell r="AU375" t="e">
            <v>#REF!</v>
          </cell>
          <cell r="AV375" t="e">
            <v>#REF!</v>
          </cell>
          <cell r="AW375" t="e">
            <v>#DIV/0!</v>
          </cell>
          <cell r="AX375" t="e">
            <v>#DIV/0!</v>
          </cell>
          <cell r="AY375" t="e">
            <v>#DIV/0!</v>
          </cell>
          <cell r="AZ375" t="e">
            <v>#DIV/0!</v>
          </cell>
          <cell r="BE375" t="e">
            <v>#DIV/0!</v>
          </cell>
          <cell r="BF375" t="e">
            <v>#DIV/0!</v>
          </cell>
        </row>
        <row r="376">
          <cell r="A376" t="str">
            <v>-0</v>
          </cell>
          <cell r="B376" t="str">
            <v xml:space="preserve">-0  , </v>
          </cell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  <cell r="X376">
            <v>0</v>
          </cell>
          <cell r="Y376">
            <v>0</v>
          </cell>
          <cell r="Z376">
            <v>0</v>
          </cell>
          <cell r="AA376" t="str">
            <v>,</v>
          </cell>
          <cell r="AB376" t="str">
            <v>,</v>
          </cell>
          <cell r="AC376" t="e">
            <v>#DIV/0!</v>
          </cell>
          <cell r="AD376" t="e">
            <v>#DIV/0!</v>
          </cell>
          <cell r="AE376">
            <v>0.71</v>
          </cell>
          <cell r="AF376">
            <v>94.97</v>
          </cell>
          <cell r="AG376">
            <v>0</v>
          </cell>
          <cell r="AH376" t="e">
            <v>#DIV/0!</v>
          </cell>
          <cell r="AI376" t="e">
            <v>#DIV/0!</v>
          </cell>
          <cell r="AJ376" t="e">
            <v>#DIV/0!</v>
          </cell>
          <cell r="AK376" t="e">
            <v>#DIV/0!</v>
          </cell>
          <cell r="AL376" t="e">
            <v>#DIV/0!</v>
          </cell>
          <cell r="AM376" t="e">
            <v>#DIV/0!</v>
          </cell>
          <cell r="AN376" t="e">
            <v>#DIV/0!</v>
          </cell>
          <cell r="AO376" t="e">
            <v>#REF!</v>
          </cell>
          <cell r="AP376" t="e">
            <v>#REF!</v>
          </cell>
          <cell r="AQ376" t="e">
            <v>#REF!</v>
          </cell>
          <cell r="AR376" t="e">
            <v>#REF!</v>
          </cell>
          <cell r="AS376" t="e">
            <v>#REF!</v>
          </cell>
          <cell r="AT376" t="e">
            <v>#REF!</v>
          </cell>
          <cell r="AU376" t="e">
            <v>#REF!</v>
          </cell>
          <cell r="AV376" t="e">
            <v>#REF!</v>
          </cell>
          <cell r="AW376" t="e">
            <v>#DIV/0!</v>
          </cell>
          <cell r="AX376" t="e">
            <v>#DIV/0!</v>
          </cell>
          <cell r="AY376" t="e">
            <v>#DIV/0!</v>
          </cell>
          <cell r="AZ376" t="e">
            <v>#DIV/0!</v>
          </cell>
          <cell r="BE376" t="e">
            <v>#DIV/0!</v>
          </cell>
          <cell r="BF376" t="e">
            <v>#DIV/0!</v>
          </cell>
        </row>
        <row r="377">
          <cell r="A377" t="str">
            <v>-0</v>
          </cell>
          <cell r="B377" t="str">
            <v xml:space="preserve">-0  , </v>
          </cell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O377"/>
          <cell r="P377"/>
          <cell r="Q377"/>
          <cell r="R377"/>
          <cell r="S377"/>
          <cell r="T377"/>
          <cell r="U377"/>
          <cell r="V377"/>
          <cell r="W377"/>
          <cell r="X377">
            <v>0</v>
          </cell>
          <cell r="Y377">
            <v>0</v>
          </cell>
          <cell r="Z377">
            <v>0</v>
          </cell>
          <cell r="AA377" t="str">
            <v>,</v>
          </cell>
          <cell r="AB377" t="str">
            <v>,</v>
          </cell>
          <cell r="AC377" t="e">
            <v>#DIV/0!</v>
          </cell>
          <cell r="AD377" t="e">
            <v>#DIV/0!</v>
          </cell>
          <cell r="AE377">
            <v>0.71</v>
          </cell>
          <cell r="AF377">
            <v>94.97</v>
          </cell>
          <cell r="AG377">
            <v>0</v>
          </cell>
          <cell r="AH377" t="e">
            <v>#DIV/0!</v>
          </cell>
          <cell r="AI377" t="e">
            <v>#DIV/0!</v>
          </cell>
          <cell r="AJ377" t="e">
            <v>#DIV/0!</v>
          </cell>
          <cell r="AK377" t="e">
            <v>#DIV/0!</v>
          </cell>
          <cell r="AL377" t="e">
            <v>#DIV/0!</v>
          </cell>
          <cell r="AM377" t="e">
            <v>#DIV/0!</v>
          </cell>
          <cell r="AN377" t="e">
            <v>#DIV/0!</v>
          </cell>
          <cell r="AO377" t="e">
            <v>#REF!</v>
          </cell>
          <cell r="AP377" t="e">
            <v>#REF!</v>
          </cell>
          <cell r="AQ377" t="e">
            <v>#REF!</v>
          </cell>
          <cell r="AR377" t="e">
            <v>#REF!</v>
          </cell>
          <cell r="AS377" t="e">
            <v>#REF!</v>
          </cell>
          <cell r="AT377" t="e">
            <v>#REF!</v>
          </cell>
          <cell r="AU377" t="e">
            <v>#REF!</v>
          </cell>
          <cell r="AV377" t="e">
            <v>#REF!</v>
          </cell>
          <cell r="AW377" t="e">
            <v>#DIV/0!</v>
          </cell>
          <cell r="AX377" t="e">
            <v>#DIV/0!</v>
          </cell>
          <cell r="AY377" t="e">
            <v>#DIV/0!</v>
          </cell>
          <cell r="AZ377" t="e">
            <v>#DIV/0!</v>
          </cell>
          <cell r="BE377" t="e">
            <v>#DIV/0!</v>
          </cell>
          <cell r="BF377" t="e">
            <v>#DIV/0!</v>
          </cell>
        </row>
        <row r="378">
          <cell r="A378" t="str">
            <v>-0</v>
          </cell>
          <cell r="B378" t="str">
            <v xml:space="preserve">-0  , </v>
          </cell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/>
          <cell r="S378"/>
          <cell r="T378"/>
          <cell r="U378"/>
          <cell r="V378"/>
          <cell r="W378"/>
          <cell r="X378">
            <v>0</v>
          </cell>
          <cell r="Y378">
            <v>0</v>
          </cell>
          <cell r="Z378">
            <v>0</v>
          </cell>
          <cell r="AA378" t="str">
            <v>,</v>
          </cell>
          <cell r="AB378" t="str">
            <v>,</v>
          </cell>
          <cell r="AC378" t="e">
            <v>#DIV/0!</v>
          </cell>
          <cell r="AD378" t="e">
            <v>#DIV/0!</v>
          </cell>
          <cell r="AE378">
            <v>0.71</v>
          </cell>
          <cell r="AF378">
            <v>94.97</v>
          </cell>
          <cell r="AG378">
            <v>0</v>
          </cell>
          <cell r="AH378" t="e">
            <v>#DIV/0!</v>
          </cell>
          <cell r="AI378" t="e">
            <v>#DIV/0!</v>
          </cell>
          <cell r="AJ378" t="e">
            <v>#DIV/0!</v>
          </cell>
          <cell r="AK378" t="e">
            <v>#DIV/0!</v>
          </cell>
          <cell r="AL378" t="e">
            <v>#DIV/0!</v>
          </cell>
          <cell r="AM378" t="e">
            <v>#DIV/0!</v>
          </cell>
          <cell r="AN378" t="e">
            <v>#DIV/0!</v>
          </cell>
          <cell r="AO378" t="e">
            <v>#REF!</v>
          </cell>
          <cell r="AP378" t="e">
            <v>#REF!</v>
          </cell>
          <cell r="AQ378" t="e">
            <v>#REF!</v>
          </cell>
          <cell r="AR378" t="e">
            <v>#REF!</v>
          </cell>
          <cell r="AS378" t="e">
            <v>#REF!</v>
          </cell>
          <cell r="AT378" t="e">
            <v>#REF!</v>
          </cell>
          <cell r="AU378" t="e">
            <v>#REF!</v>
          </cell>
          <cell r="AV378" t="e">
            <v>#REF!</v>
          </cell>
          <cell r="AW378" t="e">
            <v>#DIV/0!</v>
          </cell>
          <cell r="AX378" t="e">
            <v>#DIV/0!</v>
          </cell>
          <cell r="AY378" t="e">
            <v>#DIV/0!</v>
          </cell>
          <cell r="AZ378" t="e">
            <v>#DIV/0!</v>
          </cell>
          <cell r="BE378" t="e">
            <v>#DIV/0!</v>
          </cell>
          <cell r="BF378" t="e">
            <v>#DIV/0!</v>
          </cell>
        </row>
        <row r="379">
          <cell r="A379" t="str">
            <v>-0</v>
          </cell>
          <cell r="B379" t="str">
            <v xml:space="preserve">-0  , </v>
          </cell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O379"/>
          <cell r="P379"/>
          <cell r="Q379"/>
          <cell r="R379"/>
          <cell r="S379"/>
          <cell r="T379"/>
          <cell r="U379"/>
          <cell r="V379"/>
          <cell r="W379"/>
          <cell r="X379">
            <v>0</v>
          </cell>
          <cell r="Y379">
            <v>0</v>
          </cell>
          <cell r="Z379">
            <v>0</v>
          </cell>
          <cell r="AA379" t="str">
            <v>,</v>
          </cell>
          <cell r="AB379" t="str">
            <v>,</v>
          </cell>
          <cell r="AC379" t="e">
            <v>#DIV/0!</v>
          </cell>
          <cell r="AD379" t="e">
            <v>#DIV/0!</v>
          </cell>
          <cell r="AE379">
            <v>0.71</v>
          </cell>
          <cell r="AF379">
            <v>94.97</v>
          </cell>
          <cell r="AG379">
            <v>0</v>
          </cell>
          <cell r="AH379" t="e">
            <v>#DIV/0!</v>
          </cell>
          <cell r="AI379" t="e">
            <v>#DIV/0!</v>
          </cell>
          <cell r="AJ379" t="e">
            <v>#DIV/0!</v>
          </cell>
          <cell r="AK379" t="e">
            <v>#DIV/0!</v>
          </cell>
          <cell r="AL379" t="e">
            <v>#DIV/0!</v>
          </cell>
          <cell r="AM379" t="e">
            <v>#DIV/0!</v>
          </cell>
          <cell r="AN379" t="e">
            <v>#DIV/0!</v>
          </cell>
          <cell r="AO379" t="e">
            <v>#REF!</v>
          </cell>
          <cell r="AP379" t="e">
            <v>#REF!</v>
          </cell>
          <cell r="AQ379" t="e">
            <v>#REF!</v>
          </cell>
          <cell r="AR379" t="e">
            <v>#REF!</v>
          </cell>
          <cell r="AS379" t="e">
            <v>#REF!</v>
          </cell>
          <cell r="AT379" t="e">
            <v>#REF!</v>
          </cell>
          <cell r="AU379" t="e">
            <v>#REF!</v>
          </cell>
          <cell r="AV379" t="e">
            <v>#REF!</v>
          </cell>
          <cell r="AW379" t="e">
            <v>#DIV/0!</v>
          </cell>
          <cell r="AX379" t="e">
            <v>#DIV/0!</v>
          </cell>
          <cell r="AY379" t="e">
            <v>#DIV/0!</v>
          </cell>
          <cell r="AZ379" t="e">
            <v>#DIV/0!</v>
          </cell>
          <cell r="BE379" t="e">
            <v>#DIV/0!</v>
          </cell>
          <cell r="BF379" t="e">
            <v>#DIV/0!</v>
          </cell>
        </row>
        <row r="380">
          <cell r="A380" t="str">
            <v>-0</v>
          </cell>
          <cell r="B380" t="str">
            <v xml:space="preserve">-0  , </v>
          </cell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  <cell r="X380">
            <v>0</v>
          </cell>
          <cell r="Y380">
            <v>0</v>
          </cell>
          <cell r="Z380">
            <v>0</v>
          </cell>
          <cell r="AA380" t="str">
            <v>,</v>
          </cell>
          <cell r="AB380" t="str">
            <v>,</v>
          </cell>
          <cell r="AC380" t="e">
            <v>#DIV/0!</v>
          </cell>
          <cell r="AD380" t="e">
            <v>#DIV/0!</v>
          </cell>
          <cell r="AE380">
            <v>0.71</v>
          </cell>
          <cell r="AF380">
            <v>94.97</v>
          </cell>
          <cell r="AG380">
            <v>0</v>
          </cell>
          <cell r="AH380" t="e">
            <v>#DIV/0!</v>
          </cell>
          <cell r="AI380" t="e">
            <v>#DIV/0!</v>
          </cell>
          <cell r="AJ380" t="e">
            <v>#DIV/0!</v>
          </cell>
          <cell r="AK380" t="e">
            <v>#DIV/0!</v>
          </cell>
          <cell r="AL380" t="e">
            <v>#DIV/0!</v>
          </cell>
          <cell r="AM380" t="e">
            <v>#DIV/0!</v>
          </cell>
          <cell r="AN380" t="e">
            <v>#DIV/0!</v>
          </cell>
          <cell r="AO380" t="e">
            <v>#REF!</v>
          </cell>
          <cell r="AP380" t="e">
            <v>#REF!</v>
          </cell>
          <cell r="AQ380" t="e">
            <v>#REF!</v>
          </cell>
          <cell r="AR380" t="e">
            <v>#REF!</v>
          </cell>
          <cell r="AS380" t="e">
            <v>#REF!</v>
          </cell>
          <cell r="AT380" t="e">
            <v>#REF!</v>
          </cell>
          <cell r="AU380" t="e">
            <v>#REF!</v>
          </cell>
          <cell r="AV380" t="e">
            <v>#REF!</v>
          </cell>
          <cell r="AW380" t="e">
            <v>#DIV/0!</v>
          </cell>
          <cell r="AX380" t="e">
            <v>#DIV/0!</v>
          </cell>
          <cell r="AY380" t="e">
            <v>#DIV/0!</v>
          </cell>
          <cell r="AZ380" t="e">
            <v>#DIV/0!</v>
          </cell>
          <cell r="BE380" t="e">
            <v>#DIV/0!</v>
          </cell>
          <cell r="BF380" t="e">
            <v>#DIV/0!</v>
          </cell>
        </row>
        <row r="381">
          <cell r="A381" t="str">
            <v>-0</v>
          </cell>
          <cell r="B381" t="str">
            <v xml:space="preserve">-0  , </v>
          </cell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  <cell r="X381">
            <v>0</v>
          </cell>
          <cell r="Y381">
            <v>0</v>
          </cell>
          <cell r="Z381">
            <v>0</v>
          </cell>
          <cell r="AA381" t="str">
            <v>,</v>
          </cell>
          <cell r="AB381" t="str">
            <v>,</v>
          </cell>
          <cell r="AC381" t="e">
            <v>#DIV/0!</v>
          </cell>
          <cell r="AD381" t="e">
            <v>#DIV/0!</v>
          </cell>
          <cell r="AE381">
            <v>0.71</v>
          </cell>
          <cell r="AF381">
            <v>94.97</v>
          </cell>
          <cell r="AG381">
            <v>0</v>
          </cell>
          <cell r="AH381" t="e">
            <v>#DIV/0!</v>
          </cell>
          <cell r="AI381" t="e">
            <v>#DIV/0!</v>
          </cell>
          <cell r="AJ381" t="e">
            <v>#DIV/0!</v>
          </cell>
          <cell r="AK381" t="e">
            <v>#DIV/0!</v>
          </cell>
          <cell r="AL381" t="e">
            <v>#DIV/0!</v>
          </cell>
          <cell r="AM381" t="e">
            <v>#DIV/0!</v>
          </cell>
          <cell r="AN381" t="e">
            <v>#DIV/0!</v>
          </cell>
          <cell r="AO381" t="e">
            <v>#REF!</v>
          </cell>
          <cell r="AP381" t="e">
            <v>#REF!</v>
          </cell>
          <cell r="AQ381" t="e">
            <v>#REF!</v>
          </cell>
          <cell r="AR381" t="e">
            <v>#REF!</v>
          </cell>
          <cell r="AS381" t="e">
            <v>#REF!</v>
          </cell>
          <cell r="AT381" t="e">
            <v>#REF!</v>
          </cell>
          <cell r="AU381" t="e">
            <v>#REF!</v>
          </cell>
          <cell r="AV381" t="e">
            <v>#REF!</v>
          </cell>
          <cell r="AW381" t="e">
            <v>#DIV/0!</v>
          </cell>
          <cell r="AX381" t="e">
            <v>#DIV/0!</v>
          </cell>
          <cell r="AY381" t="e">
            <v>#DIV/0!</v>
          </cell>
          <cell r="AZ381" t="e">
            <v>#DIV/0!</v>
          </cell>
          <cell r="BE381" t="e">
            <v>#DIV/0!</v>
          </cell>
          <cell r="BF381" t="e">
            <v>#DIV/0!</v>
          </cell>
        </row>
        <row r="382">
          <cell r="A382" t="str">
            <v>-0</v>
          </cell>
          <cell r="B382" t="str">
            <v xml:space="preserve">-0  , </v>
          </cell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/>
          <cell r="S382"/>
          <cell r="T382"/>
          <cell r="U382"/>
          <cell r="V382"/>
          <cell r="W382"/>
          <cell r="X382">
            <v>0</v>
          </cell>
          <cell r="Y382">
            <v>0</v>
          </cell>
          <cell r="Z382">
            <v>0</v>
          </cell>
          <cell r="AA382" t="str">
            <v>,</v>
          </cell>
          <cell r="AB382" t="str">
            <v>,</v>
          </cell>
          <cell r="AC382" t="e">
            <v>#DIV/0!</v>
          </cell>
          <cell r="AD382" t="e">
            <v>#DIV/0!</v>
          </cell>
          <cell r="AE382">
            <v>0.71</v>
          </cell>
          <cell r="AF382">
            <v>94.97</v>
          </cell>
          <cell r="AG382">
            <v>0</v>
          </cell>
          <cell r="AH382" t="e">
            <v>#DIV/0!</v>
          </cell>
          <cell r="AI382" t="e">
            <v>#DIV/0!</v>
          </cell>
          <cell r="AJ382" t="e">
            <v>#DIV/0!</v>
          </cell>
          <cell r="AK382" t="e">
            <v>#DIV/0!</v>
          </cell>
          <cell r="AL382" t="e">
            <v>#DIV/0!</v>
          </cell>
          <cell r="AM382" t="e">
            <v>#DIV/0!</v>
          </cell>
          <cell r="AN382" t="e">
            <v>#DIV/0!</v>
          </cell>
          <cell r="AO382" t="e">
            <v>#REF!</v>
          </cell>
          <cell r="AP382" t="e">
            <v>#REF!</v>
          </cell>
          <cell r="AQ382" t="e">
            <v>#REF!</v>
          </cell>
          <cell r="AR382" t="e">
            <v>#REF!</v>
          </cell>
          <cell r="AS382" t="e">
            <v>#REF!</v>
          </cell>
          <cell r="AT382" t="e">
            <v>#REF!</v>
          </cell>
          <cell r="AU382" t="e">
            <v>#REF!</v>
          </cell>
          <cell r="AV382" t="e">
            <v>#REF!</v>
          </cell>
          <cell r="AW382" t="e">
            <v>#DIV/0!</v>
          </cell>
          <cell r="AX382" t="e">
            <v>#DIV/0!</v>
          </cell>
          <cell r="AY382" t="e">
            <v>#DIV/0!</v>
          </cell>
          <cell r="AZ382" t="e">
            <v>#DIV/0!</v>
          </cell>
          <cell r="BE382" t="e">
            <v>#DIV/0!</v>
          </cell>
          <cell r="BF382" t="e">
            <v>#DIV/0!</v>
          </cell>
        </row>
        <row r="383">
          <cell r="A383" t="str">
            <v>-0</v>
          </cell>
          <cell r="B383" t="str">
            <v xml:space="preserve">-0  , </v>
          </cell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  <cell r="X383">
            <v>0</v>
          </cell>
          <cell r="Y383">
            <v>0</v>
          </cell>
          <cell r="Z383">
            <v>0</v>
          </cell>
          <cell r="AA383" t="str">
            <v>,</v>
          </cell>
          <cell r="AB383" t="str">
            <v>,</v>
          </cell>
          <cell r="AC383" t="e">
            <v>#DIV/0!</v>
          </cell>
          <cell r="AD383" t="e">
            <v>#DIV/0!</v>
          </cell>
          <cell r="AE383">
            <v>0.71</v>
          </cell>
          <cell r="AF383">
            <v>94.97</v>
          </cell>
          <cell r="AG383">
            <v>0</v>
          </cell>
          <cell r="AH383" t="e">
            <v>#DIV/0!</v>
          </cell>
          <cell r="AI383" t="e">
            <v>#DIV/0!</v>
          </cell>
          <cell r="AJ383" t="e">
            <v>#DIV/0!</v>
          </cell>
          <cell r="AK383" t="e">
            <v>#DIV/0!</v>
          </cell>
          <cell r="AL383" t="e">
            <v>#DIV/0!</v>
          </cell>
          <cell r="AM383" t="e">
            <v>#DIV/0!</v>
          </cell>
          <cell r="AN383" t="e">
            <v>#DIV/0!</v>
          </cell>
          <cell r="AO383" t="e">
            <v>#REF!</v>
          </cell>
          <cell r="AP383" t="e">
            <v>#REF!</v>
          </cell>
          <cell r="AQ383" t="e">
            <v>#REF!</v>
          </cell>
          <cell r="AR383" t="e">
            <v>#REF!</v>
          </cell>
          <cell r="AS383" t="e">
            <v>#REF!</v>
          </cell>
          <cell r="AT383" t="e">
            <v>#REF!</v>
          </cell>
          <cell r="AU383" t="e">
            <v>#REF!</v>
          </cell>
          <cell r="AV383" t="e">
            <v>#REF!</v>
          </cell>
          <cell r="AW383" t="e">
            <v>#DIV/0!</v>
          </cell>
          <cell r="AX383" t="e">
            <v>#DIV/0!</v>
          </cell>
          <cell r="AY383" t="e">
            <v>#DIV/0!</v>
          </cell>
          <cell r="AZ383" t="e">
            <v>#DIV/0!</v>
          </cell>
          <cell r="BE383" t="e">
            <v>#DIV/0!</v>
          </cell>
          <cell r="BF383" t="e">
            <v>#DIV/0!</v>
          </cell>
        </row>
        <row r="384">
          <cell r="A384" t="str">
            <v>-0</v>
          </cell>
          <cell r="B384" t="str">
            <v xml:space="preserve">-0  , </v>
          </cell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  <cell r="X384">
            <v>0</v>
          </cell>
          <cell r="Y384">
            <v>0</v>
          </cell>
          <cell r="Z384">
            <v>0</v>
          </cell>
          <cell r="AA384" t="str">
            <v>,</v>
          </cell>
          <cell r="AB384" t="str">
            <v>,</v>
          </cell>
          <cell r="AC384" t="e">
            <v>#DIV/0!</v>
          </cell>
          <cell r="AD384" t="e">
            <v>#DIV/0!</v>
          </cell>
          <cell r="AE384">
            <v>0.71</v>
          </cell>
          <cell r="AF384">
            <v>94.97</v>
          </cell>
          <cell r="AG384">
            <v>0</v>
          </cell>
          <cell r="AH384" t="e">
            <v>#DIV/0!</v>
          </cell>
          <cell r="AI384" t="e">
            <v>#DIV/0!</v>
          </cell>
          <cell r="AJ384" t="e">
            <v>#DIV/0!</v>
          </cell>
          <cell r="AK384" t="e">
            <v>#DIV/0!</v>
          </cell>
          <cell r="AL384" t="e">
            <v>#DIV/0!</v>
          </cell>
          <cell r="AM384" t="e">
            <v>#DIV/0!</v>
          </cell>
          <cell r="AN384" t="e">
            <v>#DIV/0!</v>
          </cell>
          <cell r="AO384" t="e">
            <v>#REF!</v>
          </cell>
          <cell r="AP384" t="e">
            <v>#REF!</v>
          </cell>
          <cell r="AQ384" t="e">
            <v>#REF!</v>
          </cell>
          <cell r="AR384" t="e">
            <v>#REF!</v>
          </cell>
          <cell r="AS384" t="e">
            <v>#REF!</v>
          </cell>
          <cell r="AT384" t="e">
            <v>#REF!</v>
          </cell>
          <cell r="AU384" t="e">
            <v>#REF!</v>
          </cell>
          <cell r="AV384" t="e">
            <v>#REF!</v>
          </cell>
          <cell r="AW384" t="e">
            <v>#DIV/0!</v>
          </cell>
          <cell r="AX384" t="e">
            <v>#DIV/0!</v>
          </cell>
          <cell r="AY384" t="e">
            <v>#DIV/0!</v>
          </cell>
          <cell r="AZ384" t="e">
            <v>#DIV/0!</v>
          </cell>
          <cell r="BE384" t="e">
            <v>#DIV/0!</v>
          </cell>
          <cell r="BF384" t="e">
            <v>#DIV/0!</v>
          </cell>
        </row>
        <row r="385">
          <cell r="A385" t="str">
            <v>-0</v>
          </cell>
          <cell r="B385" t="str">
            <v xml:space="preserve">-0  , </v>
          </cell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  <cell r="X385">
            <v>0</v>
          </cell>
          <cell r="Y385">
            <v>0</v>
          </cell>
          <cell r="Z385">
            <v>0</v>
          </cell>
          <cell r="AA385" t="str">
            <v>,</v>
          </cell>
          <cell r="AB385" t="str">
            <v>,</v>
          </cell>
          <cell r="AC385" t="e">
            <v>#DIV/0!</v>
          </cell>
          <cell r="AD385" t="e">
            <v>#DIV/0!</v>
          </cell>
          <cell r="AE385">
            <v>0.71</v>
          </cell>
          <cell r="AF385">
            <v>94.97</v>
          </cell>
          <cell r="AG385">
            <v>0</v>
          </cell>
          <cell r="AH385" t="e">
            <v>#DIV/0!</v>
          </cell>
          <cell r="AI385" t="e">
            <v>#DIV/0!</v>
          </cell>
          <cell r="AJ385" t="e">
            <v>#DIV/0!</v>
          </cell>
          <cell r="AK385" t="e">
            <v>#DIV/0!</v>
          </cell>
          <cell r="AL385" t="e">
            <v>#DIV/0!</v>
          </cell>
          <cell r="AM385" t="e">
            <v>#DIV/0!</v>
          </cell>
          <cell r="AN385" t="e">
            <v>#DIV/0!</v>
          </cell>
          <cell r="AO385" t="e">
            <v>#REF!</v>
          </cell>
          <cell r="AP385" t="e">
            <v>#REF!</v>
          </cell>
          <cell r="AQ385" t="e">
            <v>#REF!</v>
          </cell>
          <cell r="AR385" t="e">
            <v>#REF!</v>
          </cell>
          <cell r="AS385" t="e">
            <v>#REF!</v>
          </cell>
          <cell r="AT385" t="e">
            <v>#REF!</v>
          </cell>
          <cell r="AU385" t="e">
            <v>#REF!</v>
          </cell>
          <cell r="AV385" t="e">
            <v>#REF!</v>
          </cell>
          <cell r="AW385" t="e">
            <v>#DIV/0!</v>
          </cell>
          <cell r="AX385" t="e">
            <v>#DIV/0!</v>
          </cell>
          <cell r="AY385" t="e">
            <v>#DIV/0!</v>
          </cell>
          <cell r="AZ385" t="e">
            <v>#DIV/0!</v>
          </cell>
          <cell r="BE385" t="e">
            <v>#DIV/0!</v>
          </cell>
          <cell r="BF385" t="e">
            <v>#DIV/0!</v>
          </cell>
        </row>
        <row r="386">
          <cell r="A386" t="str">
            <v>-0</v>
          </cell>
          <cell r="B386" t="str">
            <v xml:space="preserve">-0  , </v>
          </cell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O386"/>
          <cell r="P386"/>
          <cell r="Q386"/>
          <cell r="R386"/>
          <cell r="S386"/>
          <cell r="T386"/>
          <cell r="U386"/>
          <cell r="V386"/>
          <cell r="W386"/>
          <cell r="X386">
            <v>0</v>
          </cell>
          <cell r="Y386">
            <v>0</v>
          </cell>
          <cell r="Z386">
            <v>0</v>
          </cell>
          <cell r="AA386" t="str">
            <v>,</v>
          </cell>
          <cell r="AB386" t="str">
            <v>,</v>
          </cell>
          <cell r="AC386" t="e">
            <v>#DIV/0!</v>
          </cell>
          <cell r="AD386" t="e">
            <v>#DIV/0!</v>
          </cell>
          <cell r="AE386">
            <v>0.71</v>
          </cell>
          <cell r="AF386">
            <v>94.97</v>
          </cell>
          <cell r="AG386">
            <v>0</v>
          </cell>
          <cell r="AH386" t="e">
            <v>#DIV/0!</v>
          </cell>
          <cell r="AI386" t="e">
            <v>#DIV/0!</v>
          </cell>
          <cell r="AJ386" t="e">
            <v>#DIV/0!</v>
          </cell>
          <cell r="AK386" t="e">
            <v>#DIV/0!</v>
          </cell>
          <cell r="AL386" t="e">
            <v>#DIV/0!</v>
          </cell>
          <cell r="AM386" t="e">
            <v>#DIV/0!</v>
          </cell>
          <cell r="AN386" t="e">
            <v>#DIV/0!</v>
          </cell>
          <cell r="AO386" t="e">
            <v>#REF!</v>
          </cell>
          <cell r="AP386" t="e">
            <v>#REF!</v>
          </cell>
          <cell r="AQ386" t="e">
            <v>#REF!</v>
          </cell>
          <cell r="AR386" t="e">
            <v>#REF!</v>
          </cell>
          <cell r="AS386" t="e">
            <v>#REF!</v>
          </cell>
          <cell r="AT386" t="e">
            <v>#REF!</v>
          </cell>
          <cell r="AU386" t="e">
            <v>#REF!</v>
          </cell>
          <cell r="AV386" t="e">
            <v>#REF!</v>
          </cell>
          <cell r="AW386" t="e">
            <v>#DIV/0!</v>
          </cell>
          <cell r="AX386" t="e">
            <v>#DIV/0!</v>
          </cell>
          <cell r="AY386" t="e">
            <v>#DIV/0!</v>
          </cell>
          <cell r="AZ386" t="e">
            <v>#DIV/0!</v>
          </cell>
          <cell r="BE386" t="e">
            <v>#DIV/0!</v>
          </cell>
          <cell r="BF386" t="e">
            <v>#DIV/0!</v>
          </cell>
        </row>
        <row r="387">
          <cell r="A387" t="str">
            <v>-0</v>
          </cell>
          <cell r="B387" t="str">
            <v xml:space="preserve">-0  , </v>
          </cell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O387"/>
          <cell r="P387"/>
          <cell r="Q387"/>
          <cell r="R387"/>
          <cell r="S387"/>
          <cell r="T387"/>
          <cell r="U387"/>
          <cell r="V387"/>
          <cell r="W387"/>
          <cell r="X387">
            <v>0</v>
          </cell>
          <cell r="Y387">
            <v>0</v>
          </cell>
          <cell r="Z387">
            <v>0</v>
          </cell>
          <cell r="AA387" t="str">
            <v>,</v>
          </cell>
          <cell r="AB387" t="str">
            <v>,</v>
          </cell>
          <cell r="AC387" t="e">
            <v>#DIV/0!</v>
          </cell>
          <cell r="AD387" t="e">
            <v>#DIV/0!</v>
          </cell>
          <cell r="AE387">
            <v>0.71</v>
          </cell>
          <cell r="AF387">
            <v>94.97</v>
          </cell>
          <cell r="AG387">
            <v>0</v>
          </cell>
          <cell r="AH387" t="e">
            <v>#DIV/0!</v>
          </cell>
          <cell r="AI387" t="e">
            <v>#DIV/0!</v>
          </cell>
          <cell r="AJ387" t="e">
            <v>#DIV/0!</v>
          </cell>
          <cell r="AK387" t="e">
            <v>#DIV/0!</v>
          </cell>
          <cell r="AL387" t="e">
            <v>#DIV/0!</v>
          </cell>
          <cell r="AM387" t="e">
            <v>#DIV/0!</v>
          </cell>
          <cell r="AN387" t="e">
            <v>#DIV/0!</v>
          </cell>
          <cell r="AO387" t="e">
            <v>#REF!</v>
          </cell>
          <cell r="AP387" t="e">
            <v>#REF!</v>
          </cell>
          <cell r="AQ387" t="e">
            <v>#REF!</v>
          </cell>
          <cell r="AR387" t="e">
            <v>#REF!</v>
          </cell>
          <cell r="AS387" t="e">
            <v>#REF!</v>
          </cell>
          <cell r="AT387" t="e">
            <v>#REF!</v>
          </cell>
          <cell r="AU387" t="e">
            <v>#REF!</v>
          </cell>
          <cell r="AV387" t="e">
            <v>#REF!</v>
          </cell>
          <cell r="AW387" t="e">
            <v>#DIV/0!</v>
          </cell>
          <cell r="AX387" t="e">
            <v>#DIV/0!</v>
          </cell>
          <cell r="AY387" t="e">
            <v>#DIV/0!</v>
          </cell>
          <cell r="AZ387" t="e">
            <v>#DIV/0!</v>
          </cell>
          <cell r="BE387" t="e">
            <v>#DIV/0!</v>
          </cell>
          <cell r="BF387" t="e">
            <v>#DIV/0!</v>
          </cell>
        </row>
        <row r="388">
          <cell r="A388" t="str">
            <v>-0</v>
          </cell>
          <cell r="B388" t="str">
            <v xml:space="preserve">-0  , </v>
          </cell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O388"/>
          <cell r="P388"/>
          <cell r="Q388"/>
          <cell r="R388"/>
          <cell r="S388"/>
          <cell r="T388"/>
          <cell r="U388"/>
          <cell r="V388"/>
          <cell r="W388"/>
          <cell r="X388">
            <v>0</v>
          </cell>
          <cell r="Y388">
            <v>0</v>
          </cell>
          <cell r="Z388">
            <v>0</v>
          </cell>
          <cell r="AA388" t="str">
            <v>,</v>
          </cell>
          <cell r="AB388" t="str">
            <v>,</v>
          </cell>
          <cell r="AC388" t="e">
            <v>#DIV/0!</v>
          </cell>
          <cell r="AD388" t="e">
            <v>#DIV/0!</v>
          </cell>
          <cell r="AE388">
            <v>0.71</v>
          </cell>
          <cell r="AF388">
            <v>94.97</v>
          </cell>
          <cell r="AG388">
            <v>0</v>
          </cell>
          <cell r="AH388" t="e">
            <v>#DIV/0!</v>
          </cell>
          <cell r="AI388" t="e">
            <v>#DIV/0!</v>
          </cell>
          <cell r="AJ388" t="e">
            <v>#DIV/0!</v>
          </cell>
          <cell r="AK388" t="e">
            <v>#DIV/0!</v>
          </cell>
          <cell r="AL388" t="e">
            <v>#DIV/0!</v>
          </cell>
          <cell r="AM388" t="e">
            <v>#DIV/0!</v>
          </cell>
          <cell r="AN388" t="e">
            <v>#DIV/0!</v>
          </cell>
          <cell r="AO388" t="e">
            <v>#REF!</v>
          </cell>
          <cell r="AP388" t="e">
            <v>#REF!</v>
          </cell>
          <cell r="AQ388" t="e">
            <v>#REF!</v>
          </cell>
          <cell r="AR388" t="e">
            <v>#REF!</v>
          </cell>
          <cell r="AS388" t="e">
            <v>#REF!</v>
          </cell>
          <cell r="AT388" t="e">
            <v>#REF!</v>
          </cell>
          <cell r="AU388" t="e">
            <v>#REF!</v>
          </cell>
          <cell r="AV388" t="e">
            <v>#REF!</v>
          </cell>
          <cell r="AW388" t="e">
            <v>#DIV/0!</v>
          </cell>
          <cell r="AX388" t="e">
            <v>#DIV/0!</v>
          </cell>
          <cell r="AY388" t="e">
            <v>#DIV/0!</v>
          </cell>
          <cell r="AZ388" t="e">
            <v>#DIV/0!</v>
          </cell>
          <cell r="BE388" t="e">
            <v>#DIV/0!</v>
          </cell>
          <cell r="BF388" t="e">
            <v>#DIV/0!</v>
          </cell>
        </row>
        <row r="389">
          <cell r="A389" t="str">
            <v>-0</v>
          </cell>
          <cell r="B389" t="str">
            <v xml:space="preserve">-0  , </v>
          </cell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/>
          <cell r="S389"/>
          <cell r="T389"/>
          <cell r="U389"/>
          <cell r="V389"/>
          <cell r="W389"/>
          <cell r="X389">
            <v>0</v>
          </cell>
          <cell r="Y389">
            <v>0</v>
          </cell>
          <cell r="Z389">
            <v>0</v>
          </cell>
          <cell r="AA389" t="str">
            <v>,</v>
          </cell>
          <cell r="AB389" t="str">
            <v>,</v>
          </cell>
          <cell r="AC389" t="e">
            <v>#DIV/0!</v>
          </cell>
          <cell r="AD389" t="e">
            <v>#DIV/0!</v>
          </cell>
          <cell r="AE389">
            <v>0.71</v>
          </cell>
          <cell r="AF389">
            <v>94.97</v>
          </cell>
          <cell r="AG389">
            <v>0</v>
          </cell>
          <cell r="AH389" t="e">
            <v>#DIV/0!</v>
          </cell>
          <cell r="AI389" t="e">
            <v>#DIV/0!</v>
          </cell>
          <cell r="AJ389" t="e">
            <v>#DIV/0!</v>
          </cell>
          <cell r="AK389" t="e">
            <v>#DIV/0!</v>
          </cell>
          <cell r="AL389" t="e">
            <v>#DIV/0!</v>
          </cell>
          <cell r="AM389" t="e">
            <v>#DIV/0!</v>
          </cell>
          <cell r="AN389" t="e">
            <v>#DIV/0!</v>
          </cell>
          <cell r="AO389" t="e">
            <v>#REF!</v>
          </cell>
          <cell r="AP389" t="e">
            <v>#REF!</v>
          </cell>
          <cell r="AQ389" t="e">
            <v>#REF!</v>
          </cell>
          <cell r="AR389" t="e">
            <v>#REF!</v>
          </cell>
          <cell r="AS389" t="e">
            <v>#REF!</v>
          </cell>
          <cell r="AT389" t="e">
            <v>#REF!</v>
          </cell>
          <cell r="AU389" t="e">
            <v>#REF!</v>
          </cell>
          <cell r="AV389" t="e">
            <v>#REF!</v>
          </cell>
          <cell r="AW389" t="e">
            <v>#DIV/0!</v>
          </cell>
          <cell r="AX389" t="e">
            <v>#DIV/0!</v>
          </cell>
          <cell r="AY389" t="e">
            <v>#DIV/0!</v>
          </cell>
          <cell r="AZ389" t="e">
            <v>#DIV/0!</v>
          </cell>
          <cell r="BE389" t="e">
            <v>#DIV/0!</v>
          </cell>
          <cell r="BF389" t="e">
            <v>#DIV/0!</v>
          </cell>
        </row>
        <row r="390">
          <cell r="A390" t="str">
            <v>-0</v>
          </cell>
          <cell r="B390" t="str">
            <v xml:space="preserve">-0  , </v>
          </cell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  <cell r="X390">
            <v>0</v>
          </cell>
          <cell r="Y390">
            <v>0</v>
          </cell>
          <cell r="Z390">
            <v>0</v>
          </cell>
          <cell r="AA390" t="str">
            <v>,</v>
          </cell>
          <cell r="AB390" t="str">
            <v>,</v>
          </cell>
          <cell r="AC390" t="e">
            <v>#DIV/0!</v>
          </cell>
          <cell r="AD390" t="e">
            <v>#DIV/0!</v>
          </cell>
          <cell r="AE390">
            <v>0.71</v>
          </cell>
          <cell r="AF390">
            <v>94.97</v>
          </cell>
          <cell r="AG390">
            <v>0</v>
          </cell>
          <cell r="AH390" t="e">
            <v>#DIV/0!</v>
          </cell>
          <cell r="AI390" t="e">
            <v>#DIV/0!</v>
          </cell>
          <cell r="AJ390" t="e">
            <v>#DIV/0!</v>
          </cell>
          <cell r="AK390" t="e">
            <v>#DIV/0!</v>
          </cell>
          <cell r="AL390" t="e">
            <v>#DIV/0!</v>
          </cell>
          <cell r="AM390" t="e">
            <v>#DIV/0!</v>
          </cell>
          <cell r="AN390" t="e">
            <v>#DIV/0!</v>
          </cell>
          <cell r="AO390" t="e">
            <v>#REF!</v>
          </cell>
          <cell r="AP390" t="e">
            <v>#REF!</v>
          </cell>
          <cell r="AQ390" t="e">
            <v>#REF!</v>
          </cell>
          <cell r="AR390" t="e">
            <v>#REF!</v>
          </cell>
          <cell r="AS390" t="e">
            <v>#REF!</v>
          </cell>
          <cell r="AT390" t="e">
            <v>#REF!</v>
          </cell>
          <cell r="AU390" t="e">
            <v>#REF!</v>
          </cell>
          <cell r="AV390" t="e">
            <v>#REF!</v>
          </cell>
          <cell r="AW390" t="e">
            <v>#DIV/0!</v>
          </cell>
          <cell r="AX390" t="e">
            <v>#DIV/0!</v>
          </cell>
          <cell r="AY390" t="e">
            <v>#DIV/0!</v>
          </cell>
          <cell r="AZ390" t="e">
            <v>#DIV/0!</v>
          </cell>
          <cell r="BE390" t="e">
            <v>#DIV/0!</v>
          </cell>
          <cell r="BF390" t="e">
            <v>#DIV/0!</v>
          </cell>
        </row>
        <row r="391">
          <cell r="A391" t="str">
            <v>-0</v>
          </cell>
          <cell r="B391" t="str">
            <v xml:space="preserve">-0  , </v>
          </cell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O391"/>
          <cell r="P391"/>
          <cell r="Q391"/>
          <cell r="R391"/>
          <cell r="S391"/>
          <cell r="T391"/>
          <cell r="U391"/>
          <cell r="V391"/>
          <cell r="W391"/>
          <cell r="X391">
            <v>0</v>
          </cell>
          <cell r="Y391">
            <v>0</v>
          </cell>
          <cell r="Z391">
            <v>0</v>
          </cell>
          <cell r="AA391" t="str">
            <v>,</v>
          </cell>
          <cell r="AB391" t="str">
            <v>,</v>
          </cell>
          <cell r="AC391" t="e">
            <v>#DIV/0!</v>
          </cell>
          <cell r="AD391" t="e">
            <v>#DIV/0!</v>
          </cell>
          <cell r="AE391">
            <v>0.71</v>
          </cell>
          <cell r="AF391">
            <v>94.97</v>
          </cell>
          <cell r="AG391">
            <v>0</v>
          </cell>
          <cell r="AH391" t="e">
            <v>#DIV/0!</v>
          </cell>
          <cell r="AI391" t="e">
            <v>#DIV/0!</v>
          </cell>
          <cell r="AJ391" t="e">
            <v>#DIV/0!</v>
          </cell>
          <cell r="AK391" t="e">
            <v>#DIV/0!</v>
          </cell>
          <cell r="AL391" t="e">
            <v>#DIV/0!</v>
          </cell>
          <cell r="AM391" t="e">
            <v>#DIV/0!</v>
          </cell>
          <cell r="AN391" t="e">
            <v>#DIV/0!</v>
          </cell>
          <cell r="AO391" t="e">
            <v>#REF!</v>
          </cell>
          <cell r="AP391" t="e">
            <v>#REF!</v>
          </cell>
          <cell r="AQ391" t="e">
            <v>#REF!</v>
          </cell>
          <cell r="AR391" t="e">
            <v>#REF!</v>
          </cell>
          <cell r="AS391" t="e">
            <v>#REF!</v>
          </cell>
          <cell r="AT391" t="e">
            <v>#REF!</v>
          </cell>
          <cell r="AU391" t="e">
            <v>#REF!</v>
          </cell>
          <cell r="AV391" t="e">
            <v>#REF!</v>
          </cell>
          <cell r="AW391" t="e">
            <v>#DIV/0!</v>
          </cell>
          <cell r="AX391" t="e">
            <v>#DIV/0!</v>
          </cell>
          <cell r="AY391" t="e">
            <v>#DIV/0!</v>
          </cell>
          <cell r="AZ391" t="e">
            <v>#DIV/0!</v>
          </cell>
          <cell r="BE391" t="e">
            <v>#DIV/0!</v>
          </cell>
          <cell r="BF391" t="e">
            <v>#DIV/0!</v>
          </cell>
        </row>
        <row r="392">
          <cell r="A392" t="str">
            <v>-0</v>
          </cell>
          <cell r="B392" t="str">
            <v xml:space="preserve">-0  , </v>
          </cell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O392"/>
          <cell r="P392"/>
          <cell r="Q392"/>
          <cell r="R392"/>
          <cell r="S392"/>
          <cell r="T392"/>
          <cell r="U392"/>
          <cell r="V392"/>
          <cell r="W392"/>
          <cell r="X392">
            <v>0</v>
          </cell>
          <cell r="Y392">
            <v>0</v>
          </cell>
          <cell r="Z392">
            <v>0</v>
          </cell>
          <cell r="AA392" t="str">
            <v>,</v>
          </cell>
          <cell r="AB392" t="str">
            <v>,</v>
          </cell>
          <cell r="AC392" t="e">
            <v>#DIV/0!</v>
          </cell>
          <cell r="AD392" t="e">
            <v>#DIV/0!</v>
          </cell>
          <cell r="AE392">
            <v>0.71</v>
          </cell>
          <cell r="AF392">
            <v>94.97</v>
          </cell>
          <cell r="AG392">
            <v>0</v>
          </cell>
          <cell r="AH392" t="e">
            <v>#DIV/0!</v>
          </cell>
          <cell r="AI392" t="e">
            <v>#DIV/0!</v>
          </cell>
          <cell r="AJ392" t="e">
            <v>#DIV/0!</v>
          </cell>
          <cell r="AK392" t="e">
            <v>#DIV/0!</v>
          </cell>
          <cell r="AL392" t="e">
            <v>#DIV/0!</v>
          </cell>
          <cell r="AM392" t="e">
            <v>#DIV/0!</v>
          </cell>
          <cell r="AN392" t="e">
            <v>#DIV/0!</v>
          </cell>
          <cell r="AO392" t="e">
            <v>#REF!</v>
          </cell>
          <cell r="AP392" t="e">
            <v>#REF!</v>
          </cell>
          <cell r="AQ392" t="e">
            <v>#REF!</v>
          </cell>
          <cell r="AR392" t="e">
            <v>#REF!</v>
          </cell>
          <cell r="AS392" t="e">
            <v>#REF!</v>
          </cell>
          <cell r="AT392" t="e">
            <v>#REF!</v>
          </cell>
          <cell r="AU392" t="e">
            <v>#REF!</v>
          </cell>
          <cell r="AV392" t="e">
            <v>#REF!</v>
          </cell>
          <cell r="AW392" t="e">
            <v>#DIV/0!</v>
          </cell>
          <cell r="AX392" t="e">
            <v>#DIV/0!</v>
          </cell>
          <cell r="AY392" t="e">
            <v>#DIV/0!</v>
          </cell>
          <cell r="AZ392" t="e">
            <v>#DIV/0!</v>
          </cell>
          <cell r="BE392" t="e">
            <v>#DIV/0!</v>
          </cell>
          <cell r="BF392" t="e">
            <v>#DIV/0!</v>
          </cell>
        </row>
        <row r="393">
          <cell r="A393" t="str">
            <v>-0</v>
          </cell>
          <cell r="B393" t="str">
            <v xml:space="preserve">-0  , </v>
          </cell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  <cell r="X393">
            <v>0</v>
          </cell>
          <cell r="Y393">
            <v>0</v>
          </cell>
          <cell r="Z393">
            <v>0</v>
          </cell>
          <cell r="AA393" t="str">
            <v>,</v>
          </cell>
          <cell r="AB393" t="str">
            <v>,</v>
          </cell>
          <cell r="AC393" t="e">
            <v>#DIV/0!</v>
          </cell>
          <cell r="AD393" t="e">
            <v>#DIV/0!</v>
          </cell>
          <cell r="AE393">
            <v>0.71</v>
          </cell>
          <cell r="AF393">
            <v>94.97</v>
          </cell>
          <cell r="AG393">
            <v>0</v>
          </cell>
          <cell r="AH393" t="e">
            <v>#DIV/0!</v>
          </cell>
          <cell r="AI393" t="e">
            <v>#DIV/0!</v>
          </cell>
          <cell r="AJ393" t="e">
            <v>#DIV/0!</v>
          </cell>
          <cell r="AK393" t="e">
            <v>#DIV/0!</v>
          </cell>
          <cell r="AL393" t="e">
            <v>#DIV/0!</v>
          </cell>
          <cell r="AM393" t="e">
            <v>#DIV/0!</v>
          </cell>
          <cell r="AN393" t="e">
            <v>#DIV/0!</v>
          </cell>
          <cell r="AO393" t="e">
            <v>#REF!</v>
          </cell>
          <cell r="AP393" t="e">
            <v>#REF!</v>
          </cell>
          <cell r="AQ393" t="e">
            <v>#REF!</v>
          </cell>
          <cell r="AR393" t="e">
            <v>#REF!</v>
          </cell>
          <cell r="AS393" t="e">
            <v>#REF!</v>
          </cell>
          <cell r="AT393" t="e">
            <v>#REF!</v>
          </cell>
          <cell r="AU393" t="e">
            <v>#REF!</v>
          </cell>
          <cell r="AV393" t="e">
            <v>#REF!</v>
          </cell>
          <cell r="AW393" t="e">
            <v>#DIV/0!</v>
          </cell>
          <cell r="AX393" t="e">
            <v>#DIV/0!</v>
          </cell>
          <cell r="AY393" t="e">
            <v>#DIV/0!</v>
          </cell>
          <cell r="AZ393" t="e">
            <v>#DIV/0!</v>
          </cell>
          <cell r="BE393" t="e">
            <v>#DIV/0!</v>
          </cell>
          <cell r="BF393" t="e">
            <v>#DIV/0!</v>
          </cell>
        </row>
        <row r="394">
          <cell r="A394" t="str">
            <v>-0</v>
          </cell>
          <cell r="B394" t="str">
            <v xml:space="preserve">-0  , </v>
          </cell>
          <cell r="C394"/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  <cell r="X394">
            <v>0</v>
          </cell>
          <cell r="Y394">
            <v>0</v>
          </cell>
          <cell r="Z394">
            <v>0</v>
          </cell>
          <cell r="AA394" t="str">
            <v>,</v>
          </cell>
          <cell r="AB394" t="str">
            <v>,</v>
          </cell>
          <cell r="AC394" t="e">
            <v>#DIV/0!</v>
          </cell>
          <cell r="AD394" t="e">
            <v>#DIV/0!</v>
          </cell>
          <cell r="AE394">
            <v>0.71</v>
          </cell>
          <cell r="AF394">
            <v>94.97</v>
          </cell>
          <cell r="AG394">
            <v>0</v>
          </cell>
          <cell r="AH394" t="e">
            <v>#DIV/0!</v>
          </cell>
          <cell r="AI394" t="e">
            <v>#DIV/0!</v>
          </cell>
          <cell r="AJ394" t="e">
            <v>#DIV/0!</v>
          </cell>
          <cell r="AK394" t="e">
            <v>#DIV/0!</v>
          </cell>
          <cell r="AL394" t="e">
            <v>#DIV/0!</v>
          </cell>
          <cell r="AM394" t="e">
            <v>#DIV/0!</v>
          </cell>
          <cell r="AN394" t="e">
            <v>#DIV/0!</v>
          </cell>
          <cell r="AO394" t="e">
            <v>#REF!</v>
          </cell>
          <cell r="AP394" t="e">
            <v>#REF!</v>
          </cell>
          <cell r="AQ394" t="e">
            <v>#REF!</v>
          </cell>
          <cell r="AR394" t="e">
            <v>#REF!</v>
          </cell>
          <cell r="AS394" t="e">
            <v>#REF!</v>
          </cell>
          <cell r="AT394" t="e">
            <v>#REF!</v>
          </cell>
          <cell r="AU394" t="e">
            <v>#REF!</v>
          </cell>
          <cell r="AV394" t="e">
            <v>#REF!</v>
          </cell>
          <cell r="AW394" t="e">
            <v>#DIV/0!</v>
          </cell>
          <cell r="AX394" t="e">
            <v>#DIV/0!</v>
          </cell>
          <cell r="AY394" t="e">
            <v>#DIV/0!</v>
          </cell>
          <cell r="AZ394" t="e">
            <v>#DIV/0!</v>
          </cell>
          <cell r="BE394" t="e">
            <v>#DIV/0!</v>
          </cell>
          <cell r="BF394" t="e">
            <v>#DIV/0!</v>
          </cell>
        </row>
        <row r="395">
          <cell r="A395" t="str">
            <v>-0</v>
          </cell>
          <cell r="B395" t="str">
            <v xml:space="preserve">-0  , </v>
          </cell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/>
          <cell r="N395"/>
          <cell r="O395"/>
          <cell r="P395"/>
          <cell r="Q395"/>
          <cell r="R395"/>
          <cell r="S395"/>
          <cell r="T395"/>
          <cell r="U395"/>
          <cell r="V395"/>
          <cell r="W395"/>
          <cell r="X395">
            <v>0</v>
          </cell>
          <cell r="Y395">
            <v>0</v>
          </cell>
          <cell r="Z395">
            <v>0</v>
          </cell>
          <cell r="AA395" t="str">
            <v>,</v>
          </cell>
          <cell r="AB395" t="str">
            <v>,</v>
          </cell>
          <cell r="AC395" t="e">
            <v>#DIV/0!</v>
          </cell>
          <cell r="AD395" t="e">
            <v>#DIV/0!</v>
          </cell>
          <cell r="AE395">
            <v>0.71</v>
          </cell>
          <cell r="AF395">
            <v>94.97</v>
          </cell>
          <cell r="AG395">
            <v>0</v>
          </cell>
          <cell r="AH395" t="e">
            <v>#DIV/0!</v>
          </cell>
          <cell r="AI395" t="e">
            <v>#DIV/0!</v>
          </cell>
          <cell r="AJ395" t="e">
            <v>#DIV/0!</v>
          </cell>
          <cell r="AK395" t="e">
            <v>#DIV/0!</v>
          </cell>
          <cell r="AL395" t="e">
            <v>#DIV/0!</v>
          </cell>
          <cell r="AM395" t="e">
            <v>#DIV/0!</v>
          </cell>
          <cell r="AN395" t="e">
            <v>#DIV/0!</v>
          </cell>
          <cell r="AO395" t="e">
            <v>#REF!</v>
          </cell>
          <cell r="AP395" t="e">
            <v>#REF!</v>
          </cell>
          <cell r="AQ395" t="e">
            <v>#REF!</v>
          </cell>
          <cell r="AR395" t="e">
            <v>#REF!</v>
          </cell>
          <cell r="AS395" t="e">
            <v>#REF!</v>
          </cell>
          <cell r="AT395" t="e">
            <v>#REF!</v>
          </cell>
          <cell r="AU395" t="e">
            <v>#REF!</v>
          </cell>
          <cell r="AV395" t="e">
            <v>#REF!</v>
          </cell>
          <cell r="AW395" t="e">
            <v>#DIV/0!</v>
          </cell>
          <cell r="AX395" t="e">
            <v>#DIV/0!</v>
          </cell>
          <cell r="AY395" t="e">
            <v>#DIV/0!</v>
          </cell>
          <cell r="AZ395" t="e">
            <v>#DIV/0!</v>
          </cell>
          <cell r="BE395" t="e">
            <v>#DIV/0!</v>
          </cell>
          <cell r="BF395" t="e">
            <v>#DIV/0!</v>
          </cell>
        </row>
        <row r="396">
          <cell r="A396" t="str">
            <v>-0</v>
          </cell>
          <cell r="B396" t="str">
            <v xml:space="preserve">-0  , </v>
          </cell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  <cell r="X396">
            <v>0</v>
          </cell>
          <cell r="Y396">
            <v>0</v>
          </cell>
          <cell r="Z396">
            <v>0</v>
          </cell>
          <cell r="AA396" t="str">
            <v>,</v>
          </cell>
          <cell r="AB396" t="str">
            <v>,</v>
          </cell>
          <cell r="AC396" t="e">
            <v>#DIV/0!</v>
          </cell>
          <cell r="AD396" t="e">
            <v>#DIV/0!</v>
          </cell>
          <cell r="AE396">
            <v>0.71</v>
          </cell>
          <cell r="AF396">
            <v>94.97</v>
          </cell>
          <cell r="AG396">
            <v>0</v>
          </cell>
          <cell r="AH396" t="e">
            <v>#DIV/0!</v>
          </cell>
          <cell r="AI396" t="e">
            <v>#DIV/0!</v>
          </cell>
          <cell r="AJ396" t="e">
            <v>#DIV/0!</v>
          </cell>
          <cell r="AK396" t="e">
            <v>#DIV/0!</v>
          </cell>
          <cell r="AL396" t="e">
            <v>#DIV/0!</v>
          </cell>
          <cell r="AM396" t="e">
            <v>#DIV/0!</v>
          </cell>
          <cell r="AN396" t="e">
            <v>#DIV/0!</v>
          </cell>
          <cell r="AO396" t="e">
            <v>#REF!</v>
          </cell>
          <cell r="AP396" t="e">
            <v>#REF!</v>
          </cell>
          <cell r="AQ396" t="e">
            <v>#REF!</v>
          </cell>
          <cell r="AR396" t="e">
            <v>#REF!</v>
          </cell>
          <cell r="AS396" t="e">
            <v>#REF!</v>
          </cell>
          <cell r="AT396" t="e">
            <v>#REF!</v>
          </cell>
          <cell r="AU396" t="e">
            <v>#REF!</v>
          </cell>
          <cell r="AV396" t="e">
            <v>#REF!</v>
          </cell>
          <cell r="AW396" t="e">
            <v>#DIV/0!</v>
          </cell>
          <cell r="AX396" t="e">
            <v>#DIV/0!</v>
          </cell>
          <cell r="AY396" t="e">
            <v>#DIV/0!</v>
          </cell>
          <cell r="AZ396" t="e">
            <v>#DIV/0!</v>
          </cell>
          <cell r="BE396" t="e">
            <v>#DIV/0!</v>
          </cell>
          <cell r="BF396" t="e">
            <v>#DIV/0!</v>
          </cell>
        </row>
        <row r="397">
          <cell r="A397" t="str">
            <v>-0</v>
          </cell>
          <cell r="B397" t="str">
            <v xml:space="preserve">-0  , </v>
          </cell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/>
          <cell r="S397"/>
          <cell r="T397"/>
          <cell r="U397"/>
          <cell r="V397"/>
          <cell r="W397"/>
          <cell r="X397">
            <v>0</v>
          </cell>
          <cell r="Y397">
            <v>0</v>
          </cell>
          <cell r="Z397">
            <v>0</v>
          </cell>
          <cell r="AA397" t="str">
            <v>,</v>
          </cell>
          <cell r="AB397" t="str">
            <v>,</v>
          </cell>
          <cell r="AC397" t="e">
            <v>#DIV/0!</v>
          </cell>
          <cell r="AD397" t="e">
            <v>#DIV/0!</v>
          </cell>
          <cell r="AE397">
            <v>0.71</v>
          </cell>
          <cell r="AF397">
            <v>94.97</v>
          </cell>
          <cell r="AG397">
            <v>0</v>
          </cell>
          <cell r="AH397" t="e">
            <v>#DIV/0!</v>
          </cell>
          <cell r="AI397" t="e">
            <v>#DIV/0!</v>
          </cell>
          <cell r="AJ397" t="e">
            <v>#DIV/0!</v>
          </cell>
          <cell r="AK397" t="e">
            <v>#DIV/0!</v>
          </cell>
          <cell r="AL397" t="e">
            <v>#DIV/0!</v>
          </cell>
          <cell r="AM397" t="e">
            <v>#DIV/0!</v>
          </cell>
          <cell r="AN397" t="e">
            <v>#DIV/0!</v>
          </cell>
          <cell r="AO397" t="e">
            <v>#REF!</v>
          </cell>
          <cell r="AP397" t="e">
            <v>#REF!</v>
          </cell>
          <cell r="AQ397" t="e">
            <v>#REF!</v>
          </cell>
          <cell r="AR397" t="e">
            <v>#REF!</v>
          </cell>
          <cell r="AS397" t="e">
            <v>#REF!</v>
          </cell>
          <cell r="AT397" t="e">
            <v>#REF!</v>
          </cell>
          <cell r="AU397" t="e">
            <v>#REF!</v>
          </cell>
          <cell r="AV397" t="e">
            <v>#REF!</v>
          </cell>
          <cell r="AW397" t="e">
            <v>#DIV/0!</v>
          </cell>
          <cell r="AX397" t="e">
            <v>#DIV/0!</v>
          </cell>
          <cell r="AY397" t="e">
            <v>#DIV/0!</v>
          </cell>
          <cell r="AZ397" t="e">
            <v>#DIV/0!</v>
          </cell>
          <cell r="BE397" t="e">
            <v>#DIV/0!</v>
          </cell>
          <cell r="BF397" t="e">
            <v>#DIV/0!</v>
          </cell>
        </row>
        <row r="398">
          <cell r="A398" t="str">
            <v>-0</v>
          </cell>
          <cell r="B398" t="str">
            <v xml:space="preserve">-0  , </v>
          </cell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/>
          <cell r="S398"/>
          <cell r="T398"/>
          <cell r="U398"/>
          <cell r="V398"/>
          <cell r="W398"/>
          <cell r="X398">
            <v>0</v>
          </cell>
          <cell r="Y398">
            <v>0</v>
          </cell>
          <cell r="Z398">
            <v>0</v>
          </cell>
          <cell r="AA398" t="str">
            <v>,</v>
          </cell>
          <cell r="AB398" t="str">
            <v>,</v>
          </cell>
          <cell r="AC398" t="e">
            <v>#DIV/0!</v>
          </cell>
          <cell r="AD398" t="e">
            <v>#DIV/0!</v>
          </cell>
          <cell r="AE398">
            <v>0.71</v>
          </cell>
          <cell r="AF398">
            <v>94.97</v>
          </cell>
          <cell r="AG398">
            <v>0</v>
          </cell>
          <cell r="AH398" t="e">
            <v>#DIV/0!</v>
          </cell>
          <cell r="AI398" t="e">
            <v>#DIV/0!</v>
          </cell>
          <cell r="AJ398" t="e">
            <v>#DIV/0!</v>
          </cell>
          <cell r="AK398" t="e">
            <v>#DIV/0!</v>
          </cell>
          <cell r="AL398" t="e">
            <v>#DIV/0!</v>
          </cell>
          <cell r="AM398" t="e">
            <v>#DIV/0!</v>
          </cell>
          <cell r="AN398" t="e">
            <v>#DIV/0!</v>
          </cell>
          <cell r="AO398" t="e">
            <v>#REF!</v>
          </cell>
          <cell r="AP398" t="e">
            <v>#REF!</v>
          </cell>
          <cell r="AQ398" t="e">
            <v>#REF!</v>
          </cell>
          <cell r="AR398" t="e">
            <v>#REF!</v>
          </cell>
          <cell r="AS398" t="e">
            <v>#REF!</v>
          </cell>
          <cell r="AT398" t="e">
            <v>#REF!</v>
          </cell>
          <cell r="AU398" t="e">
            <v>#REF!</v>
          </cell>
          <cell r="AV398" t="e">
            <v>#REF!</v>
          </cell>
          <cell r="AW398" t="e">
            <v>#DIV/0!</v>
          </cell>
          <cell r="AX398" t="e">
            <v>#DIV/0!</v>
          </cell>
          <cell r="AY398" t="e">
            <v>#DIV/0!</v>
          </cell>
          <cell r="AZ398" t="e">
            <v>#DIV/0!</v>
          </cell>
          <cell r="BE398" t="e">
            <v>#DIV/0!</v>
          </cell>
          <cell r="BF398" t="e">
            <v>#DIV/0!</v>
          </cell>
        </row>
        <row r="399">
          <cell r="A399" t="str">
            <v>-0</v>
          </cell>
          <cell r="B399" t="str">
            <v xml:space="preserve">-0  , </v>
          </cell>
          <cell r="C399"/>
          <cell r="D399"/>
          <cell r="E399"/>
          <cell r="F399"/>
          <cell r="G399"/>
          <cell r="H399"/>
          <cell r="I399"/>
          <cell r="J399"/>
          <cell r="K399"/>
          <cell r="L399"/>
          <cell r="M399"/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  <cell r="X399">
            <v>0</v>
          </cell>
          <cell r="Y399">
            <v>0</v>
          </cell>
          <cell r="Z399">
            <v>0</v>
          </cell>
          <cell r="AA399" t="str">
            <v>,</v>
          </cell>
          <cell r="AB399" t="str">
            <v>,</v>
          </cell>
          <cell r="AC399" t="e">
            <v>#DIV/0!</v>
          </cell>
          <cell r="AD399" t="e">
            <v>#DIV/0!</v>
          </cell>
          <cell r="AE399">
            <v>0.71</v>
          </cell>
          <cell r="AF399">
            <v>94.97</v>
          </cell>
          <cell r="AG399">
            <v>0</v>
          </cell>
          <cell r="AH399" t="e">
            <v>#DIV/0!</v>
          </cell>
          <cell r="AI399" t="e">
            <v>#DIV/0!</v>
          </cell>
          <cell r="AJ399" t="e">
            <v>#DIV/0!</v>
          </cell>
          <cell r="AK399" t="e">
            <v>#DIV/0!</v>
          </cell>
          <cell r="AL399" t="e">
            <v>#DIV/0!</v>
          </cell>
          <cell r="AM399" t="e">
            <v>#DIV/0!</v>
          </cell>
          <cell r="AN399" t="e">
            <v>#DIV/0!</v>
          </cell>
          <cell r="AO399" t="e">
            <v>#REF!</v>
          </cell>
          <cell r="AP399" t="e">
            <v>#REF!</v>
          </cell>
          <cell r="AQ399" t="e">
            <v>#REF!</v>
          </cell>
          <cell r="AR399" t="e">
            <v>#REF!</v>
          </cell>
          <cell r="AS399" t="e">
            <v>#REF!</v>
          </cell>
          <cell r="AT399" t="e">
            <v>#REF!</v>
          </cell>
          <cell r="AU399" t="e">
            <v>#REF!</v>
          </cell>
          <cell r="AV399" t="e">
            <v>#REF!</v>
          </cell>
          <cell r="AW399" t="e">
            <v>#DIV/0!</v>
          </cell>
          <cell r="AX399" t="e">
            <v>#DIV/0!</v>
          </cell>
          <cell r="AY399" t="e">
            <v>#DIV/0!</v>
          </cell>
          <cell r="AZ399" t="e">
            <v>#DIV/0!</v>
          </cell>
          <cell r="BE399" t="e">
            <v>#DIV/0!</v>
          </cell>
          <cell r="BF399" t="e">
            <v>#DIV/0!</v>
          </cell>
        </row>
        <row r="400">
          <cell r="A400" t="str">
            <v>-0</v>
          </cell>
          <cell r="B400" t="str">
            <v xml:space="preserve">-0  , </v>
          </cell>
          <cell r="C400"/>
          <cell r="D400"/>
          <cell r="E400"/>
          <cell r="F400"/>
          <cell r="G400"/>
          <cell r="H400"/>
          <cell r="I400"/>
          <cell r="J400"/>
          <cell r="K400"/>
          <cell r="L400"/>
          <cell r="M400"/>
          <cell r="N400"/>
          <cell r="O400"/>
          <cell r="P400"/>
          <cell r="Q400"/>
          <cell r="R400"/>
          <cell r="S400"/>
          <cell r="T400"/>
          <cell r="U400"/>
          <cell r="V400"/>
          <cell r="W400"/>
          <cell r="X400">
            <v>0</v>
          </cell>
          <cell r="Y400">
            <v>0</v>
          </cell>
          <cell r="Z400">
            <v>0</v>
          </cell>
          <cell r="AA400" t="str">
            <v>,</v>
          </cell>
          <cell r="AB400" t="str">
            <v>,</v>
          </cell>
          <cell r="AC400" t="e">
            <v>#DIV/0!</v>
          </cell>
          <cell r="AD400" t="e">
            <v>#DIV/0!</v>
          </cell>
          <cell r="AE400">
            <v>0.71</v>
          </cell>
          <cell r="AF400">
            <v>94.97</v>
          </cell>
          <cell r="AG400">
            <v>0</v>
          </cell>
          <cell r="AH400" t="e">
            <v>#DIV/0!</v>
          </cell>
          <cell r="AI400" t="e">
            <v>#DIV/0!</v>
          </cell>
          <cell r="AJ400" t="e">
            <v>#DIV/0!</v>
          </cell>
          <cell r="AK400" t="e">
            <v>#DIV/0!</v>
          </cell>
          <cell r="AL400" t="e">
            <v>#DIV/0!</v>
          </cell>
          <cell r="AM400" t="e">
            <v>#DIV/0!</v>
          </cell>
          <cell r="AN400" t="e">
            <v>#DIV/0!</v>
          </cell>
          <cell r="AO400" t="e">
            <v>#REF!</v>
          </cell>
          <cell r="AP400" t="e">
            <v>#REF!</v>
          </cell>
          <cell r="AQ400" t="e">
            <v>#REF!</v>
          </cell>
          <cell r="AR400" t="e">
            <v>#REF!</v>
          </cell>
          <cell r="AS400" t="e">
            <v>#REF!</v>
          </cell>
          <cell r="AT400" t="e">
            <v>#REF!</v>
          </cell>
          <cell r="AU400" t="e">
            <v>#REF!</v>
          </cell>
          <cell r="AV400" t="e">
            <v>#REF!</v>
          </cell>
          <cell r="AW400" t="e">
            <v>#DIV/0!</v>
          </cell>
          <cell r="AX400" t="e">
            <v>#DIV/0!</v>
          </cell>
          <cell r="AY400" t="e">
            <v>#DIV/0!</v>
          </cell>
          <cell r="AZ400" t="e">
            <v>#DIV/0!</v>
          </cell>
          <cell r="BE400" t="e">
            <v>#DIV/0!</v>
          </cell>
          <cell r="BF400" t="e">
            <v>#DIV/0!</v>
          </cell>
        </row>
        <row r="401">
          <cell r="A401" t="str">
            <v>-0</v>
          </cell>
          <cell r="B401" t="str">
            <v xml:space="preserve">-0  , </v>
          </cell>
          <cell r="C401"/>
          <cell r="D401"/>
          <cell r="E401"/>
          <cell r="F401"/>
          <cell r="G401"/>
          <cell r="H401"/>
          <cell r="I401"/>
          <cell r="J401"/>
          <cell r="K401"/>
          <cell r="L401"/>
          <cell r="M401"/>
          <cell r="N401"/>
          <cell r="O401"/>
          <cell r="P401"/>
          <cell r="Q401"/>
          <cell r="R401"/>
          <cell r="S401"/>
          <cell r="T401"/>
          <cell r="U401"/>
          <cell r="V401"/>
          <cell r="W401"/>
          <cell r="X401">
            <v>0</v>
          </cell>
          <cell r="Y401">
            <v>0</v>
          </cell>
          <cell r="Z401">
            <v>0</v>
          </cell>
          <cell r="AA401" t="str">
            <v>,</v>
          </cell>
          <cell r="AB401" t="str">
            <v>,</v>
          </cell>
          <cell r="AC401" t="e">
            <v>#DIV/0!</v>
          </cell>
          <cell r="AD401" t="e">
            <v>#DIV/0!</v>
          </cell>
          <cell r="AE401">
            <v>0.71</v>
          </cell>
          <cell r="AF401">
            <v>94.97</v>
          </cell>
          <cell r="AG401">
            <v>0</v>
          </cell>
          <cell r="AH401" t="e">
            <v>#DIV/0!</v>
          </cell>
          <cell r="AI401" t="e">
            <v>#DIV/0!</v>
          </cell>
          <cell r="AJ401" t="e">
            <v>#DIV/0!</v>
          </cell>
          <cell r="AK401" t="e">
            <v>#DIV/0!</v>
          </cell>
          <cell r="AL401" t="e">
            <v>#DIV/0!</v>
          </cell>
          <cell r="AM401" t="e">
            <v>#DIV/0!</v>
          </cell>
          <cell r="AN401" t="e">
            <v>#DIV/0!</v>
          </cell>
          <cell r="AO401" t="e">
            <v>#REF!</v>
          </cell>
          <cell r="AP401" t="e">
            <v>#REF!</v>
          </cell>
          <cell r="AQ401" t="e">
            <v>#REF!</v>
          </cell>
          <cell r="AR401" t="e">
            <v>#REF!</v>
          </cell>
          <cell r="AS401" t="e">
            <v>#REF!</v>
          </cell>
          <cell r="AT401" t="e">
            <v>#REF!</v>
          </cell>
          <cell r="AU401" t="e">
            <v>#REF!</v>
          </cell>
          <cell r="AV401" t="e">
            <v>#REF!</v>
          </cell>
          <cell r="AW401" t="e">
            <v>#DIV/0!</v>
          </cell>
          <cell r="AX401" t="e">
            <v>#DIV/0!</v>
          </cell>
          <cell r="AY401" t="e">
            <v>#DIV/0!</v>
          </cell>
          <cell r="AZ401" t="e">
            <v>#DIV/0!</v>
          </cell>
          <cell r="BE401" t="e">
            <v>#DIV/0!</v>
          </cell>
          <cell r="BF401" t="e">
            <v>#DIV/0!</v>
          </cell>
        </row>
        <row r="402">
          <cell r="A402" t="str">
            <v>-0</v>
          </cell>
          <cell r="B402" t="str">
            <v xml:space="preserve">-0  , </v>
          </cell>
          <cell r="C402"/>
          <cell r="D402"/>
          <cell r="E402"/>
          <cell r="F402"/>
          <cell r="G402"/>
          <cell r="H402"/>
          <cell r="I402"/>
          <cell r="J402"/>
          <cell r="K402"/>
          <cell r="L402"/>
          <cell r="M402"/>
          <cell r="N402"/>
          <cell r="O402"/>
          <cell r="P402"/>
          <cell r="Q402"/>
          <cell r="R402"/>
          <cell r="S402"/>
          <cell r="T402"/>
          <cell r="U402"/>
          <cell r="V402"/>
          <cell r="W402"/>
          <cell r="X402">
            <v>0</v>
          </cell>
          <cell r="Y402">
            <v>0</v>
          </cell>
          <cell r="Z402">
            <v>0</v>
          </cell>
          <cell r="AA402" t="str">
            <v>,</v>
          </cell>
          <cell r="AB402" t="str">
            <v>,</v>
          </cell>
          <cell r="AC402" t="e">
            <v>#DIV/0!</v>
          </cell>
          <cell r="AD402" t="e">
            <v>#DIV/0!</v>
          </cell>
          <cell r="AE402">
            <v>0.71</v>
          </cell>
          <cell r="AF402">
            <v>94.97</v>
          </cell>
          <cell r="AG402">
            <v>0</v>
          </cell>
          <cell r="AH402" t="e">
            <v>#DIV/0!</v>
          </cell>
          <cell r="AI402" t="e">
            <v>#DIV/0!</v>
          </cell>
          <cell r="AJ402" t="e">
            <v>#DIV/0!</v>
          </cell>
          <cell r="AK402" t="e">
            <v>#DIV/0!</v>
          </cell>
          <cell r="AL402" t="e">
            <v>#DIV/0!</v>
          </cell>
          <cell r="AM402" t="e">
            <v>#DIV/0!</v>
          </cell>
          <cell r="AN402" t="e">
            <v>#DIV/0!</v>
          </cell>
          <cell r="AO402" t="e">
            <v>#REF!</v>
          </cell>
          <cell r="AP402" t="e">
            <v>#REF!</v>
          </cell>
          <cell r="AQ402" t="e">
            <v>#REF!</v>
          </cell>
          <cell r="AR402" t="e">
            <v>#REF!</v>
          </cell>
          <cell r="AS402" t="e">
            <v>#REF!</v>
          </cell>
          <cell r="AT402" t="e">
            <v>#REF!</v>
          </cell>
          <cell r="AU402" t="e">
            <v>#REF!</v>
          </cell>
          <cell r="AV402" t="e">
            <v>#REF!</v>
          </cell>
          <cell r="AW402" t="e">
            <v>#DIV/0!</v>
          </cell>
          <cell r="AX402" t="e">
            <v>#DIV/0!</v>
          </cell>
          <cell r="AY402" t="e">
            <v>#DIV/0!</v>
          </cell>
          <cell r="AZ402" t="e">
            <v>#DIV/0!</v>
          </cell>
          <cell r="BE402" t="e">
            <v>#DIV/0!</v>
          </cell>
          <cell r="BF402" t="e">
            <v>#DIV/0!</v>
          </cell>
        </row>
        <row r="403">
          <cell r="A403" t="str">
            <v>-0</v>
          </cell>
          <cell r="B403" t="str">
            <v xml:space="preserve">-0  , </v>
          </cell>
          <cell r="C403"/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  <cell r="X403">
            <v>0</v>
          </cell>
          <cell r="Y403">
            <v>0</v>
          </cell>
          <cell r="Z403">
            <v>0</v>
          </cell>
          <cell r="AA403" t="str">
            <v>,</v>
          </cell>
          <cell r="AB403" t="str">
            <v>,</v>
          </cell>
          <cell r="AC403" t="e">
            <v>#DIV/0!</v>
          </cell>
          <cell r="AD403" t="e">
            <v>#DIV/0!</v>
          </cell>
          <cell r="AE403">
            <v>0.71</v>
          </cell>
          <cell r="AF403">
            <v>94.97</v>
          </cell>
          <cell r="AG403">
            <v>0</v>
          </cell>
          <cell r="AH403" t="e">
            <v>#DIV/0!</v>
          </cell>
          <cell r="AI403" t="e">
            <v>#DIV/0!</v>
          </cell>
          <cell r="AJ403" t="e">
            <v>#DIV/0!</v>
          </cell>
          <cell r="AK403" t="e">
            <v>#DIV/0!</v>
          </cell>
          <cell r="AL403" t="e">
            <v>#DIV/0!</v>
          </cell>
          <cell r="AM403" t="e">
            <v>#DIV/0!</v>
          </cell>
          <cell r="AN403" t="e">
            <v>#DIV/0!</v>
          </cell>
          <cell r="AO403" t="e">
            <v>#REF!</v>
          </cell>
          <cell r="AP403" t="e">
            <v>#REF!</v>
          </cell>
          <cell r="AQ403" t="e">
            <v>#REF!</v>
          </cell>
          <cell r="AR403" t="e">
            <v>#REF!</v>
          </cell>
          <cell r="AS403" t="e">
            <v>#REF!</v>
          </cell>
          <cell r="AT403" t="e">
            <v>#REF!</v>
          </cell>
          <cell r="AU403" t="e">
            <v>#REF!</v>
          </cell>
          <cell r="AV403" t="e">
            <v>#REF!</v>
          </cell>
          <cell r="AW403" t="e">
            <v>#DIV/0!</v>
          </cell>
          <cell r="AX403" t="e">
            <v>#DIV/0!</v>
          </cell>
          <cell r="AY403" t="e">
            <v>#DIV/0!</v>
          </cell>
          <cell r="AZ403" t="e">
            <v>#DIV/0!</v>
          </cell>
          <cell r="BE403" t="e">
            <v>#DIV/0!</v>
          </cell>
          <cell r="BF403" t="e">
            <v>#DIV/0!</v>
          </cell>
        </row>
        <row r="404">
          <cell r="A404" t="str">
            <v>-0</v>
          </cell>
          <cell r="B404" t="str">
            <v xml:space="preserve">-0  , </v>
          </cell>
          <cell r="C404"/>
          <cell r="D404"/>
          <cell r="E404"/>
          <cell r="F404"/>
          <cell r="G404"/>
          <cell r="H404"/>
          <cell r="I404"/>
          <cell r="J404"/>
          <cell r="K404"/>
          <cell r="L404"/>
          <cell r="M404"/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  <cell r="X404">
            <v>0</v>
          </cell>
          <cell r="Y404">
            <v>0</v>
          </cell>
          <cell r="Z404">
            <v>0</v>
          </cell>
          <cell r="AA404" t="str">
            <v>,</v>
          </cell>
          <cell r="AB404" t="str">
            <v>,</v>
          </cell>
          <cell r="AC404" t="e">
            <v>#DIV/0!</v>
          </cell>
          <cell r="AD404" t="e">
            <v>#DIV/0!</v>
          </cell>
          <cell r="AE404">
            <v>0.71</v>
          </cell>
          <cell r="AF404">
            <v>94.97</v>
          </cell>
          <cell r="AG404">
            <v>0</v>
          </cell>
          <cell r="AH404" t="e">
            <v>#DIV/0!</v>
          </cell>
          <cell r="AI404" t="e">
            <v>#DIV/0!</v>
          </cell>
          <cell r="AJ404" t="e">
            <v>#DIV/0!</v>
          </cell>
          <cell r="AK404" t="e">
            <v>#DIV/0!</v>
          </cell>
          <cell r="AL404" t="e">
            <v>#DIV/0!</v>
          </cell>
          <cell r="AM404" t="e">
            <v>#DIV/0!</v>
          </cell>
          <cell r="AN404" t="e">
            <v>#DIV/0!</v>
          </cell>
          <cell r="AO404" t="e">
            <v>#REF!</v>
          </cell>
          <cell r="AP404" t="e">
            <v>#REF!</v>
          </cell>
          <cell r="AQ404" t="e">
            <v>#REF!</v>
          </cell>
          <cell r="AR404" t="e">
            <v>#REF!</v>
          </cell>
          <cell r="AS404" t="e">
            <v>#REF!</v>
          </cell>
          <cell r="AT404" t="e">
            <v>#REF!</v>
          </cell>
          <cell r="AU404" t="e">
            <v>#REF!</v>
          </cell>
          <cell r="AV404" t="e">
            <v>#REF!</v>
          </cell>
          <cell r="AW404" t="e">
            <v>#DIV/0!</v>
          </cell>
          <cell r="AX404" t="e">
            <v>#DIV/0!</v>
          </cell>
          <cell r="AY404" t="e">
            <v>#DIV/0!</v>
          </cell>
          <cell r="AZ404" t="e">
            <v>#DIV/0!</v>
          </cell>
          <cell r="BE404" t="e">
            <v>#DIV/0!</v>
          </cell>
          <cell r="BF404" t="e">
            <v>#DIV/0!</v>
          </cell>
        </row>
        <row r="405">
          <cell r="A405" t="str">
            <v>-0</v>
          </cell>
          <cell r="B405" t="str">
            <v xml:space="preserve">-0  , </v>
          </cell>
          <cell r="C405"/>
          <cell r="D405"/>
          <cell r="E405"/>
          <cell r="F405"/>
          <cell r="G405"/>
          <cell r="H405"/>
          <cell r="I405"/>
          <cell r="J405"/>
          <cell r="K405"/>
          <cell r="L405"/>
          <cell r="M405"/>
          <cell r="N405"/>
          <cell r="O405"/>
          <cell r="P405"/>
          <cell r="Q405"/>
          <cell r="R405"/>
          <cell r="S405"/>
          <cell r="T405"/>
          <cell r="U405"/>
          <cell r="V405"/>
          <cell r="W405"/>
          <cell r="X405">
            <v>0</v>
          </cell>
          <cell r="Y405">
            <v>0</v>
          </cell>
          <cell r="Z405">
            <v>0</v>
          </cell>
          <cell r="AA405" t="str">
            <v>,</v>
          </cell>
          <cell r="AB405" t="str">
            <v>,</v>
          </cell>
          <cell r="AC405" t="e">
            <v>#DIV/0!</v>
          </cell>
          <cell r="AD405" t="e">
            <v>#DIV/0!</v>
          </cell>
          <cell r="AE405">
            <v>0.71</v>
          </cell>
          <cell r="AF405">
            <v>94.97</v>
          </cell>
          <cell r="AG405">
            <v>0</v>
          </cell>
          <cell r="AH405" t="e">
            <v>#DIV/0!</v>
          </cell>
          <cell r="AI405" t="e">
            <v>#DIV/0!</v>
          </cell>
          <cell r="AJ405" t="e">
            <v>#DIV/0!</v>
          </cell>
          <cell r="AK405" t="e">
            <v>#DIV/0!</v>
          </cell>
          <cell r="AL405" t="e">
            <v>#DIV/0!</v>
          </cell>
          <cell r="AM405" t="e">
            <v>#DIV/0!</v>
          </cell>
          <cell r="AN405" t="e">
            <v>#DIV/0!</v>
          </cell>
          <cell r="AO405" t="e">
            <v>#REF!</v>
          </cell>
          <cell r="AP405" t="e">
            <v>#REF!</v>
          </cell>
          <cell r="AQ405" t="e">
            <v>#REF!</v>
          </cell>
          <cell r="AR405" t="e">
            <v>#REF!</v>
          </cell>
          <cell r="AS405" t="e">
            <v>#REF!</v>
          </cell>
          <cell r="AT405" t="e">
            <v>#REF!</v>
          </cell>
          <cell r="AU405" t="e">
            <v>#REF!</v>
          </cell>
          <cell r="AV405" t="e">
            <v>#REF!</v>
          </cell>
          <cell r="AW405" t="e">
            <v>#DIV/0!</v>
          </cell>
          <cell r="AX405" t="e">
            <v>#DIV/0!</v>
          </cell>
          <cell r="AY405" t="e">
            <v>#DIV/0!</v>
          </cell>
          <cell r="AZ405" t="e">
            <v>#DIV/0!</v>
          </cell>
          <cell r="BE405" t="e">
            <v>#DIV/0!</v>
          </cell>
          <cell r="BF405" t="e">
            <v>#DIV/0!</v>
          </cell>
        </row>
        <row r="406">
          <cell r="A406" t="str">
            <v>-0</v>
          </cell>
          <cell r="B406" t="str">
            <v xml:space="preserve">-0  , </v>
          </cell>
          <cell r="C406"/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/>
          <cell r="S406"/>
          <cell r="T406"/>
          <cell r="U406"/>
          <cell r="V406"/>
          <cell r="W406"/>
          <cell r="X406">
            <v>0</v>
          </cell>
          <cell r="Y406">
            <v>0</v>
          </cell>
          <cell r="Z406">
            <v>0</v>
          </cell>
          <cell r="AA406" t="str">
            <v>,</v>
          </cell>
          <cell r="AB406" t="str">
            <v>,</v>
          </cell>
          <cell r="AC406" t="e">
            <v>#DIV/0!</v>
          </cell>
          <cell r="AD406" t="e">
            <v>#DIV/0!</v>
          </cell>
          <cell r="AE406">
            <v>0.71</v>
          </cell>
          <cell r="AF406">
            <v>94.97</v>
          </cell>
          <cell r="AG406">
            <v>0</v>
          </cell>
          <cell r="AH406" t="e">
            <v>#DIV/0!</v>
          </cell>
          <cell r="AI406" t="e">
            <v>#DIV/0!</v>
          </cell>
          <cell r="AJ406" t="e">
            <v>#DIV/0!</v>
          </cell>
          <cell r="AK406" t="e">
            <v>#DIV/0!</v>
          </cell>
          <cell r="AL406" t="e">
            <v>#DIV/0!</v>
          </cell>
          <cell r="AM406" t="e">
            <v>#DIV/0!</v>
          </cell>
          <cell r="AN406" t="e">
            <v>#DIV/0!</v>
          </cell>
          <cell r="AO406" t="e">
            <v>#REF!</v>
          </cell>
          <cell r="AP406" t="e">
            <v>#REF!</v>
          </cell>
          <cell r="AQ406" t="e">
            <v>#REF!</v>
          </cell>
          <cell r="AR406" t="e">
            <v>#REF!</v>
          </cell>
          <cell r="AS406" t="e">
            <v>#REF!</v>
          </cell>
          <cell r="AT406" t="e">
            <v>#REF!</v>
          </cell>
          <cell r="AU406" t="e">
            <v>#REF!</v>
          </cell>
          <cell r="AV406" t="e">
            <v>#REF!</v>
          </cell>
          <cell r="AW406" t="e">
            <v>#DIV/0!</v>
          </cell>
          <cell r="AX406" t="e">
            <v>#DIV/0!</v>
          </cell>
          <cell r="AY406" t="e">
            <v>#DIV/0!</v>
          </cell>
          <cell r="AZ406" t="e">
            <v>#DIV/0!</v>
          </cell>
          <cell r="BE406" t="e">
            <v>#DIV/0!</v>
          </cell>
          <cell r="BF406" t="e">
            <v>#DIV/0!</v>
          </cell>
        </row>
        <row r="407">
          <cell r="A407" t="str">
            <v>-0</v>
          </cell>
          <cell r="B407" t="str">
            <v xml:space="preserve">-0  , </v>
          </cell>
          <cell r="C407"/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/>
          <cell r="S407"/>
          <cell r="T407"/>
          <cell r="U407"/>
          <cell r="V407"/>
          <cell r="W407"/>
          <cell r="X407">
            <v>0</v>
          </cell>
          <cell r="Y407">
            <v>0</v>
          </cell>
          <cell r="Z407">
            <v>0</v>
          </cell>
          <cell r="AA407" t="str">
            <v>,</v>
          </cell>
          <cell r="AB407" t="str">
            <v>,</v>
          </cell>
          <cell r="AC407" t="e">
            <v>#DIV/0!</v>
          </cell>
          <cell r="AD407" t="e">
            <v>#DIV/0!</v>
          </cell>
          <cell r="AE407">
            <v>0.71</v>
          </cell>
          <cell r="AF407">
            <v>94.97</v>
          </cell>
          <cell r="AG407">
            <v>0</v>
          </cell>
          <cell r="AH407" t="e">
            <v>#DIV/0!</v>
          </cell>
          <cell r="AI407" t="e">
            <v>#DIV/0!</v>
          </cell>
          <cell r="AJ407" t="e">
            <v>#DIV/0!</v>
          </cell>
          <cell r="AK407" t="e">
            <v>#DIV/0!</v>
          </cell>
          <cell r="AL407" t="e">
            <v>#DIV/0!</v>
          </cell>
          <cell r="AM407" t="e">
            <v>#DIV/0!</v>
          </cell>
          <cell r="AN407" t="e">
            <v>#DIV/0!</v>
          </cell>
          <cell r="AO407" t="e">
            <v>#REF!</v>
          </cell>
          <cell r="AP407" t="e">
            <v>#REF!</v>
          </cell>
          <cell r="AQ407" t="e">
            <v>#REF!</v>
          </cell>
          <cell r="AR407" t="e">
            <v>#REF!</v>
          </cell>
          <cell r="AS407" t="e">
            <v>#REF!</v>
          </cell>
          <cell r="AT407" t="e">
            <v>#REF!</v>
          </cell>
          <cell r="AU407" t="e">
            <v>#REF!</v>
          </cell>
          <cell r="AV407" t="e">
            <v>#REF!</v>
          </cell>
          <cell r="AW407" t="e">
            <v>#DIV/0!</v>
          </cell>
          <cell r="AX407" t="e">
            <v>#DIV/0!</v>
          </cell>
          <cell r="AY407" t="e">
            <v>#DIV/0!</v>
          </cell>
          <cell r="AZ407" t="e">
            <v>#DIV/0!</v>
          </cell>
          <cell r="BE407" t="e">
            <v>#DIV/0!</v>
          </cell>
          <cell r="BF407" t="e">
            <v>#DIV/0!</v>
          </cell>
        </row>
        <row r="408">
          <cell r="A408" t="str">
            <v>-0</v>
          </cell>
          <cell r="B408" t="str">
            <v xml:space="preserve">-0  , </v>
          </cell>
          <cell r="C408"/>
          <cell r="D408"/>
          <cell r="E408"/>
          <cell r="F408"/>
          <cell r="G408"/>
          <cell r="H408"/>
          <cell r="I408"/>
          <cell r="J408"/>
          <cell r="K408"/>
          <cell r="L408"/>
          <cell r="M408"/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  <cell r="X408">
            <v>0</v>
          </cell>
          <cell r="Y408">
            <v>0</v>
          </cell>
          <cell r="Z408">
            <v>0</v>
          </cell>
          <cell r="AA408" t="str">
            <v>,</v>
          </cell>
          <cell r="AB408" t="str">
            <v>,</v>
          </cell>
          <cell r="AC408" t="e">
            <v>#DIV/0!</v>
          </cell>
          <cell r="AD408" t="e">
            <v>#DIV/0!</v>
          </cell>
          <cell r="AE408">
            <v>0.71</v>
          </cell>
          <cell r="AF408">
            <v>94.97</v>
          </cell>
          <cell r="AG408">
            <v>0</v>
          </cell>
          <cell r="AH408" t="e">
            <v>#DIV/0!</v>
          </cell>
          <cell r="AI408" t="e">
            <v>#DIV/0!</v>
          </cell>
          <cell r="AJ408" t="e">
            <v>#DIV/0!</v>
          </cell>
          <cell r="AK408" t="e">
            <v>#DIV/0!</v>
          </cell>
          <cell r="AL408" t="e">
            <v>#DIV/0!</v>
          </cell>
          <cell r="AM408" t="e">
            <v>#DIV/0!</v>
          </cell>
          <cell r="AN408" t="e">
            <v>#DIV/0!</v>
          </cell>
          <cell r="AO408" t="e">
            <v>#REF!</v>
          </cell>
          <cell r="AP408" t="e">
            <v>#REF!</v>
          </cell>
          <cell r="AQ408" t="e">
            <v>#REF!</v>
          </cell>
          <cell r="AR408" t="e">
            <v>#REF!</v>
          </cell>
          <cell r="AS408" t="e">
            <v>#REF!</v>
          </cell>
          <cell r="AT408" t="e">
            <v>#REF!</v>
          </cell>
          <cell r="AU408" t="e">
            <v>#REF!</v>
          </cell>
          <cell r="AV408" t="e">
            <v>#REF!</v>
          </cell>
          <cell r="AW408" t="e">
            <v>#DIV/0!</v>
          </cell>
          <cell r="AX408" t="e">
            <v>#DIV/0!</v>
          </cell>
          <cell r="AY408" t="e">
            <v>#DIV/0!</v>
          </cell>
          <cell r="AZ408" t="e">
            <v>#DIV/0!</v>
          </cell>
          <cell r="BE408" t="e">
            <v>#DIV/0!</v>
          </cell>
          <cell r="BF408" t="e">
            <v>#DIV/0!</v>
          </cell>
        </row>
        <row r="409">
          <cell r="A409" t="str">
            <v>-0</v>
          </cell>
          <cell r="B409" t="str">
            <v xml:space="preserve">-0  , </v>
          </cell>
          <cell r="C409"/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  <cell r="X409">
            <v>0</v>
          </cell>
          <cell r="Y409">
            <v>0</v>
          </cell>
          <cell r="Z409">
            <v>0</v>
          </cell>
          <cell r="AA409" t="str">
            <v>,</v>
          </cell>
          <cell r="AB409" t="str">
            <v>,</v>
          </cell>
          <cell r="AC409" t="e">
            <v>#DIV/0!</v>
          </cell>
          <cell r="AD409" t="e">
            <v>#DIV/0!</v>
          </cell>
          <cell r="AE409">
            <v>0.71</v>
          </cell>
          <cell r="AF409">
            <v>94.97</v>
          </cell>
          <cell r="AG409">
            <v>0</v>
          </cell>
          <cell r="AH409" t="e">
            <v>#DIV/0!</v>
          </cell>
          <cell r="AI409" t="e">
            <v>#DIV/0!</v>
          </cell>
          <cell r="AJ409" t="e">
            <v>#DIV/0!</v>
          </cell>
          <cell r="AK409" t="e">
            <v>#DIV/0!</v>
          </cell>
          <cell r="AL409" t="e">
            <v>#DIV/0!</v>
          </cell>
          <cell r="AM409" t="e">
            <v>#DIV/0!</v>
          </cell>
          <cell r="AN409" t="e">
            <v>#DIV/0!</v>
          </cell>
          <cell r="AO409" t="e">
            <v>#REF!</v>
          </cell>
          <cell r="AP409" t="e">
            <v>#REF!</v>
          </cell>
          <cell r="AQ409" t="e">
            <v>#REF!</v>
          </cell>
          <cell r="AR409" t="e">
            <v>#REF!</v>
          </cell>
          <cell r="AS409" t="e">
            <v>#REF!</v>
          </cell>
          <cell r="AT409" t="e">
            <v>#REF!</v>
          </cell>
          <cell r="AU409" t="e">
            <v>#REF!</v>
          </cell>
          <cell r="AV409" t="e">
            <v>#REF!</v>
          </cell>
          <cell r="AW409" t="e">
            <v>#DIV/0!</v>
          </cell>
          <cell r="AX409" t="e">
            <v>#DIV/0!</v>
          </cell>
          <cell r="AY409" t="e">
            <v>#DIV/0!</v>
          </cell>
          <cell r="AZ409" t="e">
            <v>#DIV/0!</v>
          </cell>
          <cell r="BE409" t="e">
            <v>#DIV/0!</v>
          </cell>
          <cell r="BF409" t="e">
            <v>#DIV/0!</v>
          </cell>
        </row>
        <row r="410">
          <cell r="A410" t="str">
            <v>-0</v>
          </cell>
          <cell r="B410" t="str">
            <v xml:space="preserve">-0  , </v>
          </cell>
          <cell r="C410"/>
          <cell r="D410"/>
          <cell r="E410"/>
          <cell r="F410"/>
          <cell r="G410"/>
          <cell r="H410"/>
          <cell r="I410"/>
          <cell r="J410"/>
          <cell r="K410"/>
          <cell r="L410"/>
          <cell r="M410"/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  <cell r="X410">
            <v>0</v>
          </cell>
          <cell r="Y410">
            <v>0</v>
          </cell>
          <cell r="Z410">
            <v>0</v>
          </cell>
          <cell r="AA410" t="str">
            <v>,</v>
          </cell>
          <cell r="AB410" t="str">
            <v>,</v>
          </cell>
          <cell r="AC410" t="e">
            <v>#DIV/0!</v>
          </cell>
          <cell r="AD410" t="e">
            <v>#DIV/0!</v>
          </cell>
          <cell r="AE410">
            <v>0.71</v>
          </cell>
          <cell r="AF410">
            <v>94.97</v>
          </cell>
          <cell r="AG410">
            <v>0</v>
          </cell>
          <cell r="AH410" t="e">
            <v>#DIV/0!</v>
          </cell>
          <cell r="AI410" t="e">
            <v>#DIV/0!</v>
          </cell>
          <cell r="AJ410" t="e">
            <v>#DIV/0!</v>
          </cell>
          <cell r="AK410" t="e">
            <v>#DIV/0!</v>
          </cell>
          <cell r="AL410" t="e">
            <v>#DIV/0!</v>
          </cell>
          <cell r="AM410" t="e">
            <v>#DIV/0!</v>
          </cell>
          <cell r="AN410" t="e">
            <v>#DIV/0!</v>
          </cell>
          <cell r="AO410" t="e">
            <v>#REF!</v>
          </cell>
          <cell r="AP410" t="e">
            <v>#REF!</v>
          </cell>
          <cell r="AQ410" t="e">
            <v>#REF!</v>
          </cell>
          <cell r="AR410" t="e">
            <v>#REF!</v>
          </cell>
          <cell r="AS410" t="e">
            <v>#REF!</v>
          </cell>
          <cell r="AT410" t="e">
            <v>#REF!</v>
          </cell>
          <cell r="AU410" t="e">
            <v>#REF!</v>
          </cell>
          <cell r="AV410" t="e">
            <v>#REF!</v>
          </cell>
          <cell r="AW410" t="e">
            <v>#DIV/0!</v>
          </cell>
          <cell r="AX410" t="e">
            <v>#DIV/0!</v>
          </cell>
          <cell r="AY410" t="e">
            <v>#DIV/0!</v>
          </cell>
          <cell r="AZ410" t="e">
            <v>#DIV/0!</v>
          </cell>
          <cell r="BE410" t="e">
            <v>#DIV/0!</v>
          </cell>
          <cell r="BF410" t="e">
            <v>#DIV/0!</v>
          </cell>
        </row>
        <row r="411">
          <cell r="A411" t="str">
            <v>-0</v>
          </cell>
          <cell r="B411" t="str">
            <v xml:space="preserve">-0  , </v>
          </cell>
          <cell r="C411"/>
          <cell r="D411"/>
          <cell r="E411"/>
          <cell r="F411"/>
          <cell r="G411"/>
          <cell r="H411"/>
          <cell r="I411"/>
          <cell r="J411"/>
          <cell r="K411"/>
          <cell r="L411"/>
          <cell r="M411"/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  <cell r="X411">
            <v>0</v>
          </cell>
          <cell r="Y411">
            <v>0</v>
          </cell>
          <cell r="Z411">
            <v>0</v>
          </cell>
          <cell r="AA411" t="str">
            <v>,</v>
          </cell>
          <cell r="AB411" t="str">
            <v>,</v>
          </cell>
          <cell r="AC411" t="e">
            <v>#DIV/0!</v>
          </cell>
          <cell r="AD411" t="e">
            <v>#DIV/0!</v>
          </cell>
          <cell r="AE411">
            <v>0.71</v>
          </cell>
          <cell r="AF411">
            <v>94.97</v>
          </cell>
          <cell r="AG411">
            <v>0</v>
          </cell>
          <cell r="AH411" t="e">
            <v>#DIV/0!</v>
          </cell>
          <cell r="AI411" t="e">
            <v>#DIV/0!</v>
          </cell>
          <cell r="AJ411" t="e">
            <v>#DIV/0!</v>
          </cell>
          <cell r="AK411" t="e">
            <v>#DIV/0!</v>
          </cell>
          <cell r="AL411" t="e">
            <v>#DIV/0!</v>
          </cell>
          <cell r="AM411" t="e">
            <v>#DIV/0!</v>
          </cell>
          <cell r="AN411" t="e">
            <v>#DIV/0!</v>
          </cell>
          <cell r="AO411" t="e">
            <v>#REF!</v>
          </cell>
          <cell r="AP411" t="e">
            <v>#REF!</v>
          </cell>
          <cell r="AQ411" t="e">
            <v>#REF!</v>
          </cell>
          <cell r="AR411" t="e">
            <v>#REF!</v>
          </cell>
          <cell r="AS411" t="e">
            <v>#REF!</v>
          </cell>
          <cell r="AT411" t="e">
            <v>#REF!</v>
          </cell>
          <cell r="AU411" t="e">
            <v>#REF!</v>
          </cell>
          <cell r="AV411" t="e">
            <v>#REF!</v>
          </cell>
          <cell r="AW411" t="e">
            <v>#DIV/0!</v>
          </cell>
          <cell r="AX411" t="e">
            <v>#DIV/0!</v>
          </cell>
          <cell r="AY411" t="e">
            <v>#DIV/0!</v>
          </cell>
          <cell r="AZ411" t="e">
            <v>#DIV/0!</v>
          </cell>
          <cell r="BE411" t="e">
            <v>#DIV/0!</v>
          </cell>
          <cell r="BF411" t="e">
            <v>#DIV/0!</v>
          </cell>
        </row>
        <row r="412">
          <cell r="A412" t="str">
            <v>-0</v>
          </cell>
          <cell r="B412" t="str">
            <v xml:space="preserve">-0  , </v>
          </cell>
          <cell r="C412"/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/>
          <cell r="S412"/>
          <cell r="T412"/>
          <cell r="U412"/>
          <cell r="V412"/>
          <cell r="W412"/>
          <cell r="X412">
            <v>0</v>
          </cell>
          <cell r="Y412">
            <v>0</v>
          </cell>
          <cell r="Z412">
            <v>0</v>
          </cell>
          <cell r="AA412" t="str">
            <v>,</v>
          </cell>
          <cell r="AB412" t="str">
            <v>,</v>
          </cell>
          <cell r="AC412" t="e">
            <v>#DIV/0!</v>
          </cell>
          <cell r="AD412" t="e">
            <v>#DIV/0!</v>
          </cell>
          <cell r="AE412">
            <v>0.71</v>
          </cell>
          <cell r="AF412">
            <v>94.97</v>
          </cell>
          <cell r="AG412">
            <v>0</v>
          </cell>
          <cell r="AH412" t="e">
            <v>#DIV/0!</v>
          </cell>
          <cell r="AI412" t="e">
            <v>#DIV/0!</v>
          </cell>
          <cell r="AJ412" t="e">
            <v>#DIV/0!</v>
          </cell>
          <cell r="AK412" t="e">
            <v>#DIV/0!</v>
          </cell>
          <cell r="AL412" t="e">
            <v>#DIV/0!</v>
          </cell>
          <cell r="AM412" t="e">
            <v>#DIV/0!</v>
          </cell>
          <cell r="AN412" t="e">
            <v>#DIV/0!</v>
          </cell>
          <cell r="AO412" t="e">
            <v>#REF!</v>
          </cell>
          <cell r="AP412" t="e">
            <v>#REF!</v>
          </cell>
          <cell r="AQ412" t="e">
            <v>#REF!</v>
          </cell>
          <cell r="AR412" t="e">
            <v>#REF!</v>
          </cell>
          <cell r="AS412" t="e">
            <v>#REF!</v>
          </cell>
          <cell r="AT412" t="e">
            <v>#REF!</v>
          </cell>
          <cell r="AU412" t="e">
            <v>#REF!</v>
          </cell>
          <cell r="AV412" t="e">
            <v>#REF!</v>
          </cell>
          <cell r="AW412" t="e">
            <v>#DIV/0!</v>
          </cell>
          <cell r="AX412" t="e">
            <v>#DIV/0!</v>
          </cell>
          <cell r="AY412" t="e">
            <v>#DIV/0!</v>
          </cell>
          <cell r="AZ412" t="e">
            <v>#DIV/0!</v>
          </cell>
          <cell r="BE412" t="e">
            <v>#DIV/0!</v>
          </cell>
          <cell r="BF412" t="e">
            <v>#DIV/0!</v>
          </cell>
        </row>
        <row r="413">
          <cell r="A413" t="str">
            <v>-0</v>
          </cell>
          <cell r="B413" t="str">
            <v xml:space="preserve">-0  , </v>
          </cell>
          <cell r="C413"/>
          <cell r="D413"/>
          <cell r="E413"/>
          <cell r="F413"/>
          <cell r="G413"/>
          <cell r="H413"/>
          <cell r="I413"/>
          <cell r="J413"/>
          <cell r="K413"/>
          <cell r="L413"/>
          <cell r="M413"/>
          <cell r="N413"/>
          <cell r="O413"/>
          <cell r="P413"/>
          <cell r="Q413"/>
          <cell r="R413"/>
          <cell r="S413"/>
          <cell r="T413"/>
          <cell r="U413"/>
          <cell r="V413"/>
          <cell r="W413"/>
          <cell r="X413">
            <v>0</v>
          </cell>
          <cell r="Y413">
            <v>0</v>
          </cell>
          <cell r="Z413">
            <v>0</v>
          </cell>
          <cell r="AA413" t="str">
            <v>,</v>
          </cell>
          <cell r="AB413" t="str">
            <v>,</v>
          </cell>
          <cell r="AC413" t="e">
            <v>#DIV/0!</v>
          </cell>
          <cell r="AD413" t="e">
            <v>#DIV/0!</v>
          </cell>
          <cell r="AE413">
            <v>0.71</v>
          </cell>
          <cell r="AF413">
            <v>94.97</v>
          </cell>
          <cell r="AG413">
            <v>0</v>
          </cell>
          <cell r="AH413" t="e">
            <v>#DIV/0!</v>
          </cell>
          <cell r="AI413" t="e">
            <v>#DIV/0!</v>
          </cell>
          <cell r="AJ413" t="e">
            <v>#DIV/0!</v>
          </cell>
          <cell r="AK413" t="e">
            <v>#DIV/0!</v>
          </cell>
          <cell r="AL413" t="e">
            <v>#DIV/0!</v>
          </cell>
          <cell r="AM413" t="e">
            <v>#DIV/0!</v>
          </cell>
          <cell r="AN413" t="e">
            <v>#DIV/0!</v>
          </cell>
          <cell r="AO413" t="e">
            <v>#REF!</v>
          </cell>
          <cell r="AP413" t="e">
            <v>#REF!</v>
          </cell>
          <cell r="AQ413" t="e">
            <v>#REF!</v>
          </cell>
          <cell r="AR413" t="e">
            <v>#REF!</v>
          </cell>
          <cell r="AS413" t="e">
            <v>#REF!</v>
          </cell>
          <cell r="AT413" t="e">
            <v>#REF!</v>
          </cell>
          <cell r="AU413" t="e">
            <v>#REF!</v>
          </cell>
          <cell r="AV413" t="e">
            <v>#REF!</v>
          </cell>
          <cell r="AW413" t="e">
            <v>#DIV/0!</v>
          </cell>
          <cell r="AX413" t="e">
            <v>#DIV/0!</v>
          </cell>
          <cell r="AY413" t="e">
            <v>#DIV/0!</v>
          </cell>
          <cell r="AZ413" t="e">
            <v>#DIV/0!</v>
          </cell>
          <cell r="BE413" t="e">
            <v>#DIV/0!</v>
          </cell>
          <cell r="BF413" t="e">
            <v>#DIV/0!</v>
          </cell>
        </row>
        <row r="414">
          <cell r="A414" t="str">
            <v>-0</v>
          </cell>
          <cell r="B414" t="str">
            <v xml:space="preserve">-0  , </v>
          </cell>
          <cell r="C414"/>
          <cell r="D414"/>
          <cell r="E414"/>
          <cell r="F414"/>
          <cell r="G414"/>
          <cell r="H414"/>
          <cell r="I414"/>
          <cell r="J414"/>
          <cell r="K414"/>
          <cell r="L414"/>
          <cell r="M414"/>
          <cell r="N414"/>
          <cell r="O414"/>
          <cell r="P414"/>
          <cell r="Q414"/>
          <cell r="R414"/>
          <cell r="S414"/>
          <cell r="T414"/>
          <cell r="U414"/>
          <cell r="V414"/>
          <cell r="W414"/>
          <cell r="X414">
            <v>0</v>
          </cell>
          <cell r="Y414">
            <v>0</v>
          </cell>
          <cell r="Z414">
            <v>0</v>
          </cell>
          <cell r="AA414" t="str">
            <v>,</v>
          </cell>
          <cell r="AB414" t="str">
            <v>,</v>
          </cell>
          <cell r="AC414" t="e">
            <v>#DIV/0!</v>
          </cell>
          <cell r="AD414" t="e">
            <v>#DIV/0!</v>
          </cell>
          <cell r="AE414">
            <v>0.71</v>
          </cell>
          <cell r="AF414">
            <v>94.97</v>
          </cell>
          <cell r="AG414">
            <v>0</v>
          </cell>
          <cell r="AH414" t="e">
            <v>#DIV/0!</v>
          </cell>
          <cell r="AI414" t="e">
            <v>#DIV/0!</v>
          </cell>
          <cell r="AJ414" t="e">
            <v>#DIV/0!</v>
          </cell>
          <cell r="AK414" t="e">
            <v>#DIV/0!</v>
          </cell>
          <cell r="AL414" t="e">
            <v>#DIV/0!</v>
          </cell>
          <cell r="AM414" t="e">
            <v>#DIV/0!</v>
          </cell>
          <cell r="AN414" t="e">
            <v>#DIV/0!</v>
          </cell>
          <cell r="AO414" t="e">
            <v>#REF!</v>
          </cell>
          <cell r="AP414" t="e">
            <v>#REF!</v>
          </cell>
          <cell r="AQ414" t="e">
            <v>#REF!</v>
          </cell>
          <cell r="AR414" t="e">
            <v>#REF!</v>
          </cell>
          <cell r="AS414" t="e">
            <v>#REF!</v>
          </cell>
          <cell r="AT414" t="e">
            <v>#REF!</v>
          </cell>
          <cell r="AU414" t="e">
            <v>#REF!</v>
          </cell>
          <cell r="AV414" t="e">
            <v>#REF!</v>
          </cell>
          <cell r="AW414" t="e">
            <v>#DIV/0!</v>
          </cell>
          <cell r="AX414" t="e">
            <v>#DIV/0!</v>
          </cell>
          <cell r="AY414" t="e">
            <v>#DIV/0!</v>
          </cell>
          <cell r="AZ414" t="e">
            <v>#DIV/0!</v>
          </cell>
          <cell r="BE414" t="e">
            <v>#DIV/0!</v>
          </cell>
          <cell r="BF414" t="e">
            <v>#DIV/0!</v>
          </cell>
        </row>
        <row r="415">
          <cell r="A415" t="str">
            <v>-0</v>
          </cell>
          <cell r="B415" t="str">
            <v xml:space="preserve">-0  , </v>
          </cell>
          <cell r="C415"/>
          <cell r="D415"/>
          <cell r="E415"/>
          <cell r="F415"/>
          <cell r="G415"/>
          <cell r="H415"/>
          <cell r="I415"/>
          <cell r="J415"/>
          <cell r="K415"/>
          <cell r="L415"/>
          <cell r="M415"/>
          <cell r="N415"/>
          <cell r="O415"/>
          <cell r="P415"/>
          <cell r="Q415"/>
          <cell r="R415"/>
          <cell r="S415"/>
          <cell r="T415"/>
          <cell r="U415"/>
          <cell r="V415"/>
          <cell r="W415"/>
          <cell r="X415">
            <v>0</v>
          </cell>
          <cell r="Y415">
            <v>0</v>
          </cell>
          <cell r="Z415">
            <v>0</v>
          </cell>
          <cell r="AA415" t="str">
            <v>,</v>
          </cell>
          <cell r="AB415" t="str">
            <v>,</v>
          </cell>
          <cell r="AC415" t="e">
            <v>#DIV/0!</v>
          </cell>
          <cell r="AD415" t="e">
            <v>#DIV/0!</v>
          </cell>
          <cell r="AE415">
            <v>0.71</v>
          </cell>
          <cell r="AF415">
            <v>94.97</v>
          </cell>
          <cell r="AG415">
            <v>0</v>
          </cell>
          <cell r="AH415" t="e">
            <v>#DIV/0!</v>
          </cell>
          <cell r="AI415" t="e">
            <v>#DIV/0!</v>
          </cell>
          <cell r="AJ415" t="e">
            <v>#DIV/0!</v>
          </cell>
          <cell r="AK415" t="e">
            <v>#DIV/0!</v>
          </cell>
          <cell r="AL415" t="e">
            <v>#DIV/0!</v>
          </cell>
          <cell r="AM415" t="e">
            <v>#DIV/0!</v>
          </cell>
          <cell r="AN415" t="e">
            <v>#DIV/0!</v>
          </cell>
          <cell r="AO415" t="e">
            <v>#REF!</v>
          </cell>
          <cell r="AP415" t="e">
            <v>#REF!</v>
          </cell>
          <cell r="AQ415" t="e">
            <v>#REF!</v>
          </cell>
          <cell r="AR415" t="e">
            <v>#REF!</v>
          </cell>
          <cell r="AS415" t="e">
            <v>#REF!</v>
          </cell>
          <cell r="AT415" t="e">
            <v>#REF!</v>
          </cell>
          <cell r="AU415" t="e">
            <v>#REF!</v>
          </cell>
          <cell r="AV415" t="e">
            <v>#REF!</v>
          </cell>
          <cell r="AW415" t="e">
            <v>#DIV/0!</v>
          </cell>
          <cell r="AX415" t="e">
            <v>#DIV/0!</v>
          </cell>
          <cell r="AY415" t="e">
            <v>#DIV/0!</v>
          </cell>
          <cell r="AZ415" t="e">
            <v>#DIV/0!</v>
          </cell>
          <cell r="BE415" t="e">
            <v>#DIV/0!</v>
          </cell>
          <cell r="BF415" t="e">
            <v>#DIV/0!</v>
          </cell>
        </row>
        <row r="416">
          <cell r="A416" t="str">
            <v>-0</v>
          </cell>
          <cell r="B416" t="str">
            <v xml:space="preserve">-0  , </v>
          </cell>
          <cell r="C416"/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  <cell r="X416">
            <v>0</v>
          </cell>
          <cell r="Y416">
            <v>0</v>
          </cell>
          <cell r="Z416">
            <v>0</v>
          </cell>
          <cell r="AA416" t="str">
            <v>,</v>
          </cell>
          <cell r="AB416" t="str">
            <v>,</v>
          </cell>
          <cell r="AC416" t="e">
            <v>#DIV/0!</v>
          </cell>
          <cell r="AD416" t="e">
            <v>#DIV/0!</v>
          </cell>
          <cell r="AE416">
            <v>0.71</v>
          </cell>
          <cell r="AF416">
            <v>94.97</v>
          </cell>
          <cell r="AG416">
            <v>0</v>
          </cell>
          <cell r="AH416" t="e">
            <v>#DIV/0!</v>
          </cell>
          <cell r="AI416" t="e">
            <v>#DIV/0!</v>
          </cell>
          <cell r="AJ416" t="e">
            <v>#DIV/0!</v>
          </cell>
          <cell r="AK416" t="e">
            <v>#DIV/0!</v>
          </cell>
          <cell r="AL416" t="e">
            <v>#DIV/0!</v>
          </cell>
          <cell r="AM416" t="e">
            <v>#DIV/0!</v>
          </cell>
          <cell r="AN416" t="e">
            <v>#DIV/0!</v>
          </cell>
          <cell r="AO416" t="e">
            <v>#REF!</v>
          </cell>
          <cell r="AP416" t="e">
            <v>#REF!</v>
          </cell>
          <cell r="AQ416" t="e">
            <v>#REF!</v>
          </cell>
          <cell r="AR416" t="e">
            <v>#REF!</v>
          </cell>
          <cell r="AS416" t="e">
            <v>#REF!</v>
          </cell>
          <cell r="AT416" t="e">
            <v>#REF!</v>
          </cell>
          <cell r="AU416" t="e">
            <v>#REF!</v>
          </cell>
          <cell r="AV416" t="e">
            <v>#REF!</v>
          </cell>
          <cell r="AW416" t="e">
            <v>#DIV/0!</v>
          </cell>
          <cell r="AX416" t="e">
            <v>#DIV/0!</v>
          </cell>
          <cell r="AY416" t="e">
            <v>#DIV/0!</v>
          </cell>
          <cell r="AZ416" t="e">
            <v>#DIV/0!</v>
          </cell>
          <cell r="BE416" t="e">
            <v>#DIV/0!</v>
          </cell>
          <cell r="BF416" t="e">
            <v>#DIV/0!</v>
          </cell>
        </row>
        <row r="417">
          <cell r="A417" t="str">
            <v>-0</v>
          </cell>
          <cell r="B417" t="str">
            <v xml:space="preserve">-0  , </v>
          </cell>
          <cell r="C417"/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/>
          <cell r="X417">
            <v>0</v>
          </cell>
          <cell r="Y417">
            <v>0</v>
          </cell>
          <cell r="Z417">
            <v>0</v>
          </cell>
          <cell r="AA417" t="str">
            <v>,</v>
          </cell>
          <cell r="AB417" t="str">
            <v>,</v>
          </cell>
          <cell r="AC417" t="e">
            <v>#DIV/0!</v>
          </cell>
          <cell r="AD417" t="e">
            <v>#DIV/0!</v>
          </cell>
          <cell r="AE417">
            <v>0.71</v>
          </cell>
          <cell r="AF417">
            <v>94.97</v>
          </cell>
          <cell r="AG417">
            <v>0</v>
          </cell>
          <cell r="AH417" t="e">
            <v>#DIV/0!</v>
          </cell>
          <cell r="AI417" t="e">
            <v>#DIV/0!</v>
          </cell>
          <cell r="AJ417" t="e">
            <v>#DIV/0!</v>
          </cell>
          <cell r="AK417" t="e">
            <v>#DIV/0!</v>
          </cell>
          <cell r="AL417" t="e">
            <v>#DIV/0!</v>
          </cell>
          <cell r="AM417" t="e">
            <v>#DIV/0!</v>
          </cell>
          <cell r="AN417" t="e">
            <v>#DIV/0!</v>
          </cell>
          <cell r="AO417" t="e">
            <v>#REF!</v>
          </cell>
          <cell r="AP417" t="e">
            <v>#REF!</v>
          </cell>
          <cell r="AQ417" t="e">
            <v>#REF!</v>
          </cell>
          <cell r="AR417" t="e">
            <v>#REF!</v>
          </cell>
          <cell r="AS417" t="e">
            <v>#REF!</v>
          </cell>
          <cell r="AT417" t="e">
            <v>#REF!</v>
          </cell>
          <cell r="AU417" t="e">
            <v>#REF!</v>
          </cell>
          <cell r="AV417" t="e">
            <v>#REF!</v>
          </cell>
          <cell r="AW417" t="e">
            <v>#DIV/0!</v>
          </cell>
          <cell r="AX417" t="e">
            <v>#DIV/0!</v>
          </cell>
          <cell r="AY417" t="e">
            <v>#DIV/0!</v>
          </cell>
          <cell r="AZ417" t="e">
            <v>#DIV/0!</v>
          </cell>
          <cell r="BE417" t="e">
            <v>#DIV/0!</v>
          </cell>
          <cell r="BF417" t="e">
            <v>#DIV/0!</v>
          </cell>
        </row>
        <row r="418">
          <cell r="A418" t="str">
            <v>-0</v>
          </cell>
          <cell r="B418" t="str">
            <v xml:space="preserve">-0  , </v>
          </cell>
          <cell r="C418"/>
          <cell r="D418"/>
          <cell r="E418"/>
          <cell r="F418"/>
          <cell r="G418"/>
          <cell r="H418"/>
          <cell r="I418"/>
          <cell r="J418"/>
          <cell r="K418"/>
          <cell r="L418"/>
          <cell r="M418"/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  <cell r="X418">
            <v>0</v>
          </cell>
          <cell r="Y418">
            <v>0</v>
          </cell>
          <cell r="Z418">
            <v>0</v>
          </cell>
          <cell r="AA418" t="str">
            <v>,</v>
          </cell>
          <cell r="AB418" t="str">
            <v>,</v>
          </cell>
          <cell r="AC418" t="e">
            <v>#DIV/0!</v>
          </cell>
          <cell r="AD418" t="e">
            <v>#DIV/0!</v>
          </cell>
          <cell r="AE418">
            <v>0.71</v>
          </cell>
          <cell r="AF418">
            <v>94.97</v>
          </cell>
          <cell r="AG418">
            <v>0</v>
          </cell>
          <cell r="AH418" t="e">
            <v>#DIV/0!</v>
          </cell>
          <cell r="AI418" t="e">
            <v>#DIV/0!</v>
          </cell>
          <cell r="AJ418" t="e">
            <v>#DIV/0!</v>
          </cell>
          <cell r="AK418" t="e">
            <v>#DIV/0!</v>
          </cell>
          <cell r="AL418" t="e">
            <v>#DIV/0!</v>
          </cell>
          <cell r="AM418" t="e">
            <v>#DIV/0!</v>
          </cell>
          <cell r="AN418" t="e">
            <v>#DIV/0!</v>
          </cell>
          <cell r="AO418" t="e">
            <v>#REF!</v>
          </cell>
          <cell r="AP418" t="e">
            <v>#REF!</v>
          </cell>
          <cell r="AQ418" t="e">
            <v>#REF!</v>
          </cell>
          <cell r="AR418" t="e">
            <v>#REF!</v>
          </cell>
          <cell r="AS418" t="e">
            <v>#REF!</v>
          </cell>
          <cell r="AT418" t="e">
            <v>#REF!</v>
          </cell>
          <cell r="AU418" t="e">
            <v>#REF!</v>
          </cell>
          <cell r="AV418" t="e">
            <v>#REF!</v>
          </cell>
          <cell r="AW418" t="e">
            <v>#DIV/0!</v>
          </cell>
          <cell r="AX418" t="e">
            <v>#DIV/0!</v>
          </cell>
          <cell r="AY418" t="e">
            <v>#DIV/0!</v>
          </cell>
          <cell r="AZ418" t="e">
            <v>#DIV/0!</v>
          </cell>
          <cell r="BE418" t="e">
            <v>#DIV/0!</v>
          </cell>
          <cell r="BF418" t="e">
            <v>#DIV/0!</v>
          </cell>
        </row>
        <row r="419">
          <cell r="A419" t="str">
            <v>-0</v>
          </cell>
          <cell r="B419" t="str">
            <v xml:space="preserve">-0  , </v>
          </cell>
          <cell r="C419"/>
          <cell r="D419"/>
          <cell r="E419"/>
          <cell r="F419"/>
          <cell r="G419"/>
          <cell r="H419"/>
          <cell r="I419"/>
          <cell r="J419"/>
          <cell r="K419"/>
          <cell r="L419"/>
          <cell r="M419"/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  <cell r="X419">
            <v>0</v>
          </cell>
          <cell r="Y419">
            <v>0</v>
          </cell>
          <cell r="Z419">
            <v>0</v>
          </cell>
          <cell r="AA419" t="str">
            <v>,</v>
          </cell>
          <cell r="AB419" t="str">
            <v>,</v>
          </cell>
          <cell r="AC419" t="e">
            <v>#DIV/0!</v>
          </cell>
          <cell r="AD419" t="e">
            <v>#DIV/0!</v>
          </cell>
          <cell r="AE419">
            <v>0.71</v>
          </cell>
          <cell r="AF419">
            <v>94.97</v>
          </cell>
          <cell r="AG419">
            <v>0</v>
          </cell>
          <cell r="AH419" t="e">
            <v>#DIV/0!</v>
          </cell>
          <cell r="AI419" t="e">
            <v>#DIV/0!</v>
          </cell>
          <cell r="AJ419" t="e">
            <v>#DIV/0!</v>
          </cell>
          <cell r="AK419" t="e">
            <v>#DIV/0!</v>
          </cell>
          <cell r="AL419" t="e">
            <v>#DIV/0!</v>
          </cell>
          <cell r="AM419" t="e">
            <v>#DIV/0!</v>
          </cell>
          <cell r="AN419" t="e">
            <v>#DIV/0!</v>
          </cell>
          <cell r="AO419" t="e">
            <v>#REF!</v>
          </cell>
          <cell r="AP419" t="e">
            <v>#REF!</v>
          </cell>
          <cell r="AQ419" t="e">
            <v>#REF!</v>
          </cell>
          <cell r="AR419" t="e">
            <v>#REF!</v>
          </cell>
          <cell r="AS419" t="e">
            <v>#REF!</v>
          </cell>
          <cell r="AT419" t="e">
            <v>#REF!</v>
          </cell>
          <cell r="AU419" t="e">
            <v>#REF!</v>
          </cell>
          <cell r="AV419" t="e">
            <v>#REF!</v>
          </cell>
          <cell r="AW419" t="e">
            <v>#DIV/0!</v>
          </cell>
          <cell r="AX419" t="e">
            <v>#DIV/0!</v>
          </cell>
          <cell r="AY419" t="e">
            <v>#DIV/0!</v>
          </cell>
          <cell r="AZ419" t="e">
            <v>#DIV/0!</v>
          </cell>
          <cell r="BE419" t="e">
            <v>#DIV/0!</v>
          </cell>
          <cell r="BF419" t="e">
            <v>#DIV/0!</v>
          </cell>
        </row>
        <row r="420">
          <cell r="A420" t="str">
            <v>-0</v>
          </cell>
          <cell r="B420" t="str">
            <v xml:space="preserve">-0  , </v>
          </cell>
          <cell r="C420"/>
          <cell r="D420"/>
          <cell r="E420"/>
          <cell r="F420"/>
          <cell r="G420"/>
          <cell r="H420"/>
          <cell r="I420"/>
          <cell r="J420"/>
          <cell r="K420"/>
          <cell r="L420"/>
          <cell r="M420"/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  <cell r="X420">
            <v>0</v>
          </cell>
          <cell r="Y420">
            <v>0</v>
          </cell>
          <cell r="Z420">
            <v>0</v>
          </cell>
          <cell r="AA420" t="str">
            <v>,</v>
          </cell>
          <cell r="AB420" t="str">
            <v>,</v>
          </cell>
          <cell r="AC420" t="e">
            <v>#DIV/0!</v>
          </cell>
          <cell r="AD420" t="e">
            <v>#DIV/0!</v>
          </cell>
          <cell r="AE420">
            <v>0.71</v>
          </cell>
          <cell r="AF420">
            <v>94.97</v>
          </cell>
          <cell r="AG420">
            <v>0</v>
          </cell>
          <cell r="AH420" t="e">
            <v>#DIV/0!</v>
          </cell>
          <cell r="AI420" t="e">
            <v>#DIV/0!</v>
          </cell>
          <cell r="AJ420" t="e">
            <v>#DIV/0!</v>
          </cell>
          <cell r="AK420" t="e">
            <v>#DIV/0!</v>
          </cell>
          <cell r="AL420" t="e">
            <v>#DIV/0!</v>
          </cell>
          <cell r="AM420" t="e">
            <v>#DIV/0!</v>
          </cell>
          <cell r="AN420" t="e">
            <v>#DIV/0!</v>
          </cell>
          <cell r="AO420" t="e">
            <v>#REF!</v>
          </cell>
          <cell r="AP420" t="e">
            <v>#REF!</v>
          </cell>
          <cell r="AQ420" t="e">
            <v>#REF!</v>
          </cell>
          <cell r="AR420" t="e">
            <v>#REF!</v>
          </cell>
          <cell r="AS420" t="e">
            <v>#REF!</v>
          </cell>
          <cell r="AT420" t="e">
            <v>#REF!</v>
          </cell>
          <cell r="AU420" t="e">
            <v>#REF!</v>
          </cell>
          <cell r="AV420" t="e">
            <v>#REF!</v>
          </cell>
          <cell r="AW420" t="e">
            <v>#DIV/0!</v>
          </cell>
          <cell r="AX420" t="e">
            <v>#DIV/0!</v>
          </cell>
          <cell r="AY420" t="e">
            <v>#DIV/0!</v>
          </cell>
          <cell r="AZ420" t="e">
            <v>#DIV/0!</v>
          </cell>
          <cell r="BE420" t="e">
            <v>#DIV/0!</v>
          </cell>
          <cell r="BF420" t="e">
            <v>#DIV/0!</v>
          </cell>
        </row>
        <row r="421">
          <cell r="A421" t="str">
            <v>-0</v>
          </cell>
          <cell r="B421" t="str">
            <v xml:space="preserve">-0  , </v>
          </cell>
          <cell r="C421"/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/>
          <cell r="S421"/>
          <cell r="T421"/>
          <cell r="U421"/>
          <cell r="V421"/>
          <cell r="W421"/>
          <cell r="X421">
            <v>0</v>
          </cell>
          <cell r="Y421">
            <v>0</v>
          </cell>
          <cell r="Z421">
            <v>0</v>
          </cell>
          <cell r="AA421" t="str">
            <v>,</v>
          </cell>
          <cell r="AB421" t="str">
            <v>,</v>
          </cell>
          <cell r="AC421" t="e">
            <v>#DIV/0!</v>
          </cell>
          <cell r="AD421" t="e">
            <v>#DIV/0!</v>
          </cell>
          <cell r="AE421">
            <v>0.71</v>
          </cell>
          <cell r="AF421">
            <v>94.97</v>
          </cell>
          <cell r="AG421">
            <v>0</v>
          </cell>
          <cell r="AH421" t="e">
            <v>#DIV/0!</v>
          </cell>
          <cell r="AI421" t="e">
            <v>#DIV/0!</v>
          </cell>
          <cell r="AJ421" t="e">
            <v>#DIV/0!</v>
          </cell>
          <cell r="AK421" t="e">
            <v>#DIV/0!</v>
          </cell>
          <cell r="AL421" t="e">
            <v>#DIV/0!</v>
          </cell>
          <cell r="AM421" t="e">
            <v>#DIV/0!</v>
          </cell>
          <cell r="AN421" t="e">
            <v>#DIV/0!</v>
          </cell>
          <cell r="AO421" t="e">
            <v>#REF!</v>
          </cell>
          <cell r="AP421" t="e">
            <v>#REF!</v>
          </cell>
          <cell r="AQ421" t="e">
            <v>#REF!</v>
          </cell>
          <cell r="AR421" t="e">
            <v>#REF!</v>
          </cell>
          <cell r="AS421" t="e">
            <v>#REF!</v>
          </cell>
          <cell r="AT421" t="e">
            <v>#REF!</v>
          </cell>
          <cell r="AU421" t="e">
            <v>#REF!</v>
          </cell>
          <cell r="AV421" t="e">
            <v>#REF!</v>
          </cell>
          <cell r="AW421" t="e">
            <v>#DIV/0!</v>
          </cell>
          <cell r="AX421" t="e">
            <v>#DIV/0!</v>
          </cell>
          <cell r="AY421" t="e">
            <v>#DIV/0!</v>
          </cell>
          <cell r="AZ421" t="e">
            <v>#DIV/0!</v>
          </cell>
          <cell r="BE421" t="e">
            <v>#DIV/0!</v>
          </cell>
          <cell r="BF421" t="e">
            <v>#DIV/0!</v>
          </cell>
        </row>
        <row r="422">
          <cell r="A422" t="str">
            <v>-0</v>
          </cell>
          <cell r="B422" t="str">
            <v xml:space="preserve">-0  , </v>
          </cell>
          <cell r="C422"/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/>
          <cell r="S422"/>
          <cell r="T422"/>
          <cell r="U422"/>
          <cell r="V422"/>
          <cell r="W422"/>
          <cell r="X422">
            <v>0</v>
          </cell>
          <cell r="Y422">
            <v>0</v>
          </cell>
          <cell r="Z422">
            <v>0</v>
          </cell>
          <cell r="AA422" t="str">
            <v>,</v>
          </cell>
          <cell r="AB422" t="str">
            <v>,</v>
          </cell>
          <cell r="AC422" t="e">
            <v>#DIV/0!</v>
          </cell>
          <cell r="AD422" t="e">
            <v>#DIV/0!</v>
          </cell>
          <cell r="AE422">
            <v>0.71</v>
          </cell>
          <cell r="AF422">
            <v>94.97</v>
          </cell>
          <cell r="AG422">
            <v>0</v>
          </cell>
          <cell r="AH422" t="e">
            <v>#DIV/0!</v>
          </cell>
          <cell r="AI422" t="e">
            <v>#DIV/0!</v>
          </cell>
          <cell r="AJ422" t="e">
            <v>#DIV/0!</v>
          </cell>
          <cell r="AK422" t="e">
            <v>#DIV/0!</v>
          </cell>
          <cell r="AL422" t="e">
            <v>#DIV/0!</v>
          </cell>
          <cell r="AM422" t="e">
            <v>#DIV/0!</v>
          </cell>
          <cell r="AN422" t="e">
            <v>#DIV/0!</v>
          </cell>
          <cell r="AO422" t="e">
            <v>#REF!</v>
          </cell>
          <cell r="AP422" t="e">
            <v>#REF!</v>
          </cell>
          <cell r="AQ422" t="e">
            <v>#REF!</v>
          </cell>
          <cell r="AR422" t="e">
            <v>#REF!</v>
          </cell>
          <cell r="AS422" t="e">
            <v>#REF!</v>
          </cell>
          <cell r="AT422" t="e">
            <v>#REF!</v>
          </cell>
          <cell r="AU422" t="e">
            <v>#REF!</v>
          </cell>
          <cell r="AV422" t="e">
            <v>#REF!</v>
          </cell>
          <cell r="AW422" t="e">
            <v>#DIV/0!</v>
          </cell>
          <cell r="AX422" t="e">
            <v>#DIV/0!</v>
          </cell>
          <cell r="AY422" t="e">
            <v>#DIV/0!</v>
          </cell>
          <cell r="AZ422" t="e">
            <v>#DIV/0!</v>
          </cell>
          <cell r="BE422" t="e">
            <v>#DIV/0!</v>
          </cell>
          <cell r="BF422" t="e">
            <v>#DIV/0!</v>
          </cell>
        </row>
        <row r="423">
          <cell r="A423" t="str">
            <v>-0</v>
          </cell>
          <cell r="B423" t="str">
            <v xml:space="preserve">-0  , </v>
          </cell>
          <cell r="C423"/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  <cell r="X423">
            <v>0</v>
          </cell>
          <cell r="Y423">
            <v>0</v>
          </cell>
          <cell r="Z423">
            <v>0</v>
          </cell>
          <cell r="AA423" t="str">
            <v>,</v>
          </cell>
          <cell r="AB423" t="str">
            <v>,</v>
          </cell>
          <cell r="AC423" t="e">
            <v>#DIV/0!</v>
          </cell>
          <cell r="AD423" t="e">
            <v>#DIV/0!</v>
          </cell>
          <cell r="AE423">
            <v>0.71</v>
          </cell>
          <cell r="AF423">
            <v>94.97</v>
          </cell>
          <cell r="AG423">
            <v>0</v>
          </cell>
          <cell r="AH423" t="e">
            <v>#DIV/0!</v>
          </cell>
          <cell r="AI423" t="e">
            <v>#DIV/0!</v>
          </cell>
          <cell r="AJ423" t="e">
            <v>#DIV/0!</v>
          </cell>
          <cell r="AK423" t="e">
            <v>#DIV/0!</v>
          </cell>
          <cell r="AL423" t="e">
            <v>#DIV/0!</v>
          </cell>
          <cell r="AM423" t="e">
            <v>#DIV/0!</v>
          </cell>
          <cell r="AN423" t="e">
            <v>#DIV/0!</v>
          </cell>
          <cell r="AO423" t="e">
            <v>#REF!</v>
          </cell>
          <cell r="AP423" t="e">
            <v>#REF!</v>
          </cell>
          <cell r="AQ423" t="e">
            <v>#REF!</v>
          </cell>
          <cell r="AR423" t="e">
            <v>#REF!</v>
          </cell>
          <cell r="AS423" t="e">
            <v>#REF!</v>
          </cell>
          <cell r="AT423" t="e">
            <v>#REF!</v>
          </cell>
          <cell r="AU423" t="e">
            <v>#REF!</v>
          </cell>
          <cell r="AV423" t="e">
            <v>#REF!</v>
          </cell>
          <cell r="AW423" t="e">
            <v>#DIV/0!</v>
          </cell>
          <cell r="AX423" t="e">
            <v>#DIV/0!</v>
          </cell>
          <cell r="AY423" t="e">
            <v>#DIV/0!</v>
          </cell>
          <cell r="AZ423" t="e">
            <v>#DIV/0!</v>
          </cell>
          <cell r="BE423" t="e">
            <v>#DIV/0!</v>
          </cell>
          <cell r="BF423" t="e">
            <v>#DIV/0!</v>
          </cell>
        </row>
        <row r="424">
          <cell r="A424" t="str">
            <v>-0</v>
          </cell>
          <cell r="B424" t="str">
            <v xml:space="preserve">-0  , </v>
          </cell>
          <cell r="C424"/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/>
          <cell r="S424"/>
          <cell r="T424"/>
          <cell r="U424"/>
          <cell r="V424"/>
          <cell r="W424"/>
          <cell r="X424">
            <v>0</v>
          </cell>
          <cell r="Y424">
            <v>0</v>
          </cell>
          <cell r="Z424">
            <v>0</v>
          </cell>
          <cell r="AA424" t="str">
            <v>,</v>
          </cell>
          <cell r="AB424" t="str">
            <v>,</v>
          </cell>
          <cell r="AC424" t="e">
            <v>#DIV/0!</v>
          </cell>
          <cell r="AD424" t="e">
            <v>#DIV/0!</v>
          </cell>
          <cell r="AE424">
            <v>0.71</v>
          </cell>
          <cell r="AF424">
            <v>94.97</v>
          </cell>
          <cell r="AG424">
            <v>0</v>
          </cell>
          <cell r="AH424" t="e">
            <v>#DIV/0!</v>
          </cell>
          <cell r="AI424" t="e">
            <v>#DIV/0!</v>
          </cell>
          <cell r="AJ424" t="e">
            <v>#DIV/0!</v>
          </cell>
          <cell r="AK424" t="e">
            <v>#DIV/0!</v>
          </cell>
          <cell r="AL424" t="e">
            <v>#DIV/0!</v>
          </cell>
          <cell r="AM424" t="e">
            <v>#DIV/0!</v>
          </cell>
          <cell r="AN424" t="e">
            <v>#DIV/0!</v>
          </cell>
          <cell r="AO424" t="e">
            <v>#REF!</v>
          </cell>
          <cell r="AP424" t="e">
            <v>#REF!</v>
          </cell>
          <cell r="AQ424" t="e">
            <v>#REF!</v>
          </cell>
          <cell r="AR424" t="e">
            <v>#REF!</v>
          </cell>
          <cell r="AS424" t="e">
            <v>#REF!</v>
          </cell>
          <cell r="AT424" t="e">
            <v>#REF!</v>
          </cell>
          <cell r="AU424" t="e">
            <v>#REF!</v>
          </cell>
          <cell r="AV424" t="e">
            <v>#REF!</v>
          </cell>
          <cell r="AW424" t="e">
            <v>#DIV/0!</v>
          </cell>
          <cell r="AX424" t="e">
            <v>#DIV/0!</v>
          </cell>
          <cell r="AY424" t="e">
            <v>#DIV/0!</v>
          </cell>
          <cell r="AZ424" t="e">
            <v>#DIV/0!</v>
          </cell>
          <cell r="BE424" t="e">
            <v>#DIV/0!</v>
          </cell>
          <cell r="BF424" t="e">
            <v>#DIV/0!</v>
          </cell>
        </row>
        <row r="425">
          <cell r="A425" t="str">
            <v>-0</v>
          </cell>
          <cell r="B425" t="str">
            <v xml:space="preserve">-0  , </v>
          </cell>
          <cell r="C425"/>
          <cell r="D425"/>
          <cell r="E425"/>
          <cell r="F425"/>
          <cell r="G425"/>
          <cell r="H425"/>
          <cell r="I425"/>
          <cell r="J425"/>
          <cell r="K425"/>
          <cell r="L425"/>
          <cell r="M425"/>
          <cell r="N425"/>
          <cell r="O425"/>
          <cell r="P425"/>
          <cell r="Q425"/>
          <cell r="R425"/>
          <cell r="S425"/>
          <cell r="T425"/>
          <cell r="U425"/>
          <cell r="V425"/>
          <cell r="W425"/>
          <cell r="X425">
            <v>0</v>
          </cell>
          <cell r="Y425">
            <v>0</v>
          </cell>
          <cell r="Z425">
            <v>0</v>
          </cell>
          <cell r="AA425" t="str">
            <v>,</v>
          </cell>
          <cell r="AB425" t="str">
            <v>,</v>
          </cell>
          <cell r="AC425" t="e">
            <v>#DIV/0!</v>
          </cell>
          <cell r="AD425" t="e">
            <v>#DIV/0!</v>
          </cell>
          <cell r="AE425">
            <v>0.71</v>
          </cell>
          <cell r="AF425">
            <v>94.97</v>
          </cell>
          <cell r="AG425">
            <v>0</v>
          </cell>
          <cell r="AH425" t="e">
            <v>#DIV/0!</v>
          </cell>
          <cell r="AI425" t="e">
            <v>#DIV/0!</v>
          </cell>
          <cell r="AJ425" t="e">
            <v>#DIV/0!</v>
          </cell>
          <cell r="AK425" t="e">
            <v>#DIV/0!</v>
          </cell>
          <cell r="AL425" t="e">
            <v>#DIV/0!</v>
          </cell>
          <cell r="AM425" t="e">
            <v>#DIV/0!</v>
          </cell>
          <cell r="AN425" t="e">
            <v>#DIV/0!</v>
          </cell>
          <cell r="AO425" t="e">
            <v>#REF!</v>
          </cell>
          <cell r="AP425" t="e">
            <v>#REF!</v>
          </cell>
          <cell r="AQ425" t="e">
            <v>#REF!</v>
          </cell>
          <cell r="AR425" t="e">
            <v>#REF!</v>
          </cell>
          <cell r="AS425" t="e">
            <v>#REF!</v>
          </cell>
          <cell r="AT425" t="e">
            <v>#REF!</v>
          </cell>
          <cell r="AU425" t="e">
            <v>#REF!</v>
          </cell>
          <cell r="AV425" t="e">
            <v>#REF!</v>
          </cell>
          <cell r="AW425" t="e">
            <v>#DIV/0!</v>
          </cell>
          <cell r="AX425" t="e">
            <v>#DIV/0!</v>
          </cell>
          <cell r="AY425" t="e">
            <v>#DIV/0!</v>
          </cell>
          <cell r="AZ425" t="e">
            <v>#DIV/0!</v>
          </cell>
          <cell r="BE425" t="e">
            <v>#DIV/0!</v>
          </cell>
          <cell r="BF425" t="e">
            <v>#DIV/0!</v>
          </cell>
        </row>
        <row r="426">
          <cell r="A426" t="str">
            <v>-0</v>
          </cell>
          <cell r="B426" t="str">
            <v xml:space="preserve">-0  , </v>
          </cell>
          <cell r="C426"/>
          <cell r="D426"/>
          <cell r="E426"/>
          <cell r="F426"/>
          <cell r="G426"/>
          <cell r="H426"/>
          <cell r="I426"/>
          <cell r="J426"/>
          <cell r="K426"/>
          <cell r="L426"/>
          <cell r="M426"/>
          <cell r="N426"/>
          <cell r="O426"/>
          <cell r="P426"/>
          <cell r="Q426"/>
          <cell r="R426"/>
          <cell r="S426"/>
          <cell r="T426"/>
          <cell r="U426"/>
          <cell r="V426"/>
          <cell r="W426"/>
          <cell r="X426">
            <v>0</v>
          </cell>
          <cell r="Y426">
            <v>0</v>
          </cell>
          <cell r="Z426">
            <v>0</v>
          </cell>
          <cell r="AA426" t="str">
            <v>,</v>
          </cell>
          <cell r="AB426" t="str">
            <v>,</v>
          </cell>
          <cell r="AC426" t="e">
            <v>#DIV/0!</v>
          </cell>
          <cell r="AD426" t="e">
            <v>#DIV/0!</v>
          </cell>
          <cell r="AE426">
            <v>0.71</v>
          </cell>
          <cell r="AF426">
            <v>94.97</v>
          </cell>
          <cell r="AG426">
            <v>0</v>
          </cell>
          <cell r="AH426" t="e">
            <v>#DIV/0!</v>
          </cell>
          <cell r="AI426" t="e">
            <v>#DIV/0!</v>
          </cell>
          <cell r="AJ426" t="e">
            <v>#DIV/0!</v>
          </cell>
          <cell r="AK426" t="e">
            <v>#DIV/0!</v>
          </cell>
          <cell r="AL426" t="e">
            <v>#DIV/0!</v>
          </cell>
          <cell r="AM426" t="e">
            <v>#DIV/0!</v>
          </cell>
          <cell r="AN426" t="e">
            <v>#DIV/0!</v>
          </cell>
          <cell r="AO426" t="e">
            <v>#REF!</v>
          </cell>
          <cell r="AP426" t="e">
            <v>#REF!</v>
          </cell>
          <cell r="AQ426" t="e">
            <v>#REF!</v>
          </cell>
          <cell r="AR426" t="e">
            <v>#REF!</v>
          </cell>
          <cell r="AS426" t="e">
            <v>#REF!</v>
          </cell>
          <cell r="AT426" t="e">
            <v>#REF!</v>
          </cell>
          <cell r="AU426" t="e">
            <v>#REF!</v>
          </cell>
          <cell r="AV426" t="e">
            <v>#REF!</v>
          </cell>
          <cell r="AW426" t="e">
            <v>#DIV/0!</v>
          </cell>
          <cell r="AX426" t="e">
            <v>#DIV/0!</v>
          </cell>
          <cell r="AY426" t="e">
            <v>#DIV/0!</v>
          </cell>
          <cell r="AZ426" t="e">
            <v>#DIV/0!</v>
          </cell>
          <cell r="BE426" t="e">
            <v>#DIV/0!</v>
          </cell>
          <cell r="BF426" t="e">
            <v>#DIV/0!</v>
          </cell>
        </row>
        <row r="427">
          <cell r="A427" t="str">
            <v>-0</v>
          </cell>
          <cell r="B427" t="str">
            <v xml:space="preserve">-0  , </v>
          </cell>
          <cell r="C427"/>
          <cell r="D427"/>
          <cell r="E427"/>
          <cell r="F427"/>
          <cell r="G427"/>
          <cell r="H427"/>
          <cell r="I427"/>
          <cell r="J427"/>
          <cell r="K427"/>
          <cell r="L427"/>
          <cell r="M427"/>
          <cell r="N427"/>
          <cell r="O427"/>
          <cell r="P427"/>
          <cell r="Q427"/>
          <cell r="R427"/>
          <cell r="S427"/>
          <cell r="T427"/>
          <cell r="U427"/>
          <cell r="V427"/>
          <cell r="W427"/>
          <cell r="X427">
            <v>0</v>
          </cell>
          <cell r="Y427">
            <v>0</v>
          </cell>
          <cell r="Z427">
            <v>0</v>
          </cell>
          <cell r="AA427" t="str">
            <v>,</v>
          </cell>
          <cell r="AB427" t="str">
            <v>,</v>
          </cell>
          <cell r="AC427" t="e">
            <v>#DIV/0!</v>
          </cell>
          <cell r="AD427" t="e">
            <v>#DIV/0!</v>
          </cell>
          <cell r="AE427">
            <v>0.71</v>
          </cell>
          <cell r="AF427">
            <v>94.97</v>
          </cell>
          <cell r="AG427">
            <v>0</v>
          </cell>
          <cell r="AH427" t="e">
            <v>#DIV/0!</v>
          </cell>
          <cell r="AI427" t="e">
            <v>#DIV/0!</v>
          </cell>
          <cell r="AJ427" t="e">
            <v>#DIV/0!</v>
          </cell>
          <cell r="AK427" t="e">
            <v>#DIV/0!</v>
          </cell>
          <cell r="AL427" t="e">
            <v>#DIV/0!</v>
          </cell>
          <cell r="AM427" t="e">
            <v>#DIV/0!</v>
          </cell>
          <cell r="AN427" t="e">
            <v>#DIV/0!</v>
          </cell>
          <cell r="AO427" t="e">
            <v>#REF!</v>
          </cell>
          <cell r="AP427" t="e">
            <v>#REF!</v>
          </cell>
          <cell r="AQ427" t="e">
            <v>#REF!</v>
          </cell>
          <cell r="AR427" t="e">
            <v>#REF!</v>
          </cell>
          <cell r="AS427" t="e">
            <v>#REF!</v>
          </cell>
          <cell r="AT427" t="e">
            <v>#REF!</v>
          </cell>
          <cell r="AU427" t="e">
            <v>#REF!</v>
          </cell>
          <cell r="AV427" t="e">
            <v>#REF!</v>
          </cell>
          <cell r="AW427" t="e">
            <v>#DIV/0!</v>
          </cell>
          <cell r="AX427" t="e">
            <v>#DIV/0!</v>
          </cell>
          <cell r="AY427" t="e">
            <v>#DIV/0!</v>
          </cell>
          <cell r="AZ427" t="e">
            <v>#DIV/0!</v>
          </cell>
          <cell r="BE427" t="e">
            <v>#DIV/0!</v>
          </cell>
          <cell r="BF427" t="e">
            <v>#DIV/0!</v>
          </cell>
        </row>
        <row r="428">
          <cell r="A428" t="str">
            <v>-0</v>
          </cell>
          <cell r="B428" t="str">
            <v xml:space="preserve">-0  , </v>
          </cell>
          <cell r="C428"/>
          <cell r="D428"/>
          <cell r="E428"/>
          <cell r="F428"/>
          <cell r="G428"/>
          <cell r="H428"/>
          <cell r="I428"/>
          <cell r="J428"/>
          <cell r="K428"/>
          <cell r="L428"/>
          <cell r="M428"/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  <cell r="X428">
            <v>0</v>
          </cell>
          <cell r="Y428">
            <v>0</v>
          </cell>
          <cell r="Z428">
            <v>0</v>
          </cell>
          <cell r="AA428" t="str">
            <v>,</v>
          </cell>
          <cell r="AB428" t="str">
            <v>,</v>
          </cell>
          <cell r="AC428" t="e">
            <v>#DIV/0!</v>
          </cell>
          <cell r="AD428" t="e">
            <v>#DIV/0!</v>
          </cell>
          <cell r="AE428">
            <v>0.71</v>
          </cell>
          <cell r="AF428">
            <v>94.97</v>
          </cell>
          <cell r="AG428">
            <v>0</v>
          </cell>
          <cell r="AH428" t="e">
            <v>#DIV/0!</v>
          </cell>
          <cell r="AI428" t="e">
            <v>#DIV/0!</v>
          </cell>
          <cell r="AJ428" t="e">
            <v>#DIV/0!</v>
          </cell>
          <cell r="AK428" t="e">
            <v>#DIV/0!</v>
          </cell>
          <cell r="AL428" t="e">
            <v>#DIV/0!</v>
          </cell>
          <cell r="AM428" t="e">
            <v>#DIV/0!</v>
          </cell>
          <cell r="AN428" t="e">
            <v>#DIV/0!</v>
          </cell>
          <cell r="AO428" t="e">
            <v>#REF!</v>
          </cell>
          <cell r="AP428" t="e">
            <v>#REF!</v>
          </cell>
          <cell r="AQ428" t="e">
            <v>#REF!</v>
          </cell>
          <cell r="AR428" t="e">
            <v>#REF!</v>
          </cell>
          <cell r="AS428" t="e">
            <v>#REF!</v>
          </cell>
          <cell r="AT428" t="e">
            <v>#REF!</v>
          </cell>
          <cell r="AU428" t="e">
            <v>#REF!</v>
          </cell>
          <cell r="AV428" t="e">
            <v>#REF!</v>
          </cell>
          <cell r="AW428" t="e">
            <v>#DIV/0!</v>
          </cell>
          <cell r="AX428" t="e">
            <v>#DIV/0!</v>
          </cell>
          <cell r="AY428" t="e">
            <v>#DIV/0!</v>
          </cell>
          <cell r="AZ428" t="e">
            <v>#DIV/0!</v>
          </cell>
          <cell r="BE428" t="e">
            <v>#DIV/0!</v>
          </cell>
          <cell r="BF428" t="e">
            <v>#DIV/0!</v>
          </cell>
        </row>
        <row r="429">
          <cell r="A429" t="str">
            <v>-0</v>
          </cell>
          <cell r="B429" t="str">
            <v xml:space="preserve">-0  , </v>
          </cell>
          <cell r="C429"/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/>
          <cell r="S429"/>
          <cell r="T429"/>
          <cell r="U429"/>
          <cell r="V429"/>
          <cell r="W429"/>
          <cell r="X429">
            <v>0</v>
          </cell>
          <cell r="Y429">
            <v>0</v>
          </cell>
          <cell r="Z429">
            <v>0</v>
          </cell>
          <cell r="AA429" t="str">
            <v>,</v>
          </cell>
          <cell r="AB429" t="str">
            <v>,</v>
          </cell>
          <cell r="AC429" t="e">
            <v>#DIV/0!</v>
          </cell>
          <cell r="AD429" t="e">
            <v>#DIV/0!</v>
          </cell>
          <cell r="AE429">
            <v>0.71</v>
          </cell>
          <cell r="AF429">
            <v>94.97</v>
          </cell>
          <cell r="AG429">
            <v>0</v>
          </cell>
          <cell r="AH429" t="e">
            <v>#DIV/0!</v>
          </cell>
          <cell r="AI429" t="e">
            <v>#DIV/0!</v>
          </cell>
          <cell r="AJ429" t="e">
            <v>#DIV/0!</v>
          </cell>
          <cell r="AK429" t="e">
            <v>#DIV/0!</v>
          </cell>
          <cell r="AL429" t="e">
            <v>#DIV/0!</v>
          </cell>
          <cell r="AM429" t="e">
            <v>#DIV/0!</v>
          </cell>
          <cell r="AN429" t="e">
            <v>#DIV/0!</v>
          </cell>
          <cell r="AO429" t="e">
            <v>#REF!</v>
          </cell>
          <cell r="AP429" t="e">
            <v>#REF!</v>
          </cell>
          <cell r="AQ429" t="e">
            <v>#REF!</v>
          </cell>
          <cell r="AR429" t="e">
            <v>#REF!</v>
          </cell>
          <cell r="AS429" t="e">
            <v>#REF!</v>
          </cell>
          <cell r="AT429" t="e">
            <v>#REF!</v>
          </cell>
          <cell r="AU429" t="e">
            <v>#REF!</v>
          </cell>
          <cell r="AV429" t="e">
            <v>#REF!</v>
          </cell>
          <cell r="AW429" t="e">
            <v>#DIV/0!</v>
          </cell>
          <cell r="AX429" t="e">
            <v>#DIV/0!</v>
          </cell>
          <cell r="AY429" t="e">
            <v>#DIV/0!</v>
          </cell>
          <cell r="AZ429" t="e">
            <v>#DIV/0!</v>
          </cell>
          <cell r="BE429" t="e">
            <v>#DIV/0!</v>
          </cell>
          <cell r="BF429" t="e">
            <v>#DIV/0!</v>
          </cell>
        </row>
        <row r="430">
          <cell r="A430" t="str">
            <v>-0</v>
          </cell>
          <cell r="B430" t="str">
            <v xml:space="preserve">-0  , </v>
          </cell>
          <cell r="C430"/>
          <cell r="D430"/>
          <cell r="E430"/>
          <cell r="F430"/>
          <cell r="G430"/>
          <cell r="H430"/>
          <cell r="I430"/>
          <cell r="J430"/>
          <cell r="K430"/>
          <cell r="L430"/>
          <cell r="M430"/>
          <cell r="N430"/>
          <cell r="O430"/>
          <cell r="P430"/>
          <cell r="Q430"/>
          <cell r="R430"/>
          <cell r="S430"/>
          <cell r="T430"/>
          <cell r="U430"/>
          <cell r="V430"/>
          <cell r="W430"/>
          <cell r="X430">
            <v>0</v>
          </cell>
          <cell r="Y430">
            <v>0</v>
          </cell>
          <cell r="Z430">
            <v>0</v>
          </cell>
          <cell r="AA430" t="str">
            <v>,</v>
          </cell>
          <cell r="AB430" t="str">
            <v>,</v>
          </cell>
          <cell r="AC430" t="e">
            <v>#DIV/0!</v>
          </cell>
          <cell r="AD430" t="e">
            <v>#DIV/0!</v>
          </cell>
          <cell r="AE430">
            <v>0.71</v>
          </cell>
          <cell r="AF430">
            <v>94.97</v>
          </cell>
          <cell r="AG430">
            <v>0</v>
          </cell>
          <cell r="AH430" t="e">
            <v>#DIV/0!</v>
          </cell>
          <cell r="AI430" t="e">
            <v>#DIV/0!</v>
          </cell>
          <cell r="AJ430" t="e">
            <v>#DIV/0!</v>
          </cell>
          <cell r="AK430" t="e">
            <v>#DIV/0!</v>
          </cell>
          <cell r="AL430" t="e">
            <v>#DIV/0!</v>
          </cell>
          <cell r="AM430" t="e">
            <v>#DIV/0!</v>
          </cell>
          <cell r="AN430" t="e">
            <v>#DIV/0!</v>
          </cell>
          <cell r="AO430" t="e">
            <v>#REF!</v>
          </cell>
          <cell r="AP430" t="e">
            <v>#REF!</v>
          </cell>
          <cell r="AQ430" t="e">
            <v>#REF!</v>
          </cell>
          <cell r="AR430" t="e">
            <v>#REF!</v>
          </cell>
          <cell r="AS430" t="e">
            <v>#REF!</v>
          </cell>
          <cell r="AT430" t="e">
            <v>#REF!</v>
          </cell>
          <cell r="AU430" t="e">
            <v>#REF!</v>
          </cell>
          <cell r="AV430" t="e">
            <v>#REF!</v>
          </cell>
          <cell r="AW430" t="e">
            <v>#DIV/0!</v>
          </cell>
          <cell r="AX430" t="e">
            <v>#DIV/0!</v>
          </cell>
          <cell r="AY430" t="e">
            <v>#DIV/0!</v>
          </cell>
          <cell r="AZ430" t="e">
            <v>#DIV/0!</v>
          </cell>
          <cell r="BE430" t="e">
            <v>#DIV/0!</v>
          </cell>
          <cell r="BF430" t="e">
            <v>#DIV/0!</v>
          </cell>
        </row>
        <row r="431">
          <cell r="A431" t="str">
            <v>-0</v>
          </cell>
          <cell r="B431" t="str">
            <v xml:space="preserve">-0  , </v>
          </cell>
          <cell r="C431"/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/>
          <cell r="S431"/>
          <cell r="T431"/>
          <cell r="U431"/>
          <cell r="V431"/>
          <cell r="W431"/>
          <cell r="X431">
            <v>0</v>
          </cell>
          <cell r="Y431">
            <v>0</v>
          </cell>
          <cell r="Z431">
            <v>0</v>
          </cell>
          <cell r="AA431" t="str">
            <v>,</v>
          </cell>
          <cell r="AB431" t="str">
            <v>,</v>
          </cell>
          <cell r="AC431" t="e">
            <v>#DIV/0!</v>
          </cell>
          <cell r="AD431" t="e">
            <v>#DIV/0!</v>
          </cell>
          <cell r="AE431">
            <v>0.71</v>
          </cell>
          <cell r="AF431">
            <v>94.97</v>
          </cell>
          <cell r="AG431">
            <v>0</v>
          </cell>
          <cell r="AH431" t="e">
            <v>#DIV/0!</v>
          </cell>
          <cell r="AI431" t="e">
            <v>#DIV/0!</v>
          </cell>
          <cell r="AJ431" t="e">
            <v>#DIV/0!</v>
          </cell>
          <cell r="AK431" t="e">
            <v>#DIV/0!</v>
          </cell>
          <cell r="AL431" t="e">
            <v>#DIV/0!</v>
          </cell>
          <cell r="AM431" t="e">
            <v>#DIV/0!</v>
          </cell>
          <cell r="AN431" t="e">
            <v>#DIV/0!</v>
          </cell>
          <cell r="AO431" t="e">
            <v>#REF!</v>
          </cell>
          <cell r="AP431" t="e">
            <v>#REF!</v>
          </cell>
          <cell r="AQ431" t="e">
            <v>#REF!</v>
          </cell>
          <cell r="AR431" t="e">
            <v>#REF!</v>
          </cell>
          <cell r="AS431" t="e">
            <v>#REF!</v>
          </cell>
          <cell r="AT431" t="e">
            <v>#REF!</v>
          </cell>
          <cell r="AU431" t="e">
            <v>#REF!</v>
          </cell>
          <cell r="AV431" t="e">
            <v>#REF!</v>
          </cell>
          <cell r="AW431" t="e">
            <v>#DIV/0!</v>
          </cell>
          <cell r="AX431" t="e">
            <v>#DIV/0!</v>
          </cell>
          <cell r="AY431" t="e">
            <v>#DIV/0!</v>
          </cell>
          <cell r="AZ431" t="e">
            <v>#DIV/0!</v>
          </cell>
          <cell r="BE431" t="e">
            <v>#DIV/0!</v>
          </cell>
          <cell r="BF431" t="e">
            <v>#DIV/0!</v>
          </cell>
        </row>
        <row r="432">
          <cell r="A432" t="str">
            <v>-0</v>
          </cell>
          <cell r="B432" t="str">
            <v xml:space="preserve">-0  , </v>
          </cell>
          <cell r="C432"/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/>
          <cell r="S432"/>
          <cell r="T432"/>
          <cell r="U432"/>
          <cell r="V432"/>
          <cell r="W432"/>
          <cell r="X432">
            <v>0</v>
          </cell>
          <cell r="Y432">
            <v>0</v>
          </cell>
          <cell r="Z432">
            <v>0</v>
          </cell>
          <cell r="AA432" t="str">
            <v>,</v>
          </cell>
          <cell r="AB432" t="str">
            <v>,</v>
          </cell>
          <cell r="AC432" t="e">
            <v>#DIV/0!</v>
          </cell>
          <cell r="AD432" t="e">
            <v>#DIV/0!</v>
          </cell>
          <cell r="AE432">
            <v>0.71</v>
          </cell>
          <cell r="AF432">
            <v>94.97</v>
          </cell>
          <cell r="AG432">
            <v>0</v>
          </cell>
          <cell r="AH432" t="e">
            <v>#DIV/0!</v>
          </cell>
          <cell r="AI432" t="e">
            <v>#DIV/0!</v>
          </cell>
          <cell r="AJ432" t="e">
            <v>#DIV/0!</v>
          </cell>
          <cell r="AK432" t="e">
            <v>#DIV/0!</v>
          </cell>
          <cell r="AL432" t="e">
            <v>#DIV/0!</v>
          </cell>
          <cell r="AM432" t="e">
            <v>#DIV/0!</v>
          </cell>
          <cell r="AN432" t="e">
            <v>#DIV/0!</v>
          </cell>
          <cell r="AO432" t="e">
            <v>#REF!</v>
          </cell>
          <cell r="AP432" t="e">
            <v>#REF!</v>
          </cell>
          <cell r="AQ432" t="e">
            <v>#REF!</v>
          </cell>
          <cell r="AR432" t="e">
            <v>#REF!</v>
          </cell>
          <cell r="AS432" t="e">
            <v>#REF!</v>
          </cell>
          <cell r="AT432" t="e">
            <v>#REF!</v>
          </cell>
          <cell r="AU432" t="e">
            <v>#REF!</v>
          </cell>
          <cell r="AV432" t="e">
            <v>#REF!</v>
          </cell>
          <cell r="AW432" t="e">
            <v>#DIV/0!</v>
          </cell>
          <cell r="AX432" t="e">
            <v>#DIV/0!</v>
          </cell>
          <cell r="AY432" t="e">
            <v>#DIV/0!</v>
          </cell>
          <cell r="AZ432" t="e">
            <v>#DIV/0!</v>
          </cell>
          <cell r="BE432" t="e">
            <v>#DIV/0!</v>
          </cell>
          <cell r="BF432" t="e">
            <v>#DIV/0!</v>
          </cell>
        </row>
        <row r="433">
          <cell r="A433" t="str">
            <v>-0</v>
          </cell>
          <cell r="B433" t="str">
            <v xml:space="preserve">-0  , </v>
          </cell>
          <cell r="C433"/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/>
          <cell r="S433"/>
          <cell r="T433"/>
          <cell r="U433"/>
          <cell r="V433"/>
          <cell r="W433"/>
          <cell r="X433">
            <v>0</v>
          </cell>
          <cell r="Y433">
            <v>0</v>
          </cell>
          <cell r="Z433">
            <v>0</v>
          </cell>
          <cell r="AA433" t="str">
            <v>,</v>
          </cell>
          <cell r="AB433" t="str">
            <v>,</v>
          </cell>
          <cell r="AC433" t="e">
            <v>#DIV/0!</v>
          </cell>
          <cell r="AD433" t="e">
            <v>#DIV/0!</v>
          </cell>
          <cell r="AE433">
            <v>0.71</v>
          </cell>
          <cell r="AF433">
            <v>94.97</v>
          </cell>
          <cell r="AG433">
            <v>0</v>
          </cell>
          <cell r="AH433" t="e">
            <v>#DIV/0!</v>
          </cell>
          <cell r="AI433" t="e">
            <v>#DIV/0!</v>
          </cell>
          <cell r="AJ433" t="e">
            <v>#DIV/0!</v>
          </cell>
          <cell r="AK433" t="e">
            <v>#DIV/0!</v>
          </cell>
          <cell r="AL433" t="e">
            <v>#DIV/0!</v>
          </cell>
          <cell r="AM433" t="e">
            <v>#DIV/0!</v>
          </cell>
          <cell r="AN433" t="e">
            <v>#DIV/0!</v>
          </cell>
          <cell r="AO433" t="e">
            <v>#REF!</v>
          </cell>
          <cell r="AP433" t="e">
            <v>#REF!</v>
          </cell>
          <cell r="AQ433" t="e">
            <v>#REF!</v>
          </cell>
          <cell r="AR433" t="e">
            <v>#REF!</v>
          </cell>
          <cell r="AS433" t="e">
            <v>#REF!</v>
          </cell>
          <cell r="AT433" t="e">
            <v>#REF!</v>
          </cell>
          <cell r="AU433" t="e">
            <v>#REF!</v>
          </cell>
          <cell r="AV433" t="e">
            <v>#REF!</v>
          </cell>
          <cell r="AW433" t="e">
            <v>#DIV/0!</v>
          </cell>
          <cell r="AX433" t="e">
            <v>#DIV/0!</v>
          </cell>
          <cell r="AY433" t="e">
            <v>#DIV/0!</v>
          </cell>
          <cell r="AZ433" t="e">
            <v>#DIV/0!</v>
          </cell>
          <cell r="BE433" t="e">
            <v>#DIV/0!</v>
          </cell>
          <cell r="BF433" t="e">
            <v>#DIV/0!</v>
          </cell>
        </row>
        <row r="434">
          <cell r="A434" t="str">
            <v>-0</v>
          </cell>
          <cell r="B434" t="str">
            <v xml:space="preserve">-0  , </v>
          </cell>
          <cell r="C434"/>
          <cell r="D434"/>
          <cell r="E434"/>
          <cell r="F434"/>
          <cell r="G434"/>
          <cell r="H434"/>
          <cell r="I434"/>
          <cell r="J434"/>
          <cell r="K434"/>
          <cell r="L434"/>
          <cell r="M434"/>
          <cell r="N434"/>
          <cell r="O434"/>
          <cell r="P434"/>
          <cell r="Q434"/>
          <cell r="R434"/>
          <cell r="S434"/>
          <cell r="T434"/>
          <cell r="U434"/>
          <cell r="V434"/>
          <cell r="W434"/>
          <cell r="X434">
            <v>0</v>
          </cell>
          <cell r="Y434">
            <v>0</v>
          </cell>
          <cell r="Z434">
            <v>0</v>
          </cell>
          <cell r="AA434" t="str">
            <v>,</v>
          </cell>
          <cell r="AB434" t="str">
            <v>,</v>
          </cell>
          <cell r="AC434" t="e">
            <v>#DIV/0!</v>
          </cell>
          <cell r="AD434" t="e">
            <v>#DIV/0!</v>
          </cell>
          <cell r="AE434">
            <v>0.71</v>
          </cell>
          <cell r="AF434">
            <v>94.97</v>
          </cell>
          <cell r="AG434">
            <v>0</v>
          </cell>
          <cell r="AH434" t="e">
            <v>#DIV/0!</v>
          </cell>
          <cell r="AI434" t="e">
            <v>#DIV/0!</v>
          </cell>
          <cell r="AJ434" t="e">
            <v>#DIV/0!</v>
          </cell>
          <cell r="AK434" t="e">
            <v>#DIV/0!</v>
          </cell>
          <cell r="AL434" t="e">
            <v>#DIV/0!</v>
          </cell>
          <cell r="AM434" t="e">
            <v>#DIV/0!</v>
          </cell>
          <cell r="AN434" t="e">
            <v>#DIV/0!</v>
          </cell>
          <cell r="AO434" t="e">
            <v>#REF!</v>
          </cell>
          <cell r="AP434" t="e">
            <v>#REF!</v>
          </cell>
          <cell r="AQ434" t="e">
            <v>#REF!</v>
          </cell>
          <cell r="AR434" t="e">
            <v>#REF!</v>
          </cell>
          <cell r="AS434" t="e">
            <v>#REF!</v>
          </cell>
          <cell r="AT434" t="e">
            <v>#REF!</v>
          </cell>
          <cell r="AU434" t="e">
            <v>#REF!</v>
          </cell>
          <cell r="AV434" t="e">
            <v>#REF!</v>
          </cell>
          <cell r="AW434" t="e">
            <v>#DIV/0!</v>
          </cell>
          <cell r="AX434" t="e">
            <v>#DIV/0!</v>
          </cell>
          <cell r="AY434" t="e">
            <v>#DIV/0!</v>
          </cell>
          <cell r="AZ434" t="e">
            <v>#DIV/0!</v>
          </cell>
          <cell r="BE434" t="e">
            <v>#DIV/0!</v>
          </cell>
          <cell r="BF434" t="e">
            <v>#DIV/0!</v>
          </cell>
        </row>
        <row r="435">
          <cell r="A435" t="str">
            <v>-0</v>
          </cell>
          <cell r="B435" t="str">
            <v xml:space="preserve">-0  , </v>
          </cell>
          <cell r="C435"/>
          <cell r="D435"/>
          <cell r="E435"/>
          <cell r="F435"/>
          <cell r="G435"/>
          <cell r="H435"/>
          <cell r="I435"/>
          <cell r="J435"/>
          <cell r="K435"/>
          <cell r="L435"/>
          <cell r="M435"/>
          <cell r="N435"/>
          <cell r="O435"/>
          <cell r="P435"/>
          <cell r="Q435"/>
          <cell r="R435"/>
          <cell r="S435"/>
          <cell r="T435"/>
          <cell r="U435"/>
          <cell r="V435"/>
          <cell r="W435"/>
          <cell r="X435">
            <v>0</v>
          </cell>
          <cell r="Y435">
            <v>0</v>
          </cell>
          <cell r="Z435">
            <v>0</v>
          </cell>
          <cell r="AA435" t="str">
            <v>,</v>
          </cell>
          <cell r="AB435" t="str">
            <v>,</v>
          </cell>
          <cell r="AC435" t="e">
            <v>#DIV/0!</v>
          </cell>
          <cell r="AD435" t="e">
            <v>#DIV/0!</v>
          </cell>
          <cell r="AE435">
            <v>0.71</v>
          </cell>
          <cell r="AF435">
            <v>94.97</v>
          </cell>
          <cell r="AG435">
            <v>0</v>
          </cell>
          <cell r="AH435" t="e">
            <v>#DIV/0!</v>
          </cell>
          <cell r="AI435" t="e">
            <v>#DIV/0!</v>
          </cell>
          <cell r="AJ435" t="e">
            <v>#DIV/0!</v>
          </cell>
          <cell r="AK435" t="e">
            <v>#DIV/0!</v>
          </cell>
          <cell r="AL435" t="e">
            <v>#DIV/0!</v>
          </cell>
          <cell r="AM435" t="e">
            <v>#DIV/0!</v>
          </cell>
          <cell r="AN435" t="e">
            <v>#DIV/0!</v>
          </cell>
          <cell r="AO435" t="e">
            <v>#REF!</v>
          </cell>
          <cell r="AP435" t="e">
            <v>#REF!</v>
          </cell>
          <cell r="AQ435" t="e">
            <v>#REF!</v>
          </cell>
          <cell r="AR435" t="e">
            <v>#REF!</v>
          </cell>
          <cell r="AS435" t="e">
            <v>#REF!</v>
          </cell>
          <cell r="AT435" t="e">
            <v>#REF!</v>
          </cell>
          <cell r="AU435" t="e">
            <v>#REF!</v>
          </cell>
          <cell r="AV435" t="e">
            <v>#REF!</v>
          </cell>
          <cell r="AW435" t="e">
            <v>#DIV/0!</v>
          </cell>
          <cell r="AX435" t="e">
            <v>#DIV/0!</v>
          </cell>
          <cell r="AY435" t="e">
            <v>#DIV/0!</v>
          </cell>
          <cell r="AZ435" t="e">
            <v>#DIV/0!</v>
          </cell>
          <cell r="BE435" t="e">
            <v>#DIV/0!</v>
          </cell>
          <cell r="BF435" t="e">
            <v>#DIV/0!</v>
          </cell>
        </row>
        <row r="436">
          <cell r="A436" t="str">
            <v>-0</v>
          </cell>
          <cell r="B436" t="str">
            <v xml:space="preserve">-0  , </v>
          </cell>
          <cell r="C436"/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  <cell r="X436">
            <v>0</v>
          </cell>
          <cell r="Y436">
            <v>0</v>
          </cell>
          <cell r="Z436">
            <v>0</v>
          </cell>
          <cell r="AA436" t="str">
            <v>,</v>
          </cell>
          <cell r="AB436" t="str">
            <v>,</v>
          </cell>
          <cell r="AC436" t="e">
            <v>#DIV/0!</v>
          </cell>
          <cell r="AD436" t="e">
            <v>#DIV/0!</v>
          </cell>
          <cell r="AE436">
            <v>0.71</v>
          </cell>
          <cell r="AF436">
            <v>94.97</v>
          </cell>
          <cell r="AG436">
            <v>0</v>
          </cell>
          <cell r="AH436" t="e">
            <v>#DIV/0!</v>
          </cell>
          <cell r="AI436" t="e">
            <v>#DIV/0!</v>
          </cell>
          <cell r="AJ436" t="e">
            <v>#DIV/0!</v>
          </cell>
          <cell r="AK436" t="e">
            <v>#DIV/0!</v>
          </cell>
          <cell r="AL436" t="e">
            <v>#DIV/0!</v>
          </cell>
          <cell r="AM436" t="e">
            <v>#DIV/0!</v>
          </cell>
          <cell r="AN436" t="e">
            <v>#DIV/0!</v>
          </cell>
          <cell r="AO436" t="e">
            <v>#REF!</v>
          </cell>
          <cell r="AP436" t="e">
            <v>#REF!</v>
          </cell>
          <cell r="AQ436" t="e">
            <v>#REF!</v>
          </cell>
          <cell r="AR436" t="e">
            <v>#REF!</v>
          </cell>
          <cell r="AS436" t="e">
            <v>#REF!</v>
          </cell>
          <cell r="AT436" t="e">
            <v>#REF!</v>
          </cell>
          <cell r="AU436" t="e">
            <v>#REF!</v>
          </cell>
          <cell r="AV436" t="e">
            <v>#REF!</v>
          </cell>
          <cell r="AW436" t="e">
            <v>#DIV/0!</v>
          </cell>
          <cell r="AX436" t="e">
            <v>#DIV/0!</v>
          </cell>
          <cell r="AY436" t="e">
            <v>#DIV/0!</v>
          </cell>
          <cell r="AZ436" t="e">
            <v>#DIV/0!</v>
          </cell>
          <cell r="BE436" t="e">
            <v>#DIV/0!</v>
          </cell>
          <cell r="BF436" t="e">
            <v>#DIV/0!</v>
          </cell>
        </row>
        <row r="437">
          <cell r="A437" t="str">
            <v>-0</v>
          </cell>
          <cell r="B437" t="str">
            <v xml:space="preserve">-0  , </v>
          </cell>
          <cell r="C437"/>
          <cell r="D437"/>
          <cell r="E437"/>
          <cell r="F437"/>
          <cell r="G437"/>
          <cell r="H437"/>
          <cell r="I437"/>
          <cell r="J437"/>
          <cell r="K437"/>
          <cell r="L437"/>
          <cell r="M437"/>
          <cell r="N437"/>
          <cell r="O437"/>
          <cell r="P437"/>
          <cell r="Q437"/>
          <cell r="R437"/>
          <cell r="S437"/>
          <cell r="T437"/>
          <cell r="U437"/>
          <cell r="V437"/>
          <cell r="W437"/>
          <cell r="X437">
            <v>0</v>
          </cell>
          <cell r="Y437">
            <v>0</v>
          </cell>
          <cell r="Z437">
            <v>0</v>
          </cell>
          <cell r="AA437" t="str">
            <v>,</v>
          </cell>
          <cell r="AB437" t="str">
            <v>,</v>
          </cell>
          <cell r="AC437" t="e">
            <v>#DIV/0!</v>
          </cell>
          <cell r="AD437" t="e">
            <v>#DIV/0!</v>
          </cell>
          <cell r="AE437">
            <v>0.71</v>
          </cell>
          <cell r="AF437">
            <v>94.97</v>
          </cell>
          <cell r="AG437">
            <v>0</v>
          </cell>
          <cell r="AH437" t="e">
            <v>#DIV/0!</v>
          </cell>
          <cell r="AI437" t="e">
            <v>#DIV/0!</v>
          </cell>
          <cell r="AJ437" t="e">
            <v>#DIV/0!</v>
          </cell>
          <cell r="AK437" t="e">
            <v>#DIV/0!</v>
          </cell>
          <cell r="AL437" t="e">
            <v>#DIV/0!</v>
          </cell>
          <cell r="AM437" t="e">
            <v>#DIV/0!</v>
          </cell>
          <cell r="AN437" t="e">
            <v>#DIV/0!</v>
          </cell>
          <cell r="AO437" t="e">
            <v>#REF!</v>
          </cell>
          <cell r="AP437" t="e">
            <v>#REF!</v>
          </cell>
          <cell r="AQ437" t="e">
            <v>#REF!</v>
          </cell>
          <cell r="AR437" t="e">
            <v>#REF!</v>
          </cell>
          <cell r="AS437" t="e">
            <v>#REF!</v>
          </cell>
          <cell r="AT437" t="e">
            <v>#REF!</v>
          </cell>
          <cell r="AU437" t="e">
            <v>#REF!</v>
          </cell>
          <cell r="AV437" t="e">
            <v>#REF!</v>
          </cell>
          <cell r="AW437" t="e">
            <v>#DIV/0!</v>
          </cell>
          <cell r="AX437" t="e">
            <v>#DIV/0!</v>
          </cell>
          <cell r="AY437" t="e">
            <v>#DIV/0!</v>
          </cell>
          <cell r="AZ437" t="e">
            <v>#DIV/0!</v>
          </cell>
          <cell r="BE437" t="e">
            <v>#DIV/0!</v>
          </cell>
          <cell r="BF437" t="e">
            <v>#DIV/0!</v>
          </cell>
        </row>
        <row r="438">
          <cell r="A438" t="str">
            <v>-0</v>
          </cell>
          <cell r="B438" t="str">
            <v xml:space="preserve">-0  , </v>
          </cell>
          <cell r="C438"/>
          <cell r="D438"/>
          <cell r="E438"/>
          <cell r="F438"/>
          <cell r="G438"/>
          <cell r="H438"/>
          <cell r="I438"/>
          <cell r="J438"/>
          <cell r="K438"/>
          <cell r="L438"/>
          <cell r="M438"/>
          <cell r="N438"/>
          <cell r="O438"/>
          <cell r="P438"/>
          <cell r="Q438"/>
          <cell r="R438"/>
          <cell r="S438"/>
          <cell r="T438"/>
          <cell r="U438"/>
          <cell r="V438"/>
          <cell r="W438"/>
          <cell r="X438">
            <v>0</v>
          </cell>
          <cell r="Y438">
            <v>0</v>
          </cell>
          <cell r="Z438">
            <v>0</v>
          </cell>
          <cell r="AA438" t="str">
            <v>,</v>
          </cell>
          <cell r="AB438" t="str">
            <v>,</v>
          </cell>
          <cell r="AC438" t="e">
            <v>#DIV/0!</v>
          </cell>
          <cell r="AD438" t="e">
            <v>#DIV/0!</v>
          </cell>
          <cell r="AE438">
            <v>0.71</v>
          </cell>
          <cell r="AF438">
            <v>94.97</v>
          </cell>
          <cell r="AG438">
            <v>0</v>
          </cell>
          <cell r="AH438" t="e">
            <v>#DIV/0!</v>
          </cell>
          <cell r="AI438" t="e">
            <v>#DIV/0!</v>
          </cell>
          <cell r="AJ438" t="e">
            <v>#DIV/0!</v>
          </cell>
          <cell r="AK438" t="e">
            <v>#DIV/0!</v>
          </cell>
          <cell r="AL438" t="e">
            <v>#DIV/0!</v>
          </cell>
          <cell r="AM438" t="e">
            <v>#DIV/0!</v>
          </cell>
          <cell r="AN438" t="e">
            <v>#DIV/0!</v>
          </cell>
          <cell r="AO438" t="e">
            <v>#REF!</v>
          </cell>
          <cell r="AP438" t="e">
            <v>#REF!</v>
          </cell>
          <cell r="AQ438" t="e">
            <v>#REF!</v>
          </cell>
          <cell r="AR438" t="e">
            <v>#REF!</v>
          </cell>
          <cell r="AS438" t="e">
            <v>#REF!</v>
          </cell>
          <cell r="AT438" t="e">
            <v>#REF!</v>
          </cell>
          <cell r="AU438" t="e">
            <v>#REF!</v>
          </cell>
          <cell r="AV438" t="e">
            <v>#REF!</v>
          </cell>
          <cell r="AW438" t="e">
            <v>#DIV/0!</v>
          </cell>
          <cell r="AX438" t="e">
            <v>#DIV/0!</v>
          </cell>
          <cell r="AY438" t="e">
            <v>#DIV/0!</v>
          </cell>
          <cell r="AZ438" t="e">
            <v>#DIV/0!</v>
          </cell>
          <cell r="BE438" t="e">
            <v>#DIV/0!</v>
          </cell>
          <cell r="BF438" t="e">
            <v>#DIV/0!</v>
          </cell>
        </row>
        <row r="439">
          <cell r="A439" t="str">
            <v>-0</v>
          </cell>
          <cell r="B439" t="str">
            <v xml:space="preserve">-0  , </v>
          </cell>
          <cell r="C439"/>
          <cell r="D439"/>
          <cell r="E439"/>
          <cell r="F439"/>
          <cell r="G439"/>
          <cell r="H439"/>
          <cell r="I439"/>
          <cell r="J439"/>
          <cell r="K439"/>
          <cell r="L439"/>
          <cell r="M439"/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  <cell r="X439">
            <v>0</v>
          </cell>
          <cell r="Y439">
            <v>0</v>
          </cell>
          <cell r="Z439">
            <v>0</v>
          </cell>
          <cell r="AA439" t="str">
            <v>,</v>
          </cell>
          <cell r="AB439" t="str">
            <v>,</v>
          </cell>
          <cell r="AC439" t="e">
            <v>#DIV/0!</v>
          </cell>
          <cell r="AD439" t="e">
            <v>#DIV/0!</v>
          </cell>
          <cell r="AE439">
            <v>0.71</v>
          </cell>
          <cell r="AF439">
            <v>94.97</v>
          </cell>
          <cell r="AG439">
            <v>0</v>
          </cell>
          <cell r="AH439" t="e">
            <v>#DIV/0!</v>
          </cell>
          <cell r="AI439" t="e">
            <v>#DIV/0!</v>
          </cell>
          <cell r="AJ439" t="e">
            <v>#DIV/0!</v>
          </cell>
          <cell r="AK439" t="e">
            <v>#DIV/0!</v>
          </cell>
          <cell r="AL439" t="e">
            <v>#DIV/0!</v>
          </cell>
          <cell r="AM439" t="e">
            <v>#DIV/0!</v>
          </cell>
          <cell r="AN439" t="e">
            <v>#DIV/0!</v>
          </cell>
          <cell r="AO439" t="e">
            <v>#REF!</v>
          </cell>
          <cell r="AP439" t="e">
            <v>#REF!</v>
          </cell>
          <cell r="AQ439" t="e">
            <v>#REF!</v>
          </cell>
          <cell r="AR439" t="e">
            <v>#REF!</v>
          </cell>
          <cell r="AS439" t="e">
            <v>#REF!</v>
          </cell>
          <cell r="AT439" t="e">
            <v>#REF!</v>
          </cell>
          <cell r="AU439" t="e">
            <v>#REF!</v>
          </cell>
          <cell r="AV439" t="e">
            <v>#REF!</v>
          </cell>
          <cell r="AW439" t="e">
            <v>#DIV/0!</v>
          </cell>
          <cell r="AX439" t="e">
            <v>#DIV/0!</v>
          </cell>
          <cell r="AY439" t="e">
            <v>#DIV/0!</v>
          </cell>
          <cell r="AZ439" t="e">
            <v>#DIV/0!</v>
          </cell>
          <cell r="BE439" t="e">
            <v>#DIV/0!</v>
          </cell>
          <cell r="BF439" t="e">
            <v>#DIV/0!</v>
          </cell>
        </row>
        <row r="440">
          <cell r="A440" t="str">
            <v>-0</v>
          </cell>
          <cell r="B440" t="str">
            <v xml:space="preserve">-0  , </v>
          </cell>
          <cell r="C440"/>
          <cell r="D440"/>
          <cell r="E440"/>
          <cell r="F440"/>
          <cell r="G440"/>
          <cell r="H440"/>
          <cell r="I440"/>
          <cell r="J440"/>
          <cell r="K440"/>
          <cell r="L440"/>
          <cell r="M440"/>
          <cell r="N440"/>
          <cell r="O440"/>
          <cell r="P440"/>
          <cell r="Q440"/>
          <cell r="R440"/>
          <cell r="S440"/>
          <cell r="T440"/>
          <cell r="U440"/>
          <cell r="V440"/>
          <cell r="W440"/>
          <cell r="X440">
            <v>0</v>
          </cell>
          <cell r="Y440">
            <v>0</v>
          </cell>
          <cell r="Z440">
            <v>0</v>
          </cell>
          <cell r="AA440" t="str">
            <v>,</v>
          </cell>
          <cell r="AB440" t="str">
            <v>,</v>
          </cell>
          <cell r="AC440" t="e">
            <v>#DIV/0!</v>
          </cell>
          <cell r="AD440" t="e">
            <v>#DIV/0!</v>
          </cell>
          <cell r="AE440">
            <v>0.71</v>
          </cell>
          <cell r="AF440">
            <v>94.97</v>
          </cell>
          <cell r="AG440">
            <v>0</v>
          </cell>
          <cell r="AH440" t="e">
            <v>#DIV/0!</v>
          </cell>
          <cell r="AI440" t="e">
            <v>#DIV/0!</v>
          </cell>
          <cell r="AJ440" t="e">
            <v>#DIV/0!</v>
          </cell>
          <cell r="AK440" t="e">
            <v>#DIV/0!</v>
          </cell>
          <cell r="AL440" t="e">
            <v>#DIV/0!</v>
          </cell>
          <cell r="AM440" t="e">
            <v>#DIV/0!</v>
          </cell>
          <cell r="AN440" t="e">
            <v>#DIV/0!</v>
          </cell>
          <cell r="AO440" t="e">
            <v>#REF!</v>
          </cell>
          <cell r="AP440" t="e">
            <v>#REF!</v>
          </cell>
          <cell r="AQ440" t="e">
            <v>#REF!</v>
          </cell>
          <cell r="AR440" t="e">
            <v>#REF!</v>
          </cell>
          <cell r="AS440" t="e">
            <v>#REF!</v>
          </cell>
          <cell r="AT440" t="e">
            <v>#REF!</v>
          </cell>
          <cell r="AU440" t="e">
            <v>#REF!</v>
          </cell>
          <cell r="AV440" t="e">
            <v>#REF!</v>
          </cell>
          <cell r="AW440" t="e">
            <v>#DIV/0!</v>
          </cell>
          <cell r="AX440" t="e">
            <v>#DIV/0!</v>
          </cell>
          <cell r="AY440" t="e">
            <v>#DIV/0!</v>
          </cell>
          <cell r="AZ440" t="e">
            <v>#DIV/0!</v>
          </cell>
          <cell r="BE440" t="e">
            <v>#DIV/0!</v>
          </cell>
          <cell r="BF440" t="e">
            <v>#DIV/0!</v>
          </cell>
        </row>
        <row r="441">
          <cell r="A441" t="str">
            <v>-0</v>
          </cell>
          <cell r="B441" t="str">
            <v xml:space="preserve">-0  , </v>
          </cell>
          <cell r="C441"/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/>
          <cell r="S441"/>
          <cell r="T441"/>
          <cell r="U441"/>
          <cell r="V441"/>
          <cell r="W441"/>
          <cell r="X441">
            <v>0</v>
          </cell>
          <cell r="Y441">
            <v>0</v>
          </cell>
          <cell r="Z441">
            <v>0</v>
          </cell>
          <cell r="AA441" t="str">
            <v>,</v>
          </cell>
          <cell r="AB441" t="str">
            <v>,</v>
          </cell>
          <cell r="AC441" t="e">
            <v>#DIV/0!</v>
          </cell>
          <cell r="AD441" t="e">
            <v>#DIV/0!</v>
          </cell>
          <cell r="AE441">
            <v>0.71</v>
          </cell>
          <cell r="AF441">
            <v>94.97</v>
          </cell>
          <cell r="AG441">
            <v>0</v>
          </cell>
          <cell r="AH441" t="e">
            <v>#DIV/0!</v>
          </cell>
          <cell r="AI441" t="e">
            <v>#DIV/0!</v>
          </cell>
          <cell r="AJ441" t="e">
            <v>#DIV/0!</v>
          </cell>
          <cell r="AK441" t="e">
            <v>#DIV/0!</v>
          </cell>
          <cell r="AL441" t="e">
            <v>#DIV/0!</v>
          </cell>
          <cell r="AM441" t="e">
            <v>#DIV/0!</v>
          </cell>
          <cell r="AN441" t="e">
            <v>#DIV/0!</v>
          </cell>
          <cell r="AO441" t="e">
            <v>#REF!</v>
          </cell>
          <cell r="AP441" t="e">
            <v>#REF!</v>
          </cell>
          <cell r="AQ441" t="e">
            <v>#REF!</v>
          </cell>
          <cell r="AR441" t="e">
            <v>#REF!</v>
          </cell>
          <cell r="AS441" t="e">
            <v>#REF!</v>
          </cell>
          <cell r="AT441" t="e">
            <v>#REF!</v>
          </cell>
          <cell r="AU441" t="e">
            <v>#REF!</v>
          </cell>
          <cell r="AV441" t="e">
            <v>#REF!</v>
          </cell>
          <cell r="AW441" t="e">
            <v>#DIV/0!</v>
          </cell>
          <cell r="AX441" t="e">
            <v>#DIV/0!</v>
          </cell>
          <cell r="AY441" t="e">
            <v>#DIV/0!</v>
          </cell>
          <cell r="AZ441" t="e">
            <v>#DIV/0!</v>
          </cell>
          <cell r="BE441" t="e">
            <v>#DIV/0!</v>
          </cell>
          <cell r="BF441" t="e">
            <v>#DIV/0!</v>
          </cell>
        </row>
        <row r="442">
          <cell r="A442" t="str">
            <v>-0</v>
          </cell>
          <cell r="B442" t="str">
            <v xml:space="preserve">-0  , </v>
          </cell>
          <cell r="C442"/>
          <cell r="D442"/>
          <cell r="E442"/>
          <cell r="F442"/>
          <cell r="G442"/>
          <cell r="H442"/>
          <cell r="I442"/>
          <cell r="J442"/>
          <cell r="K442"/>
          <cell r="L442"/>
          <cell r="M442"/>
          <cell r="N442"/>
          <cell r="O442"/>
          <cell r="P442"/>
          <cell r="Q442"/>
          <cell r="R442"/>
          <cell r="S442"/>
          <cell r="T442"/>
          <cell r="U442"/>
          <cell r="V442"/>
          <cell r="W442"/>
          <cell r="X442">
            <v>0</v>
          </cell>
          <cell r="Y442">
            <v>0</v>
          </cell>
          <cell r="Z442">
            <v>0</v>
          </cell>
          <cell r="AA442" t="str">
            <v>,</v>
          </cell>
          <cell r="AB442" t="str">
            <v>,</v>
          </cell>
          <cell r="AC442" t="e">
            <v>#DIV/0!</v>
          </cell>
          <cell r="AD442" t="e">
            <v>#DIV/0!</v>
          </cell>
          <cell r="AE442">
            <v>0.71</v>
          </cell>
          <cell r="AF442">
            <v>94.97</v>
          </cell>
          <cell r="AG442">
            <v>0</v>
          </cell>
          <cell r="AH442" t="e">
            <v>#DIV/0!</v>
          </cell>
          <cell r="AI442" t="e">
            <v>#DIV/0!</v>
          </cell>
          <cell r="AJ442" t="e">
            <v>#DIV/0!</v>
          </cell>
          <cell r="AK442" t="e">
            <v>#DIV/0!</v>
          </cell>
          <cell r="AL442" t="e">
            <v>#DIV/0!</v>
          </cell>
          <cell r="AM442" t="e">
            <v>#DIV/0!</v>
          </cell>
          <cell r="AN442" t="e">
            <v>#DIV/0!</v>
          </cell>
          <cell r="AO442" t="e">
            <v>#REF!</v>
          </cell>
          <cell r="AP442" t="e">
            <v>#REF!</v>
          </cell>
          <cell r="AQ442" t="e">
            <v>#REF!</v>
          </cell>
          <cell r="AR442" t="e">
            <v>#REF!</v>
          </cell>
          <cell r="AS442" t="e">
            <v>#REF!</v>
          </cell>
          <cell r="AT442" t="e">
            <v>#REF!</v>
          </cell>
          <cell r="AU442" t="e">
            <v>#REF!</v>
          </cell>
          <cell r="AV442" t="e">
            <v>#REF!</v>
          </cell>
          <cell r="AW442" t="e">
            <v>#DIV/0!</v>
          </cell>
          <cell r="AX442" t="e">
            <v>#DIV/0!</v>
          </cell>
          <cell r="AY442" t="e">
            <v>#DIV/0!</v>
          </cell>
          <cell r="AZ442" t="e">
            <v>#DIV/0!</v>
          </cell>
          <cell r="BE442" t="e">
            <v>#DIV/0!</v>
          </cell>
          <cell r="BF442" t="e">
            <v>#DIV/0!</v>
          </cell>
        </row>
        <row r="443">
          <cell r="A443" t="str">
            <v>-0</v>
          </cell>
          <cell r="B443" t="str">
            <v xml:space="preserve">-0  , </v>
          </cell>
          <cell r="C443"/>
          <cell r="D443"/>
          <cell r="E443"/>
          <cell r="F443"/>
          <cell r="G443"/>
          <cell r="H443"/>
          <cell r="I443"/>
          <cell r="J443"/>
          <cell r="K443"/>
          <cell r="L443"/>
          <cell r="M443"/>
          <cell r="N443"/>
          <cell r="O443"/>
          <cell r="P443"/>
          <cell r="Q443"/>
          <cell r="R443"/>
          <cell r="S443"/>
          <cell r="T443"/>
          <cell r="U443"/>
          <cell r="V443"/>
          <cell r="W443"/>
          <cell r="X443">
            <v>0</v>
          </cell>
          <cell r="Y443">
            <v>0</v>
          </cell>
          <cell r="Z443">
            <v>0</v>
          </cell>
          <cell r="AA443" t="str">
            <v>,</v>
          </cell>
          <cell r="AB443" t="str">
            <v>,</v>
          </cell>
          <cell r="AC443" t="e">
            <v>#DIV/0!</v>
          </cell>
          <cell r="AD443" t="e">
            <v>#DIV/0!</v>
          </cell>
          <cell r="AE443">
            <v>0.71</v>
          </cell>
          <cell r="AF443">
            <v>94.97</v>
          </cell>
          <cell r="AG443">
            <v>0</v>
          </cell>
          <cell r="AH443" t="e">
            <v>#DIV/0!</v>
          </cell>
          <cell r="AI443" t="e">
            <v>#DIV/0!</v>
          </cell>
          <cell r="AJ443" t="e">
            <v>#DIV/0!</v>
          </cell>
          <cell r="AK443" t="e">
            <v>#DIV/0!</v>
          </cell>
          <cell r="AL443" t="e">
            <v>#DIV/0!</v>
          </cell>
          <cell r="AM443" t="e">
            <v>#DIV/0!</v>
          </cell>
          <cell r="AN443" t="e">
            <v>#DIV/0!</v>
          </cell>
          <cell r="AO443" t="e">
            <v>#REF!</v>
          </cell>
          <cell r="AP443" t="e">
            <v>#REF!</v>
          </cell>
          <cell r="AQ443" t="e">
            <v>#REF!</v>
          </cell>
          <cell r="AR443" t="e">
            <v>#REF!</v>
          </cell>
          <cell r="AS443" t="e">
            <v>#REF!</v>
          </cell>
          <cell r="AT443" t="e">
            <v>#REF!</v>
          </cell>
          <cell r="AU443" t="e">
            <v>#REF!</v>
          </cell>
          <cell r="AV443" t="e">
            <v>#REF!</v>
          </cell>
          <cell r="AW443" t="e">
            <v>#DIV/0!</v>
          </cell>
          <cell r="AX443" t="e">
            <v>#DIV/0!</v>
          </cell>
          <cell r="AY443" t="e">
            <v>#DIV/0!</v>
          </cell>
          <cell r="AZ443" t="e">
            <v>#DIV/0!</v>
          </cell>
          <cell r="BE443" t="e">
            <v>#DIV/0!</v>
          </cell>
          <cell r="BF443" t="e">
            <v>#DIV/0!</v>
          </cell>
        </row>
        <row r="444">
          <cell r="A444" t="str">
            <v>-0</v>
          </cell>
          <cell r="B444" t="str">
            <v xml:space="preserve">-0  , </v>
          </cell>
          <cell r="C444"/>
          <cell r="D444"/>
          <cell r="E444"/>
          <cell r="F444"/>
          <cell r="G444"/>
          <cell r="H444"/>
          <cell r="I444"/>
          <cell r="J444"/>
          <cell r="K444"/>
          <cell r="L444"/>
          <cell r="M444"/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  <cell r="X444">
            <v>0</v>
          </cell>
          <cell r="Y444">
            <v>0</v>
          </cell>
          <cell r="Z444">
            <v>0</v>
          </cell>
          <cell r="AA444" t="str">
            <v>,</v>
          </cell>
          <cell r="AB444" t="str">
            <v>,</v>
          </cell>
          <cell r="AC444" t="e">
            <v>#DIV/0!</v>
          </cell>
          <cell r="AD444" t="e">
            <v>#DIV/0!</v>
          </cell>
          <cell r="AE444">
            <v>0.71</v>
          </cell>
          <cell r="AF444">
            <v>94.97</v>
          </cell>
          <cell r="AG444">
            <v>0</v>
          </cell>
          <cell r="AH444" t="e">
            <v>#DIV/0!</v>
          </cell>
          <cell r="AI444" t="e">
            <v>#DIV/0!</v>
          </cell>
          <cell r="AJ444" t="e">
            <v>#DIV/0!</v>
          </cell>
          <cell r="AK444" t="e">
            <v>#DIV/0!</v>
          </cell>
          <cell r="AL444" t="e">
            <v>#DIV/0!</v>
          </cell>
          <cell r="AM444" t="e">
            <v>#DIV/0!</v>
          </cell>
          <cell r="AN444" t="e">
            <v>#DIV/0!</v>
          </cell>
          <cell r="AO444" t="e">
            <v>#REF!</v>
          </cell>
          <cell r="AP444" t="e">
            <v>#REF!</v>
          </cell>
          <cell r="AQ444" t="e">
            <v>#REF!</v>
          </cell>
          <cell r="AR444" t="e">
            <v>#REF!</v>
          </cell>
          <cell r="AS444" t="e">
            <v>#REF!</v>
          </cell>
          <cell r="AT444" t="e">
            <v>#REF!</v>
          </cell>
          <cell r="AU444" t="e">
            <v>#REF!</v>
          </cell>
          <cell r="AV444" t="e">
            <v>#REF!</v>
          </cell>
          <cell r="AW444" t="e">
            <v>#DIV/0!</v>
          </cell>
          <cell r="AX444" t="e">
            <v>#DIV/0!</v>
          </cell>
          <cell r="AY444" t="e">
            <v>#DIV/0!</v>
          </cell>
          <cell r="AZ444" t="e">
            <v>#DIV/0!</v>
          </cell>
          <cell r="BE444" t="e">
            <v>#DIV/0!</v>
          </cell>
          <cell r="BF444" t="e">
            <v>#DIV/0!</v>
          </cell>
        </row>
        <row r="445">
          <cell r="A445" t="str">
            <v>-0</v>
          </cell>
          <cell r="B445" t="str">
            <v xml:space="preserve">-0  , </v>
          </cell>
          <cell r="C445"/>
          <cell r="D445"/>
          <cell r="E445"/>
          <cell r="F445"/>
          <cell r="G445"/>
          <cell r="H445"/>
          <cell r="I445"/>
          <cell r="J445"/>
          <cell r="K445"/>
          <cell r="L445"/>
          <cell r="M445"/>
          <cell r="N445"/>
          <cell r="O445"/>
          <cell r="P445"/>
          <cell r="Q445"/>
          <cell r="R445"/>
          <cell r="S445"/>
          <cell r="T445"/>
          <cell r="U445"/>
          <cell r="V445"/>
          <cell r="W445"/>
          <cell r="X445">
            <v>0</v>
          </cell>
          <cell r="Y445">
            <v>0</v>
          </cell>
          <cell r="Z445">
            <v>0</v>
          </cell>
          <cell r="AA445" t="str">
            <v>,</v>
          </cell>
          <cell r="AB445" t="str">
            <v>,</v>
          </cell>
          <cell r="AC445" t="e">
            <v>#DIV/0!</v>
          </cell>
          <cell r="AD445" t="e">
            <v>#DIV/0!</v>
          </cell>
          <cell r="AE445">
            <v>0.71</v>
          </cell>
          <cell r="AF445">
            <v>94.97</v>
          </cell>
          <cell r="AG445">
            <v>0</v>
          </cell>
          <cell r="AH445" t="e">
            <v>#DIV/0!</v>
          </cell>
          <cell r="AI445" t="e">
            <v>#DIV/0!</v>
          </cell>
          <cell r="AJ445" t="e">
            <v>#DIV/0!</v>
          </cell>
          <cell r="AK445" t="e">
            <v>#DIV/0!</v>
          </cell>
          <cell r="AL445" t="e">
            <v>#DIV/0!</v>
          </cell>
          <cell r="AM445" t="e">
            <v>#DIV/0!</v>
          </cell>
          <cell r="AN445" t="e">
            <v>#DIV/0!</v>
          </cell>
          <cell r="AO445" t="e">
            <v>#REF!</v>
          </cell>
          <cell r="AP445" t="e">
            <v>#REF!</v>
          </cell>
          <cell r="AQ445" t="e">
            <v>#REF!</v>
          </cell>
          <cell r="AR445" t="e">
            <v>#REF!</v>
          </cell>
          <cell r="AS445" t="e">
            <v>#REF!</v>
          </cell>
          <cell r="AT445" t="e">
            <v>#REF!</v>
          </cell>
          <cell r="AU445" t="e">
            <v>#REF!</v>
          </cell>
          <cell r="AV445" t="e">
            <v>#REF!</v>
          </cell>
          <cell r="AW445" t="e">
            <v>#DIV/0!</v>
          </cell>
          <cell r="AX445" t="e">
            <v>#DIV/0!</v>
          </cell>
          <cell r="AY445" t="e">
            <v>#DIV/0!</v>
          </cell>
          <cell r="AZ445" t="e">
            <v>#DIV/0!</v>
          </cell>
          <cell r="BE445" t="e">
            <v>#DIV/0!</v>
          </cell>
          <cell r="BF445" t="e">
            <v>#DIV/0!</v>
          </cell>
        </row>
        <row r="446">
          <cell r="A446" t="str">
            <v>-0</v>
          </cell>
          <cell r="B446" t="str">
            <v xml:space="preserve">-0  , </v>
          </cell>
          <cell r="C446"/>
          <cell r="D446"/>
          <cell r="E446"/>
          <cell r="F446"/>
          <cell r="G446"/>
          <cell r="H446"/>
          <cell r="I446"/>
          <cell r="J446"/>
          <cell r="K446"/>
          <cell r="L446"/>
          <cell r="M446"/>
          <cell r="N446"/>
          <cell r="O446"/>
          <cell r="P446"/>
          <cell r="Q446"/>
          <cell r="R446"/>
          <cell r="S446"/>
          <cell r="T446"/>
          <cell r="U446"/>
          <cell r="V446"/>
          <cell r="W446"/>
          <cell r="X446">
            <v>0</v>
          </cell>
          <cell r="Y446">
            <v>0</v>
          </cell>
          <cell r="Z446">
            <v>0</v>
          </cell>
          <cell r="AA446" t="str">
            <v>,</v>
          </cell>
          <cell r="AB446" t="str">
            <v>,</v>
          </cell>
          <cell r="AC446" t="e">
            <v>#DIV/0!</v>
          </cell>
          <cell r="AD446" t="e">
            <v>#DIV/0!</v>
          </cell>
          <cell r="AE446">
            <v>0.71</v>
          </cell>
          <cell r="AF446">
            <v>94.97</v>
          </cell>
          <cell r="AG446">
            <v>0</v>
          </cell>
          <cell r="AH446" t="e">
            <v>#DIV/0!</v>
          </cell>
          <cell r="AI446" t="e">
            <v>#DIV/0!</v>
          </cell>
          <cell r="AJ446" t="e">
            <v>#DIV/0!</v>
          </cell>
          <cell r="AK446" t="e">
            <v>#DIV/0!</v>
          </cell>
          <cell r="AL446" t="e">
            <v>#DIV/0!</v>
          </cell>
          <cell r="AM446" t="e">
            <v>#DIV/0!</v>
          </cell>
          <cell r="AN446" t="e">
            <v>#DIV/0!</v>
          </cell>
          <cell r="AO446" t="e">
            <v>#REF!</v>
          </cell>
          <cell r="AP446" t="e">
            <v>#REF!</v>
          </cell>
          <cell r="AQ446" t="e">
            <v>#REF!</v>
          </cell>
          <cell r="AR446" t="e">
            <v>#REF!</v>
          </cell>
          <cell r="AS446" t="e">
            <v>#REF!</v>
          </cell>
          <cell r="AT446" t="e">
            <v>#REF!</v>
          </cell>
          <cell r="AU446" t="e">
            <v>#REF!</v>
          </cell>
          <cell r="AV446" t="e">
            <v>#REF!</v>
          </cell>
          <cell r="AW446" t="e">
            <v>#DIV/0!</v>
          </cell>
          <cell r="AX446" t="e">
            <v>#DIV/0!</v>
          </cell>
          <cell r="AY446" t="e">
            <v>#DIV/0!</v>
          </cell>
          <cell r="AZ446" t="e">
            <v>#DIV/0!</v>
          </cell>
          <cell r="BE446" t="e">
            <v>#DIV/0!</v>
          </cell>
          <cell r="BF446" t="e">
            <v>#DIV/0!</v>
          </cell>
        </row>
        <row r="447">
          <cell r="A447" t="str">
            <v>-0</v>
          </cell>
          <cell r="B447" t="str">
            <v xml:space="preserve">-0  , </v>
          </cell>
          <cell r="C447"/>
          <cell r="D447"/>
          <cell r="E447"/>
          <cell r="F447"/>
          <cell r="G447"/>
          <cell r="H447"/>
          <cell r="I447"/>
          <cell r="J447"/>
          <cell r="K447"/>
          <cell r="L447"/>
          <cell r="M447"/>
          <cell r="N447"/>
          <cell r="O447"/>
          <cell r="P447"/>
          <cell r="Q447"/>
          <cell r="R447"/>
          <cell r="S447"/>
          <cell r="T447"/>
          <cell r="U447"/>
          <cell r="V447"/>
          <cell r="W447"/>
          <cell r="X447">
            <v>0</v>
          </cell>
          <cell r="Y447">
            <v>0</v>
          </cell>
          <cell r="Z447">
            <v>0</v>
          </cell>
          <cell r="AA447" t="str">
            <v>,</v>
          </cell>
          <cell r="AB447" t="str">
            <v>,</v>
          </cell>
          <cell r="AC447" t="e">
            <v>#DIV/0!</v>
          </cell>
          <cell r="AD447" t="e">
            <v>#DIV/0!</v>
          </cell>
          <cell r="AE447">
            <v>0.71</v>
          </cell>
          <cell r="AF447">
            <v>94.97</v>
          </cell>
          <cell r="AG447">
            <v>0</v>
          </cell>
          <cell r="AH447" t="e">
            <v>#DIV/0!</v>
          </cell>
          <cell r="AI447" t="e">
            <v>#DIV/0!</v>
          </cell>
          <cell r="AJ447" t="e">
            <v>#DIV/0!</v>
          </cell>
          <cell r="AK447" t="e">
            <v>#DIV/0!</v>
          </cell>
          <cell r="AL447" t="e">
            <v>#DIV/0!</v>
          </cell>
          <cell r="AM447" t="e">
            <v>#DIV/0!</v>
          </cell>
          <cell r="AN447" t="e">
            <v>#DIV/0!</v>
          </cell>
          <cell r="AO447" t="e">
            <v>#REF!</v>
          </cell>
          <cell r="AP447" t="e">
            <v>#REF!</v>
          </cell>
          <cell r="AQ447" t="e">
            <v>#REF!</v>
          </cell>
          <cell r="AR447" t="e">
            <v>#REF!</v>
          </cell>
          <cell r="AS447" t="e">
            <v>#REF!</v>
          </cell>
          <cell r="AT447" t="e">
            <v>#REF!</v>
          </cell>
          <cell r="AU447" t="e">
            <v>#REF!</v>
          </cell>
          <cell r="AV447" t="e">
            <v>#REF!</v>
          </cell>
          <cell r="AW447" t="e">
            <v>#DIV/0!</v>
          </cell>
          <cell r="AX447" t="e">
            <v>#DIV/0!</v>
          </cell>
          <cell r="AY447" t="e">
            <v>#DIV/0!</v>
          </cell>
          <cell r="AZ447" t="e">
            <v>#DIV/0!</v>
          </cell>
          <cell r="BE447" t="e">
            <v>#DIV/0!</v>
          </cell>
          <cell r="BF447" t="e">
            <v>#DIV/0!</v>
          </cell>
        </row>
        <row r="448">
          <cell r="A448" t="str">
            <v>-0</v>
          </cell>
          <cell r="B448" t="str">
            <v xml:space="preserve">-0  , </v>
          </cell>
          <cell r="C448"/>
          <cell r="D448"/>
          <cell r="E448"/>
          <cell r="F448"/>
          <cell r="G448"/>
          <cell r="H448"/>
          <cell r="I448"/>
          <cell r="J448"/>
          <cell r="K448"/>
          <cell r="L448"/>
          <cell r="M448"/>
          <cell r="N448"/>
          <cell r="O448"/>
          <cell r="P448"/>
          <cell r="Q448"/>
          <cell r="R448"/>
          <cell r="S448"/>
          <cell r="T448"/>
          <cell r="U448"/>
          <cell r="V448"/>
          <cell r="W448"/>
          <cell r="X448">
            <v>0</v>
          </cell>
          <cell r="Y448">
            <v>0</v>
          </cell>
          <cell r="Z448">
            <v>0</v>
          </cell>
          <cell r="AA448" t="str">
            <v>,</v>
          </cell>
          <cell r="AB448" t="str">
            <v>,</v>
          </cell>
          <cell r="AC448" t="e">
            <v>#DIV/0!</v>
          </cell>
          <cell r="AD448" t="e">
            <v>#DIV/0!</v>
          </cell>
          <cell r="AE448">
            <v>0.71</v>
          </cell>
          <cell r="AF448">
            <v>94.97</v>
          </cell>
          <cell r="AG448">
            <v>0</v>
          </cell>
          <cell r="AH448" t="e">
            <v>#DIV/0!</v>
          </cell>
          <cell r="AI448" t="e">
            <v>#DIV/0!</v>
          </cell>
          <cell r="AJ448" t="e">
            <v>#DIV/0!</v>
          </cell>
          <cell r="AK448" t="e">
            <v>#DIV/0!</v>
          </cell>
          <cell r="AL448" t="e">
            <v>#DIV/0!</v>
          </cell>
          <cell r="AM448" t="e">
            <v>#DIV/0!</v>
          </cell>
          <cell r="AN448" t="e">
            <v>#DIV/0!</v>
          </cell>
          <cell r="AO448" t="e">
            <v>#REF!</v>
          </cell>
          <cell r="AP448" t="e">
            <v>#REF!</v>
          </cell>
          <cell r="AQ448" t="e">
            <v>#REF!</v>
          </cell>
          <cell r="AR448" t="e">
            <v>#REF!</v>
          </cell>
          <cell r="AS448" t="e">
            <v>#REF!</v>
          </cell>
          <cell r="AT448" t="e">
            <v>#REF!</v>
          </cell>
          <cell r="AU448" t="e">
            <v>#REF!</v>
          </cell>
          <cell r="AV448" t="e">
            <v>#REF!</v>
          </cell>
          <cell r="AW448" t="e">
            <v>#DIV/0!</v>
          </cell>
          <cell r="AX448" t="e">
            <v>#DIV/0!</v>
          </cell>
          <cell r="AY448" t="e">
            <v>#DIV/0!</v>
          </cell>
          <cell r="AZ448" t="e">
            <v>#DIV/0!</v>
          </cell>
          <cell r="BE448" t="e">
            <v>#DIV/0!</v>
          </cell>
          <cell r="BF448" t="e">
            <v>#DIV/0!</v>
          </cell>
        </row>
        <row r="449">
          <cell r="A449" t="str">
            <v>-0</v>
          </cell>
          <cell r="B449" t="str">
            <v xml:space="preserve">-0  , </v>
          </cell>
          <cell r="C449"/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/>
          <cell r="S449"/>
          <cell r="T449"/>
          <cell r="U449"/>
          <cell r="V449"/>
          <cell r="W449"/>
          <cell r="X449">
            <v>0</v>
          </cell>
          <cell r="Y449">
            <v>0</v>
          </cell>
          <cell r="Z449">
            <v>0</v>
          </cell>
          <cell r="AA449" t="str">
            <v>,</v>
          </cell>
          <cell r="AB449" t="str">
            <v>,</v>
          </cell>
          <cell r="AC449" t="e">
            <v>#DIV/0!</v>
          </cell>
          <cell r="AD449" t="e">
            <v>#DIV/0!</v>
          </cell>
          <cell r="AE449">
            <v>0.71</v>
          </cell>
          <cell r="AF449">
            <v>94.97</v>
          </cell>
          <cell r="AG449">
            <v>0</v>
          </cell>
          <cell r="AH449" t="e">
            <v>#DIV/0!</v>
          </cell>
          <cell r="AI449" t="e">
            <v>#DIV/0!</v>
          </cell>
          <cell r="AJ449" t="e">
            <v>#DIV/0!</v>
          </cell>
          <cell r="AK449" t="e">
            <v>#DIV/0!</v>
          </cell>
          <cell r="AL449" t="e">
            <v>#DIV/0!</v>
          </cell>
          <cell r="AM449" t="e">
            <v>#DIV/0!</v>
          </cell>
          <cell r="AN449" t="e">
            <v>#DIV/0!</v>
          </cell>
          <cell r="AO449" t="e">
            <v>#REF!</v>
          </cell>
          <cell r="AP449" t="e">
            <v>#REF!</v>
          </cell>
          <cell r="AQ449" t="e">
            <v>#REF!</v>
          </cell>
          <cell r="AR449" t="e">
            <v>#REF!</v>
          </cell>
          <cell r="AS449" t="e">
            <v>#REF!</v>
          </cell>
          <cell r="AT449" t="e">
            <v>#REF!</v>
          </cell>
          <cell r="AU449" t="e">
            <v>#REF!</v>
          </cell>
          <cell r="AV449" t="e">
            <v>#REF!</v>
          </cell>
          <cell r="AW449" t="e">
            <v>#DIV/0!</v>
          </cell>
          <cell r="AX449" t="e">
            <v>#DIV/0!</v>
          </cell>
          <cell r="AY449" t="e">
            <v>#DIV/0!</v>
          </cell>
          <cell r="AZ449" t="e">
            <v>#DIV/0!</v>
          </cell>
          <cell r="BE449" t="e">
            <v>#DIV/0!</v>
          </cell>
          <cell r="BF449" t="e">
            <v>#DIV/0!</v>
          </cell>
        </row>
        <row r="450">
          <cell r="A450" t="str">
            <v>-0</v>
          </cell>
          <cell r="B450" t="str">
            <v xml:space="preserve">-0  , </v>
          </cell>
          <cell r="C450"/>
          <cell r="D450"/>
          <cell r="E450"/>
          <cell r="F450"/>
          <cell r="G450"/>
          <cell r="H450"/>
          <cell r="I450"/>
          <cell r="J450"/>
          <cell r="K450"/>
          <cell r="L450"/>
          <cell r="M450"/>
          <cell r="N450"/>
          <cell r="O450"/>
          <cell r="P450"/>
          <cell r="Q450"/>
          <cell r="R450"/>
          <cell r="S450"/>
          <cell r="T450"/>
          <cell r="U450"/>
          <cell r="V450"/>
          <cell r="W450"/>
          <cell r="X450">
            <v>0</v>
          </cell>
          <cell r="Y450">
            <v>0</v>
          </cell>
          <cell r="Z450">
            <v>0</v>
          </cell>
          <cell r="AA450" t="str">
            <v>,</v>
          </cell>
          <cell r="AB450" t="str">
            <v>,</v>
          </cell>
          <cell r="AC450" t="e">
            <v>#DIV/0!</v>
          </cell>
          <cell r="AD450" t="e">
            <v>#DIV/0!</v>
          </cell>
          <cell r="AE450">
            <v>0.71</v>
          </cell>
          <cell r="AF450">
            <v>94.97</v>
          </cell>
          <cell r="AG450">
            <v>0</v>
          </cell>
          <cell r="AH450" t="e">
            <v>#DIV/0!</v>
          </cell>
          <cell r="AI450" t="e">
            <v>#DIV/0!</v>
          </cell>
          <cell r="AJ450" t="e">
            <v>#DIV/0!</v>
          </cell>
          <cell r="AK450" t="e">
            <v>#DIV/0!</v>
          </cell>
          <cell r="AL450" t="e">
            <v>#DIV/0!</v>
          </cell>
          <cell r="AM450" t="e">
            <v>#DIV/0!</v>
          </cell>
          <cell r="AN450" t="e">
            <v>#DIV/0!</v>
          </cell>
          <cell r="AO450" t="e">
            <v>#REF!</v>
          </cell>
          <cell r="AP450" t="e">
            <v>#REF!</v>
          </cell>
          <cell r="AQ450" t="e">
            <v>#REF!</v>
          </cell>
          <cell r="AR450" t="e">
            <v>#REF!</v>
          </cell>
          <cell r="AS450" t="e">
            <v>#REF!</v>
          </cell>
          <cell r="AT450" t="e">
            <v>#REF!</v>
          </cell>
          <cell r="AU450" t="e">
            <v>#REF!</v>
          </cell>
          <cell r="AV450" t="e">
            <v>#REF!</v>
          </cell>
          <cell r="AW450" t="e">
            <v>#DIV/0!</v>
          </cell>
          <cell r="AX450" t="e">
            <v>#DIV/0!</v>
          </cell>
          <cell r="AY450" t="e">
            <v>#DIV/0!</v>
          </cell>
          <cell r="AZ450" t="e">
            <v>#DIV/0!</v>
          </cell>
          <cell r="BE450" t="e">
            <v>#DIV/0!</v>
          </cell>
          <cell r="BF450" t="e">
            <v>#DIV/0!</v>
          </cell>
        </row>
        <row r="451">
          <cell r="A451" t="str">
            <v>-0</v>
          </cell>
          <cell r="B451" t="str">
            <v xml:space="preserve">-0  , </v>
          </cell>
          <cell r="C451"/>
          <cell r="D451"/>
          <cell r="E451"/>
          <cell r="F451"/>
          <cell r="G451"/>
          <cell r="H451"/>
          <cell r="I451"/>
          <cell r="J451"/>
          <cell r="K451"/>
          <cell r="L451"/>
          <cell r="M451"/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  <cell r="X451">
            <v>0</v>
          </cell>
          <cell r="Y451">
            <v>0</v>
          </cell>
          <cell r="Z451">
            <v>0</v>
          </cell>
          <cell r="AA451" t="str">
            <v>,</v>
          </cell>
          <cell r="AB451" t="str">
            <v>,</v>
          </cell>
          <cell r="AC451" t="e">
            <v>#DIV/0!</v>
          </cell>
          <cell r="AD451" t="e">
            <v>#DIV/0!</v>
          </cell>
          <cell r="AE451">
            <v>0.71</v>
          </cell>
          <cell r="AF451">
            <v>94.97</v>
          </cell>
          <cell r="AG451">
            <v>0</v>
          </cell>
          <cell r="AH451" t="e">
            <v>#DIV/0!</v>
          </cell>
          <cell r="AI451" t="e">
            <v>#DIV/0!</v>
          </cell>
          <cell r="AJ451" t="e">
            <v>#DIV/0!</v>
          </cell>
          <cell r="AK451" t="e">
            <v>#DIV/0!</v>
          </cell>
          <cell r="AL451" t="e">
            <v>#DIV/0!</v>
          </cell>
          <cell r="AM451" t="e">
            <v>#DIV/0!</v>
          </cell>
          <cell r="AN451" t="e">
            <v>#DIV/0!</v>
          </cell>
          <cell r="AO451" t="e">
            <v>#REF!</v>
          </cell>
          <cell r="AP451" t="e">
            <v>#REF!</v>
          </cell>
          <cell r="AQ451" t="e">
            <v>#REF!</v>
          </cell>
          <cell r="AR451" t="e">
            <v>#REF!</v>
          </cell>
          <cell r="AS451" t="e">
            <v>#REF!</v>
          </cell>
          <cell r="AT451" t="e">
            <v>#REF!</v>
          </cell>
          <cell r="AU451" t="e">
            <v>#REF!</v>
          </cell>
          <cell r="AV451" t="e">
            <v>#REF!</v>
          </cell>
          <cell r="AW451" t="e">
            <v>#DIV/0!</v>
          </cell>
          <cell r="AX451" t="e">
            <v>#DIV/0!</v>
          </cell>
          <cell r="AY451" t="e">
            <v>#DIV/0!</v>
          </cell>
          <cell r="AZ451" t="e">
            <v>#DIV/0!</v>
          </cell>
          <cell r="BE451" t="e">
            <v>#DIV/0!</v>
          </cell>
          <cell r="BF451" t="e">
            <v>#DIV/0!</v>
          </cell>
        </row>
        <row r="452">
          <cell r="A452" t="str">
            <v>-0</v>
          </cell>
          <cell r="B452" t="str">
            <v xml:space="preserve">-0  , </v>
          </cell>
          <cell r="C452"/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/>
          <cell r="S452"/>
          <cell r="T452"/>
          <cell r="U452"/>
          <cell r="V452"/>
          <cell r="W452"/>
          <cell r="X452">
            <v>0</v>
          </cell>
          <cell r="Y452">
            <v>0</v>
          </cell>
          <cell r="Z452">
            <v>0</v>
          </cell>
          <cell r="AA452" t="str">
            <v>,</v>
          </cell>
          <cell r="AB452" t="str">
            <v>,</v>
          </cell>
          <cell r="AC452" t="e">
            <v>#DIV/0!</v>
          </cell>
          <cell r="AD452" t="e">
            <v>#DIV/0!</v>
          </cell>
          <cell r="AE452">
            <v>0.71</v>
          </cell>
          <cell r="AF452">
            <v>94.97</v>
          </cell>
          <cell r="AG452">
            <v>0</v>
          </cell>
          <cell r="AH452" t="e">
            <v>#DIV/0!</v>
          </cell>
          <cell r="AI452" t="e">
            <v>#DIV/0!</v>
          </cell>
          <cell r="AJ452" t="e">
            <v>#DIV/0!</v>
          </cell>
          <cell r="AK452" t="e">
            <v>#DIV/0!</v>
          </cell>
          <cell r="AL452" t="e">
            <v>#DIV/0!</v>
          </cell>
          <cell r="AM452" t="e">
            <v>#DIV/0!</v>
          </cell>
          <cell r="AN452" t="e">
            <v>#DIV/0!</v>
          </cell>
          <cell r="AO452" t="e">
            <v>#REF!</v>
          </cell>
          <cell r="AP452" t="e">
            <v>#REF!</v>
          </cell>
          <cell r="AQ452" t="e">
            <v>#REF!</v>
          </cell>
          <cell r="AR452" t="e">
            <v>#REF!</v>
          </cell>
          <cell r="AS452" t="e">
            <v>#REF!</v>
          </cell>
          <cell r="AT452" t="e">
            <v>#REF!</v>
          </cell>
          <cell r="AU452" t="e">
            <v>#REF!</v>
          </cell>
          <cell r="AV452" t="e">
            <v>#REF!</v>
          </cell>
          <cell r="AW452" t="e">
            <v>#DIV/0!</v>
          </cell>
          <cell r="AX452" t="e">
            <v>#DIV/0!</v>
          </cell>
          <cell r="AY452" t="e">
            <v>#DIV/0!</v>
          </cell>
          <cell r="AZ452" t="e">
            <v>#DIV/0!</v>
          </cell>
          <cell r="BE452" t="e">
            <v>#DIV/0!</v>
          </cell>
          <cell r="BF452" t="e">
            <v>#DIV/0!</v>
          </cell>
        </row>
        <row r="453">
          <cell r="A453" t="str">
            <v>-0</v>
          </cell>
          <cell r="B453" t="str">
            <v xml:space="preserve">-0  , </v>
          </cell>
          <cell r="C453"/>
          <cell r="D453"/>
          <cell r="E453"/>
          <cell r="F453"/>
          <cell r="G453"/>
          <cell r="H453"/>
          <cell r="I453"/>
          <cell r="J453"/>
          <cell r="K453"/>
          <cell r="L453"/>
          <cell r="M453"/>
          <cell r="N453"/>
          <cell r="O453"/>
          <cell r="P453"/>
          <cell r="Q453"/>
          <cell r="R453"/>
          <cell r="S453"/>
          <cell r="T453"/>
          <cell r="U453"/>
          <cell r="V453"/>
          <cell r="W453"/>
          <cell r="X453">
            <v>0</v>
          </cell>
          <cell r="Y453">
            <v>0</v>
          </cell>
          <cell r="Z453">
            <v>0</v>
          </cell>
          <cell r="AA453" t="str">
            <v>,</v>
          </cell>
          <cell r="AB453" t="str">
            <v>,</v>
          </cell>
          <cell r="AC453" t="e">
            <v>#DIV/0!</v>
          </cell>
          <cell r="AD453" t="e">
            <v>#DIV/0!</v>
          </cell>
          <cell r="AE453">
            <v>0.71</v>
          </cell>
          <cell r="AF453">
            <v>94.97</v>
          </cell>
          <cell r="AG453">
            <v>0</v>
          </cell>
          <cell r="AH453" t="e">
            <v>#DIV/0!</v>
          </cell>
          <cell r="AI453" t="e">
            <v>#DIV/0!</v>
          </cell>
          <cell r="AJ453" t="e">
            <v>#DIV/0!</v>
          </cell>
          <cell r="AK453" t="e">
            <v>#DIV/0!</v>
          </cell>
          <cell r="AL453" t="e">
            <v>#DIV/0!</v>
          </cell>
          <cell r="AM453" t="e">
            <v>#DIV/0!</v>
          </cell>
          <cell r="AN453" t="e">
            <v>#DIV/0!</v>
          </cell>
          <cell r="AO453" t="e">
            <v>#REF!</v>
          </cell>
          <cell r="AP453" t="e">
            <v>#REF!</v>
          </cell>
          <cell r="AQ453" t="e">
            <v>#REF!</v>
          </cell>
          <cell r="AR453" t="e">
            <v>#REF!</v>
          </cell>
          <cell r="AS453" t="e">
            <v>#REF!</v>
          </cell>
          <cell r="AT453" t="e">
            <v>#REF!</v>
          </cell>
          <cell r="AU453" t="e">
            <v>#REF!</v>
          </cell>
          <cell r="AV453" t="e">
            <v>#REF!</v>
          </cell>
          <cell r="AW453" t="e">
            <v>#DIV/0!</v>
          </cell>
          <cell r="AX453" t="e">
            <v>#DIV/0!</v>
          </cell>
          <cell r="AY453" t="e">
            <v>#DIV/0!</v>
          </cell>
          <cell r="AZ453" t="e">
            <v>#DIV/0!</v>
          </cell>
          <cell r="BE453" t="e">
            <v>#DIV/0!</v>
          </cell>
          <cell r="BF453" t="e">
            <v>#DIV/0!</v>
          </cell>
        </row>
        <row r="454">
          <cell r="A454" t="str">
            <v>-0</v>
          </cell>
          <cell r="B454" t="str">
            <v xml:space="preserve">-0  , </v>
          </cell>
          <cell r="C454"/>
          <cell r="D454"/>
          <cell r="E454"/>
          <cell r="F454"/>
          <cell r="G454"/>
          <cell r="H454"/>
          <cell r="I454"/>
          <cell r="J454"/>
          <cell r="K454"/>
          <cell r="L454"/>
          <cell r="M454"/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  <cell r="X454">
            <v>0</v>
          </cell>
          <cell r="Y454">
            <v>0</v>
          </cell>
          <cell r="Z454">
            <v>0</v>
          </cell>
          <cell r="AA454" t="str">
            <v>,</v>
          </cell>
          <cell r="AB454" t="str">
            <v>,</v>
          </cell>
          <cell r="AC454" t="e">
            <v>#DIV/0!</v>
          </cell>
          <cell r="AD454" t="e">
            <v>#DIV/0!</v>
          </cell>
          <cell r="AE454">
            <v>0.71</v>
          </cell>
          <cell r="AF454">
            <v>94.97</v>
          </cell>
          <cell r="AG454">
            <v>0</v>
          </cell>
          <cell r="AH454" t="e">
            <v>#DIV/0!</v>
          </cell>
          <cell r="AI454" t="e">
            <v>#DIV/0!</v>
          </cell>
          <cell r="AJ454" t="e">
            <v>#DIV/0!</v>
          </cell>
          <cell r="AK454" t="e">
            <v>#DIV/0!</v>
          </cell>
          <cell r="AL454" t="e">
            <v>#DIV/0!</v>
          </cell>
          <cell r="AM454" t="e">
            <v>#DIV/0!</v>
          </cell>
          <cell r="AN454" t="e">
            <v>#DIV/0!</v>
          </cell>
          <cell r="AO454" t="e">
            <v>#REF!</v>
          </cell>
          <cell r="AP454" t="e">
            <v>#REF!</v>
          </cell>
          <cell r="AQ454" t="e">
            <v>#REF!</v>
          </cell>
          <cell r="AR454" t="e">
            <v>#REF!</v>
          </cell>
          <cell r="AS454" t="e">
            <v>#REF!</v>
          </cell>
          <cell r="AT454" t="e">
            <v>#REF!</v>
          </cell>
          <cell r="AU454" t="e">
            <v>#REF!</v>
          </cell>
          <cell r="AV454" t="e">
            <v>#REF!</v>
          </cell>
          <cell r="AW454" t="e">
            <v>#DIV/0!</v>
          </cell>
          <cell r="AX454" t="e">
            <v>#DIV/0!</v>
          </cell>
          <cell r="AY454" t="e">
            <v>#DIV/0!</v>
          </cell>
          <cell r="AZ454" t="e">
            <v>#DIV/0!</v>
          </cell>
          <cell r="BE454" t="e">
            <v>#DIV/0!</v>
          </cell>
          <cell r="BF454" t="e">
            <v>#DIV/0!</v>
          </cell>
        </row>
        <row r="455">
          <cell r="A455" t="str">
            <v>-0</v>
          </cell>
          <cell r="B455" t="str">
            <v xml:space="preserve">-0  , </v>
          </cell>
          <cell r="C455"/>
          <cell r="D455"/>
          <cell r="E455"/>
          <cell r="F455"/>
          <cell r="G455"/>
          <cell r="H455"/>
          <cell r="I455"/>
          <cell r="J455"/>
          <cell r="K455"/>
          <cell r="L455"/>
          <cell r="M455"/>
          <cell r="N455"/>
          <cell r="O455"/>
          <cell r="P455"/>
          <cell r="Q455"/>
          <cell r="R455"/>
          <cell r="S455"/>
          <cell r="T455"/>
          <cell r="U455"/>
          <cell r="V455"/>
          <cell r="W455"/>
          <cell r="X455">
            <v>0</v>
          </cell>
          <cell r="Y455">
            <v>0</v>
          </cell>
          <cell r="Z455">
            <v>0</v>
          </cell>
          <cell r="AA455" t="str">
            <v>,</v>
          </cell>
          <cell r="AB455" t="str">
            <v>,</v>
          </cell>
          <cell r="AC455" t="e">
            <v>#DIV/0!</v>
          </cell>
          <cell r="AD455" t="e">
            <v>#DIV/0!</v>
          </cell>
          <cell r="AE455">
            <v>0.71</v>
          </cell>
          <cell r="AF455">
            <v>94.97</v>
          </cell>
          <cell r="AG455">
            <v>0</v>
          </cell>
          <cell r="AH455" t="e">
            <v>#DIV/0!</v>
          </cell>
          <cell r="AI455" t="e">
            <v>#DIV/0!</v>
          </cell>
          <cell r="AJ455" t="e">
            <v>#DIV/0!</v>
          </cell>
          <cell r="AK455" t="e">
            <v>#DIV/0!</v>
          </cell>
          <cell r="AL455" t="e">
            <v>#DIV/0!</v>
          </cell>
          <cell r="AM455" t="e">
            <v>#DIV/0!</v>
          </cell>
          <cell r="AN455" t="e">
            <v>#DIV/0!</v>
          </cell>
          <cell r="AO455" t="e">
            <v>#REF!</v>
          </cell>
          <cell r="AP455" t="e">
            <v>#REF!</v>
          </cell>
          <cell r="AQ455" t="e">
            <v>#REF!</v>
          </cell>
          <cell r="AR455" t="e">
            <v>#REF!</v>
          </cell>
          <cell r="AS455" t="e">
            <v>#REF!</v>
          </cell>
          <cell r="AT455" t="e">
            <v>#REF!</v>
          </cell>
          <cell r="AU455" t="e">
            <v>#REF!</v>
          </cell>
          <cell r="AV455" t="e">
            <v>#REF!</v>
          </cell>
          <cell r="AW455" t="e">
            <v>#DIV/0!</v>
          </cell>
          <cell r="AX455" t="e">
            <v>#DIV/0!</v>
          </cell>
          <cell r="AY455" t="e">
            <v>#DIV/0!</v>
          </cell>
          <cell r="AZ455" t="e">
            <v>#DIV/0!</v>
          </cell>
          <cell r="BE455" t="e">
            <v>#DIV/0!</v>
          </cell>
          <cell r="BF455" t="e">
            <v>#DIV/0!</v>
          </cell>
        </row>
        <row r="456">
          <cell r="A456" t="str">
            <v>-0</v>
          </cell>
          <cell r="B456" t="str">
            <v xml:space="preserve">-0  , </v>
          </cell>
          <cell r="C456"/>
          <cell r="D456"/>
          <cell r="E456"/>
          <cell r="F456"/>
          <cell r="G456"/>
          <cell r="H456"/>
          <cell r="I456"/>
          <cell r="J456"/>
          <cell r="K456"/>
          <cell r="L456"/>
          <cell r="M456"/>
          <cell r="N456"/>
          <cell r="O456"/>
          <cell r="P456"/>
          <cell r="Q456"/>
          <cell r="R456"/>
          <cell r="S456"/>
          <cell r="T456"/>
          <cell r="U456"/>
          <cell r="V456"/>
          <cell r="W456"/>
          <cell r="X456">
            <v>0</v>
          </cell>
          <cell r="Y456">
            <v>0</v>
          </cell>
          <cell r="Z456">
            <v>0</v>
          </cell>
          <cell r="AA456" t="str">
            <v>,</v>
          </cell>
          <cell r="AB456" t="str">
            <v>,</v>
          </cell>
          <cell r="AC456" t="e">
            <v>#DIV/0!</v>
          </cell>
          <cell r="AD456" t="e">
            <v>#DIV/0!</v>
          </cell>
          <cell r="AE456">
            <v>0.71</v>
          </cell>
          <cell r="AF456">
            <v>94.97</v>
          </cell>
          <cell r="AG456">
            <v>0</v>
          </cell>
          <cell r="AH456" t="e">
            <v>#DIV/0!</v>
          </cell>
          <cell r="AI456" t="e">
            <v>#DIV/0!</v>
          </cell>
          <cell r="AJ456" t="e">
            <v>#DIV/0!</v>
          </cell>
          <cell r="AK456" t="e">
            <v>#DIV/0!</v>
          </cell>
          <cell r="AL456" t="e">
            <v>#DIV/0!</v>
          </cell>
          <cell r="AM456" t="e">
            <v>#DIV/0!</v>
          </cell>
          <cell r="AN456" t="e">
            <v>#DIV/0!</v>
          </cell>
          <cell r="AO456" t="e">
            <v>#REF!</v>
          </cell>
          <cell r="AP456" t="e">
            <v>#REF!</v>
          </cell>
          <cell r="AQ456" t="e">
            <v>#REF!</v>
          </cell>
          <cell r="AR456" t="e">
            <v>#REF!</v>
          </cell>
          <cell r="AS456" t="e">
            <v>#REF!</v>
          </cell>
          <cell r="AT456" t="e">
            <v>#REF!</v>
          </cell>
          <cell r="AU456" t="e">
            <v>#REF!</v>
          </cell>
          <cell r="AV456" t="e">
            <v>#REF!</v>
          </cell>
          <cell r="AW456" t="e">
            <v>#DIV/0!</v>
          </cell>
          <cell r="AX456" t="e">
            <v>#DIV/0!</v>
          </cell>
          <cell r="AY456" t="e">
            <v>#DIV/0!</v>
          </cell>
          <cell r="AZ456" t="e">
            <v>#DIV/0!</v>
          </cell>
          <cell r="BE456" t="e">
            <v>#DIV/0!</v>
          </cell>
          <cell r="BF456" t="e">
            <v>#DIV/0!</v>
          </cell>
        </row>
        <row r="457">
          <cell r="A457" t="str">
            <v>-0</v>
          </cell>
          <cell r="B457" t="str">
            <v xml:space="preserve">-0  , </v>
          </cell>
          <cell r="C457"/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/>
          <cell r="S457"/>
          <cell r="T457"/>
          <cell r="U457"/>
          <cell r="V457"/>
          <cell r="W457"/>
          <cell r="X457">
            <v>0</v>
          </cell>
          <cell r="Y457">
            <v>0</v>
          </cell>
          <cell r="Z457">
            <v>0</v>
          </cell>
          <cell r="AA457" t="str">
            <v>,</v>
          </cell>
          <cell r="AB457" t="str">
            <v>,</v>
          </cell>
          <cell r="AC457" t="e">
            <v>#DIV/0!</v>
          </cell>
          <cell r="AD457" t="e">
            <v>#DIV/0!</v>
          </cell>
          <cell r="AE457">
            <v>0.71</v>
          </cell>
          <cell r="AF457">
            <v>94.97</v>
          </cell>
          <cell r="AG457">
            <v>0</v>
          </cell>
          <cell r="AH457" t="e">
            <v>#DIV/0!</v>
          </cell>
          <cell r="AI457" t="e">
            <v>#DIV/0!</v>
          </cell>
          <cell r="AJ457" t="e">
            <v>#DIV/0!</v>
          </cell>
          <cell r="AK457" t="e">
            <v>#DIV/0!</v>
          </cell>
          <cell r="AL457" t="e">
            <v>#DIV/0!</v>
          </cell>
          <cell r="AM457" t="e">
            <v>#DIV/0!</v>
          </cell>
          <cell r="AN457" t="e">
            <v>#DIV/0!</v>
          </cell>
          <cell r="AO457" t="e">
            <v>#REF!</v>
          </cell>
          <cell r="AP457" t="e">
            <v>#REF!</v>
          </cell>
          <cell r="AQ457" t="e">
            <v>#REF!</v>
          </cell>
          <cell r="AR457" t="e">
            <v>#REF!</v>
          </cell>
          <cell r="AS457" t="e">
            <v>#REF!</v>
          </cell>
          <cell r="AT457" t="e">
            <v>#REF!</v>
          </cell>
          <cell r="AU457" t="e">
            <v>#REF!</v>
          </cell>
          <cell r="AV457" t="e">
            <v>#REF!</v>
          </cell>
          <cell r="AW457" t="e">
            <v>#DIV/0!</v>
          </cell>
          <cell r="AX457" t="e">
            <v>#DIV/0!</v>
          </cell>
          <cell r="AY457" t="e">
            <v>#DIV/0!</v>
          </cell>
          <cell r="AZ457" t="e">
            <v>#DIV/0!</v>
          </cell>
          <cell r="BE457" t="e">
            <v>#DIV/0!</v>
          </cell>
          <cell r="BF457" t="e">
            <v>#DIV/0!</v>
          </cell>
        </row>
        <row r="458">
          <cell r="A458" t="str">
            <v>-0</v>
          </cell>
          <cell r="B458" t="str">
            <v xml:space="preserve">-0  , </v>
          </cell>
          <cell r="C458"/>
          <cell r="D458"/>
          <cell r="E458"/>
          <cell r="F458"/>
          <cell r="G458"/>
          <cell r="H458"/>
          <cell r="I458"/>
          <cell r="J458"/>
          <cell r="K458"/>
          <cell r="L458"/>
          <cell r="M458"/>
          <cell r="N458"/>
          <cell r="O458"/>
          <cell r="P458"/>
          <cell r="Q458"/>
          <cell r="R458"/>
          <cell r="S458"/>
          <cell r="T458"/>
          <cell r="U458"/>
          <cell r="V458"/>
          <cell r="W458"/>
          <cell r="X458">
            <v>0</v>
          </cell>
          <cell r="Y458">
            <v>0</v>
          </cell>
          <cell r="Z458">
            <v>0</v>
          </cell>
          <cell r="AA458" t="str">
            <v>,</v>
          </cell>
          <cell r="AB458" t="str">
            <v>,</v>
          </cell>
          <cell r="AC458" t="e">
            <v>#DIV/0!</v>
          </cell>
          <cell r="AD458" t="e">
            <v>#DIV/0!</v>
          </cell>
          <cell r="AE458">
            <v>0.71</v>
          </cell>
          <cell r="AF458">
            <v>94.97</v>
          </cell>
          <cell r="AG458">
            <v>0</v>
          </cell>
          <cell r="AH458" t="e">
            <v>#DIV/0!</v>
          </cell>
          <cell r="AI458" t="e">
            <v>#DIV/0!</v>
          </cell>
          <cell r="AJ458" t="e">
            <v>#DIV/0!</v>
          </cell>
          <cell r="AK458" t="e">
            <v>#DIV/0!</v>
          </cell>
          <cell r="AL458" t="e">
            <v>#DIV/0!</v>
          </cell>
          <cell r="AM458" t="e">
            <v>#DIV/0!</v>
          </cell>
          <cell r="AN458" t="e">
            <v>#DIV/0!</v>
          </cell>
          <cell r="AO458" t="e">
            <v>#REF!</v>
          </cell>
          <cell r="AP458" t="e">
            <v>#REF!</v>
          </cell>
          <cell r="AQ458" t="e">
            <v>#REF!</v>
          </cell>
          <cell r="AR458" t="e">
            <v>#REF!</v>
          </cell>
          <cell r="AS458" t="e">
            <v>#REF!</v>
          </cell>
          <cell r="AT458" t="e">
            <v>#REF!</v>
          </cell>
          <cell r="AU458" t="e">
            <v>#REF!</v>
          </cell>
          <cell r="AV458" t="e">
            <v>#REF!</v>
          </cell>
          <cell r="AW458" t="e">
            <v>#DIV/0!</v>
          </cell>
          <cell r="AX458" t="e">
            <v>#DIV/0!</v>
          </cell>
          <cell r="AY458" t="e">
            <v>#DIV/0!</v>
          </cell>
          <cell r="AZ458" t="e">
            <v>#DIV/0!</v>
          </cell>
          <cell r="BE458" t="e">
            <v>#DIV/0!</v>
          </cell>
          <cell r="BF458" t="e">
            <v>#DIV/0!</v>
          </cell>
        </row>
        <row r="459">
          <cell r="A459" t="str">
            <v>-0</v>
          </cell>
          <cell r="B459" t="str">
            <v xml:space="preserve">-0  , </v>
          </cell>
          <cell r="C459"/>
          <cell r="D459"/>
          <cell r="E459"/>
          <cell r="F459"/>
          <cell r="G459"/>
          <cell r="H459"/>
          <cell r="I459"/>
          <cell r="J459"/>
          <cell r="K459"/>
          <cell r="L459"/>
          <cell r="M459"/>
          <cell r="N459"/>
          <cell r="O459"/>
          <cell r="P459"/>
          <cell r="Q459"/>
          <cell r="R459"/>
          <cell r="S459"/>
          <cell r="T459"/>
          <cell r="U459"/>
          <cell r="V459"/>
          <cell r="W459"/>
          <cell r="X459">
            <v>0</v>
          </cell>
          <cell r="Y459">
            <v>0</v>
          </cell>
          <cell r="Z459">
            <v>0</v>
          </cell>
          <cell r="AA459" t="str">
            <v>,</v>
          </cell>
          <cell r="AB459" t="str">
            <v>,</v>
          </cell>
          <cell r="AC459" t="e">
            <v>#DIV/0!</v>
          </cell>
          <cell r="AD459" t="e">
            <v>#DIV/0!</v>
          </cell>
          <cell r="AE459">
            <v>0.71</v>
          </cell>
          <cell r="AF459">
            <v>94.97</v>
          </cell>
          <cell r="AG459">
            <v>0</v>
          </cell>
          <cell r="AH459" t="e">
            <v>#DIV/0!</v>
          </cell>
          <cell r="AI459" t="e">
            <v>#DIV/0!</v>
          </cell>
          <cell r="AJ459" t="e">
            <v>#DIV/0!</v>
          </cell>
          <cell r="AK459" t="e">
            <v>#DIV/0!</v>
          </cell>
          <cell r="AL459" t="e">
            <v>#DIV/0!</v>
          </cell>
          <cell r="AM459" t="e">
            <v>#DIV/0!</v>
          </cell>
          <cell r="AN459" t="e">
            <v>#DIV/0!</v>
          </cell>
          <cell r="AO459" t="e">
            <v>#REF!</v>
          </cell>
          <cell r="AP459" t="e">
            <v>#REF!</v>
          </cell>
          <cell r="AQ459" t="e">
            <v>#REF!</v>
          </cell>
          <cell r="AR459" t="e">
            <v>#REF!</v>
          </cell>
          <cell r="AS459" t="e">
            <v>#REF!</v>
          </cell>
          <cell r="AT459" t="e">
            <v>#REF!</v>
          </cell>
          <cell r="AU459" t="e">
            <v>#REF!</v>
          </cell>
          <cell r="AV459" t="e">
            <v>#REF!</v>
          </cell>
          <cell r="AW459" t="e">
            <v>#DIV/0!</v>
          </cell>
          <cell r="AX459" t="e">
            <v>#DIV/0!</v>
          </cell>
          <cell r="AY459" t="e">
            <v>#DIV/0!</v>
          </cell>
          <cell r="AZ459" t="e">
            <v>#DIV/0!</v>
          </cell>
          <cell r="BE459" t="e">
            <v>#DIV/0!</v>
          </cell>
          <cell r="BF459" t="e">
            <v>#DIV/0!</v>
          </cell>
        </row>
        <row r="460">
          <cell r="A460" t="str">
            <v>-0</v>
          </cell>
          <cell r="B460" t="str">
            <v xml:space="preserve">-0  , </v>
          </cell>
          <cell r="C460"/>
          <cell r="D460"/>
          <cell r="E460"/>
          <cell r="F460"/>
          <cell r="G460"/>
          <cell r="H460"/>
          <cell r="I460"/>
          <cell r="J460"/>
          <cell r="K460"/>
          <cell r="L460"/>
          <cell r="M460"/>
          <cell r="N460"/>
          <cell r="O460"/>
          <cell r="P460"/>
          <cell r="Q460"/>
          <cell r="R460"/>
          <cell r="S460"/>
          <cell r="T460"/>
          <cell r="U460"/>
          <cell r="V460"/>
          <cell r="W460"/>
          <cell r="X460">
            <v>0</v>
          </cell>
          <cell r="Y460">
            <v>0</v>
          </cell>
          <cell r="Z460">
            <v>0</v>
          </cell>
          <cell r="AA460" t="str">
            <v>,</v>
          </cell>
          <cell r="AB460" t="str">
            <v>,</v>
          </cell>
          <cell r="AC460" t="e">
            <v>#DIV/0!</v>
          </cell>
          <cell r="AD460" t="e">
            <v>#DIV/0!</v>
          </cell>
          <cell r="AE460">
            <v>0.71</v>
          </cell>
          <cell r="AF460">
            <v>94.97</v>
          </cell>
          <cell r="AG460">
            <v>0</v>
          </cell>
          <cell r="AH460" t="e">
            <v>#DIV/0!</v>
          </cell>
          <cell r="AI460" t="e">
            <v>#DIV/0!</v>
          </cell>
          <cell r="AJ460" t="e">
            <v>#DIV/0!</v>
          </cell>
          <cell r="AK460" t="e">
            <v>#DIV/0!</v>
          </cell>
          <cell r="AL460" t="e">
            <v>#DIV/0!</v>
          </cell>
          <cell r="AM460" t="e">
            <v>#DIV/0!</v>
          </cell>
          <cell r="AN460" t="e">
            <v>#DIV/0!</v>
          </cell>
          <cell r="AO460" t="e">
            <v>#REF!</v>
          </cell>
          <cell r="AP460" t="e">
            <v>#REF!</v>
          </cell>
          <cell r="AQ460" t="e">
            <v>#REF!</v>
          </cell>
          <cell r="AR460" t="e">
            <v>#REF!</v>
          </cell>
          <cell r="AS460" t="e">
            <v>#REF!</v>
          </cell>
          <cell r="AT460" t="e">
            <v>#REF!</v>
          </cell>
          <cell r="AU460" t="e">
            <v>#REF!</v>
          </cell>
          <cell r="AV460" t="e">
            <v>#REF!</v>
          </cell>
          <cell r="AW460" t="e">
            <v>#DIV/0!</v>
          </cell>
          <cell r="AX460" t="e">
            <v>#DIV/0!</v>
          </cell>
          <cell r="AY460" t="e">
            <v>#DIV/0!</v>
          </cell>
          <cell r="AZ460" t="e">
            <v>#DIV/0!</v>
          </cell>
          <cell r="BE460" t="e">
            <v>#DIV/0!</v>
          </cell>
          <cell r="BF460" t="e">
            <v>#DIV/0!</v>
          </cell>
        </row>
        <row r="461">
          <cell r="A461" t="str">
            <v>-0</v>
          </cell>
          <cell r="B461" t="str">
            <v xml:space="preserve">-0  , </v>
          </cell>
          <cell r="C461"/>
          <cell r="D461"/>
          <cell r="E461"/>
          <cell r="F461"/>
          <cell r="G461"/>
          <cell r="H461"/>
          <cell r="I461"/>
          <cell r="J461"/>
          <cell r="K461"/>
          <cell r="L461"/>
          <cell r="M461"/>
          <cell r="N461"/>
          <cell r="O461"/>
          <cell r="P461"/>
          <cell r="Q461"/>
          <cell r="R461"/>
          <cell r="S461"/>
          <cell r="T461"/>
          <cell r="U461"/>
          <cell r="V461"/>
          <cell r="W461"/>
          <cell r="X461">
            <v>0</v>
          </cell>
          <cell r="Y461">
            <v>0</v>
          </cell>
          <cell r="Z461">
            <v>0</v>
          </cell>
          <cell r="AA461" t="str">
            <v>,</v>
          </cell>
          <cell r="AB461" t="str">
            <v>,</v>
          </cell>
          <cell r="AC461" t="e">
            <v>#DIV/0!</v>
          </cell>
          <cell r="AD461" t="e">
            <v>#DIV/0!</v>
          </cell>
          <cell r="AE461">
            <v>0.71</v>
          </cell>
          <cell r="AF461">
            <v>94.97</v>
          </cell>
          <cell r="AG461">
            <v>0</v>
          </cell>
          <cell r="AH461" t="e">
            <v>#DIV/0!</v>
          </cell>
          <cell r="AI461" t="e">
            <v>#DIV/0!</v>
          </cell>
          <cell r="AJ461" t="e">
            <v>#DIV/0!</v>
          </cell>
          <cell r="AK461" t="e">
            <v>#DIV/0!</v>
          </cell>
          <cell r="AL461" t="e">
            <v>#DIV/0!</v>
          </cell>
          <cell r="AM461" t="e">
            <v>#DIV/0!</v>
          </cell>
          <cell r="AN461" t="e">
            <v>#DIV/0!</v>
          </cell>
          <cell r="AO461" t="e">
            <v>#REF!</v>
          </cell>
          <cell r="AP461" t="e">
            <v>#REF!</v>
          </cell>
          <cell r="AQ461" t="e">
            <v>#REF!</v>
          </cell>
          <cell r="AR461" t="e">
            <v>#REF!</v>
          </cell>
          <cell r="AS461" t="e">
            <v>#REF!</v>
          </cell>
          <cell r="AT461" t="e">
            <v>#REF!</v>
          </cell>
          <cell r="AU461" t="e">
            <v>#REF!</v>
          </cell>
          <cell r="AV461" t="e">
            <v>#REF!</v>
          </cell>
          <cell r="AW461" t="e">
            <v>#DIV/0!</v>
          </cell>
          <cell r="AX461" t="e">
            <v>#DIV/0!</v>
          </cell>
          <cell r="AY461" t="e">
            <v>#DIV/0!</v>
          </cell>
          <cell r="AZ461" t="e">
            <v>#DIV/0!</v>
          </cell>
          <cell r="BE461" t="e">
            <v>#DIV/0!</v>
          </cell>
          <cell r="BF461" t="e">
            <v>#DIV/0!</v>
          </cell>
        </row>
        <row r="462">
          <cell r="A462" t="str">
            <v>-0</v>
          </cell>
          <cell r="B462" t="str">
            <v xml:space="preserve">-0  , </v>
          </cell>
          <cell r="C462"/>
          <cell r="D462"/>
          <cell r="E462"/>
          <cell r="F462"/>
          <cell r="G462"/>
          <cell r="H462"/>
          <cell r="I462"/>
          <cell r="J462"/>
          <cell r="K462"/>
          <cell r="L462"/>
          <cell r="M462"/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  <cell r="X462">
            <v>0</v>
          </cell>
          <cell r="Y462">
            <v>0</v>
          </cell>
          <cell r="Z462">
            <v>0</v>
          </cell>
          <cell r="AA462" t="str">
            <v>,</v>
          </cell>
          <cell r="AB462" t="str">
            <v>,</v>
          </cell>
          <cell r="AC462" t="e">
            <v>#DIV/0!</v>
          </cell>
          <cell r="AD462" t="e">
            <v>#DIV/0!</v>
          </cell>
          <cell r="AE462">
            <v>0.71</v>
          </cell>
          <cell r="AF462">
            <v>94.97</v>
          </cell>
          <cell r="AG462">
            <v>0</v>
          </cell>
          <cell r="AH462" t="e">
            <v>#DIV/0!</v>
          </cell>
          <cell r="AI462" t="e">
            <v>#DIV/0!</v>
          </cell>
          <cell r="AJ462" t="e">
            <v>#DIV/0!</v>
          </cell>
          <cell r="AK462" t="e">
            <v>#DIV/0!</v>
          </cell>
          <cell r="AL462" t="e">
            <v>#DIV/0!</v>
          </cell>
          <cell r="AM462" t="e">
            <v>#DIV/0!</v>
          </cell>
          <cell r="AN462" t="e">
            <v>#DIV/0!</v>
          </cell>
          <cell r="AO462" t="e">
            <v>#REF!</v>
          </cell>
          <cell r="AP462" t="e">
            <v>#REF!</v>
          </cell>
          <cell r="AQ462" t="e">
            <v>#REF!</v>
          </cell>
          <cell r="AR462" t="e">
            <v>#REF!</v>
          </cell>
          <cell r="AS462" t="e">
            <v>#REF!</v>
          </cell>
          <cell r="AT462" t="e">
            <v>#REF!</v>
          </cell>
          <cell r="AU462" t="e">
            <v>#REF!</v>
          </cell>
          <cell r="AV462" t="e">
            <v>#REF!</v>
          </cell>
          <cell r="AW462" t="e">
            <v>#DIV/0!</v>
          </cell>
          <cell r="AX462" t="e">
            <v>#DIV/0!</v>
          </cell>
          <cell r="AY462" t="e">
            <v>#DIV/0!</v>
          </cell>
          <cell r="AZ462" t="e">
            <v>#DIV/0!</v>
          </cell>
          <cell r="BE462" t="e">
            <v>#DIV/0!</v>
          </cell>
          <cell r="BF462" t="e">
            <v>#DIV/0!</v>
          </cell>
        </row>
        <row r="463">
          <cell r="A463" t="str">
            <v>-0</v>
          </cell>
          <cell r="B463" t="str">
            <v xml:space="preserve">-0  , </v>
          </cell>
          <cell r="C463"/>
          <cell r="D463"/>
          <cell r="E463"/>
          <cell r="F463"/>
          <cell r="G463"/>
          <cell r="H463"/>
          <cell r="I463"/>
          <cell r="J463"/>
          <cell r="K463"/>
          <cell r="L463"/>
          <cell r="M463"/>
          <cell r="N463"/>
          <cell r="O463"/>
          <cell r="P463"/>
          <cell r="Q463"/>
          <cell r="R463"/>
          <cell r="S463"/>
          <cell r="T463"/>
          <cell r="U463"/>
          <cell r="V463"/>
          <cell r="W463"/>
          <cell r="X463">
            <v>0</v>
          </cell>
          <cell r="Y463">
            <v>0</v>
          </cell>
          <cell r="Z463">
            <v>0</v>
          </cell>
          <cell r="AA463" t="str">
            <v>,</v>
          </cell>
          <cell r="AB463" t="str">
            <v>,</v>
          </cell>
          <cell r="AC463" t="e">
            <v>#DIV/0!</v>
          </cell>
          <cell r="AD463" t="e">
            <v>#DIV/0!</v>
          </cell>
          <cell r="AE463">
            <v>0.71</v>
          </cell>
          <cell r="AF463">
            <v>94.97</v>
          </cell>
          <cell r="AG463">
            <v>0</v>
          </cell>
          <cell r="AH463" t="e">
            <v>#DIV/0!</v>
          </cell>
          <cell r="AI463" t="e">
            <v>#DIV/0!</v>
          </cell>
          <cell r="AJ463" t="e">
            <v>#DIV/0!</v>
          </cell>
          <cell r="AK463" t="e">
            <v>#DIV/0!</v>
          </cell>
          <cell r="AL463" t="e">
            <v>#DIV/0!</v>
          </cell>
          <cell r="AM463" t="e">
            <v>#DIV/0!</v>
          </cell>
          <cell r="AN463" t="e">
            <v>#DIV/0!</v>
          </cell>
          <cell r="AO463" t="e">
            <v>#REF!</v>
          </cell>
          <cell r="AP463" t="e">
            <v>#REF!</v>
          </cell>
          <cell r="AQ463" t="e">
            <v>#REF!</v>
          </cell>
          <cell r="AR463" t="e">
            <v>#REF!</v>
          </cell>
          <cell r="AS463" t="e">
            <v>#REF!</v>
          </cell>
          <cell r="AT463" t="e">
            <v>#REF!</v>
          </cell>
          <cell r="AU463" t="e">
            <v>#REF!</v>
          </cell>
          <cell r="AV463" t="e">
            <v>#REF!</v>
          </cell>
          <cell r="AW463" t="e">
            <v>#DIV/0!</v>
          </cell>
          <cell r="AX463" t="e">
            <v>#DIV/0!</v>
          </cell>
          <cell r="AY463" t="e">
            <v>#DIV/0!</v>
          </cell>
          <cell r="AZ463" t="e">
            <v>#DIV/0!</v>
          </cell>
          <cell r="BE463" t="e">
            <v>#DIV/0!</v>
          </cell>
          <cell r="BF463" t="e">
            <v>#DIV/0!</v>
          </cell>
        </row>
        <row r="464">
          <cell r="A464" t="str">
            <v>-0</v>
          </cell>
          <cell r="B464" t="str">
            <v xml:space="preserve">-0  , </v>
          </cell>
          <cell r="C464"/>
          <cell r="D464"/>
          <cell r="E464"/>
          <cell r="F464"/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  <cell r="X464">
            <v>0</v>
          </cell>
          <cell r="Y464">
            <v>0</v>
          </cell>
          <cell r="Z464">
            <v>0</v>
          </cell>
          <cell r="AA464" t="str">
            <v>,</v>
          </cell>
          <cell r="AB464" t="str">
            <v>,</v>
          </cell>
          <cell r="AC464" t="e">
            <v>#DIV/0!</v>
          </cell>
          <cell r="AD464" t="e">
            <v>#DIV/0!</v>
          </cell>
          <cell r="AE464">
            <v>0.71</v>
          </cell>
          <cell r="AF464">
            <v>94.97</v>
          </cell>
          <cell r="AG464">
            <v>0</v>
          </cell>
          <cell r="AH464" t="e">
            <v>#DIV/0!</v>
          </cell>
          <cell r="AI464" t="e">
            <v>#DIV/0!</v>
          </cell>
          <cell r="AJ464" t="e">
            <v>#DIV/0!</v>
          </cell>
          <cell r="AK464" t="e">
            <v>#DIV/0!</v>
          </cell>
          <cell r="AL464" t="e">
            <v>#DIV/0!</v>
          </cell>
          <cell r="AM464" t="e">
            <v>#DIV/0!</v>
          </cell>
          <cell r="AN464" t="e">
            <v>#DIV/0!</v>
          </cell>
          <cell r="AO464" t="e">
            <v>#REF!</v>
          </cell>
          <cell r="AP464" t="e">
            <v>#REF!</v>
          </cell>
          <cell r="AQ464" t="e">
            <v>#REF!</v>
          </cell>
          <cell r="AR464" t="e">
            <v>#REF!</v>
          </cell>
          <cell r="AS464" t="e">
            <v>#REF!</v>
          </cell>
          <cell r="AT464" t="e">
            <v>#REF!</v>
          </cell>
          <cell r="AU464" t="e">
            <v>#REF!</v>
          </cell>
          <cell r="AV464" t="e">
            <v>#REF!</v>
          </cell>
          <cell r="AW464" t="e">
            <v>#DIV/0!</v>
          </cell>
          <cell r="AX464" t="e">
            <v>#DIV/0!</v>
          </cell>
          <cell r="AY464" t="e">
            <v>#DIV/0!</v>
          </cell>
          <cell r="AZ464" t="e">
            <v>#DIV/0!</v>
          </cell>
          <cell r="BE464" t="e">
            <v>#DIV/0!</v>
          </cell>
          <cell r="BF464" t="e">
            <v>#DIV/0!</v>
          </cell>
        </row>
        <row r="465">
          <cell r="A465" t="str">
            <v>-0</v>
          </cell>
          <cell r="B465" t="str">
            <v xml:space="preserve">-0  , </v>
          </cell>
          <cell r="C465"/>
          <cell r="D465"/>
          <cell r="E465"/>
          <cell r="F465"/>
          <cell r="G465"/>
          <cell r="H465"/>
          <cell r="I465"/>
          <cell r="J465"/>
          <cell r="K465"/>
          <cell r="L465"/>
          <cell r="M465"/>
          <cell r="N465"/>
          <cell r="O465"/>
          <cell r="P465"/>
          <cell r="Q465"/>
          <cell r="R465"/>
          <cell r="S465"/>
          <cell r="T465"/>
          <cell r="U465"/>
          <cell r="V465"/>
          <cell r="W465"/>
          <cell r="X465">
            <v>0</v>
          </cell>
          <cell r="Y465">
            <v>0</v>
          </cell>
          <cell r="Z465">
            <v>0</v>
          </cell>
          <cell r="AA465" t="str">
            <v>,</v>
          </cell>
          <cell r="AB465" t="str">
            <v>,</v>
          </cell>
          <cell r="AC465" t="e">
            <v>#DIV/0!</v>
          </cell>
          <cell r="AD465" t="e">
            <v>#DIV/0!</v>
          </cell>
          <cell r="AE465">
            <v>0.71</v>
          </cell>
          <cell r="AF465">
            <v>94.97</v>
          </cell>
          <cell r="AG465">
            <v>0</v>
          </cell>
          <cell r="AH465" t="e">
            <v>#DIV/0!</v>
          </cell>
          <cell r="AI465" t="e">
            <v>#DIV/0!</v>
          </cell>
          <cell r="AJ465" t="e">
            <v>#DIV/0!</v>
          </cell>
          <cell r="AK465" t="e">
            <v>#DIV/0!</v>
          </cell>
          <cell r="AL465" t="e">
            <v>#DIV/0!</v>
          </cell>
          <cell r="AM465" t="e">
            <v>#DIV/0!</v>
          </cell>
          <cell r="AN465" t="e">
            <v>#DIV/0!</v>
          </cell>
          <cell r="AO465" t="e">
            <v>#REF!</v>
          </cell>
          <cell r="AP465" t="e">
            <v>#REF!</v>
          </cell>
          <cell r="AQ465" t="e">
            <v>#REF!</v>
          </cell>
          <cell r="AR465" t="e">
            <v>#REF!</v>
          </cell>
          <cell r="AS465" t="e">
            <v>#REF!</v>
          </cell>
          <cell r="AT465" t="e">
            <v>#REF!</v>
          </cell>
          <cell r="AU465" t="e">
            <v>#REF!</v>
          </cell>
          <cell r="AV465" t="e">
            <v>#REF!</v>
          </cell>
          <cell r="AW465" t="e">
            <v>#DIV/0!</v>
          </cell>
          <cell r="AX465" t="e">
            <v>#DIV/0!</v>
          </cell>
          <cell r="AY465" t="e">
            <v>#DIV/0!</v>
          </cell>
          <cell r="AZ465" t="e">
            <v>#DIV/0!</v>
          </cell>
          <cell r="BE465" t="e">
            <v>#DIV/0!</v>
          </cell>
          <cell r="BF465" t="e">
            <v>#DIV/0!</v>
          </cell>
        </row>
        <row r="466">
          <cell r="A466" t="str">
            <v>-0</v>
          </cell>
          <cell r="B466" t="str">
            <v xml:space="preserve">-0  , </v>
          </cell>
          <cell r="C466"/>
          <cell r="D466"/>
          <cell r="E466"/>
          <cell r="F466"/>
          <cell r="G466"/>
          <cell r="H466"/>
          <cell r="I466"/>
          <cell r="J466"/>
          <cell r="K466"/>
          <cell r="L466"/>
          <cell r="M466"/>
          <cell r="N466"/>
          <cell r="O466"/>
          <cell r="P466"/>
          <cell r="Q466"/>
          <cell r="R466"/>
          <cell r="S466"/>
          <cell r="T466"/>
          <cell r="U466"/>
          <cell r="V466"/>
          <cell r="W466"/>
          <cell r="X466">
            <v>0</v>
          </cell>
          <cell r="Y466">
            <v>0</v>
          </cell>
          <cell r="Z466">
            <v>0</v>
          </cell>
          <cell r="AA466" t="str">
            <v>,</v>
          </cell>
          <cell r="AB466" t="str">
            <v>,</v>
          </cell>
          <cell r="AC466" t="e">
            <v>#DIV/0!</v>
          </cell>
          <cell r="AD466" t="e">
            <v>#DIV/0!</v>
          </cell>
          <cell r="AE466">
            <v>0.71</v>
          </cell>
          <cell r="AF466">
            <v>94.97</v>
          </cell>
          <cell r="AG466">
            <v>0</v>
          </cell>
          <cell r="AH466" t="e">
            <v>#DIV/0!</v>
          </cell>
          <cell r="AI466" t="e">
            <v>#DIV/0!</v>
          </cell>
          <cell r="AJ466" t="e">
            <v>#DIV/0!</v>
          </cell>
          <cell r="AK466" t="e">
            <v>#DIV/0!</v>
          </cell>
          <cell r="AL466" t="e">
            <v>#DIV/0!</v>
          </cell>
          <cell r="AM466" t="e">
            <v>#DIV/0!</v>
          </cell>
          <cell r="AN466" t="e">
            <v>#DIV/0!</v>
          </cell>
          <cell r="AO466" t="e">
            <v>#REF!</v>
          </cell>
          <cell r="AP466" t="e">
            <v>#REF!</v>
          </cell>
          <cell r="AQ466" t="e">
            <v>#REF!</v>
          </cell>
          <cell r="AR466" t="e">
            <v>#REF!</v>
          </cell>
          <cell r="AS466" t="e">
            <v>#REF!</v>
          </cell>
          <cell r="AT466" t="e">
            <v>#REF!</v>
          </cell>
          <cell r="AU466" t="e">
            <v>#REF!</v>
          </cell>
          <cell r="AV466" t="e">
            <v>#REF!</v>
          </cell>
          <cell r="AW466" t="e">
            <v>#DIV/0!</v>
          </cell>
          <cell r="AX466" t="e">
            <v>#DIV/0!</v>
          </cell>
          <cell r="AY466" t="e">
            <v>#DIV/0!</v>
          </cell>
          <cell r="AZ466" t="e">
            <v>#DIV/0!</v>
          </cell>
          <cell r="BE466" t="e">
            <v>#DIV/0!</v>
          </cell>
          <cell r="BF466" t="e">
            <v>#DIV/0!</v>
          </cell>
        </row>
        <row r="467">
          <cell r="A467" t="str">
            <v>-0</v>
          </cell>
          <cell r="B467" t="str">
            <v xml:space="preserve">-0  , </v>
          </cell>
          <cell r="C467"/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/>
          <cell r="S467"/>
          <cell r="T467"/>
          <cell r="U467"/>
          <cell r="V467"/>
          <cell r="W467"/>
          <cell r="X467">
            <v>0</v>
          </cell>
          <cell r="Y467">
            <v>0</v>
          </cell>
          <cell r="Z467">
            <v>0</v>
          </cell>
          <cell r="AA467" t="str">
            <v>,</v>
          </cell>
          <cell r="AB467" t="str">
            <v>,</v>
          </cell>
          <cell r="AC467" t="e">
            <v>#DIV/0!</v>
          </cell>
          <cell r="AD467" t="e">
            <v>#DIV/0!</v>
          </cell>
          <cell r="AE467">
            <v>0.71</v>
          </cell>
          <cell r="AF467">
            <v>94.97</v>
          </cell>
          <cell r="AG467">
            <v>0</v>
          </cell>
          <cell r="AH467" t="e">
            <v>#DIV/0!</v>
          </cell>
          <cell r="AI467" t="e">
            <v>#DIV/0!</v>
          </cell>
          <cell r="AJ467" t="e">
            <v>#DIV/0!</v>
          </cell>
          <cell r="AK467" t="e">
            <v>#DIV/0!</v>
          </cell>
          <cell r="AL467" t="e">
            <v>#DIV/0!</v>
          </cell>
          <cell r="AM467" t="e">
            <v>#DIV/0!</v>
          </cell>
          <cell r="AN467" t="e">
            <v>#DIV/0!</v>
          </cell>
          <cell r="AO467" t="e">
            <v>#REF!</v>
          </cell>
          <cell r="AP467" t="e">
            <v>#REF!</v>
          </cell>
          <cell r="AQ467" t="e">
            <v>#REF!</v>
          </cell>
          <cell r="AR467" t="e">
            <v>#REF!</v>
          </cell>
          <cell r="AS467" t="e">
            <v>#REF!</v>
          </cell>
          <cell r="AT467" t="e">
            <v>#REF!</v>
          </cell>
          <cell r="AU467" t="e">
            <v>#REF!</v>
          </cell>
          <cell r="AV467" t="e">
            <v>#REF!</v>
          </cell>
          <cell r="AW467" t="e">
            <v>#DIV/0!</v>
          </cell>
          <cell r="AX467" t="e">
            <v>#DIV/0!</v>
          </cell>
          <cell r="AY467" t="e">
            <v>#DIV/0!</v>
          </cell>
          <cell r="AZ467" t="e">
            <v>#DIV/0!</v>
          </cell>
          <cell r="BE467" t="e">
            <v>#DIV/0!</v>
          </cell>
          <cell r="BF467" t="e">
            <v>#DIV/0!</v>
          </cell>
        </row>
        <row r="468">
          <cell r="A468" t="str">
            <v>-0</v>
          </cell>
          <cell r="B468" t="str">
            <v xml:space="preserve">-0  , </v>
          </cell>
          <cell r="C468"/>
          <cell r="D468"/>
          <cell r="E468"/>
          <cell r="F468"/>
          <cell r="G468"/>
          <cell r="H468"/>
          <cell r="I468"/>
          <cell r="J468"/>
          <cell r="K468"/>
          <cell r="L468"/>
          <cell r="M468"/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  <cell r="X468">
            <v>0</v>
          </cell>
          <cell r="Y468">
            <v>0</v>
          </cell>
          <cell r="Z468">
            <v>0</v>
          </cell>
          <cell r="AA468" t="str">
            <v>,</v>
          </cell>
          <cell r="AB468" t="str">
            <v>,</v>
          </cell>
          <cell r="AC468" t="e">
            <v>#DIV/0!</v>
          </cell>
          <cell r="AD468" t="e">
            <v>#DIV/0!</v>
          </cell>
          <cell r="AE468">
            <v>0.71</v>
          </cell>
          <cell r="AF468">
            <v>94.97</v>
          </cell>
          <cell r="AG468">
            <v>0</v>
          </cell>
          <cell r="AH468" t="e">
            <v>#DIV/0!</v>
          </cell>
          <cell r="AI468" t="e">
            <v>#DIV/0!</v>
          </cell>
          <cell r="AJ468" t="e">
            <v>#DIV/0!</v>
          </cell>
          <cell r="AK468" t="e">
            <v>#DIV/0!</v>
          </cell>
          <cell r="AL468" t="e">
            <v>#DIV/0!</v>
          </cell>
          <cell r="AM468" t="e">
            <v>#DIV/0!</v>
          </cell>
          <cell r="AN468" t="e">
            <v>#DIV/0!</v>
          </cell>
          <cell r="AO468" t="e">
            <v>#REF!</v>
          </cell>
          <cell r="AP468" t="e">
            <v>#REF!</v>
          </cell>
          <cell r="AQ468" t="e">
            <v>#REF!</v>
          </cell>
          <cell r="AR468" t="e">
            <v>#REF!</v>
          </cell>
          <cell r="AS468" t="e">
            <v>#REF!</v>
          </cell>
          <cell r="AT468" t="e">
            <v>#REF!</v>
          </cell>
          <cell r="AU468" t="e">
            <v>#REF!</v>
          </cell>
          <cell r="AV468" t="e">
            <v>#REF!</v>
          </cell>
          <cell r="AW468" t="e">
            <v>#DIV/0!</v>
          </cell>
          <cell r="AX468" t="e">
            <v>#DIV/0!</v>
          </cell>
          <cell r="AY468" t="e">
            <v>#DIV/0!</v>
          </cell>
          <cell r="AZ468" t="e">
            <v>#DIV/0!</v>
          </cell>
          <cell r="BE468" t="e">
            <v>#DIV/0!</v>
          </cell>
          <cell r="BF468" t="e">
            <v>#DIV/0!</v>
          </cell>
        </row>
        <row r="469">
          <cell r="A469" t="str">
            <v>-0</v>
          </cell>
          <cell r="B469" t="str">
            <v xml:space="preserve">-0  , </v>
          </cell>
          <cell r="C469"/>
          <cell r="D469"/>
          <cell r="E469"/>
          <cell r="F469"/>
          <cell r="G469"/>
          <cell r="H469"/>
          <cell r="I469"/>
          <cell r="J469"/>
          <cell r="K469"/>
          <cell r="L469"/>
          <cell r="M469"/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  <cell r="X469">
            <v>0</v>
          </cell>
          <cell r="Y469">
            <v>0</v>
          </cell>
          <cell r="Z469">
            <v>0</v>
          </cell>
          <cell r="AA469" t="str">
            <v>,</v>
          </cell>
          <cell r="AB469" t="str">
            <v>,</v>
          </cell>
          <cell r="AC469" t="e">
            <v>#DIV/0!</v>
          </cell>
          <cell r="AD469" t="e">
            <v>#DIV/0!</v>
          </cell>
          <cell r="AE469">
            <v>0.71</v>
          </cell>
          <cell r="AF469">
            <v>94.97</v>
          </cell>
          <cell r="AG469">
            <v>0</v>
          </cell>
          <cell r="AH469" t="e">
            <v>#DIV/0!</v>
          </cell>
          <cell r="AI469" t="e">
            <v>#DIV/0!</v>
          </cell>
          <cell r="AJ469" t="e">
            <v>#DIV/0!</v>
          </cell>
          <cell r="AK469" t="e">
            <v>#DIV/0!</v>
          </cell>
          <cell r="AL469" t="e">
            <v>#DIV/0!</v>
          </cell>
          <cell r="AM469" t="e">
            <v>#DIV/0!</v>
          </cell>
          <cell r="AN469" t="e">
            <v>#DIV/0!</v>
          </cell>
          <cell r="AO469" t="e">
            <v>#REF!</v>
          </cell>
          <cell r="AP469" t="e">
            <v>#REF!</v>
          </cell>
          <cell r="AQ469" t="e">
            <v>#REF!</v>
          </cell>
          <cell r="AR469" t="e">
            <v>#REF!</v>
          </cell>
          <cell r="AS469" t="e">
            <v>#REF!</v>
          </cell>
          <cell r="AT469" t="e">
            <v>#REF!</v>
          </cell>
          <cell r="AU469" t="e">
            <v>#REF!</v>
          </cell>
          <cell r="AV469" t="e">
            <v>#REF!</v>
          </cell>
          <cell r="AW469" t="e">
            <v>#DIV/0!</v>
          </cell>
          <cell r="AX469" t="e">
            <v>#DIV/0!</v>
          </cell>
          <cell r="AY469" t="e">
            <v>#DIV/0!</v>
          </cell>
          <cell r="AZ469" t="e">
            <v>#DIV/0!</v>
          </cell>
          <cell r="BE469" t="e">
            <v>#DIV/0!</v>
          </cell>
          <cell r="BF469" t="e">
            <v>#DIV/0!</v>
          </cell>
        </row>
        <row r="470">
          <cell r="A470" t="str">
            <v>-0</v>
          </cell>
          <cell r="B470" t="str">
            <v xml:space="preserve">-0  , </v>
          </cell>
          <cell r="C470"/>
          <cell r="D470"/>
          <cell r="E470"/>
          <cell r="F470"/>
          <cell r="G470"/>
          <cell r="H470"/>
          <cell r="I470"/>
          <cell r="J470"/>
          <cell r="K470"/>
          <cell r="L470"/>
          <cell r="M470"/>
          <cell r="N470"/>
          <cell r="O470"/>
          <cell r="P470"/>
          <cell r="Q470"/>
          <cell r="R470"/>
          <cell r="S470"/>
          <cell r="T470"/>
          <cell r="U470"/>
          <cell r="V470"/>
          <cell r="W470"/>
          <cell r="X470">
            <v>0</v>
          </cell>
          <cell r="Y470">
            <v>0</v>
          </cell>
          <cell r="Z470">
            <v>0</v>
          </cell>
          <cell r="AA470" t="str">
            <v>,</v>
          </cell>
          <cell r="AB470" t="str">
            <v>,</v>
          </cell>
          <cell r="AC470" t="e">
            <v>#DIV/0!</v>
          </cell>
          <cell r="AD470" t="e">
            <v>#DIV/0!</v>
          </cell>
          <cell r="AE470">
            <v>0.71</v>
          </cell>
          <cell r="AF470">
            <v>94.97</v>
          </cell>
          <cell r="AG470">
            <v>0</v>
          </cell>
          <cell r="AH470" t="e">
            <v>#DIV/0!</v>
          </cell>
          <cell r="AI470" t="e">
            <v>#DIV/0!</v>
          </cell>
          <cell r="AJ470" t="e">
            <v>#DIV/0!</v>
          </cell>
          <cell r="AK470" t="e">
            <v>#DIV/0!</v>
          </cell>
          <cell r="AL470" t="e">
            <v>#DIV/0!</v>
          </cell>
          <cell r="AM470" t="e">
            <v>#DIV/0!</v>
          </cell>
          <cell r="AN470" t="e">
            <v>#DIV/0!</v>
          </cell>
          <cell r="AO470" t="e">
            <v>#REF!</v>
          </cell>
          <cell r="AP470" t="e">
            <v>#REF!</v>
          </cell>
          <cell r="AQ470" t="e">
            <v>#REF!</v>
          </cell>
          <cell r="AR470" t="e">
            <v>#REF!</v>
          </cell>
          <cell r="AS470" t="e">
            <v>#REF!</v>
          </cell>
          <cell r="AT470" t="e">
            <v>#REF!</v>
          </cell>
          <cell r="AU470" t="e">
            <v>#REF!</v>
          </cell>
          <cell r="AV470" t="e">
            <v>#REF!</v>
          </cell>
          <cell r="AW470" t="e">
            <v>#DIV/0!</v>
          </cell>
          <cell r="AX470" t="e">
            <v>#DIV/0!</v>
          </cell>
          <cell r="AY470" t="e">
            <v>#DIV/0!</v>
          </cell>
          <cell r="AZ470" t="e">
            <v>#DIV/0!</v>
          </cell>
          <cell r="BE470" t="e">
            <v>#DIV/0!</v>
          </cell>
          <cell r="BF470" t="e">
            <v>#DIV/0!</v>
          </cell>
        </row>
        <row r="471">
          <cell r="A471" t="str">
            <v>-0</v>
          </cell>
          <cell r="B471" t="str">
            <v xml:space="preserve">-0  , </v>
          </cell>
          <cell r="C471"/>
          <cell r="D471"/>
          <cell r="E471"/>
          <cell r="F471"/>
          <cell r="G471"/>
          <cell r="H471"/>
          <cell r="I471"/>
          <cell r="J471"/>
          <cell r="K471"/>
          <cell r="L471"/>
          <cell r="M471"/>
          <cell r="N471"/>
          <cell r="O471"/>
          <cell r="P471"/>
          <cell r="Q471"/>
          <cell r="R471"/>
          <cell r="S471"/>
          <cell r="T471"/>
          <cell r="U471"/>
          <cell r="V471"/>
          <cell r="W471"/>
          <cell r="X471">
            <v>0</v>
          </cell>
          <cell r="Y471">
            <v>0</v>
          </cell>
          <cell r="Z471">
            <v>0</v>
          </cell>
          <cell r="AA471" t="str">
            <v>,</v>
          </cell>
          <cell r="AB471" t="str">
            <v>,</v>
          </cell>
          <cell r="AC471" t="e">
            <v>#DIV/0!</v>
          </cell>
          <cell r="AD471" t="e">
            <v>#DIV/0!</v>
          </cell>
          <cell r="AE471">
            <v>0.71</v>
          </cell>
          <cell r="AF471">
            <v>94.97</v>
          </cell>
          <cell r="AG471">
            <v>0</v>
          </cell>
          <cell r="AH471" t="e">
            <v>#DIV/0!</v>
          </cell>
          <cell r="AI471" t="e">
            <v>#DIV/0!</v>
          </cell>
          <cell r="AJ471" t="e">
            <v>#DIV/0!</v>
          </cell>
          <cell r="AK471" t="e">
            <v>#DIV/0!</v>
          </cell>
          <cell r="AL471" t="e">
            <v>#DIV/0!</v>
          </cell>
          <cell r="AM471" t="e">
            <v>#DIV/0!</v>
          </cell>
          <cell r="AN471" t="e">
            <v>#DIV/0!</v>
          </cell>
          <cell r="AO471" t="e">
            <v>#REF!</v>
          </cell>
          <cell r="AP471" t="e">
            <v>#REF!</v>
          </cell>
          <cell r="AQ471" t="e">
            <v>#REF!</v>
          </cell>
          <cell r="AR471" t="e">
            <v>#REF!</v>
          </cell>
          <cell r="AS471" t="e">
            <v>#REF!</v>
          </cell>
          <cell r="AT471" t="e">
            <v>#REF!</v>
          </cell>
          <cell r="AU471" t="e">
            <v>#REF!</v>
          </cell>
          <cell r="AV471" t="e">
            <v>#REF!</v>
          </cell>
          <cell r="AW471" t="e">
            <v>#DIV/0!</v>
          </cell>
          <cell r="AX471" t="e">
            <v>#DIV/0!</v>
          </cell>
          <cell r="AY471" t="e">
            <v>#DIV/0!</v>
          </cell>
          <cell r="AZ471" t="e">
            <v>#DIV/0!</v>
          </cell>
          <cell r="BE471" t="e">
            <v>#DIV/0!</v>
          </cell>
          <cell r="BF471" t="e">
            <v>#DIV/0!</v>
          </cell>
        </row>
        <row r="472">
          <cell r="A472" t="str">
            <v>-0</v>
          </cell>
          <cell r="B472" t="str">
            <v xml:space="preserve">-0  , </v>
          </cell>
          <cell r="C472"/>
          <cell r="D472"/>
          <cell r="E472"/>
          <cell r="F472"/>
          <cell r="G472"/>
          <cell r="H472"/>
          <cell r="I472"/>
          <cell r="J472"/>
          <cell r="K472"/>
          <cell r="L472"/>
          <cell r="M472"/>
          <cell r="N472"/>
          <cell r="O472"/>
          <cell r="P472"/>
          <cell r="Q472"/>
          <cell r="R472"/>
          <cell r="S472"/>
          <cell r="T472"/>
          <cell r="U472"/>
          <cell r="V472"/>
          <cell r="W472"/>
          <cell r="X472">
            <v>0</v>
          </cell>
          <cell r="Y472">
            <v>0</v>
          </cell>
          <cell r="Z472">
            <v>0</v>
          </cell>
          <cell r="AA472" t="str">
            <v>,</v>
          </cell>
          <cell r="AB472" t="str">
            <v>,</v>
          </cell>
          <cell r="AC472" t="e">
            <v>#DIV/0!</v>
          </cell>
          <cell r="AD472" t="e">
            <v>#DIV/0!</v>
          </cell>
          <cell r="AE472">
            <v>0.71</v>
          </cell>
          <cell r="AF472">
            <v>94.97</v>
          </cell>
          <cell r="AG472">
            <v>0</v>
          </cell>
          <cell r="AH472" t="e">
            <v>#DIV/0!</v>
          </cell>
          <cell r="AI472" t="e">
            <v>#DIV/0!</v>
          </cell>
          <cell r="AJ472" t="e">
            <v>#DIV/0!</v>
          </cell>
          <cell r="AK472" t="e">
            <v>#DIV/0!</v>
          </cell>
          <cell r="AL472" t="e">
            <v>#DIV/0!</v>
          </cell>
          <cell r="AM472" t="e">
            <v>#DIV/0!</v>
          </cell>
          <cell r="AN472" t="e">
            <v>#DIV/0!</v>
          </cell>
          <cell r="AO472" t="e">
            <v>#REF!</v>
          </cell>
          <cell r="AP472" t="e">
            <v>#REF!</v>
          </cell>
          <cell r="AQ472" t="e">
            <v>#REF!</v>
          </cell>
          <cell r="AR472" t="e">
            <v>#REF!</v>
          </cell>
          <cell r="AS472" t="e">
            <v>#REF!</v>
          </cell>
          <cell r="AT472" t="e">
            <v>#REF!</v>
          </cell>
          <cell r="AU472" t="e">
            <v>#REF!</v>
          </cell>
          <cell r="AV472" t="e">
            <v>#REF!</v>
          </cell>
          <cell r="AW472" t="e">
            <v>#DIV/0!</v>
          </cell>
          <cell r="AX472" t="e">
            <v>#DIV/0!</v>
          </cell>
          <cell r="AY472" t="e">
            <v>#DIV/0!</v>
          </cell>
          <cell r="AZ472" t="e">
            <v>#DIV/0!</v>
          </cell>
          <cell r="BE472" t="e">
            <v>#DIV/0!</v>
          </cell>
          <cell r="BF472" t="e">
            <v>#DIV/0!</v>
          </cell>
        </row>
        <row r="473">
          <cell r="A473" t="str">
            <v>-0</v>
          </cell>
          <cell r="B473" t="str">
            <v xml:space="preserve">-0  , </v>
          </cell>
          <cell r="C473"/>
          <cell r="D473"/>
          <cell r="E473"/>
          <cell r="F473"/>
          <cell r="G473"/>
          <cell r="H473"/>
          <cell r="I473"/>
          <cell r="J473"/>
          <cell r="K473"/>
          <cell r="L473"/>
          <cell r="M473"/>
          <cell r="N473"/>
          <cell r="O473"/>
          <cell r="P473"/>
          <cell r="Q473"/>
          <cell r="R473"/>
          <cell r="S473"/>
          <cell r="T473"/>
          <cell r="U473"/>
          <cell r="V473"/>
          <cell r="W473"/>
          <cell r="X473">
            <v>0</v>
          </cell>
          <cell r="Y473">
            <v>0</v>
          </cell>
          <cell r="Z473">
            <v>0</v>
          </cell>
          <cell r="AA473" t="str">
            <v>,</v>
          </cell>
          <cell r="AB473" t="str">
            <v>,</v>
          </cell>
          <cell r="AC473" t="e">
            <v>#DIV/0!</v>
          </cell>
          <cell r="AD473" t="e">
            <v>#DIV/0!</v>
          </cell>
          <cell r="AE473">
            <v>0.71</v>
          </cell>
          <cell r="AF473">
            <v>94.97</v>
          </cell>
          <cell r="AG473">
            <v>0</v>
          </cell>
          <cell r="AH473" t="e">
            <v>#DIV/0!</v>
          </cell>
          <cell r="AI473" t="e">
            <v>#DIV/0!</v>
          </cell>
          <cell r="AJ473" t="e">
            <v>#DIV/0!</v>
          </cell>
          <cell r="AK473" t="e">
            <v>#DIV/0!</v>
          </cell>
          <cell r="AL473" t="e">
            <v>#DIV/0!</v>
          </cell>
          <cell r="AM473" t="e">
            <v>#DIV/0!</v>
          </cell>
          <cell r="AN473" t="e">
            <v>#DIV/0!</v>
          </cell>
          <cell r="AO473" t="e">
            <v>#REF!</v>
          </cell>
          <cell r="AP473" t="e">
            <v>#REF!</v>
          </cell>
          <cell r="AQ473" t="e">
            <v>#REF!</v>
          </cell>
          <cell r="AR473" t="e">
            <v>#REF!</v>
          </cell>
          <cell r="AS473" t="e">
            <v>#REF!</v>
          </cell>
          <cell r="AT473" t="e">
            <v>#REF!</v>
          </cell>
          <cell r="AU473" t="e">
            <v>#REF!</v>
          </cell>
          <cell r="AV473" t="e">
            <v>#REF!</v>
          </cell>
          <cell r="AW473" t="e">
            <v>#DIV/0!</v>
          </cell>
          <cell r="AX473" t="e">
            <v>#DIV/0!</v>
          </cell>
          <cell r="AY473" t="e">
            <v>#DIV/0!</v>
          </cell>
          <cell r="AZ473" t="e">
            <v>#DIV/0!</v>
          </cell>
          <cell r="BE473" t="e">
            <v>#DIV/0!</v>
          </cell>
          <cell r="BF473" t="e">
            <v>#DIV/0!</v>
          </cell>
        </row>
        <row r="474">
          <cell r="A474" t="str">
            <v>-0</v>
          </cell>
          <cell r="B474" t="str">
            <v xml:space="preserve">-0  , </v>
          </cell>
          <cell r="C474"/>
          <cell r="D474"/>
          <cell r="E474"/>
          <cell r="F474"/>
          <cell r="G474"/>
          <cell r="H474"/>
          <cell r="I474"/>
          <cell r="J474"/>
          <cell r="K474"/>
          <cell r="L474"/>
          <cell r="M474"/>
          <cell r="N474"/>
          <cell r="O474"/>
          <cell r="P474"/>
          <cell r="Q474"/>
          <cell r="R474"/>
          <cell r="S474"/>
          <cell r="T474"/>
          <cell r="U474"/>
          <cell r="V474"/>
          <cell r="W474"/>
          <cell r="X474">
            <v>0</v>
          </cell>
          <cell r="Y474">
            <v>0</v>
          </cell>
          <cell r="Z474">
            <v>0</v>
          </cell>
          <cell r="AA474" t="str">
            <v>,</v>
          </cell>
          <cell r="AB474" t="str">
            <v>,</v>
          </cell>
          <cell r="AC474" t="e">
            <v>#DIV/0!</v>
          </cell>
          <cell r="AD474" t="e">
            <v>#DIV/0!</v>
          </cell>
          <cell r="AE474">
            <v>0.71</v>
          </cell>
          <cell r="AF474">
            <v>94.97</v>
          </cell>
          <cell r="AG474">
            <v>0</v>
          </cell>
          <cell r="AH474" t="e">
            <v>#DIV/0!</v>
          </cell>
          <cell r="AI474" t="e">
            <v>#DIV/0!</v>
          </cell>
          <cell r="AJ474" t="e">
            <v>#DIV/0!</v>
          </cell>
          <cell r="AK474" t="e">
            <v>#DIV/0!</v>
          </cell>
          <cell r="AL474" t="e">
            <v>#DIV/0!</v>
          </cell>
          <cell r="AM474" t="e">
            <v>#DIV/0!</v>
          </cell>
          <cell r="AN474" t="e">
            <v>#DIV/0!</v>
          </cell>
          <cell r="AO474" t="e">
            <v>#REF!</v>
          </cell>
          <cell r="AP474" t="e">
            <v>#REF!</v>
          </cell>
          <cell r="AQ474" t="e">
            <v>#REF!</v>
          </cell>
          <cell r="AR474" t="e">
            <v>#REF!</v>
          </cell>
          <cell r="AS474" t="e">
            <v>#REF!</v>
          </cell>
          <cell r="AT474" t="e">
            <v>#REF!</v>
          </cell>
          <cell r="AU474" t="e">
            <v>#REF!</v>
          </cell>
          <cell r="AV474" t="e">
            <v>#REF!</v>
          </cell>
          <cell r="AW474" t="e">
            <v>#DIV/0!</v>
          </cell>
          <cell r="AX474" t="e">
            <v>#DIV/0!</v>
          </cell>
          <cell r="AY474" t="e">
            <v>#DIV/0!</v>
          </cell>
          <cell r="AZ474" t="e">
            <v>#DIV/0!</v>
          </cell>
          <cell r="BE474" t="e">
            <v>#DIV/0!</v>
          </cell>
          <cell r="BF474" t="e">
            <v>#DIV/0!</v>
          </cell>
        </row>
        <row r="475">
          <cell r="A475" t="str">
            <v>-0</v>
          </cell>
          <cell r="B475" t="str">
            <v xml:space="preserve">-0  , </v>
          </cell>
          <cell r="C475"/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  <cell r="X475">
            <v>0</v>
          </cell>
          <cell r="Y475">
            <v>0</v>
          </cell>
          <cell r="Z475">
            <v>0</v>
          </cell>
          <cell r="AA475" t="str">
            <v>,</v>
          </cell>
          <cell r="AB475" t="str">
            <v>,</v>
          </cell>
          <cell r="AC475" t="e">
            <v>#DIV/0!</v>
          </cell>
          <cell r="AD475" t="e">
            <v>#DIV/0!</v>
          </cell>
          <cell r="AE475">
            <v>0.71</v>
          </cell>
          <cell r="AF475">
            <v>94.97</v>
          </cell>
          <cell r="AG475">
            <v>0</v>
          </cell>
          <cell r="AH475" t="e">
            <v>#DIV/0!</v>
          </cell>
          <cell r="AI475" t="e">
            <v>#DIV/0!</v>
          </cell>
          <cell r="AJ475" t="e">
            <v>#DIV/0!</v>
          </cell>
          <cell r="AK475" t="e">
            <v>#DIV/0!</v>
          </cell>
          <cell r="AL475" t="e">
            <v>#DIV/0!</v>
          </cell>
          <cell r="AM475" t="e">
            <v>#DIV/0!</v>
          </cell>
          <cell r="AN475" t="e">
            <v>#DIV/0!</v>
          </cell>
          <cell r="AO475" t="e">
            <v>#REF!</v>
          </cell>
          <cell r="AP475" t="e">
            <v>#REF!</v>
          </cell>
          <cell r="AQ475" t="e">
            <v>#REF!</v>
          </cell>
          <cell r="AR475" t="e">
            <v>#REF!</v>
          </cell>
          <cell r="AS475" t="e">
            <v>#REF!</v>
          </cell>
          <cell r="AT475" t="e">
            <v>#REF!</v>
          </cell>
          <cell r="AU475" t="e">
            <v>#REF!</v>
          </cell>
          <cell r="AV475" t="e">
            <v>#REF!</v>
          </cell>
          <cell r="AW475" t="e">
            <v>#DIV/0!</v>
          </cell>
          <cell r="AX475" t="e">
            <v>#DIV/0!</v>
          </cell>
          <cell r="AY475" t="e">
            <v>#DIV/0!</v>
          </cell>
          <cell r="AZ475" t="e">
            <v>#DIV/0!</v>
          </cell>
          <cell r="BE475" t="e">
            <v>#DIV/0!</v>
          </cell>
          <cell r="BF475" t="e">
            <v>#DIV/0!</v>
          </cell>
        </row>
        <row r="476">
          <cell r="A476" t="str">
            <v>-0</v>
          </cell>
          <cell r="B476" t="str">
            <v xml:space="preserve">-0  , </v>
          </cell>
          <cell r="C476"/>
          <cell r="D476"/>
          <cell r="E476"/>
          <cell r="F476"/>
          <cell r="G476"/>
          <cell r="H476"/>
          <cell r="I476"/>
          <cell r="J476"/>
          <cell r="K476"/>
          <cell r="L476"/>
          <cell r="M476"/>
          <cell r="N476"/>
          <cell r="O476"/>
          <cell r="P476"/>
          <cell r="Q476"/>
          <cell r="R476"/>
          <cell r="S476"/>
          <cell r="T476"/>
          <cell r="U476"/>
          <cell r="V476"/>
          <cell r="W476"/>
          <cell r="X476">
            <v>0</v>
          </cell>
          <cell r="Y476">
            <v>0</v>
          </cell>
          <cell r="Z476">
            <v>0</v>
          </cell>
          <cell r="AA476" t="str">
            <v>,</v>
          </cell>
          <cell r="AB476" t="str">
            <v>,</v>
          </cell>
          <cell r="AC476" t="e">
            <v>#DIV/0!</v>
          </cell>
          <cell r="AD476" t="e">
            <v>#DIV/0!</v>
          </cell>
          <cell r="AE476">
            <v>0.71</v>
          </cell>
          <cell r="AF476">
            <v>94.97</v>
          </cell>
          <cell r="AG476">
            <v>0</v>
          </cell>
          <cell r="AH476" t="e">
            <v>#DIV/0!</v>
          </cell>
          <cell r="AI476" t="e">
            <v>#DIV/0!</v>
          </cell>
          <cell r="AJ476" t="e">
            <v>#DIV/0!</v>
          </cell>
          <cell r="AK476" t="e">
            <v>#DIV/0!</v>
          </cell>
          <cell r="AL476" t="e">
            <v>#DIV/0!</v>
          </cell>
          <cell r="AM476" t="e">
            <v>#DIV/0!</v>
          </cell>
          <cell r="AN476" t="e">
            <v>#DIV/0!</v>
          </cell>
          <cell r="AO476" t="e">
            <v>#REF!</v>
          </cell>
          <cell r="AP476" t="e">
            <v>#REF!</v>
          </cell>
          <cell r="AQ476" t="e">
            <v>#REF!</v>
          </cell>
          <cell r="AR476" t="e">
            <v>#REF!</v>
          </cell>
          <cell r="AS476" t="e">
            <v>#REF!</v>
          </cell>
          <cell r="AT476" t="e">
            <v>#REF!</v>
          </cell>
          <cell r="AU476" t="e">
            <v>#REF!</v>
          </cell>
          <cell r="AV476" t="e">
            <v>#REF!</v>
          </cell>
          <cell r="AW476" t="e">
            <v>#DIV/0!</v>
          </cell>
          <cell r="AX476" t="e">
            <v>#DIV/0!</v>
          </cell>
          <cell r="AY476" t="e">
            <v>#DIV/0!</v>
          </cell>
          <cell r="AZ476" t="e">
            <v>#DIV/0!</v>
          </cell>
          <cell r="BE476" t="e">
            <v>#DIV/0!</v>
          </cell>
          <cell r="BF476" t="e">
            <v>#DIV/0!</v>
          </cell>
        </row>
        <row r="477">
          <cell r="A477" t="str">
            <v>-0</v>
          </cell>
          <cell r="B477" t="str">
            <v xml:space="preserve">-0  , </v>
          </cell>
          <cell r="C477"/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/>
          <cell r="S477"/>
          <cell r="T477"/>
          <cell r="U477"/>
          <cell r="V477"/>
          <cell r="W477"/>
          <cell r="X477">
            <v>0</v>
          </cell>
          <cell r="Y477">
            <v>0</v>
          </cell>
          <cell r="Z477">
            <v>0</v>
          </cell>
          <cell r="AA477" t="str">
            <v>,</v>
          </cell>
          <cell r="AB477" t="str">
            <v>,</v>
          </cell>
          <cell r="AC477" t="e">
            <v>#DIV/0!</v>
          </cell>
          <cell r="AD477" t="e">
            <v>#DIV/0!</v>
          </cell>
          <cell r="AE477">
            <v>0.71</v>
          </cell>
          <cell r="AF477">
            <v>94.97</v>
          </cell>
          <cell r="AG477">
            <v>0</v>
          </cell>
          <cell r="AH477" t="e">
            <v>#DIV/0!</v>
          </cell>
          <cell r="AI477" t="e">
            <v>#DIV/0!</v>
          </cell>
          <cell r="AJ477" t="e">
            <v>#DIV/0!</v>
          </cell>
          <cell r="AK477" t="e">
            <v>#DIV/0!</v>
          </cell>
          <cell r="AL477" t="e">
            <v>#DIV/0!</v>
          </cell>
          <cell r="AM477" t="e">
            <v>#DIV/0!</v>
          </cell>
          <cell r="AN477" t="e">
            <v>#DIV/0!</v>
          </cell>
          <cell r="AO477" t="e">
            <v>#REF!</v>
          </cell>
          <cell r="AP477" t="e">
            <v>#REF!</v>
          </cell>
          <cell r="AQ477" t="e">
            <v>#REF!</v>
          </cell>
          <cell r="AR477" t="e">
            <v>#REF!</v>
          </cell>
          <cell r="AS477" t="e">
            <v>#REF!</v>
          </cell>
          <cell r="AT477" t="e">
            <v>#REF!</v>
          </cell>
          <cell r="AU477" t="e">
            <v>#REF!</v>
          </cell>
          <cell r="AV477" t="e">
            <v>#REF!</v>
          </cell>
          <cell r="AW477" t="e">
            <v>#DIV/0!</v>
          </cell>
          <cell r="AX477" t="e">
            <v>#DIV/0!</v>
          </cell>
          <cell r="AY477" t="e">
            <v>#DIV/0!</v>
          </cell>
          <cell r="AZ477" t="e">
            <v>#DIV/0!</v>
          </cell>
          <cell r="BE477" t="e">
            <v>#DIV/0!</v>
          </cell>
          <cell r="BF477" t="e">
            <v>#DIV/0!</v>
          </cell>
        </row>
        <row r="478">
          <cell r="A478" t="str">
            <v>-0</v>
          </cell>
          <cell r="B478" t="str">
            <v xml:space="preserve">-0  , </v>
          </cell>
          <cell r="C478"/>
          <cell r="D478"/>
          <cell r="E478"/>
          <cell r="F478"/>
          <cell r="G478"/>
          <cell r="H478"/>
          <cell r="I478"/>
          <cell r="J478"/>
          <cell r="K478"/>
          <cell r="L478"/>
          <cell r="M478"/>
          <cell r="N478"/>
          <cell r="O478"/>
          <cell r="P478"/>
          <cell r="Q478"/>
          <cell r="R478"/>
          <cell r="S478"/>
          <cell r="T478"/>
          <cell r="U478"/>
          <cell r="V478"/>
          <cell r="W478"/>
          <cell r="X478">
            <v>0</v>
          </cell>
          <cell r="Y478">
            <v>0</v>
          </cell>
          <cell r="Z478">
            <v>0</v>
          </cell>
          <cell r="AA478" t="str">
            <v>,</v>
          </cell>
          <cell r="AB478" t="str">
            <v>,</v>
          </cell>
          <cell r="AC478" t="e">
            <v>#DIV/0!</v>
          </cell>
          <cell r="AD478" t="e">
            <v>#DIV/0!</v>
          </cell>
          <cell r="AE478">
            <v>0.71</v>
          </cell>
          <cell r="AF478">
            <v>94.97</v>
          </cell>
          <cell r="AG478">
            <v>0</v>
          </cell>
          <cell r="AH478" t="e">
            <v>#DIV/0!</v>
          </cell>
          <cell r="AI478" t="e">
            <v>#DIV/0!</v>
          </cell>
          <cell r="AJ478" t="e">
            <v>#DIV/0!</v>
          </cell>
          <cell r="AK478" t="e">
            <v>#DIV/0!</v>
          </cell>
          <cell r="AL478" t="e">
            <v>#DIV/0!</v>
          </cell>
          <cell r="AM478" t="e">
            <v>#DIV/0!</v>
          </cell>
          <cell r="AN478" t="e">
            <v>#DIV/0!</v>
          </cell>
          <cell r="AO478" t="e">
            <v>#REF!</v>
          </cell>
          <cell r="AP478" t="e">
            <v>#REF!</v>
          </cell>
          <cell r="AQ478" t="e">
            <v>#REF!</v>
          </cell>
          <cell r="AR478" t="e">
            <v>#REF!</v>
          </cell>
          <cell r="AS478" t="e">
            <v>#REF!</v>
          </cell>
          <cell r="AT478" t="e">
            <v>#REF!</v>
          </cell>
          <cell r="AU478" t="e">
            <v>#REF!</v>
          </cell>
          <cell r="AV478" t="e">
            <v>#REF!</v>
          </cell>
          <cell r="AW478" t="e">
            <v>#DIV/0!</v>
          </cell>
          <cell r="AX478" t="e">
            <v>#DIV/0!</v>
          </cell>
          <cell r="AY478" t="e">
            <v>#DIV/0!</v>
          </cell>
          <cell r="AZ478" t="e">
            <v>#DIV/0!</v>
          </cell>
          <cell r="BE478" t="e">
            <v>#DIV/0!</v>
          </cell>
          <cell r="BF478" t="e">
            <v>#DIV/0!</v>
          </cell>
        </row>
        <row r="479">
          <cell r="A479" t="str">
            <v>-0</v>
          </cell>
          <cell r="B479" t="str">
            <v xml:space="preserve">-0  , </v>
          </cell>
          <cell r="C479"/>
          <cell r="D479"/>
          <cell r="E479"/>
          <cell r="F479"/>
          <cell r="G479"/>
          <cell r="H479"/>
          <cell r="I479"/>
          <cell r="J479"/>
          <cell r="K479"/>
          <cell r="L479"/>
          <cell r="M479"/>
          <cell r="N479"/>
          <cell r="O479"/>
          <cell r="P479"/>
          <cell r="Q479"/>
          <cell r="R479"/>
          <cell r="S479"/>
          <cell r="T479"/>
          <cell r="U479"/>
          <cell r="V479"/>
          <cell r="W479"/>
          <cell r="X479">
            <v>0</v>
          </cell>
          <cell r="Y479">
            <v>0</v>
          </cell>
          <cell r="Z479">
            <v>0</v>
          </cell>
          <cell r="AA479" t="str">
            <v>,</v>
          </cell>
          <cell r="AB479" t="str">
            <v>,</v>
          </cell>
          <cell r="AC479" t="e">
            <v>#DIV/0!</v>
          </cell>
          <cell r="AD479" t="e">
            <v>#DIV/0!</v>
          </cell>
          <cell r="AE479">
            <v>0.71</v>
          </cell>
          <cell r="AF479">
            <v>94.97</v>
          </cell>
          <cell r="AG479">
            <v>0</v>
          </cell>
          <cell r="AH479" t="e">
            <v>#DIV/0!</v>
          </cell>
          <cell r="AI479" t="e">
            <v>#DIV/0!</v>
          </cell>
          <cell r="AJ479" t="e">
            <v>#DIV/0!</v>
          </cell>
          <cell r="AK479" t="e">
            <v>#DIV/0!</v>
          </cell>
          <cell r="AL479" t="e">
            <v>#DIV/0!</v>
          </cell>
          <cell r="AM479" t="e">
            <v>#DIV/0!</v>
          </cell>
          <cell r="AN479" t="e">
            <v>#DIV/0!</v>
          </cell>
          <cell r="AO479" t="e">
            <v>#REF!</v>
          </cell>
          <cell r="AP479" t="e">
            <v>#REF!</v>
          </cell>
          <cell r="AQ479" t="e">
            <v>#REF!</v>
          </cell>
          <cell r="AR479" t="e">
            <v>#REF!</v>
          </cell>
          <cell r="AS479" t="e">
            <v>#REF!</v>
          </cell>
          <cell r="AT479" t="e">
            <v>#REF!</v>
          </cell>
          <cell r="AU479" t="e">
            <v>#REF!</v>
          </cell>
          <cell r="AV479" t="e">
            <v>#REF!</v>
          </cell>
          <cell r="AW479" t="e">
            <v>#DIV/0!</v>
          </cell>
          <cell r="AX479" t="e">
            <v>#DIV/0!</v>
          </cell>
          <cell r="AY479" t="e">
            <v>#DIV/0!</v>
          </cell>
          <cell r="AZ479" t="e">
            <v>#DIV/0!</v>
          </cell>
          <cell r="BE479" t="e">
            <v>#DIV/0!</v>
          </cell>
          <cell r="BF479" t="e">
            <v>#DIV/0!</v>
          </cell>
        </row>
        <row r="480">
          <cell r="A480" t="str">
            <v>-0</v>
          </cell>
          <cell r="B480" t="str">
            <v xml:space="preserve">-0  , </v>
          </cell>
          <cell r="C480"/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/>
          <cell r="S480"/>
          <cell r="T480"/>
          <cell r="U480"/>
          <cell r="V480"/>
          <cell r="W480"/>
          <cell r="X480">
            <v>0</v>
          </cell>
          <cell r="Y480">
            <v>0</v>
          </cell>
          <cell r="Z480">
            <v>0</v>
          </cell>
          <cell r="AA480" t="str">
            <v>,</v>
          </cell>
          <cell r="AB480" t="str">
            <v>,</v>
          </cell>
          <cell r="AC480" t="e">
            <v>#DIV/0!</v>
          </cell>
          <cell r="AD480" t="e">
            <v>#DIV/0!</v>
          </cell>
          <cell r="AE480">
            <v>0.71</v>
          </cell>
          <cell r="AF480">
            <v>94.97</v>
          </cell>
          <cell r="AG480">
            <v>0</v>
          </cell>
          <cell r="AH480" t="e">
            <v>#DIV/0!</v>
          </cell>
          <cell r="AI480" t="e">
            <v>#DIV/0!</v>
          </cell>
          <cell r="AJ480" t="e">
            <v>#DIV/0!</v>
          </cell>
          <cell r="AK480" t="e">
            <v>#DIV/0!</v>
          </cell>
          <cell r="AL480" t="e">
            <v>#DIV/0!</v>
          </cell>
          <cell r="AM480" t="e">
            <v>#DIV/0!</v>
          </cell>
          <cell r="AN480" t="e">
            <v>#DIV/0!</v>
          </cell>
          <cell r="AO480" t="e">
            <v>#REF!</v>
          </cell>
          <cell r="AP480" t="e">
            <v>#REF!</v>
          </cell>
          <cell r="AQ480" t="e">
            <v>#REF!</v>
          </cell>
          <cell r="AR480" t="e">
            <v>#REF!</v>
          </cell>
          <cell r="AS480" t="e">
            <v>#REF!</v>
          </cell>
          <cell r="AT480" t="e">
            <v>#REF!</v>
          </cell>
          <cell r="AU480" t="e">
            <v>#REF!</v>
          </cell>
          <cell r="AV480" t="e">
            <v>#REF!</v>
          </cell>
          <cell r="AW480" t="e">
            <v>#DIV/0!</v>
          </cell>
          <cell r="AX480" t="e">
            <v>#DIV/0!</v>
          </cell>
          <cell r="AY480" t="e">
            <v>#DIV/0!</v>
          </cell>
          <cell r="AZ480" t="e">
            <v>#DIV/0!</v>
          </cell>
          <cell r="BE480" t="e">
            <v>#DIV/0!</v>
          </cell>
          <cell r="BF480" t="e">
            <v>#DIV/0!</v>
          </cell>
        </row>
        <row r="481">
          <cell r="A481" t="str">
            <v>-0</v>
          </cell>
          <cell r="B481" t="str">
            <v xml:space="preserve">-0  , </v>
          </cell>
          <cell r="C481"/>
          <cell r="D481"/>
          <cell r="E481"/>
          <cell r="F481"/>
          <cell r="G481"/>
          <cell r="H481"/>
          <cell r="I481"/>
          <cell r="J481"/>
          <cell r="K481"/>
          <cell r="L481"/>
          <cell r="M481"/>
          <cell r="N481"/>
          <cell r="O481"/>
          <cell r="P481"/>
          <cell r="Q481"/>
          <cell r="R481"/>
          <cell r="S481"/>
          <cell r="T481"/>
          <cell r="U481"/>
          <cell r="V481"/>
          <cell r="W481"/>
          <cell r="X481">
            <v>0</v>
          </cell>
          <cell r="Y481">
            <v>0</v>
          </cell>
          <cell r="Z481">
            <v>0</v>
          </cell>
          <cell r="AA481" t="str">
            <v>,</v>
          </cell>
          <cell r="AB481" t="str">
            <v>,</v>
          </cell>
          <cell r="AC481" t="e">
            <v>#DIV/0!</v>
          </cell>
          <cell r="AD481" t="e">
            <v>#DIV/0!</v>
          </cell>
          <cell r="AE481">
            <v>0.71</v>
          </cell>
          <cell r="AF481">
            <v>94.97</v>
          </cell>
          <cell r="AG481">
            <v>0</v>
          </cell>
          <cell r="AH481" t="e">
            <v>#DIV/0!</v>
          </cell>
          <cell r="AI481" t="e">
            <v>#DIV/0!</v>
          </cell>
          <cell r="AJ481" t="e">
            <v>#DIV/0!</v>
          </cell>
          <cell r="AK481" t="e">
            <v>#DIV/0!</v>
          </cell>
          <cell r="AL481" t="e">
            <v>#DIV/0!</v>
          </cell>
          <cell r="AM481" t="e">
            <v>#DIV/0!</v>
          </cell>
          <cell r="AN481" t="e">
            <v>#DIV/0!</v>
          </cell>
          <cell r="AO481" t="e">
            <v>#REF!</v>
          </cell>
          <cell r="AP481" t="e">
            <v>#REF!</v>
          </cell>
          <cell r="AQ481" t="e">
            <v>#REF!</v>
          </cell>
          <cell r="AR481" t="e">
            <v>#REF!</v>
          </cell>
          <cell r="AS481" t="e">
            <v>#REF!</v>
          </cell>
          <cell r="AT481" t="e">
            <v>#REF!</v>
          </cell>
          <cell r="AU481" t="e">
            <v>#REF!</v>
          </cell>
          <cell r="AV481" t="e">
            <v>#REF!</v>
          </cell>
          <cell r="AW481" t="e">
            <v>#DIV/0!</v>
          </cell>
          <cell r="AX481" t="e">
            <v>#DIV/0!</v>
          </cell>
          <cell r="AY481" t="e">
            <v>#DIV/0!</v>
          </cell>
          <cell r="AZ481" t="e">
            <v>#DIV/0!</v>
          </cell>
          <cell r="BE481" t="e">
            <v>#DIV/0!</v>
          </cell>
          <cell r="BF481" t="e">
            <v>#DIV/0!</v>
          </cell>
        </row>
        <row r="482">
          <cell r="A482" t="str">
            <v>-0</v>
          </cell>
          <cell r="B482" t="str">
            <v xml:space="preserve">-0  , </v>
          </cell>
          <cell r="C482"/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/>
          <cell r="S482"/>
          <cell r="T482"/>
          <cell r="U482"/>
          <cell r="V482"/>
          <cell r="W482"/>
          <cell r="X482">
            <v>0</v>
          </cell>
          <cell r="Y482">
            <v>0</v>
          </cell>
          <cell r="Z482">
            <v>0</v>
          </cell>
          <cell r="AA482" t="str">
            <v>,</v>
          </cell>
          <cell r="AB482" t="str">
            <v>,</v>
          </cell>
          <cell r="AC482" t="e">
            <v>#DIV/0!</v>
          </cell>
          <cell r="AD482" t="e">
            <v>#DIV/0!</v>
          </cell>
          <cell r="AE482">
            <v>0.71</v>
          </cell>
          <cell r="AF482">
            <v>94.97</v>
          </cell>
          <cell r="AG482">
            <v>0</v>
          </cell>
          <cell r="AH482" t="e">
            <v>#DIV/0!</v>
          </cell>
          <cell r="AI482" t="e">
            <v>#DIV/0!</v>
          </cell>
          <cell r="AJ482" t="e">
            <v>#DIV/0!</v>
          </cell>
          <cell r="AK482" t="e">
            <v>#DIV/0!</v>
          </cell>
          <cell r="AL482" t="e">
            <v>#DIV/0!</v>
          </cell>
          <cell r="AM482" t="e">
            <v>#DIV/0!</v>
          </cell>
          <cell r="AN482" t="e">
            <v>#DIV/0!</v>
          </cell>
          <cell r="AO482" t="e">
            <v>#REF!</v>
          </cell>
          <cell r="AP482" t="e">
            <v>#REF!</v>
          </cell>
          <cell r="AQ482" t="e">
            <v>#REF!</v>
          </cell>
          <cell r="AR482" t="e">
            <v>#REF!</v>
          </cell>
          <cell r="AS482" t="e">
            <v>#REF!</v>
          </cell>
          <cell r="AT482" t="e">
            <v>#REF!</v>
          </cell>
          <cell r="AU482" t="e">
            <v>#REF!</v>
          </cell>
          <cell r="AV482" t="e">
            <v>#REF!</v>
          </cell>
          <cell r="AW482" t="e">
            <v>#DIV/0!</v>
          </cell>
          <cell r="AX482" t="e">
            <v>#DIV/0!</v>
          </cell>
          <cell r="AY482" t="e">
            <v>#DIV/0!</v>
          </cell>
          <cell r="AZ482" t="e">
            <v>#DIV/0!</v>
          </cell>
          <cell r="BE482" t="e">
            <v>#DIV/0!</v>
          </cell>
          <cell r="BF482" t="e">
            <v>#DIV/0!</v>
          </cell>
        </row>
        <row r="483">
          <cell r="A483" t="str">
            <v>-0</v>
          </cell>
          <cell r="B483" t="str">
            <v xml:space="preserve">-0  , </v>
          </cell>
          <cell r="C483"/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/>
          <cell r="S483"/>
          <cell r="T483"/>
          <cell r="U483"/>
          <cell r="V483"/>
          <cell r="W483"/>
          <cell r="X483">
            <v>0</v>
          </cell>
          <cell r="Y483">
            <v>0</v>
          </cell>
          <cell r="Z483">
            <v>0</v>
          </cell>
          <cell r="AA483" t="str">
            <v>,</v>
          </cell>
          <cell r="AB483" t="str">
            <v>,</v>
          </cell>
          <cell r="AC483" t="e">
            <v>#DIV/0!</v>
          </cell>
          <cell r="AD483" t="e">
            <v>#DIV/0!</v>
          </cell>
          <cell r="AE483">
            <v>0.71</v>
          </cell>
          <cell r="AF483">
            <v>94.97</v>
          </cell>
          <cell r="AG483">
            <v>0</v>
          </cell>
          <cell r="AH483" t="e">
            <v>#DIV/0!</v>
          </cell>
          <cell r="AI483" t="e">
            <v>#DIV/0!</v>
          </cell>
          <cell r="AJ483" t="e">
            <v>#DIV/0!</v>
          </cell>
          <cell r="AK483" t="e">
            <v>#DIV/0!</v>
          </cell>
          <cell r="AL483" t="e">
            <v>#DIV/0!</v>
          </cell>
          <cell r="AM483" t="e">
            <v>#DIV/0!</v>
          </cell>
          <cell r="AN483" t="e">
            <v>#DIV/0!</v>
          </cell>
          <cell r="AO483" t="e">
            <v>#REF!</v>
          </cell>
          <cell r="AP483" t="e">
            <v>#REF!</v>
          </cell>
          <cell r="AQ483" t="e">
            <v>#REF!</v>
          </cell>
          <cell r="AR483" t="e">
            <v>#REF!</v>
          </cell>
          <cell r="AS483" t="e">
            <v>#REF!</v>
          </cell>
          <cell r="AT483" t="e">
            <v>#REF!</v>
          </cell>
          <cell r="AU483" t="e">
            <v>#REF!</v>
          </cell>
          <cell r="AV483" t="e">
            <v>#REF!</v>
          </cell>
          <cell r="AW483" t="e">
            <v>#DIV/0!</v>
          </cell>
          <cell r="AX483" t="e">
            <v>#DIV/0!</v>
          </cell>
          <cell r="AY483" t="e">
            <v>#DIV/0!</v>
          </cell>
          <cell r="AZ483" t="e">
            <v>#DIV/0!</v>
          </cell>
          <cell r="BE483" t="e">
            <v>#DIV/0!</v>
          </cell>
          <cell r="BF483" t="e">
            <v>#DIV/0!</v>
          </cell>
        </row>
        <row r="484">
          <cell r="A484" t="str">
            <v>-0</v>
          </cell>
          <cell r="B484" t="str">
            <v xml:space="preserve">-0  , </v>
          </cell>
          <cell r="C484"/>
          <cell r="D484"/>
          <cell r="E484"/>
          <cell r="F484"/>
          <cell r="G484"/>
          <cell r="H484"/>
          <cell r="I484"/>
          <cell r="J484"/>
          <cell r="K484"/>
          <cell r="L484"/>
          <cell r="M484"/>
          <cell r="N484"/>
          <cell r="O484"/>
          <cell r="P484"/>
          <cell r="Q484"/>
          <cell r="R484"/>
          <cell r="S484"/>
          <cell r="T484"/>
          <cell r="U484"/>
          <cell r="V484"/>
          <cell r="W484"/>
          <cell r="X484">
            <v>0</v>
          </cell>
          <cell r="Y484">
            <v>0</v>
          </cell>
          <cell r="Z484">
            <v>0</v>
          </cell>
          <cell r="AA484" t="str">
            <v>,</v>
          </cell>
          <cell r="AB484" t="str">
            <v>,</v>
          </cell>
          <cell r="AC484" t="e">
            <v>#DIV/0!</v>
          </cell>
          <cell r="AD484" t="e">
            <v>#DIV/0!</v>
          </cell>
          <cell r="AE484">
            <v>0.71</v>
          </cell>
          <cell r="AF484">
            <v>94.97</v>
          </cell>
          <cell r="AG484">
            <v>0</v>
          </cell>
          <cell r="AH484" t="e">
            <v>#DIV/0!</v>
          </cell>
          <cell r="AI484" t="e">
            <v>#DIV/0!</v>
          </cell>
          <cell r="AJ484" t="e">
            <v>#DIV/0!</v>
          </cell>
          <cell r="AK484" t="e">
            <v>#DIV/0!</v>
          </cell>
          <cell r="AL484" t="e">
            <v>#DIV/0!</v>
          </cell>
          <cell r="AM484" t="e">
            <v>#DIV/0!</v>
          </cell>
          <cell r="AN484" t="e">
            <v>#DIV/0!</v>
          </cell>
          <cell r="AO484" t="e">
            <v>#REF!</v>
          </cell>
          <cell r="AP484" t="e">
            <v>#REF!</v>
          </cell>
          <cell r="AQ484" t="e">
            <v>#REF!</v>
          </cell>
          <cell r="AR484" t="e">
            <v>#REF!</v>
          </cell>
          <cell r="AS484" t="e">
            <v>#REF!</v>
          </cell>
          <cell r="AT484" t="e">
            <v>#REF!</v>
          </cell>
          <cell r="AU484" t="e">
            <v>#REF!</v>
          </cell>
          <cell r="AV484" t="e">
            <v>#REF!</v>
          </cell>
          <cell r="AW484" t="e">
            <v>#DIV/0!</v>
          </cell>
          <cell r="AX484" t="e">
            <v>#DIV/0!</v>
          </cell>
          <cell r="AY484" t="e">
            <v>#DIV/0!</v>
          </cell>
          <cell r="AZ484" t="e">
            <v>#DIV/0!</v>
          </cell>
          <cell r="BE484" t="e">
            <v>#DIV/0!</v>
          </cell>
          <cell r="BF484" t="e">
            <v>#DIV/0!</v>
          </cell>
        </row>
        <row r="485">
          <cell r="A485" t="str">
            <v>-0</v>
          </cell>
          <cell r="B485" t="str">
            <v xml:space="preserve">-0  , </v>
          </cell>
          <cell r="C485"/>
          <cell r="D485"/>
          <cell r="E485"/>
          <cell r="F485"/>
          <cell r="G485"/>
          <cell r="H485"/>
          <cell r="I485"/>
          <cell r="J485"/>
          <cell r="K485"/>
          <cell r="L485"/>
          <cell r="M485"/>
          <cell r="N485"/>
          <cell r="O485"/>
          <cell r="P485"/>
          <cell r="Q485"/>
          <cell r="R485"/>
          <cell r="S485"/>
          <cell r="T485"/>
          <cell r="U485"/>
          <cell r="V485"/>
          <cell r="W485"/>
          <cell r="X485">
            <v>0</v>
          </cell>
          <cell r="Y485">
            <v>0</v>
          </cell>
          <cell r="Z485">
            <v>0</v>
          </cell>
          <cell r="AA485" t="str">
            <v>,</v>
          </cell>
          <cell r="AB485" t="str">
            <v>,</v>
          </cell>
          <cell r="AC485" t="e">
            <v>#DIV/0!</v>
          </cell>
          <cell r="AD485" t="e">
            <v>#DIV/0!</v>
          </cell>
          <cell r="AE485">
            <v>0.71</v>
          </cell>
          <cell r="AF485">
            <v>94.97</v>
          </cell>
          <cell r="AG485">
            <v>0</v>
          </cell>
          <cell r="AH485" t="e">
            <v>#DIV/0!</v>
          </cell>
          <cell r="AI485" t="e">
            <v>#DIV/0!</v>
          </cell>
          <cell r="AJ485" t="e">
            <v>#DIV/0!</v>
          </cell>
          <cell r="AK485" t="e">
            <v>#DIV/0!</v>
          </cell>
          <cell r="AL485" t="e">
            <v>#DIV/0!</v>
          </cell>
          <cell r="AM485" t="e">
            <v>#DIV/0!</v>
          </cell>
          <cell r="AN485" t="e">
            <v>#DIV/0!</v>
          </cell>
          <cell r="AO485" t="e">
            <v>#REF!</v>
          </cell>
          <cell r="AP485" t="e">
            <v>#REF!</v>
          </cell>
          <cell r="AQ485" t="e">
            <v>#REF!</v>
          </cell>
          <cell r="AR485" t="e">
            <v>#REF!</v>
          </cell>
          <cell r="AS485" t="e">
            <v>#REF!</v>
          </cell>
          <cell r="AT485" t="e">
            <v>#REF!</v>
          </cell>
          <cell r="AU485" t="e">
            <v>#REF!</v>
          </cell>
          <cell r="AV485" t="e">
            <v>#REF!</v>
          </cell>
          <cell r="AW485" t="e">
            <v>#DIV/0!</v>
          </cell>
          <cell r="AX485" t="e">
            <v>#DIV/0!</v>
          </cell>
          <cell r="AY485" t="e">
            <v>#DIV/0!</v>
          </cell>
          <cell r="AZ485" t="e">
            <v>#DIV/0!</v>
          </cell>
          <cell r="BE485" t="e">
            <v>#DIV/0!</v>
          </cell>
          <cell r="BF485" t="e">
            <v>#DIV/0!</v>
          </cell>
        </row>
        <row r="486">
          <cell r="A486" t="str">
            <v>-0</v>
          </cell>
          <cell r="B486" t="str">
            <v xml:space="preserve">-0  , </v>
          </cell>
          <cell r="C486"/>
          <cell r="D486"/>
          <cell r="E486"/>
          <cell r="F486"/>
          <cell r="G486"/>
          <cell r="H486"/>
          <cell r="I486"/>
          <cell r="J486"/>
          <cell r="K486"/>
          <cell r="L486"/>
          <cell r="M486"/>
          <cell r="N486"/>
          <cell r="O486"/>
          <cell r="P486"/>
          <cell r="Q486"/>
          <cell r="R486"/>
          <cell r="S486"/>
          <cell r="T486"/>
          <cell r="U486"/>
          <cell r="V486"/>
          <cell r="W486"/>
          <cell r="X486">
            <v>0</v>
          </cell>
          <cell r="Y486">
            <v>0</v>
          </cell>
          <cell r="Z486">
            <v>0</v>
          </cell>
          <cell r="AA486" t="str">
            <v>,</v>
          </cell>
          <cell r="AB486" t="str">
            <v>,</v>
          </cell>
          <cell r="AC486" t="e">
            <v>#DIV/0!</v>
          </cell>
          <cell r="AD486" t="e">
            <v>#DIV/0!</v>
          </cell>
          <cell r="AE486">
            <v>0.71</v>
          </cell>
          <cell r="AF486">
            <v>94.97</v>
          </cell>
          <cell r="AG486">
            <v>0</v>
          </cell>
          <cell r="AH486" t="e">
            <v>#DIV/0!</v>
          </cell>
          <cell r="AI486" t="e">
            <v>#DIV/0!</v>
          </cell>
          <cell r="AJ486" t="e">
            <v>#DIV/0!</v>
          </cell>
          <cell r="AK486" t="e">
            <v>#DIV/0!</v>
          </cell>
          <cell r="AL486" t="e">
            <v>#DIV/0!</v>
          </cell>
          <cell r="AM486" t="e">
            <v>#DIV/0!</v>
          </cell>
          <cell r="AN486" t="e">
            <v>#DIV/0!</v>
          </cell>
          <cell r="AO486" t="e">
            <v>#REF!</v>
          </cell>
          <cell r="AP486" t="e">
            <v>#REF!</v>
          </cell>
          <cell r="AQ486" t="e">
            <v>#REF!</v>
          </cell>
          <cell r="AR486" t="e">
            <v>#REF!</v>
          </cell>
          <cell r="AS486" t="e">
            <v>#REF!</v>
          </cell>
          <cell r="AT486" t="e">
            <v>#REF!</v>
          </cell>
          <cell r="AU486" t="e">
            <v>#REF!</v>
          </cell>
          <cell r="AV486" t="e">
            <v>#REF!</v>
          </cell>
          <cell r="AW486" t="e">
            <v>#DIV/0!</v>
          </cell>
          <cell r="AX486" t="e">
            <v>#DIV/0!</v>
          </cell>
          <cell r="AY486" t="e">
            <v>#DIV/0!</v>
          </cell>
          <cell r="AZ486" t="e">
            <v>#DIV/0!</v>
          </cell>
          <cell r="BE486" t="e">
            <v>#DIV/0!</v>
          </cell>
          <cell r="BF486" t="e">
            <v>#DIV/0!</v>
          </cell>
        </row>
        <row r="487">
          <cell r="A487" t="str">
            <v>-0</v>
          </cell>
          <cell r="B487" t="str">
            <v xml:space="preserve">-0  , </v>
          </cell>
          <cell r="C487"/>
          <cell r="D487"/>
          <cell r="E487"/>
          <cell r="F487"/>
          <cell r="G487"/>
          <cell r="H487"/>
          <cell r="I487"/>
          <cell r="J487"/>
          <cell r="K487"/>
          <cell r="L487"/>
          <cell r="M487"/>
          <cell r="N487"/>
          <cell r="O487"/>
          <cell r="P487"/>
          <cell r="Q487"/>
          <cell r="R487"/>
          <cell r="S487"/>
          <cell r="T487"/>
          <cell r="U487"/>
          <cell r="V487"/>
          <cell r="W487"/>
          <cell r="X487">
            <v>0</v>
          </cell>
          <cell r="Y487">
            <v>0</v>
          </cell>
          <cell r="Z487">
            <v>0</v>
          </cell>
          <cell r="AA487" t="str">
            <v>,</v>
          </cell>
          <cell r="AB487" t="str">
            <v>,</v>
          </cell>
          <cell r="AC487" t="e">
            <v>#DIV/0!</v>
          </cell>
          <cell r="AD487" t="e">
            <v>#DIV/0!</v>
          </cell>
          <cell r="AE487">
            <v>0.71</v>
          </cell>
          <cell r="AF487">
            <v>94.97</v>
          </cell>
          <cell r="AG487">
            <v>0</v>
          </cell>
          <cell r="AH487" t="e">
            <v>#DIV/0!</v>
          </cell>
          <cell r="AI487" t="e">
            <v>#DIV/0!</v>
          </cell>
          <cell r="AJ487" t="e">
            <v>#DIV/0!</v>
          </cell>
          <cell r="AK487" t="e">
            <v>#DIV/0!</v>
          </cell>
          <cell r="AL487" t="e">
            <v>#DIV/0!</v>
          </cell>
          <cell r="AM487" t="e">
            <v>#DIV/0!</v>
          </cell>
          <cell r="AN487" t="e">
            <v>#DIV/0!</v>
          </cell>
          <cell r="AO487" t="e">
            <v>#REF!</v>
          </cell>
          <cell r="AP487" t="e">
            <v>#REF!</v>
          </cell>
          <cell r="AQ487" t="e">
            <v>#REF!</v>
          </cell>
          <cell r="AR487" t="e">
            <v>#REF!</v>
          </cell>
          <cell r="AS487" t="e">
            <v>#REF!</v>
          </cell>
          <cell r="AT487" t="e">
            <v>#REF!</v>
          </cell>
          <cell r="AU487" t="e">
            <v>#REF!</v>
          </cell>
          <cell r="AV487" t="e">
            <v>#REF!</v>
          </cell>
          <cell r="AW487" t="e">
            <v>#DIV/0!</v>
          </cell>
          <cell r="AX487" t="e">
            <v>#DIV/0!</v>
          </cell>
          <cell r="AY487" t="e">
            <v>#DIV/0!</v>
          </cell>
          <cell r="AZ487" t="e">
            <v>#DIV/0!</v>
          </cell>
          <cell r="BE487" t="e">
            <v>#DIV/0!</v>
          </cell>
          <cell r="BF487" t="e">
            <v>#DIV/0!</v>
          </cell>
        </row>
        <row r="488">
          <cell r="A488" t="str">
            <v>-0</v>
          </cell>
          <cell r="B488" t="str">
            <v xml:space="preserve">-0  , </v>
          </cell>
          <cell r="C488"/>
          <cell r="D488"/>
          <cell r="E488"/>
          <cell r="F488"/>
          <cell r="G488"/>
          <cell r="H488"/>
          <cell r="I488"/>
          <cell r="J488"/>
          <cell r="K488"/>
          <cell r="L488"/>
          <cell r="M488"/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  <cell r="X488">
            <v>0</v>
          </cell>
          <cell r="Y488">
            <v>0</v>
          </cell>
          <cell r="Z488">
            <v>0</v>
          </cell>
          <cell r="AA488" t="str">
            <v>,</v>
          </cell>
          <cell r="AB488" t="str">
            <v>,</v>
          </cell>
          <cell r="AC488" t="e">
            <v>#DIV/0!</v>
          </cell>
          <cell r="AD488" t="e">
            <v>#DIV/0!</v>
          </cell>
          <cell r="AE488">
            <v>0.71</v>
          </cell>
          <cell r="AF488">
            <v>94.97</v>
          </cell>
          <cell r="AG488">
            <v>0</v>
          </cell>
          <cell r="AH488" t="e">
            <v>#DIV/0!</v>
          </cell>
          <cell r="AI488" t="e">
            <v>#DIV/0!</v>
          </cell>
          <cell r="AJ488" t="e">
            <v>#DIV/0!</v>
          </cell>
          <cell r="AK488" t="e">
            <v>#DIV/0!</v>
          </cell>
          <cell r="AL488" t="e">
            <v>#DIV/0!</v>
          </cell>
          <cell r="AM488" t="e">
            <v>#DIV/0!</v>
          </cell>
          <cell r="AN488" t="e">
            <v>#DIV/0!</v>
          </cell>
          <cell r="AO488" t="e">
            <v>#REF!</v>
          </cell>
          <cell r="AP488" t="e">
            <v>#REF!</v>
          </cell>
          <cell r="AQ488" t="e">
            <v>#REF!</v>
          </cell>
          <cell r="AR488" t="e">
            <v>#REF!</v>
          </cell>
          <cell r="AS488" t="e">
            <v>#REF!</v>
          </cell>
          <cell r="AT488" t="e">
            <v>#REF!</v>
          </cell>
          <cell r="AU488" t="e">
            <v>#REF!</v>
          </cell>
          <cell r="AV488" t="e">
            <v>#REF!</v>
          </cell>
          <cell r="AW488" t="e">
            <v>#DIV/0!</v>
          </cell>
          <cell r="AX488" t="e">
            <v>#DIV/0!</v>
          </cell>
          <cell r="AY488" t="e">
            <v>#DIV/0!</v>
          </cell>
          <cell r="AZ488" t="e">
            <v>#DIV/0!</v>
          </cell>
          <cell r="BE488" t="e">
            <v>#DIV/0!</v>
          </cell>
          <cell r="BF488" t="e">
            <v>#DIV/0!</v>
          </cell>
        </row>
        <row r="489">
          <cell r="A489" t="str">
            <v>-0</v>
          </cell>
          <cell r="B489" t="str">
            <v xml:space="preserve">-0  , </v>
          </cell>
          <cell r="C489"/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  <cell r="X489">
            <v>0</v>
          </cell>
          <cell r="Y489">
            <v>0</v>
          </cell>
          <cell r="Z489">
            <v>0</v>
          </cell>
          <cell r="AA489" t="str">
            <v>,</v>
          </cell>
          <cell r="AB489" t="str">
            <v>,</v>
          </cell>
          <cell r="AC489" t="e">
            <v>#DIV/0!</v>
          </cell>
          <cell r="AD489" t="e">
            <v>#DIV/0!</v>
          </cell>
          <cell r="AE489">
            <v>0.71</v>
          </cell>
          <cell r="AF489">
            <v>94.97</v>
          </cell>
          <cell r="AG489">
            <v>0</v>
          </cell>
          <cell r="AH489" t="e">
            <v>#DIV/0!</v>
          </cell>
          <cell r="AI489" t="e">
            <v>#DIV/0!</v>
          </cell>
          <cell r="AJ489" t="e">
            <v>#DIV/0!</v>
          </cell>
          <cell r="AK489" t="e">
            <v>#DIV/0!</v>
          </cell>
          <cell r="AL489" t="e">
            <v>#DIV/0!</v>
          </cell>
          <cell r="AM489" t="e">
            <v>#DIV/0!</v>
          </cell>
          <cell r="AN489" t="e">
            <v>#DIV/0!</v>
          </cell>
          <cell r="AO489" t="e">
            <v>#REF!</v>
          </cell>
          <cell r="AP489" t="e">
            <v>#REF!</v>
          </cell>
          <cell r="AQ489" t="e">
            <v>#REF!</v>
          </cell>
          <cell r="AR489" t="e">
            <v>#REF!</v>
          </cell>
          <cell r="AS489" t="e">
            <v>#REF!</v>
          </cell>
          <cell r="AT489" t="e">
            <v>#REF!</v>
          </cell>
          <cell r="AU489" t="e">
            <v>#REF!</v>
          </cell>
          <cell r="AV489" t="e">
            <v>#REF!</v>
          </cell>
          <cell r="AW489" t="e">
            <v>#DIV/0!</v>
          </cell>
          <cell r="AX489" t="e">
            <v>#DIV/0!</v>
          </cell>
          <cell r="AY489" t="e">
            <v>#DIV/0!</v>
          </cell>
          <cell r="AZ489" t="e">
            <v>#DIV/0!</v>
          </cell>
          <cell r="BE489" t="e">
            <v>#DIV/0!</v>
          </cell>
          <cell r="BF489" t="e">
            <v>#DIV/0!</v>
          </cell>
        </row>
        <row r="490">
          <cell r="A490" t="str">
            <v>-0</v>
          </cell>
          <cell r="B490" t="str">
            <v xml:space="preserve">-0  , </v>
          </cell>
          <cell r="C490"/>
          <cell r="D490"/>
          <cell r="E490"/>
          <cell r="F490"/>
          <cell r="G490"/>
          <cell r="H490"/>
          <cell r="I490"/>
          <cell r="J490"/>
          <cell r="K490"/>
          <cell r="L490"/>
          <cell r="M490"/>
          <cell r="N490"/>
          <cell r="O490"/>
          <cell r="P490"/>
          <cell r="Q490"/>
          <cell r="R490"/>
          <cell r="S490"/>
          <cell r="T490"/>
          <cell r="U490"/>
          <cell r="V490"/>
          <cell r="W490"/>
          <cell r="X490">
            <v>0</v>
          </cell>
          <cell r="Y490">
            <v>0</v>
          </cell>
          <cell r="Z490">
            <v>0</v>
          </cell>
          <cell r="AA490" t="str">
            <v>,</v>
          </cell>
          <cell r="AB490" t="str">
            <v>,</v>
          </cell>
          <cell r="AC490" t="e">
            <v>#DIV/0!</v>
          </cell>
          <cell r="AD490" t="e">
            <v>#DIV/0!</v>
          </cell>
          <cell r="AE490">
            <v>0.71</v>
          </cell>
          <cell r="AF490">
            <v>94.97</v>
          </cell>
          <cell r="AG490">
            <v>0</v>
          </cell>
          <cell r="AH490" t="e">
            <v>#DIV/0!</v>
          </cell>
          <cell r="AI490" t="e">
            <v>#DIV/0!</v>
          </cell>
          <cell r="AJ490" t="e">
            <v>#DIV/0!</v>
          </cell>
          <cell r="AK490" t="e">
            <v>#DIV/0!</v>
          </cell>
          <cell r="AL490" t="e">
            <v>#DIV/0!</v>
          </cell>
          <cell r="AM490" t="e">
            <v>#DIV/0!</v>
          </cell>
          <cell r="AN490" t="e">
            <v>#DIV/0!</v>
          </cell>
          <cell r="AO490" t="e">
            <v>#REF!</v>
          </cell>
          <cell r="AP490" t="e">
            <v>#REF!</v>
          </cell>
          <cell r="AQ490" t="e">
            <v>#REF!</v>
          </cell>
          <cell r="AR490" t="e">
            <v>#REF!</v>
          </cell>
          <cell r="AS490" t="e">
            <v>#REF!</v>
          </cell>
          <cell r="AT490" t="e">
            <v>#REF!</v>
          </cell>
          <cell r="AU490" t="e">
            <v>#REF!</v>
          </cell>
          <cell r="AV490" t="e">
            <v>#REF!</v>
          </cell>
          <cell r="AW490" t="e">
            <v>#DIV/0!</v>
          </cell>
          <cell r="AX490" t="e">
            <v>#DIV/0!</v>
          </cell>
          <cell r="AY490" t="e">
            <v>#DIV/0!</v>
          </cell>
          <cell r="AZ490" t="e">
            <v>#DIV/0!</v>
          </cell>
          <cell r="BE490" t="e">
            <v>#DIV/0!</v>
          </cell>
          <cell r="BF490" t="e">
            <v>#DIV/0!</v>
          </cell>
        </row>
        <row r="491">
          <cell r="A491" t="str">
            <v>-0</v>
          </cell>
          <cell r="B491" t="str">
            <v xml:space="preserve">-0  , </v>
          </cell>
          <cell r="C491"/>
          <cell r="D491"/>
          <cell r="E491"/>
          <cell r="F491"/>
          <cell r="G491"/>
          <cell r="H491"/>
          <cell r="I491"/>
          <cell r="J491"/>
          <cell r="K491"/>
          <cell r="L491"/>
          <cell r="M491"/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  <cell r="X491">
            <v>0</v>
          </cell>
          <cell r="Y491">
            <v>0</v>
          </cell>
          <cell r="Z491">
            <v>0</v>
          </cell>
          <cell r="AA491" t="str">
            <v>,</v>
          </cell>
          <cell r="AB491" t="str">
            <v>,</v>
          </cell>
          <cell r="AC491" t="e">
            <v>#DIV/0!</v>
          </cell>
          <cell r="AD491" t="e">
            <v>#DIV/0!</v>
          </cell>
          <cell r="AE491">
            <v>0.71</v>
          </cell>
          <cell r="AF491">
            <v>94.97</v>
          </cell>
          <cell r="AG491">
            <v>0</v>
          </cell>
          <cell r="AH491" t="e">
            <v>#DIV/0!</v>
          </cell>
          <cell r="AI491" t="e">
            <v>#DIV/0!</v>
          </cell>
          <cell r="AJ491" t="e">
            <v>#DIV/0!</v>
          </cell>
          <cell r="AK491" t="e">
            <v>#DIV/0!</v>
          </cell>
          <cell r="AL491" t="e">
            <v>#DIV/0!</v>
          </cell>
          <cell r="AM491" t="e">
            <v>#DIV/0!</v>
          </cell>
          <cell r="AN491" t="e">
            <v>#DIV/0!</v>
          </cell>
          <cell r="AO491" t="e">
            <v>#REF!</v>
          </cell>
          <cell r="AP491" t="e">
            <v>#REF!</v>
          </cell>
          <cell r="AQ491" t="e">
            <v>#REF!</v>
          </cell>
          <cell r="AR491" t="e">
            <v>#REF!</v>
          </cell>
          <cell r="AS491" t="e">
            <v>#REF!</v>
          </cell>
          <cell r="AT491" t="e">
            <v>#REF!</v>
          </cell>
          <cell r="AU491" t="e">
            <v>#REF!</v>
          </cell>
          <cell r="AV491" t="e">
            <v>#REF!</v>
          </cell>
          <cell r="AW491" t="e">
            <v>#DIV/0!</v>
          </cell>
          <cell r="AX491" t="e">
            <v>#DIV/0!</v>
          </cell>
          <cell r="AY491" t="e">
            <v>#DIV/0!</v>
          </cell>
          <cell r="AZ491" t="e">
            <v>#DIV/0!</v>
          </cell>
          <cell r="BE491" t="e">
            <v>#DIV/0!</v>
          </cell>
          <cell r="BF491" t="e">
            <v>#DIV/0!</v>
          </cell>
        </row>
        <row r="492">
          <cell r="A492" t="str">
            <v>-0</v>
          </cell>
          <cell r="B492" t="str">
            <v xml:space="preserve">-0  , </v>
          </cell>
          <cell r="C492"/>
          <cell r="D492"/>
          <cell r="E492"/>
          <cell r="F492"/>
          <cell r="G492"/>
          <cell r="H492"/>
          <cell r="I492"/>
          <cell r="J492"/>
          <cell r="K492"/>
          <cell r="L492"/>
          <cell r="M492"/>
          <cell r="N492"/>
          <cell r="O492"/>
          <cell r="P492"/>
          <cell r="Q492"/>
          <cell r="R492"/>
          <cell r="S492"/>
          <cell r="T492"/>
          <cell r="U492"/>
          <cell r="V492"/>
          <cell r="W492"/>
          <cell r="X492">
            <v>0</v>
          </cell>
          <cell r="Y492">
            <v>0</v>
          </cell>
          <cell r="Z492">
            <v>0</v>
          </cell>
          <cell r="AA492" t="str">
            <v>,</v>
          </cell>
          <cell r="AB492" t="str">
            <v>,</v>
          </cell>
          <cell r="AC492" t="e">
            <v>#DIV/0!</v>
          </cell>
          <cell r="AD492" t="e">
            <v>#DIV/0!</v>
          </cell>
          <cell r="AE492">
            <v>0.71</v>
          </cell>
          <cell r="AF492">
            <v>94.97</v>
          </cell>
          <cell r="AG492">
            <v>0</v>
          </cell>
          <cell r="AH492" t="e">
            <v>#DIV/0!</v>
          </cell>
          <cell r="AI492" t="e">
            <v>#DIV/0!</v>
          </cell>
          <cell r="AJ492" t="e">
            <v>#DIV/0!</v>
          </cell>
          <cell r="AK492" t="e">
            <v>#DIV/0!</v>
          </cell>
          <cell r="AL492" t="e">
            <v>#DIV/0!</v>
          </cell>
          <cell r="AM492" t="e">
            <v>#DIV/0!</v>
          </cell>
          <cell r="AN492" t="e">
            <v>#DIV/0!</v>
          </cell>
          <cell r="AO492" t="e">
            <v>#REF!</v>
          </cell>
          <cell r="AP492" t="e">
            <v>#REF!</v>
          </cell>
          <cell r="AQ492" t="e">
            <v>#REF!</v>
          </cell>
          <cell r="AR492" t="e">
            <v>#REF!</v>
          </cell>
          <cell r="AS492" t="e">
            <v>#REF!</v>
          </cell>
          <cell r="AT492" t="e">
            <v>#REF!</v>
          </cell>
          <cell r="AU492" t="e">
            <v>#REF!</v>
          </cell>
          <cell r="AV492" t="e">
            <v>#REF!</v>
          </cell>
          <cell r="AW492" t="e">
            <v>#DIV/0!</v>
          </cell>
          <cell r="AX492" t="e">
            <v>#DIV/0!</v>
          </cell>
          <cell r="AY492" t="e">
            <v>#DIV/0!</v>
          </cell>
          <cell r="AZ492" t="e">
            <v>#DIV/0!</v>
          </cell>
          <cell r="BE492" t="e">
            <v>#DIV/0!</v>
          </cell>
          <cell r="BF492" t="e">
            <v>#DIV/0!</v>
          </cell>
        </row>
        <row r="493">
          <cell r="A493" t="str">
            <v>-0</v>
          </cell>
          <cell r="B493" t="str">
            <v xml:space="preserve">-0  , </v>
          </cell>
          <cell r="C493"/>
          <cell r="D493"/>
          <cell r="E493"/>
          <cell r="F493"/>
          <cell r="G493"/>
          <cell r="H493"/>
          <cell r="I493"/>
          <cell r="J493"/>
          <cell r="K493"/>
          <cell r="L493"/>
          <cell r="M493"/>
          <cell r="N493"/>
          <cell r="O493"/>
          <cell r="P493"/>
          <cell r="Q493"/>
          <cell r="R493"/>
          <cell r="S493"/>
          <cell r="T493"/>
          <cell r="U493"/>
          <cell r="V493"/>
          <cell r="W493"/>
          <cell r="X493">
            <v>0</v>
          </cell>
          <cell r="Y493">
            <v>0</v>
          </cell>
          <cell r="Z493">
            <v>0</v>
          </cell>
          <cell r="AA493" t="str">
            <v>,</v>
          </cell>
          <cell r="AB493" t="str">
            <v>,</v>
          </cell>
          <cell r="AC493" t="e">
            <v>#DIV/0!</v>
          </cell>
          <cell r="AD493" t="e">
            <v>#DIV/0!</v>
          </cell>
          <cell r="AE493">
            <v>0.71</v>
          </cell>
          <cell r="AF493">
            <v>94.97</v>
          </cell>
          <cell r="AG493">
            <v>0</v>
          </cell>
          <cell r="AH493" t="e">
            <v>#DIV/0!</v>
          </cell>
          <cell r="AI493" t="e">
            <v>#DIV/0!</v>
          </cell>
          <cell r="AJ493" t="e">
            <v>#DIV/0!</v>
          </cell>
          <cell r="AK493" t="e">
            <v>#DIV/0!</v>
          </cell>
          <cell r="AL493" t="e">
            <v>#DIV/0!</v>
          </cell>
          <cell r="AM493" t="e">
            <v>#DIV/0!</v>
          </cell>
          <cell r="AN493" t="e">
            <v>#DIV/0!</v>
          </cell>
          <cell r="AO493" t="e">
            <v>#REF!</v>
          </cell>
          <cell r="AP493" t="e">
            <v>#REF!</v>
          </cell>
          <cell r="AQ493" t="e">
            <v>#REF!</v>
          </cell>
          <cell r="AR493" t="e">
            <v>#REF!</v>
          </cell>
          <cell r="AS493" t="e">
            <v>#REF!</v>
          </cell>
          <cell r="AT493" t="e">
            <v>#REF!</v>
          </cell>
          <cell r="AU493" t="e">
            <v>#REF!</v>
          </cell>
          <cell r="AV493" t="e">
            <v>#REF!</v>
          </cell>
          <cell r="AW493" t="e">
            <v>#DIV/0!</v>
          </cell>
          <cell r="AX493" t="e">
            <v>#DIV/0!</v>
          </cell>
          <cell r="AY493" t="e">
            <v>#DIV/0!</v>
          </cell>
          <cell r="AZ493" t="e">
            <v>#DIV/0!</v>
          </cell>
          <cell r="BE493" t="e">
            <v>#DIV/0!</v>
          </cell>
          <cell r="BF493" t="e">
            <v>#DIV/0!</v>
          </cell>
        </row>
        <row r="494">
          <cell r="A494" t="str">
            <v>-0</v>
          </cell>
          <cell r="B494" t="str">
            <v xml:space="preserve">-0  , </v>
          </cell>
          <cell r="C494"/>
          <cell r="D494"/>
          <cell r="E494"/>
          <cell r="F494"/>
          <cell r="G494"/>
          <cell r="H494"/>
          <cell r="I494"/>
          <cell r="J494"/>
          <cell r="K494"/>
          <cell r="L494"/>
          <cell r="M494"/>
          <cell r="N494"/>
          <cell r="O494"/>
          <cell r="P494"/>
          <cell r="Q494"/>
          <cell r="R494"/>
          <cell r="S494"/>
          <cell r="T494"/>
          <cell r="U494"/>
          <cell r="V494"/>
          <cell r="W494"/>
          <cell r="X494">
            <v>0</v>
          </cell>
          <cell r="Y494">
            <v>0</v>
          </cell>
          <cell r="Z494">
            <v>0</v>
          </cell>
          <cell r="AA494" t="str">
            <v>,</v>
          </cell>
          <cell r="AB494" t="str">
            <v>,</v>
          </cell>
          <cell r="AC494" t="e">
            <v>#DIV/0!</v>
          </cell>
          <cell r="AD494" t="e">
            <v>#DIV/0!</v>
          </cell>
          <cell r="AE494">
            <v>0.71</v>
          </cell>
          <cell r="AF494">
            <v>94.97</v>
          </cell>
          <cell r="AG494">
            <v>0</v>
          </cell>
          <cell r="AH494" t="e">
            <v>#DIV/0!</v>
          </cell>
          <cell r="AI494" t="e">
            <v>#DIV/0!</v>
          </cell>
          <cell r="AJ494" t="e">
            <v>#DIV/0!</v>
          </cell>
          <cell r="AK494" t="e">
            <v>#DIV/0!</v>
          </cell>
          <cell r="AL494" t="e">
            <v>#DIV/0!</v>
          </cell>
          <cell r="AM494" t="e">
            <v>#DIV/0!</v>
          </cell>
          <cell r="AN494" t="e">
            <v>#DIV/0!</v>
          </cell>
          <cell r="AO494" t="e">
            <v>#REF!</v>
          </cell>
          <cell r="AP494" t="e">
            <v>#REF!</v>
          </cell>
          <cell r="AQ494" t="e">
            <v>#REF!</v>
          </cell>
          <cell r="AR494" t="e">
            <v>#REF!</v>
          </cell>
          <cell r="AS494" t="e">
            <v>#REF!</v>
          </cell>
          <cell r="AT494" t="e">
            <v>#REF!</v>
          </cell>
          <cell r="AU494" t="e">
            <v>#REF!</v>
          </cell>
          <cell r="AV494" t="e">
            <v>#REF!</v>
          </cell>
          <cell r="AW494" t="e">
            <v>#DIV/0!</v>
          </cell>
          <cell r="AX494" t="e">
            <v>#DIV/0!</v>
          </cell>
          <cell r="AY494" t="e">
            <v>#DIV/0!</v>
          </cell>
          <cell r="AZ494" t="e">
            <v>#DIV/0!</v>
          </cell>
          <cell r="BE494" t="e">
            <v>#DIV/0!</v>
          </cell>
          <cell r="BF494" t="e">
            <v>#DIV/0!</v>
          </cell>
        </row>
        <row r="495">
          <cell r="A495" t="str">
            <v>-0</v>
          </cell>
          <cell r="B495" t="str">
            <v xml:space="preserve">-0  , </v>
          </cell>
          <cell r="C495"/>
          <cell r="D495"/>
          <cell r="E495"/>
          <cell r="F495"/>
          <cell r="G495"/>
          <cell r="H495"/>
          <cell r="I495"/>
          <cell r="J495"/>
          <cell r="K495"/>
          <cell r="L495"/>
          <cell r="M495"/>
          <cell r="N495"/>
          <cell r="O495"/>
          <cell r="P495"/>
          <cell r="Q495"/>
          <cell r="R495"/>
          <cell r="S495"/>
          <cell r="T495"/>
          <cell r="U495"/>
          <cell r="V495"/>
          <cell r="W495"/>
          <cell r="X495">
            <v>0</v>
          </cell>
          <cell r="Y495">
            <v>0</v>
          </cell>
          <cell r="Z495">
            <v>0</v>
          </cell>
          <cell r="AA495" t="str">
            <v>,</v>
          </cell>
          <cell r="AB495" t="str">
            <v>,</v>
          </cell>
          <cell r="AC495" t="e">
            <v>#DIV/0!</v>
          </cell>
          <cell r="AD495" t="e">
            <v>#DIV/0!</v>
          </cell>
          <cell r="AE495">
            <v>0.71</v>
          </cell>
          <cell r="AF495">
            <v>94.97</v>
          </cell>
          <cell r="AG495">
            <v>0</v>
          </cell>
          <cell r="AH495" t="e">
            <v>#DIV/0!</v>
          </cell>
          <cell r="AI495" t="e">
            <v>#DIV/0!</v>
          </cell>
          <cell r="AJ495" t="e">
            <v>#DIV/0!</v>
          </cell>
          <cell r="AK495" t="e">
            <v>#DIV/0!</v>
          </cell>
          <cell r="AL495" t="e">
            <v>#DIV/0!</v>
          </cell>
          <cell r="AM495" t="e">
            <v>#DIV/0!</v>
          </cell>
          <cell r="AN495" t="e">
            <v>#DIV/0!</v>
          </cell>
          <cell r="AO495" t="e">
            <v>#REF!</v>
          </cell>
          <cell r="AP495" t="e">
            <v>#REF!</v>
          </cell>
          <cell r="AQ495" t="e">
            <v>#REF!</v>
          </cell>
          <cell r="AR495" t="e">
            <v>#REF!</v>
          </cell>
          <cell r="AS495" t="e">
            <v>#REF!</v>
          </cell>
          <cell r="AT495" t="e">
            <v>#REF!</v>
          </cell>
          <cell r="AU495" t="e">
            <v>#REF!</v>
          </cell>
          <cell r="AV495" t="e">
            <v>#REF!</v>
          </cell>
          <cell r="AW495" t="e">
            <v>#DIV/0!</v>
          </cell>
          <cell r="AX495" t="e">
            <v>#DIV/0!</v>
          </cell>
          <cell r="AY495" t="e">
            <v>#DIV/0!</v>
          </cell>
          <cell r="AZ495" t="e">
            <v>#DIV/0!</v>
          </cell>
          <cell r="BE495" t="e">
            <v>#DIV/0!</v>
          </cell>
          <cell r="BF495" t="e">
            <v>#DIV/0!</v>
          </cell>
        </row>
        <row r="496">
          <cell r="A496" t="str">
            <v>-0</v>
          </cell>
          <cell r="B496" t="str">
            <v xml:space="preserve">-0  , </v>
          </cell>
          <cell r="C496"/>
          <cell r="D496"/>
          <cell r="E496"/>
          <cell r="F496"/>
          <cell r="G496"/>
          <cell r="H496"/>
          <cell r="I496"/>
          <cell r="J496"/>
          <cell r="K496"/>
          <cell r="L496"/>
          <cell r="M496"/>
          <cell r="N496"/>
          <cell r="O496"/>
          <cell r="P496"/>
          <cell r="Q496"/>
          <cell r="R496"/>
          <cell r="S496"/>
          <cell r="T496"/>
          <cell r="U496"/>
          <cell r="V496"/>
          <cell r="W496"/>
          <cell r="X496">
            <v>0</v>
          </cell>
          <cell r="Y496">
            <v>0</v>
          </cell>
          <cell r="Z496">
            <v>0</v>
          </cell>
          <cell r="AA496" t="str">
            <v>,</v>
          </cell>
          <cell r="AB496" t="str">
            <v>,</v>
          </cell>
          <cell r="AC496" t="e">
            <v>#DIV/0!</v>
          </cell>
          <cell r="AD496" t="e">
            <v>#DIV/0!</v>
          </cell>
          <cell r="AE496">
            <v>0.71</v>
          </cell>
          <cell r="AF496">
            <v>94.97</v>
          </cell>
          <cell r="AG496">
            <v>0</v>
          </cell>
          <cell r="AH496" t="e">
            <v>#DIV/0!</v>
          </cell>
          <cell r="AI496" t="e">
            <v>#DIV/0!</v>
          </cell>
          <cell r="AJ496" t="e">
            <v>#DIV/0!</v>
          </cell>
          <cell r="AK496" t="e">
            <v>#DIV/0!</v>
          </cell>
          <cell r="AL496" t="e">
            <v>#DIV/0!</v>
          </cell>
          <cell r="AM496" t="e">
            <v>#DIV/0!</v>
          </cell>
          <cell r="AN496" t="e">
            <v>#DIV/0!</v>
          </cell>
          <cell r="AO496" t="e">
            <v>#REF!</v>
          </cell>
          <cell r="AP496" t="e">
            <v>#REF!</v>
          </cell>
          <cell r="AQ496" t="e">
            <v>#REF!</v>
          </cell>
          <cell r="AR496" t="e">
            <v>#REF!</v>
          </cell>
          <cell r="AS496" t="e">
            <v>#REF!</v>
          </cell>
          <cell r="AT496" t="e">
            <v>#REF!</v>
          </cell>
          <cell r="AU496" t="e">
            <v>#REF!</v>
          </cell>
          <cell r="AV496" t="e">
            <v>#REF!</v>
          </cell>
          <cell r="AW496" t="e">
            <v>#DIV/0!</v>
          </cell>
          <cell r="AX496" t="e">
            <v>#DIV/0!</v>
          </cell>
          <cell r="AY496" t="e">
            <v>#DIV/0!</v>
          </cell>
          <cell r="AZ496" t="e">
            <v>#DIV/0!</v>
          </cell>
          <cell r="BE496" t="e">
            <v>#DIV/0!</v>
          </cell>
          <cell r="BF496" t="e">
            <v>#DIV/0!</v>
          </cell>
        </row>
        <row r="497">
          <cell r="A497" t="str">
            <v>-0</v>
          </cell>
          <cell r="B497" t="str">
            <v xml:space="preserve">-0  , </v>
          </cell>
          <cell r="C497"/>
          <cell r="D497"/>
          <cell r="E497"/>
          <cell r="F497"/>
          <cell r="G497"/>
          <cell r="H497"/>
          <cell r="I497"/>
          <cell r="J497"/>
          <cell r="K497"/>
          <cell r="L497"/>
          <cell r="M497"/>
          <cell r="N497"/>
          <cell r="O497"/>
          <cell r="P497"/>
          <cell r="Q497"/>
          <cell r="R497"/>
          <cell r="S497"/>
          <cell r="T497"/>
          <cell r="U497"/>
          <cell r="V497"/>
          <cell r="W497"/>
          <cell r="X497">
            <v>0</v>
          </cell>
          <cell r="Y497">
            <v>0</v>
          </cell>
          <cell r="Z497">
            <v>0</v>
          </cell>
          <cell r="AA497" t="str">
            <v>,</v>
          </cell>
          <cell r="AB497" t="str">
            <v>,</v>
          </cell>
          <cell r="AC497" t="e">
            <v>#DIV/0!</v>
          </cell>
          <cell r="AD497" t="e">
            <v>#DIV/0!</v>
          </cell>
          <cell r="AE497">
            <v>0.71</v>
          </cell>
          <cell r="AF497">
            <v>94.97</v>
          </cell>
          <cell r="AG497">
            <v>0</v>
          </cell>
          <cell r="AH497" t="e">
            <v>#DIV/0!</v>
          </cell>
          <cell r="AI497" t="e">
            <v>#DIV/0!</v>
          </cell>
          <cell r="AJ497" t="e">
            <v>#DIV/0!</v>
          </cell>
          <cell r="AK497" t="e">
            <v>#DIV/0!</v>
          </cell>
          <cell r="AL497" t="e">
            <v>#DIV/0!</v>
          </cell>
          <cell r="AM497" t="e">
            <v>#DIV/0!</v>
          </cell>
          <cell r="AN497" t="e">
            <v>#DIV/0!</v>
          </cell>
          <cell r="AO497" t="e">
            <v>#REF!</v>
          </cell>
          <cell r="AP497" t="e">
            <v>#REF!</v>
          </cell>
          <cell r="AQ497" t="e">
            <v>#REF!</v>
          </cell>
          <cell r="AR497" t="e">
            <v>#REF!</v>
          </cell>
          <cell r="AS497" t="e">
            <v>#REF!</v>
          </cell>
          <cell r="AT497" t="e">
            <v>#REF!</v>
          </cell>
          <cell r="AU497" t="e">
            <v>#REF!</v>
          </cell>
          <cell r="AV497" t="e">
            <v>#REF!</v>
          </cell>
          <cell r="AW497" t="e">
            <v>#DIV/0!</v>
          </cell>
          <cell r="AX497" t="e">
            <v>#DIV/0!</v>
          </cell>
          <cell r="AY497" t="e">
            <v>#DIV/0!</v>
          </cell>
          <cell r="AZ497" t="e">
            <v>#DIV/0!</v>
          </cell>
          <cell r="BE497" t="e">
            <v>#DIV/0!</v>
          </cell>
          <cell r="BF497" t="e">
            <v>#DIV/0!</v>
          </cell>
        </row>
        <row r="498">
          <cell r="A498" t="str">
            <v>-0</v>
          </cell>
          <cell r="B498" t="str">
            <v xml:space="preserve">-0  , </v>
          </cell>
          <cell r="C498"/>
          <cell r="D498"/>
          <cell r="E498"/>
          <cell r="F498"/>
          <cell r="G498"/>
          <cell r="H498"/>
          <cell r="I498"/>
          <cell r="J498"/>
          <cell r="K498"/>
          <cell r="L498"/>
          <cell r="M498"/>
          <cell r="N498"/>
          <cell r="O498"/>
          <cell r="P498"/>
          <cell r="Q498"/>
          <cell r="R498"/>
          <cell r="S498"/>
          <cell r="T498"/>
          <cell r="U498"/>
          <cell r="V498"/>
          <cell r="W498"/>
          <cell r="X498">
            <v>0</v>
          </cell>
          <cell r="Y498">
            <v>0</v>
          </cell>
          <cell r="Z498">
            <v>0</v>
          </cell>
          <cell r="AA498" t="str">
            <v>,</v>
          </cell>
          <cell r="AB498" t="str">
            <v>,</v>
          </cell>
          <cell r="AC498" t="e">
            <v>#DIV/0!</v>
          </cell>
          <cell r="AD498" t="e">
            <v>#DIV/0!</v>
          </cell>
          <cell r="AE498">
            <v>0.71</v>
          </cell>
          <cell r="AF498">
            <v>94.97</v>
          </cell>
          <cell r="AG498">
            <v>0</v>
          </cell>
          <cell r="AH498" t="e">
            <v>#DIV/0!</v>
          </cell>
          <cell r="AI498" t="e">
            <v>#DIV/0!</v>
          </cell>
          <cell r="AJ498" t="e">
            <v>#DIV/0!</v>
          </cell>
          <cell r="AK498" t="e">
            <v>#DIV/0!</v>
          </cell>
          <cell r="AL498" t="e">
            <v>#DIV/0!</v>
          </cell>
          <cell r="AM498" t="e">
            <v>#DIV/0!</v>
          </cell>
          <cell r="AN498" t="e">
            <v>#DIV/0!</v>
          </cell>
          <cell r="AO498" t="e">
            <v>#REF!</v>
          </cell>
          <cell r="AP498" t="e">
            <v>#REF!</v>
          </cell>
          <cell r="AQ498" t="e">
            <v>#REF!</v>
          </cell>
          <cell r="AR498" t="e">
            <v>#REF!</v>
          </cell>
          <cell r="AS498" t="e">
            <v>#REF!</v>
          </cell>
          <cell r="AT498" t="e">
            <v>#REF!</v>
          </cell>
          <cell r="AU498" t="e">
            <v>#REF!</v>
          </cell>
          <cell r="AV498" t="e">
            <v>#REF!</v>
          </cell>
          <cell r="AW498" t="e">
            <v>#DIV/0!</v>
          </cell>
          <cell r="AX498" t="e">
            <v>#DIV/0!</v>
          </cell>
          <cell r="AY498" t="e">
            <v>#DIV/0!</v>
          </cell>
          <cell r="AZ498" t="e">
            <v>#DIV/0!</v>
          </cell>
          <cell r="BE498" t="e">
            <v>#DIV/0!</v>
          </cell>
          <cell r="BF498" t="e">
            <v>#DIV/0!</v>
          </cell>
        </row>
        <row r="499">
          <cell r="A499" t="str">
            <v>-0</v>
          </cell>
          <cell r="B499" t="str">
            <v xml:space="preserve">-0  , </v>
          </cell>
          <cell r="C499"/>
          <cell r="D499"/>
          <cell r="E499"/>
          <cell r="F499"/>
          <cell r="G499"/>
          <cell r="H499"/>
          <cell r="I499"/>
          <cell r="J499"/>
          <cell r="K499"/>
          <cell r="L499"/>
          <cell r="M499"/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  <cell r="X499">
            <v>0</v>
          </cell>
          <cell r="Y499">
            <v>0</v>
          </cell>
          <cell r="Z499">
            <v>0</v>
          </cell>
          <cell r="AA499" t="str">
            <v>,</v>
          </cell>
          <cell r="AB499" t="str">
            <v>,</v>
          </cell>
          <cell r="AC499" t="e">
            <v>#DIV/0!</v>
          </cell>
          <cell r="AD499" t="e">
            <v>#DIV/0!</v>
          </cell>
          <cell r="AE499">
            <v>0.71</v>
          </cell>
          <cell r="AF499">
            <v>94.97</v>
          </cell>
          <cell r="AG499">
            <v>0</v>
          </cell>
          <cell r="AH499" t="e">
            <v>#DIV/0!</v>
          </cell>
          <cell r="AI499" t="e">
            <v>#DIV/0!</v>
          </cell>
          <cell r="AJ499" t="e">
            <v>#DIV/0!</v>
          </cell>
          <cell r="AK499" t="e">
            <v>#DIV/0!</v>
          </cell>
          <cell r="AL499" t="e">
            <v>#DIV/0!</v>
          </cell>
          <cell r="AM499" t="e">
            <v>#DIV/0!</v>
          </cell>
          <cell r="AN499" t="e">
            <v>#DIV/0!</v>
          </cell>
          <cell r="AO499" t="e">
            <v>#REF!</v>
          </cell>
          <cell r="AP499" t="e">
            <v>#REF!</v>
          </cell>
          <cell r="AQ499" t="e">
            <v>#REF!</v>
          </cell>
          <cell r="AR499" t="e">
            <v>#REF!</v>
          </cell>
          <cell r="AS499" t="e">
            <v>#REF!</v>
          </cell>
          <cell r="AT499" t="e">
            <v>#REF!</v>
          </cell>
          <cell r="AU499" t="e">
            <v>#REF!</v>
          </cell>
          <cell r="AV499" t="e">
            <v>#REF!</v>
          </cell>
          <cell r="AW499" t="e">
            <v>#DIV/0!</v>
          </cell>
          <cell r="AX499" t="e">
            <v>#DIV/0!</v>
          </cell>
          <cell r="AY499" t="e">
            <v>#DIV/0!</v>
          </cell>
          <cell r="AZ499" t="e">
            <v>#DIV/0!</v>
          </cell>
          <cell r="BE499" t="e">
            <v>#DIV/0!</v>
          </cell>
          <cell r="BF499" t="e">
            <v>#DIV/0!</v>
          </cell>
        </row>
        <row r="500">
          <cell r="A500" t="str">
            <v>-0</v>
          </cell>
          <cell r="B500" t="str">
            <v xml:space="preserve">-0  , </v>
          </cell>
          <cell r="C500"/>
          <cell r="D500"/>
          <cell r="E500"/>
          <cell r="F500"/>
          <cell r="G500"/>
          <cell r="H500"/>
          <cell r="I500"/>
          <cell r="J500"/>
          <cell r="K500"/>
          <cell r="L500"/>
          <cell r="M500"/>
          <cell r="N500"/>
          <cell r="O500"/>
          <cell r="P500"/>
          <cell r="Q500"/>
          <cell r="R500"/>
          <cell r="S500"/>
          <cell r="T500"/>
          <cell r="U500"/>
          <cell r="V500"/>
          <cell r="W500"/>
          <cell r="X500">
            <v>0</v>
          </cell>
          <cell r="Y500">
            <v>0</v>
          </cell>
          <cell r="Z500">
            <v>0</v>
          </cell>
          <cell r="AA500" t="str">
            <v>,</v>
          </cell>
          <cell r="AB500" t="str">
            <v>,</v>
          </cell>
          <cell r="AC500" t="e">
            <v>#DIV/0!</v>
          </cell>
          <cell r="AD500" t="e">
            <v>#DIV/0!</v>
          </cell>
          <cell r="AE500">
            <v>0.71</v>
          </cell>
          <cell r="AF500">
            <v>94.97</v>
          </cell>
          <cell r="AG500">
            <v>0</v>
          </cell>
          <cell r="AH500" t="e">
            <v>#DIV/0!</v>
          </cell>
          <cell r="AI500" t="e">
            <v>#DIV/0!</v>
          </cell>
          <cell r="AJ500" t="e">
            <v>#DIV/0!</v>
          </cell>
          <cell r="AK500" t="e">
            <v>#DIV/0!</v>
          </cell>
          <cell r="AL500" t="e">
            <v>#DIV/0!</v>
          </cell>
          <cell r="AM500" t="e">
            <v>#DIV/0!</v>
          </cell>
          <cell r="AN500" t="e">
            <v>#DIV/0!</v>
          </cell>
          <cell r="AO500" t="e">
            <v>#REF!</v>
          </cell>
          <cell r="AP500" t="e">
            <v>#REF!</v>
          </cell>
          <cell r="AQ500" t="e">
            <v>#REF!</v>
          </cell>
          <cell r="AR500" t="e">
            <v>#REF!</v>
          </cell>
          <cell r="AS500" t="e">
            <v>#REF!</v>
          </cell>
          <cell r="AT500" t="e">
            <v>#REF!</v>
          </cell>
          <cell r="AU500" t="e">
            <v>#REF!</v>
          </cell>
          <cell r="AV500" t="e">
            <v>#REF!</v>
          </cell>
          <cell r="AW500" t="e">
            <v>#DIV/0!</v>
          </cell>
          <cell r="AX500" t="e">
            <v>#DIV/0!</v>
          </cell>
          <cell r="AY500" t="e">
            <v>#DIV/0!</v>
          </cell>
          <cell r="AZ500" t="e">
            <v>#DIV/0!</v>
          </cell>
          <cell r="BE500" t="e">
            <v>#DIV/0!</v>
          </cell>
          <cell r="BF500" t="e">
            <v>#DIV/0!</v>
          </cell>
        </row>
        <row r="501">
          <cell r="A501" t="str">
            <v>-0</v>
          </cell>
          <cell r="B501" t="str">
            <v xml:space="preserve">-0  , </v>
          </cell>
          <cell r="C501"/>
          <cell r="D501"/>
          <cell r="E501"/>
          <cell r="F501"/>
          <cell r="G501"/>
          <cell r="H501"/>
          <cell r="I501"/>
          <cell r="J501"/>
          <cell r="K501"/>
          <cell r="L501"/>
          <cell r="M501"/>
          <cell r="N501"/>
          <cell r="O501"/>
          <cell r="P501"/>
          <cell r="Q501"/>
          <cell r="R501"/>
          <cell r="S501"/>
          <cell r="T501"/>
          <cell r="U501"/>
          <cell r="V501"/>
          <cell r="W501"/>
          <cell r="X501">
            <v>0</v>
          </cell>
          <cell r="Y501">
            <v>0</v>
          </cell>
          <cell r="Z501">
            <v>0</v>
          </cell>
          <cell r="AA501" t="str">
            <v>,</v>
          </cell>
          <cell r="AB501" t="str">
            <v>,</v>
          </cell>
          <cell r="AC501" t="e">
            <v>#DIV/0!</v>
          </cell>
          <cell r="AD501" t="e">
            <v>#DIV/0!</v>
          </cell>
          <cell r="AE501">
            <v>0.71</v>
          </cell>
          <cell r="AF501">
            <v>94.97</v>
          </cell>
          <cell r="AG501">
            <v>0</v>
          </cell>
          <cell r="AH501" t="e">
            <v>#DIV/0!</v>
          </cell>
          <cell r="AI501" t="e">
            <v>#DIV/0!</v>
          </cell>
          <cell r="AJ501" t="e">
            <v>#DIV/0!</v>
          </cell>
          <cell r="AK501" t="e">
            <v>#DIV/0!</v>
          </cell>
          <cell r="AL501" t="e">
            <v>#DIV/0!</v>
          </cell>
          <cell r="AM501" t="e">
            <v>#DIV/0!</v>
          </cell>
          <cell r="AN501" t="e">
            <v>#DIV/0!</v>
          </cell>
          <cell r="AO501" t="e">
            <v>#REF!</v>
          </cell>
          <cell r="AP501" t="e">
            <v>#REF!</v>
          </cell>
          <cell r="AQ501" t="e">
            <v>#REF!</v>
          </cell>
          <cell r="AR501" t="e">
            <v>#REF!</v>
          </cell>
          <cell r="AS501" t="e">
            <v>#REF!</v>
          </cell>
          <cell r="AT501" t="e">
            <v>#REF!</v>
          </cell>
          <cell r="AU501" t="e">
            <v>#REF!</v>
          </cell>
          <cell r="AV501" t="e">
            <v>#REF!</v>
          </cell>
          <cell r="AW501" t="e">
            <v>#DIV/0!</v>
          </cell>
          <cell r="AX501" t="e">
            <v>#DIV/0!</v>
          </cell>
          <cell r="AY501" t="e">
            <v>#DIV/0!</v>
          </cell>
          <cell r="AZ501" t="e">
            <v>#DIV/0!</v>
          </cell>
          <cell r="BE501" t="e">
            <v>#DIV/0!</v>
          </cell>
          <cell r="BF501" t="e">
            <v>#DIV/0!</v>
          </cell>
        </row>
        <row r="502">
          <cell r="A502" t="str">
            <v>-0</v>
          </cell>
          <cell r="B502" t="str">
            <v xml:space="preserve">-0  , </v>
          </cell>
          <cell r="C502"/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  <cell r="X502">
            <v>0</v>
          </cell>
          <cell r="Y502">
            <v>0</v>
          </cell>
          <cell r="Z502">
            <v>0</v>
          </cell>
          <cell r="AA502" t="str">
            <v>,</v>
          </cell>
          <cell r="AB502" t="str">
            <v>,</v>
          </cell>
          <cell r="AC502" t="e">
            <v>#DIV/0!</v>
          </cell>
          <cell r="AD502" t="e">
            <v>#DIV/0!</v>
          </cell>
          <cell r="AE502">
            <v>0.71</v>
          </cell>
          <cell r="AF502">
            <v>94.97</v>
          </cell>
          <cell r="AG502">
            <v>0</v>
          </cell>
          <cell r="AH502" t="e">
            <v>#DIV/0!</v>
          </cell>
          <cell r="AI502" t="e">
            <v>#DIV/0!</v>
          </cell>
          <cell r="AJ502" t="e">
            <v>#DIV/0!</v>
          </cell>
          <cell r="AK502" t="e">
            <v>#DIV/0!</v>
          </cell>
          <cell r="AL502" t="e">
            <v>#DIV/0!</v>
          </cell>
          <cell r="AM502" t="e">
            <v>#DIV/0!</v>
          </cell>
          <cell r="AN502" t="e">
            <v>#DIV/0!</v>
          </cell>
          <cell r="AO502" t="e">
            <v>#REF!</v>
          </cell>
          <cell r="AP502" t="e">
            <v>#REF!</v>
          </cell>
          <cell r="AQ502" t="e">
            <v>#REF!</v>
          </cell>
          <cell r="AR502" t="e">
            <v>#REF!</v>
          </cell>
          <cell r="AS502" t="e">
            <v>#REF!</v>
          </cell>
          <cell r="AT502" t="e">
            <v>#REF!</v>
          </cell>
          <cell r="AU502" t="e">
            <v>#REF!</v>
          </cell>
          <cell r="AV502" t="e">
            <v>#REF!</v>
          </cell>
          <cell r="AW502" t="e">
            <v>#DIV/0!</v>
          </cell>
          <cell r="AX502" t="e">
            <v>#DIV/0!</v>
          </cell>
          <cell r="AY502" t="e">
            <v>#DIV/0!</v>
          </cell>
          <cell r="AZ502" t="e">
            <v>#DIV/0!</v>
          </cell>
          <cell r="BE502" t="e">
            <v>#DIV/0!</v>
          </cell>
          <cell r="BF502" t="e">
            <v>#DIV/0!</v>
          </cell>
        </row>
        <row r="503">
          <cell r="A503" t="str">
            <v>-0</v>
          </cell>
          <cell r="B503" t="str">
            <v xml:space="preserve">-0  , </v>
          </cell>
          <cell r="C503"/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/>
          <cell r="S503"/>
          <cell r="T503"/>
          <cell r="U503"/>
          <cell r="V503"/>
          <cell r="W503"/>
          <cell r="X503">
            <v>0</v>
          </cell>
          <cell r="Y503">
            <v>0</v>
          </cell>
          <cell r="Z503">
            <v>0</v>
          </cell>
          <cell r="AA503" t="str">
            <v>,</v>
          </cell>
          <cell r="AB503" t="str">
            <v>,</v>
          </cell>
          <cell r="AC503" t="e">
            <v>#DIV/0!</v>
          </cell>
          <cell r="AD503" t="e">
            <v>#DIV/0!</v>
          </cell>
          <cell r="AE503">
            <v>0.71</v>
          </cell>
          <cell r="AF503">
            <v>94.97</v>
          </cell>
          <cell r="AG503">
            <v>0</v>
          </cell>
          <cell r="AH503" t="e">
            <v>#DIV/0!</v>
          </cell>
          <cell r="AI503" t="e">
            <v>#DIV/0!</v>
          </cell>
          <cell r="AJ503" t="e">
            <v>#DIV/0!</v>
          </cell>
          <cell r="AK503" t="e">
            <v>#DIV/0!</v>
          </cell>
          <cell r="AL503" t="e">
            <v>#DIV/0!</v>
          </cell>
          <cell r="AM503" t="e">
            <v>#DIV/0!</v>
          </cell>
          <cell r="AN503" t="e">
            <v>#DIV/0!</v>
          </cell>
          <cell r="AO503" t="e">
            <v>#REF!</v>
          </cell>
          <cell r="AP503" t="e">
            <v>#REF!</v>
          </cell>
          <cell r="AQ503" t="e">
            <v>#REF!</v>
          </cell>
          <cell r="AR503" t="e">
            <v>#REF!</v>
          </cell>
          <cell r="AS503" t="e">
            <v>#REF!</v>
          </cell>
          <cell r="AT503" t="e">
            <v>#REF!</v>
          </cell>
          <cell r="AU503" t="e">
            <v>#REF!</v>
          </cell>
          <cell r="AV503" t="e">
            <v>#REF!</v>
          </cell>
          <cell r="AW503" t="e">
            <v>#DIV/0!</v>
          </cell>
          <cell r="AX503" t="e">
            <v>#DIV/0!</v>
          </cell>
          <cell r="AY503" t="e">
            <v>#DIV/0!</v>
          </cell>
          <cell r="AZ503" t="e">
            <v>#DIV/0!</v>
          </cell>
          <cell r="BE503" t="e">
            <v>#DIV/0!</v>
          </cell>
          <cell r="BF503" t="e">
            <v>#DIV/0!</v>
          </cell>
        </row>
        <row r="504">
          <cell r="A504" t="str">
            <v>-0</v>
          </cell>
          <cell r="B504" t="str">
            <v xml:space="preserve">-0  , </v>
          </cell>
          <cell r="C504"/>
          <cell r="D504"/>
          <cell r="E504"/>
          <cell r="F504"/>
          <cell r="G504"/>
          <cell r="H504"/>
          <cell r="I504"/>
          <cell r="J504"/>
          <cell r="K504"/>
          <cell r="L504"/>
          <cell r="M504"/>
          <cell r="N504"/>
          <cell r="O504"/>
          <cell r="P504"/>
          <cell r="Q504"/>
          <cell r="R504"/>
          <cell r="S504"/>
          <cell r="T504"/>
          <cell r="U504"/>
          <cell r="V504"/>
          <cell r="W504"/>
          <cell r="X504">
            <v>0</v>
          </cell>
          <cell r="Y504">
            <v>0</v>
          </cell>
          <cell r="Z504">
            <v>0</v>
          </cell>
          <cell r="AA504" t="str">
            <v>,</v>
          </cell>
          <cell r="AB504" t="str">
            <v>,</v>
          </cell>
          <cell r="AC504" t="e">
            <v>#DIV/0!</v>
          </cell>
          <cell r="AD504" t="e">
            <v>#DIV/0!</v>
          </cell>
          <cell r="AE504">
            <v>0.71</v>
          </cell>
          <cell r="AF504">
            <v>94.97</v>
          </cell>
          <cell r="AG504">
            <v>0</v>
          </cell>
          <cell r="AH504" t="e">
            <v>#DIV/0!</v>
          </cell>
          <cell r="AI504" t="e">
            <v>#DIV/0!</v>
          </cell>
          <cell r="AJ504" t="e">
            <v>#DIV/0!</v>
          </cell>
          <cell r="AK504" t="e">
            <v>#DIV/0!</v>
          </cell>
          <cell r="AL504" t="e">
            <v>#DIV/0!</v>
          </cell>
          <cell r="AM504" t="e">
            <v>#DIV/0!</v>
          </cell>
          <cell r="AN504" t="e">
            <v>#DIV/0!</v>
          </cell>
          <cell r="AO504" t="e">
            <v>#REF!</v>
          </cell>
          <cell r="AP504" t="e">
            <v>#REF!</v>
          </cell>
          <cell r="AQ504" t="e">
            <v>#REF!</v>
          </cell>
          <cell r="AR504" t="e">
            <v>#REF!</v>
          </cell>
          <cell r="AS504" t="e">
            <v>#REF!</v>
          </cell>
          <cell r="AT504" t="e">
            <v>#REF!</v>
          </cell>
          <cell r="AU504" t="e">
            <v>#REF!</v>
          </cell>
          <cell r="AV504" t="e">
            <v>#REF!</v>
          </cell>
          <cell r="AW504" t="e">
            <v>#DIV/0!</v>
          </cell>
          <cell r="AX504" t="e">
            <v>#DIV/0!</v>
          </cell>
          <cell r="AY504" t="e">
            <v>#DIV/0!</v>
          </cell>
          <cell r="AZ504" t="e">
            <v>#DIV/0!</v>
          </cell>
          <cell r="BE504" t="e">
            <v>#DIV/0!</v>
          </cell>
          <cell r="BF504" t="e">
            <v>#DIV/0!</v>
          </cell>
        </row>
        <row r="505">
          <cell r="A505" t="str">
            <v>-0</v>
          </cell>
          <cell r="B505" t="str">
            <v xml:space="preserve">-0  , </v>
          </cell>
          <cell r="C505"/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/>
          <cell r="S505"/>
          <cell r="T505"/>
          <cell r="U505"/>
          <cell r="V505"/>
          <cell r="W505"/>
          <cell r="X505">
            <v>0</v>
          </cell>
          <cell r="Y505">
            <v>0</v>
          </cell>
          <cell r="Z505">
            <v>0</v>
          </cell>
          <cell r="AA505" t="str">
            <v>,</v>
          </cell>
          <cell r="AB505" t="str">
            <v>,</v>
          </cell>
          <cell r="AC505" t="e">
            <v>#DIV/0!</v>
          </cell>
          <cell r="AD505" t="e">
            <v>#DIV/0!</v>
          </cell>
          <cell r="AE505">
            <v>0.71</v>
          </cell>
          <cell r="AF505">
            <v>94.97</v>
          </cell>
          <cell r="AG505">
            <v>0</v>
          </cell>
          <cell r="AH505" t="e">
            <v>#DIV/0!</v>
          </cell>
          <cell r="AI505" t="e">
            <v>#DIV/0!</v>
          </cell>
          <cell r="AJ505" t="e">
            <v>#DIV/0!</v>
          </cell>
          <cell r="AK505" t="e">
            <v>#DIV/0!</v>
          </cell>
          <cell r="AL505" t="e">
            <v>#DIV/0!</v>
          </cell>
          <cell r="AM505" t="e">
            <v>#DIV/0!</v>
          </cell>
          <cell r="AN505" t="e">
            <v>#DIV/0!</v>
          </cell>
          <cell r="AO505" t="e">
            <v>#REF!</v>
          </cell>
          <cell r="AP505" t="e">
            <v>#REF!</v>
          </cell>
          <cell r="AQ505" t="e">
            <v>#REF!</v>
          </cell>
          <cell r="AR505" t="e">
            <v>#REF!</v>
          </cell>
          <cell r="AS505" t="e">
            <v>#REF!</v>
          </cell>
          <cell r="AT505" t="e">
            <v>#REF!</v>
          </cell>
          <cell r="AU505" t="e">
            <v>#REF!</v>
          </cell>
          <cell r="AV505" t="e">
            <v>#REF!</v>
          </cell>
          <cell r="AW505" t="e">
            <v>#DIV/0!</v>
          </cell>
          <cell r="AX505" t="e">
            <v>#DIV/0!</v>
          </cell>
          <cell r="AY505" t="e">
            <v>#DIV/0!</v>
          </cell>
          <cell r="AZ505" t="e">
            <v>#DIV/0!</v>
          </cell>
          <cell r="BE505" t="e">
            <v>#DIV/0!</v>
          </cell>
          <cell r="BF505" t="e">
            <v>#DIV/0!</v>
          </cell>
        </row>
        <row r="506">
          <cell r="A506" t="str">
            <v>-0</v>
          </cell>
          <cell r="B506" t="str">
            <v xml:space="preserve">-0  , </v>
          </cell>
          <cell r="C506"/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/>
          <cell r="S506"/>
          <cell r="T506"/>
          <cell r="U506"/>
          <cell r="V506"/>
          <cell r="W506"/>
          <cell r="X506">
            <v>0</v>
          </cell>
          <cell r="Y506">
            <v>0</v>
          </cell>
          <cell r="Z506">
            <v>0</v>
          </cell>
          <cell r="AA506" t="str">
            <v>,</v>
          </cell>
          <cell r="AB506" t="str">
            <v>,</v>
          </cell>
          <cell r="AC506" t="e">
            <v>#DIV/0!</v>
          </cell>
          <cell r="AD506" t="e">
            <v>#DIV/0!</v>
          </cell>
          <cell r="AE506">
            <v>0.71</v>
          </cell>
          <cell r="AF506">
            <v>94.97</v>
          </cell>
          <cell r="AG506">
            <v>0</v>
          </cell>
          <cell r="AH506" t="e">
            <v>#DIV/0!</v>
          </cell>
          <cell r="AI506" t="e">
            <v>#DIV/0!</v>
          </cell>
          <cell r="AJ506" t="e">
            <v>#DIV/0!</v>
          </cell>
          <cell r="AK506" t="e">
            <v>#DIV/0!</v>
          </cell>
          <cell r="AL506" t="e">
            <v>#DIV/0!</v>
          </cell>
          <cell r="AM506" t="e">
            <v>#DIV/0!</v>
          </cell>
          <cell r="AN506" t="e">
            <v>#DIV/0!</v>
          </cell>
          <cell r="AO506" t="e">
            <v>#REF!</v>
          </cell>
          <cell r="AP506" t="e">
            <v>#REF!</v>
          </cell>
          <cell r="AQ506" t="e">
            <v>#REF!</v>
          </cell>
          <cell r="AR506" t="e">
            <v>#REF!</v>
          </cell>
          <cell r="AS506" t="e">
            <v>#REF!</v>
          </cell>
          <cell r="AT506" t="e">
            <v>#REF!</v>
          </cell>
          <cell r="AU506" t="e">
            <v>#REF!</v>
          </cell>
          <cell r="AV506" t="e">
            <v>#REF!</v>
          </cell>
          <cell r="AW506" t="e">
            <v>#DIV/0!</v>
          </cell>
          <cell r="AX506" t="e">
            <v>#DIV/0!</v>
          </cell>
          <cell r="AY506" t="e">
            <v>#DIV/0!</v>
          </cell>
          <cell r="AZ506" t="e">
            <v>#DIV/0!</v>
          </cell>
          <cell r="BE506" t="e">
            <v>#DIV/0!</v>
          </cell>
          <cell r="BF506" t="e">
            <v>#DIV/0!</v>
          </cell>
        </row>
        <row r="507">
          <cell r="A507" t="str">
            <v>-0</v>
          </cell>
          <cell r="B507" t="str">
            <v xml:space="preserve">-0  , </v>
          </cell>
          <cell r="C507"/>
          <cell r="D507"/>
          <cell r="E507"/>
          <cell r="F507"/>
          <cell r="G507"/>
          <cell r="H507"/>
          <cell r="I507"/>
          <cell r="J507"/>
          <cell r="K507"/>
          <cell r="L507"/>
          <cell r="M507"/>
          <cell r="N507"/>
          <cell r="O507"/>
          <cell r="P507"/>
          <cell r="Q507"/>
          <cell r="R507"/>
          <cell r="S507"/>
          <cell r="T507"/>
          <cell r="U507"/>
          <cell r="V507"/>
          <cell r="W507"/>
          <cell r="X507">
            <v>0</v>
          </cell>
          <cell r="Y507">
            <v>0</v>
          </cell>
          <cell r="Z507">
            <v>0</v>
          </cell>
          <cell r="AA507" t="str">
            <v>,</v>
          </cell>
          <cell r="AB507" t="str">
            <v>,</v>
          </cell>
          <cell r="AC507" t="e">
            <v>#DIV/0!</v>
          </cell>
          <cell r="AD507" t="e">
            <v>#DIV/0!</v>
          </cell>
          <cell r="AE507">
            <v>0.71</v>
          </cell>
          <cell r="AF507">
            <v>94.97</v>
          </cell>
          <cell r="AG507">
            <v>0</v>
          </cell>
          <cell r="AH507" t="e">
            <v>#DIV/0!</v>
          </cell>
          <cell r="AI507" t="e">
            <v>#DIV/0!</v>
          </cell>
          <cell r="AJ507" t="e">
            <v>#DIV/0!</v>
          </cell>
          <cell r="AK507" t="e">
            <v>#DIV/0!</v>
          </cell>
          <cell r="AL507" t="e">
            <v>#DIV/0!</v>
          </cell>
          <cell r="AM507" t="e">
            <v>#DIV/0!</v>
          </cell>
          <cell r="AN507" t="e">
            <v>#DIV/0!</v>
          </cell>
          <cell r="AO507" t="e">
            <v>#REF!</v>
          </cell>
          <cell r="AP507" t="e">
            <v>#REF!</v>
          </cell>
          <cell r="AQ507" t="e">
            <v>#REF!</v>
          </cell>
          <cell r="AR507" t="e">
            <v>#REF!</v>
          </cell>
          <cell r="AS507" t="e">
            <v>#REF!</v>
          </cell>
          <cell r="AT507" t="e">
            <v>#REF!</v>
          </cell>
          <cell r="AU507" t="e">
            <v>#REF!</v>
          </cell>
          <cell r="AV507" t="e">
            <v>#REF!</v>
          </cell>
          <cell r="AW507" t="e">
            <v>#DIV/0!</v>
          </cell>
          <cell r="AX507" t="e">
            <v>#DIV/0!</v>
          </cell>
          <cell r="AY507" t="e">
            <v>#DIV/0!</v>
          </cell>
          <cell r="AZ507" t="e">
            <v>#DIV/0!</v>
          </cell>
          <cell r="BE507" t="e">
            <v>#DIV/0!</v>
          </cell>
          <cell r="BF507" t="e">
            <v>#DIV/0!</v>
          </cell>
        </row>
        <row r="508">
          <cell r="A508" t="str">
            <v>-0</v>
          </cell>
          <cell r="B508" t="str">
            <v xml:space="preserve">-0  , </v>
          </cell>
          <cell r="C508"/>
          <cell r="D508"/>
          <cell r="E508"/>
          <cell r="F508"/>
          <cell r="G508"/>
          <cell r="H508"/>
          <cell r="I508"/>
          <cell r="J508"/>
          <cell r="K508"/>
          <cell r="L508"/>
          <cell r="M508"/>
          <cell r="N508"/>
          <cell r="O508"/>
          <cell r="P508"/>
          <cell r="Q508"/>
          <cell r="R508"/>
          <cell r="S508"/>
          <cell r="T508"/>
          <cell r="U508"/>
          <cell r="V508"/>
          <cell r="W508"/>
          <cell r="X508">
            <v>0</v>
          </cell>
          <cell r="Y508">
            <v>0</v>
          </cell>
          <cell r="Z508">
            <v>0</v>
          </cell>
          <cell r="AA508" t="str">
            <v>,</v>
          </cell>
          <cell r="AB508" t="str">
            <v>,</v>
          </cell>
          <cell r="AC508" t="e">
            <v>#DIV/0!</v>
          </cell>
          <cell r="AD508" t="e">
            <v>#DIV/0!</v>
          </cell>
          <cell r="AE508">
            <v>0.71</v>
          </cell>
          <cell r="AF508">
            <v>94.97</v>
          </cell>
          <cell r="AG508">
            <v>0</v>
          </cell>
          <cell r="AH508" t="e">
            <v>#DIV/0!</v>
          </cell>
          <cell r="AI508" t="e">
            <v>#DIV/0!</v>
          </cell>
          <cell r="AJ508" t="e">
            <v>#DIV/0!</v>
          </cell>
          <cell r="AK508" t="e">
            <v>#DIV/0!</v>
          </cell>
          <cell r="AL508" t="e">
            <v>#DIV/0!</v>
          </cell>
          <cell r="AM508" t="e">
            <v>#DIV/0!</v>
          </cell>
          <cell r="AN508" t="e">
            <v>#DIV/0!</v>
          </cell>
          <cell r="AO508" t="e">
            <v>#REF!</v>
          </cell>
          <cell r="AP508" t="e">
            <v>#REF!</v>
          </cell>
          <cell r="AQ508" t="e">
            <v>#REF!</v>
          </cell>
          <cell r="AR508" t="e">
            <v>#REF!</v>
          </cell>
          <cell r="AS508" t="e">
            <v>#REF!</v>
          </cell>
          <cell r="AT508" t="e">
            <v>#REF!</v>
          </cell>
          <cell r="AU508" t="e">
            <v>#REF!</v>
          </cell>
          <cell r="AV508" t="e">
            <v>#REF!</v>
          </cell>
          <cell r="AW508" t="e">
            <v>#DIV/0!</v>
          </cell>
          <cell r="AX508" t="e">
            <v>#DIV/0!</v>
          </cell>
          <cell r="AY508" t="e">
            <v>#DIV/0!</v>
          </cell>
          <cell r="AZ508" t="e">
            <v>#DIV/0!</v>
          </cell>
          <cell r="BE508" t="e">
            <v>#DIV/0!</v>
          </cell>
          <cell r="BF508" t="e">
            <v>#DIV/0!</v>
          </cell>
        </row>
        <row r="509">
          <cell r="A509" t="str">
            <v>-0</v>
          </cell>
          <cell r="B509" t="str">
            <v xml:space="preserve">-0  , </v>
          </cell>
          <cell r="C509"/>
          <cell r="D509"/>
          <cell r="E509"/>
          <cell r="F509"/>
          <cell r="G509"/>
          <cell r="H509"/>
          <cell r="I509"/>
          <cell r="J509"/>
          <cell r="K509"/>
          <cell r="L509"/>
          <cell r="M509"/>
          <cell r="N509"/>
          <cell r="O509"/>
          <cell r="P509"/>
          <cell r="Q509"/>
          <cell r="R509"/>
          <cell r="S509"/>
          <cell r="T509"/>
          <cell r="U509"/>
          <cell r="V509"/>
          <cell r="W509"/>
          <cell r="X509">
            <v>0</v>
          </cell>
          <cell r="Y509">
            <v>0</v>
          </cell>
          <cell r="Z509">
            <v>0</v>
          </cell>
          <cell r="AA509" t="str">
            <v>,</v>
          </cell>
          <cell r="AB509" t="str">
            <v>,</v>
          </cell>
          <cell r="AC509" t="e">
            <v>#DIV/0!</v>
          </cell>
          <cell r="AD509" t="e">
            <v>#DIV/0!</v>
          </cell>
          <cell r="AE509">
            <v>0.71</v>
          </cell>
          <cell r="AF509">
            <v>94.97</v>
          </cell>
          <cell r="AG509">
            <v>0</v>
          </cell>
          <cell r="AH509" t="e">
            <v>#DIV/0!</v>
          </cell>
          <cell r="AI509" t="e">
            <v>#DIV/0!</v>
          </cell>
          <cell r="AJ509" t="e">
            <v>#DIV/0!</v>
          </cell>
          <cell r="AK509" t="e">
            <v>#DIV/0!</v>
          </cell>
          <cell r="AL509" t="e">
            <v>#DIV/0!</v>
          </cell>
          <cell r="AM509" t="e">
            <v>#DIV/0!</v>
          </cell>
          <cell r="AN509" t="e">
            <v>#DIV/0!</v>
          </cell>
          <cell r="AO509" t="e">
            <v>#REF!</v>
          </cell>
          <cell r="AP509" t="e">
            <v>#REF!</v>
          </cell>
          <cell r="AQ509" t="e">
            <v>#REF!</v>
          </cell>
          <cell r="AR509" t="e">
            <v>#REF!</v>
          </cell>
          <cell r="AS509" t="e">
            <v>#REF!</v>
          </cell>
          <cell r="AT509" t="e">
            <v>#REF!</v>
          </cell>
          <cell r="AU509" t="e">
            <v>#REF!</v>
          </cell>
          <cell r="AV509" t="e">
            <v>#REF!</v>
          </cell>
          <cell r="AW509" t="e">
            <v>#DIV/0!</v>
          </cell>
          <cell r="AX509" t="e">
            <v>#DIV/0!</v>
          </cell>
          <cell r="AY509" t="e">
            <v>#DIV/0!</v>
          </cell>
          <cell r="AZ509" t="e">
            <v>#DIV/0!</v>
          </cell>
          <cell r="BE509" t="e">
            <v>#DIV/0!</v>
          </cell>
          <cell r="BF509" t="e">
            <v>#DIV/0!</v>
          </cell>
        </row>
        <row r="510">
          <cell r="A510" t="str">
            <v>-0</v>
          </cell>
          <cell r="B510" t="str">
            <v xml:space="preserve">-0  , </v>
          </cell>
          <cell r="C510"/>
          <cell r="D510"/>
          <cell r="E510"/>
          <cell r="F510"/>
          <cell r="G510"/>
          <cell r="H510"/>
          <cell r="I510"/>
          <cell r="J510"/>
          <cell r="K510"/>
          <cell r="L510"/>
          <cell r="M510"/>
          <cell r="N510"/>
          <cell r="O510"/>
          <cell r="P510"/>
          <cell r="Q510"/>
          <cell r="R510"/>
          <cell r="S510"/>
          <cell r="T510"/>
          <cell r="U510"/>
          <cell r="V510"/>
          <cell r="W510"/>
          <cell r="X510">
            <v>0</v>
          </cell>
          <cell r="Y510">
            <v>0</v>
          </cell>
          <cell r="Z510">
            <v>0</v>
          </cell>
          <cell r="AA510" t="str">
            <v>,</v>
          </cell>
          <cell r="AB510" t="str">
            <v>,</v>
          </cell>
          <cell r="AC510" t="e">
            <v>#DIV/0!</v>
          </cell>
          <cell r="AD510" t="e">
            <v>#DIV/0!</v>
          </cell>
          <cell r="AE510">
            <v>0.71</v>
          </cell>
          <cell r="AF510">
            <v>94.97</v>
          </cell>
          <cell r="AG510">
            <v>0</v>
          </cell>
          <cell r="AH510" t="e">
            <v>#DIV/0!</v>
          </cell>
          <cell r="AI510" t="e">
            <v>#DIV/0!</v>
          </cell>
          <cell r="AJ510" t="e">
            <v>#DIV/0!</v>
          </cell>
          <cell r="AK510" t="e">
            <v>#DIV/0!</v>
          </cell>
          <cell r="AL510" t="e">
            <v>#DIV/0!</v>
          </cell>
          <cell r="AM510" t="e">
            <v>#DIV/0!</v>
          </cell>
          <cell r="AN510" t="e">
            <v>#DIV/0!</v>
          </cell>
          <cell r="AO510" t="e">
            <v>#REF!</v>
          </cell>
          <cell r="AP510" t="e">
            <v>#REF!</v>
          </cell>
          <cell r="AQ510" t="e">
            <v>#REF!</v>
          </cell>
          <cell r="AR510" t="e">
            <v>#REF!</v>
          </cell>
          <cell r="AS510" t="e">
            <v>#REF!</v>
          </cell>
          <cell r="AT510" t="e">
            <v>#REF!</v>
          </cell>
          <cell r="AU510" t="e">
            <v>#REF!</v>
          </cell>
          <cell r="AV510" t="e">
            <v>#REF!</v>
          </cell>
          <cell r="AW510" t="e">
            <v>#DIV/0!</v>
          </cell>
          <cell r="AX510" t="e">
            <v>#DIV/0!</v>
          </cell>
          <cell r="AY510" t="e">
            <v>#DIV/0!</v>
          </cell>
          <cell r="AZ510" t="e">
            <v>#DIV/0!</v>
          </cell>
          <cell r="BE510" t="e">
            <v>#DIV/0!</v>
          </cell>
          <cell r="BF510" t="e">
            <v>#DIV/0!</v>
          </cell>
        </row>
        <row r="511">
          <cell r="A511" t="str">
            <v>-0</v>
          </cell>
          <cell r="B511" t="str">
            <v xml:space="preserve">-0  , </v>
          </cell>
          <cell r="C511"/>
          <cell r="D511"/>
          <cell r="E511"/>
          <cell r="F511"/>
          <cell r="G511"/>
          <cell r="H511"/>
          <cell r="I511"/>
          <cell r="J511"/>
          <cell r="K511"/>
          <cell r="L511"/>
          <cell r="M511"/>
          <cell r="N511"/>
          <cell r="O511"/>
          <cell r="P511"/>
          <cell r="Q511"/>
          <cell r="R511"/>
          <cell r="S511"/>
          <cell r="T511"/>
          <cell r="U511"/>
          <cell r="V511"/>
          <cell r="W511"/>
          <cell r="X511">
            <v>0</v>
          </cell>
          <cell r="Y511">
            <v>0</v>
          </cell>
          <cell r="Z511">
            <v>0</v>
          </cell>
          <cell r="AA511" t="str">
            <v>,</v>
          </cell>
          <cell r="AB511" t="str">
            <v>,</v>
          </cell>
          <cell r="AC511" t="e">
            <v>#DIV/0!</v>
          </cell>
          <cell r="AD511" t="e">
            <v>#DIV/0!</v>
          </cell>
          <cell r="AE511">
            <v>0.71</v>
          </cell>
          <cell r="AF511">
            <v>94.97</v>
          </cell>
          <cell r="AG511">
            <v>0</v>
          </cell>
          <cell r="AH511" t="e">
            <v>#DIV/0!</v>
          </cell>
          <cell r="AI511" t="e">
            <v>#DIV/0!</v>
          </cell>
          <cell r="AJ511" t="e">
            <v>#DIV/0!</v>
          </cell>
          <cell r="AK511" t="e">
            <v>#DIV/0!</v>
          </cell>
          <cell r="AL511" t="e">
            <v>#DIV/0!</v>
          </cell>
          <cell r="AM511" t="e">
            <v>#DIV/0!</v>
          </cell>
          <cell r="AN511" t="e">
            <v>#DIV/0!</v>
          </cell>
          <cell r="AO511" t="e">
            <v>#REF!</v>
          </cell>
          <cell r="AP511" t="e">
            <v>#REF!</v>
          </cell>
          <cell r="AQ511" t="e">
            <v>#REF!</v>
          </cell>
          <cell r="AR511" t="e">
            <v>#REF!</v>
          </cell>
          <cell r="AS511" t="e">
            <v>#REF!</v>
          </cell>
          <cell r="AT511" t="e">
            <v>#REF!</v>
          </cell>
          <cell r="AU511" t="e">
            <v>#REF!</v>
          </cell>
          <cell r="AV511" t="e">
            <v>#REF!</v>
          </cell>
          <cell r="AW511" t="e">
            <v>#DIV/0!</v>
          </cell>
          <cell r="AX511" t="e">
            <v>#DIV/0!</v>
          </cell>
          <cell r="AY511" t="e">
            <v>#DIV/0!</v>
          </cell>
          <cell r="AZ511" t="e">
            <v>#DIV/0!</v>
          </cell>
          <cell r="BE511" t="e">
            <v>#DIV/0!</v>
          </cell>
          <cell r="BF511" t="e">
            <v>#DIV/0!</v>
          </cell>
        </row>
        <row r="512">
          <cell r="A512" t="str">
            <v>-0</v>
          </cell>
          <cell r="B512" t="str">
            <v xml:space="preserve">-0  , </v>
          </cell>
          <cell r="C512"/>
          <cell r="D512"/>
          <cell r="E512"/>
          <cell r="F512"/>
          <cell r="G512"/>
          <cell r="H512"/>
          <cell r="I512"/>
          <cell r="J512"/>
          <cell r="K512"/>
          <cell r="L512"/>
          <cell r="M512"/>
          <cell r="N512"/>
          <cell r="O512"/>
          <cell r="P512"/>
          <cell r="Q512"/>
          <cell r="R512"/>
          <cell r="S512"/>
          <cell r="T512"/>
          <cell r="U512"/>
          <cell r="V512"/>
          <cell r="W512"/>
          <cell r="X512">
            <v>0</v>
          </cell>
          <cell r="Y512">
            <v>0</v>
          </cell>
          <cell r="Z512">
            <v>0</v>
          </cell>
          <cell r="AA512" t="str">
            <v>,</v>
          </cell>
          <cell r="AB512" t="str">
            <v>,</v>
          </cell>
          <cell r="AC512" t="e">
            <v>#DIV/0!</v>
          </cell>
          <cell r="AD512" t="e">
            <v>#DIV/0!</v>
          </cell>
          <cell r="AE512">
            <v>0.71</v>
          </cell>
          <cell r="AF512">
            <v>94.97</v>
          </cell>
          <cell r="AG512">
            <v>0</v>
          </cell>
          <cell r="AH512" t="e">
            <v>#DIV/0!</v>
          </cell>
          <cell r="AI512" t="e">
            <v>#DIV/0!</v>
          </cell>
          <cell r="AJ512" t="e">
            <v>#DIV/0!</v>
          </cell>
          <cell r="AK512" t="e">
            <v>#DIV/0!</v>
          </cell>
          <cell r="AL512" t="e">
            <v>#DIV/0!</v>
          </cell>
          <cell r="AM512" t="e">
            <v>#DIV/0!</v>
          </cell>
          <cell r="AN512" t="e">
            <v>#DIV/0!</v>
          </cell>
          <cell r="AO512" t="e">
            <v>#REF!</v>
          </cell>
          <cell r="AP512" t="e">
            <v>#REF!</v>
          </cell>
          <cell r="AQ512" t="e">
            <v>#REF!</v>
          </cell>
          <cell r="AR512" t="e">
            <v>#REF!</v>
          </cell>
          <cell r="AS512" t="e">
            <v>#REF!</v>
          </cell>
          <cell r="AT512" t="e">
            <v>#REF!</v>
          </cell>
          <cell r="AU512" t="e">
            <v>#REF!</v>
          </cell>
          <cell r="AV512" t="e">
            <v>#REF!</v>
          </cell>
          <cell r="AW512" t="e">
            <v>#DIV/0!</v>
          </cell>
          <cell r="AX512" t="e">
            <v>#DIV/0!</v>
          </cell>
          <cell r="AY512" t="e">
            <v>#DIV/0!</v>
          </cell>
          <cell r="AZ512" t="e">
            <v>#DIV/0!</v>
          </cell>
          <cell r="BE512" t="e">
            <v>#DIV/0!</v>
          </cell>
          <cell r="BF512" t="e">
            <v>#DIV/0!</v>
          </cell>
        </row>
        <row r="513">
          <cell r="A513" t="str">
            <v>-0</v>
          </cell>
          <cell r="B513" t="str">
            <v xml:space="preserve">-0  , </v>
          </cell>
          <cell r="C513"/>
          <cell r="D513"/>
          <cell r="E513"/>
          <cell r="F513"/>
          <cell r="G513"/>
          <cell r="H513"/>
          <cell r="I513"/>
          <cell r="J513"/>
          <cell r="K513"/>
          <cell r="L513"/>
          <cell r="M513"/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  <cell r="X513">
            <v>0</v>
          </cell>
          <cell r="Y513">
            <v>0</v>
          </cell>
          <cell r="Z513">
            <v>0</v>
          </cell>
          <cell r="AA513" t="str">
            <v>,</v>
          </cell>
          <cell r="AB513" t="str">
            <v>,</v>
          </cell>
          <cell r="AC513" t="e">
            <v>#DIV/0!</v>
          </cell>
          <cell r="AD513" t="e">
            <v>#DIV/0!</v>
          </cell>
          <cell r="AE513">
            <v>0.71</v>
          </cell>
          <cell r="AF513">
            <v>94.97</v>
          </cell>
          <cell r="AG513">
            <v>0</v>
          </cell>
          <cell r="AH513" t="e">
            <v>#DIV/0!</v>
          </cell>
          <cell r="AI513" t="e">
            <v>#DIV/0!</v>
          </cell>
          <cell r="AJ513" t="e">
            <v>#DIV/0!</v>
          </cell>
          <cell r="AK513" t="e">
            <v>#DIV/0!</v>
          </cell>
          <cell r="AL513" t="e">
            <v>#DIV/0!</v>
          </cell>
          <cell r="AM513" t="e">
            <v>#DIV/0!</v>
          </cell>
          <cell r="AN513" t="e">
            <v>#DIV/0!</v>
          </cell>
          <cell r="AO513" t="e">
            <v>#REF!</v>
          </cell>
          <cell r="AP513" t="e">
            <v>#REF!</v>
          </cell>
          <cell r="AQ513" t="e">
            <v>#REF!</v>
          </cell>
          <cell r="AR513" t="e">
            <v>#REF!</v>
          </cell>
          <cell r="AS513" t="e">
            <v>#REF!</v>
          </cell>
          <cell r="AT513" t="e">
            <v>#REF!</v>
          </cell>
          <cell r="AU513" t="e">
            <v>#REF!</v>
          </cell>
          <cell r="AV513" t="e">
            <v>#REF!</v>
          </cell>
          <cell r="AW513" t="e">
            <v>#DIV/0!</v>
          </cell>
          <cell r="AX513" t="e">
            <v>#DIV/0!</v>
          </cell>
          <cell r="AY513" t="e">
            <v>#DIV/0!</v>
          </cell>
          <cell r="AZ513" t="e">
            <v>#DIV/0!</v>
          </cell>
          <cell r="BE513" t="e">
            <v>#DIV/0!</v>
          </cell>
          <cell r="BF513" t="e">
            <v>#DIV/0!</v>
          </cell>
        </row>
        <row r="514">
          <cell r="A514" t="str">
            <v>-0</v>
          </cell>
          <cell r="B514" t="str">
            <v xml:space="preserve">-0  , </v>
          </cell>
          <cell r="C514"/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  <cell r="X514">
            <v>0</v>
          </cell>
          <cell r="Y514">
            <v>0</v>
          </cell>
          <cell r="Z514">
            <v>0</v>
          </cell>
          <cell r="AA514" t="str">
            <v>,</v>
          </cell>
          <cell r="AB514" t="str">
            <v>,</v>
          </cell>
          <cell r="AC514" t="e">
            <v>#DIV/0!</v>
          </cell>
          <cell r="AD514" t="e">
            <v>#DIV/0!</v>
          </cell>
          <cell r="AE514">
            <v>0.71</v>
          </cell>
          <cell r="AF514">
            <v>94.97</v>
          </cell>
          <cell r="AG514">
            <v>0</v>
          </cell>
          <cell r="AH514" t="e">
            <v>#DIV/0!</v>
          </cell>
          <cell r="AI514" t="e">
            <v>#DIV/0!</v>
          </cell>
          <cell r="AJ514" t="e">
            <v>#DIV/0!</v>
          </cell>
          <cell r="AK514" t="e">
            <v>#DIV/0!</v>
          </cell>
          <cell r="AL514" t="e">
            <v>#DIV/0!</v>
          </cell>
          <cell r="AM514" t="e">
            <v>#DIV/0!</v>
          </cell>
          <cell r="AN514" t="e">
            <v>#DIV/0!</v>
          </cell>
          <cell r="AO514" t="e">
            <v>#REF!</v>
          </cell>
          <cell r="AP514" t="e">
            <v>#REF!</v>
          </cell>
          <cell r="AQ514" t="e">
            <v>#REF!</v>
          </cell>
          <cell r="AR514" t="e">
            <v>#REF!</v>
          </cell>
          <cell r="AS514" t="e">
            <v>#REF!</v>
          </cell>
          <cell r="AT514" t="e">
            <v>#REF!</v>
          </cell>
          <cell r="AU514" t="e">
            <v>#REF!</v>
          </cell>
          <cell r="AV514" t="e">
            <v>#REF!</v>
          </cell>
          <cell r="AW514" t="e">
            <v>#DIV/0!</v>
          </cell>
          <cell r="AX514" t="e">
            <v>#DIV/0!</v>
          </cell>
          <cell r="AY514" t="e">
            <v>#DIV/0!</v>
          </cell>
          <cell r="AZ514" t="e">
            <v>#DIV/0!</v>
          </cell>
          <cell r="BE514" t="e">
            <v>#DIV/0!</v>
          </cell>
          <cell r="BF514" t="e">
            <v>#DIV/0!</v>
          </cell>
        </row>
        <row r="515">
          <cell r="A515" t="str">
            <v>-0</v>
          </cell>
          <cell r="B515" t="str">
            <v xml:space="preserve">-0  , </v>
          </cell>
          <cell r="C515"/>
          <cell r="D515"/>
          <cell r="E515"/>
          <cell r="F515"/>
          <cell r="G515"/>
          <cell r="H515"/>
          <cell r="I515"/>
          <cell r="J515"/>
          <cell r="K515"/>
          <cell r="L515"/>
          <cell r="M515"/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  <cell r="X515">
            <v>0</v>
          </cell>
          <cell r="Y515">
            <v>0</v>
          </cell>
          <cell r="Z515">
            <v>0</v>
          </cell>
          <cell r="AA515" t="str">
            <v>,</v>
          </cell>
          <cell r="AB515" t="str">
            <v>,</v>
          </cell>
          <cell r="AC515" t="e">
            <v>#DIV/0!</v>
          </cell>
          <cell r="AD515" t="e">
            <v>#DIV/0!</v>
          </cell>
          <cell r="AE515">
            <v>0.71</v>
          </cell>
          <cell r="AF515">
            <v>94.97</v>
          </cell>
          <cell r="AG515">
            <v>0</v>
          </cell>
          <cell r="AH515" t="e">
            <v>#DIV/0!</v>
          </cell>
          <cell r="AI515" t="e">
            <v>#DIV/0!</v>
          </cell>
          <cell r="AJ515" t="e">
            <v>#DIV/0!</v>
          </cell>
          <cell r="AK515" t="e">
            <v>#DIV/0!</v>
          </cell>
          <cell r="AL515" t="e">
            <v>#DIV/0!</v>
          </cell>
          <cell r="AM515" t="e">
            <v>#DIV/0!</v>
          </cell>
          <cell r="AN515" t="e">
            <v>#DIV/0!</v>
          </cell>
          <cell r="AO515" t="e">
            <v>#REF!</v>
          </cell>
          <cell r="AP515" t="e">
            <v>#REF!</v>
          </cell>
          <cell r="AQ515" t="e">
            <v>#REF!</v>
          </cell>
          <cell r="AR515" t="e">
            <v>#REF!</v>
          </cell>
          <cell r="AS515" t="e">
            <v>#REF!</v>
          </cell>
          <cell r="AT515" t="e">
            <v>#REF!</v>
          </cell>
          <cell r="AU515" t="e">
            <v>#REF!</v>
          </cell>
          <cell r="AV515" t="e">
            <v>#REF!</v>
          </cell>
          <cell r="AW515" t="e">
            <v>#DIV/0!</v>
          </cell>
          <cell r="AX515" t="e">
            <v>#DIV/0!</v>
          </cell>
          <cell r="AY515" t="e">
            <v>#DIV/0!</v>
          </cell>
          <cell r="AZ515" t="e">
            <v>#DIV/0!</v>
          </cell>
          <cell r="BE515" t="e">
            <v>#DIV/0!</v>
          </cell>
          <cell r="BF515" t="e">
            <v>#DIV/0!</v>
          </cell>
        </row>
        <row r="516">
          <cell r="A516" t="str">
            <v>-0</v>
          </cell>
          <cell r="B516" t="str">
            <v xml:space="preserve">-0  , </v>
          </cell>
          <cell r="C516"/>
          <cell r="D516"/>
          <cell r="E516"/>
          <cell r="F516"/>
          <cell r="G516"/>
          <cell r="H516"/>
          <cell r="I516"/>
          <cell r="J516"/>
          <cell r="K516"/>
          <cell r="L516"/>
          <cell r="M516"/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  <cell r="X516">
            <v>0</v>
          </cell>
          <cell r="Y516">
            <v>0</v>
          </cell>
          <cell r="Z516">
            <v>0</v>
          </cell>
          <cell r="AA516" t="str">
            <v>,</v>
          </cell>
          <cell r="AB516" t="str">
            <v>,</v>
          </cell>
          <cell r="AC516" t="e">
            <v>#DIV/0!</v>
          </cell>
          <cell r="AD516" t="e">
            <v>#DIV/0!</v>
          </cell>
          <cell r="AE516">
            <v>0.71</v>
          </cell>
          <cell r="AF516">
            <v>94.97</v>
          </cell>
          <cell r="AG516">
            <v>0</v>
          </cell>
          <cell r="AH516" t="e">
            <v>#DIV/0!</v>
          </cell>
          <cell r="AI516" t="e">
            <v>#DIV/0!</v>
          </cell>
          <cell r="AJ516" t="e">
            <v>#DIV/0!</v>
          </cell>
          <cell r="AK516" t="e">
            <v>#DIV/0!</v>
          </cell>
          <cell r="AL516" t="e">
            <v>#DIV/0!</v>
          </cell>
          <cell r="AM516" t="e">
            <v>#DIV/0!</v>
          </cell>
          <cell r="AN516" t="e">
            <v>#DIV/0!</v>
          </cell>
          <cell r="AO516" t="e">
            <v>#REF!</v>
          </cell>
          <cell r="AP516" t="e">
            <v>#REF!</v>
          </cell>
          <cell r="AQ516" t="e">
            <v>#REF!</v>
          </cell>
          <cell r="AR516" t="e">
            <v>#REF!</v>
          </cell>
          <cell r="AS516" t="e">
            <v>#REF!</v>
          </cell>
          <cell r="AT516" t="e">
            <v>#REF!</v>
          </cell>
          <cell r="AU516" t="e">
            <v>#REF!</v>
          </cell>
          <cell r="AV516" t="e">
            <v>#REF!</v>
          </cell>
          <cell r="AW516" t="e">
            <v>#DIV/0!</v>
          </cell>
          <cell r="AX516" t="e">
            <v>#DIV/0!</v>
          </cell>
          <cell r="AY516" t="e">
            <v>#DIV/0!</v>
          </cell>
          <cell r="AZ516" t="e">
            <v>#DIV/0!</v>
          </cell>
          <cell r="BE516" t="e">
            <v>#DIV/0!</v>
          </cell>
          <cell r="BF516" t="e">
            <v>#DIV/0!</v>
          </cell>
        </row>
        <row r="517">
          <cell r="A517" t="str">
            <v>-0</v>
          </cell>
          <cell r="B517" t="str">
            <v xml:space="preserve">-0  , </v>
          </cell>
          <cell r="C517"/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/>
          <cell r="S517"/>
          <cell r="T517"/>
          <cell r="U517"/>
          <cell r="V517"/>
          <cell r="W517"/>
          <cell r="X517">
            <v>0</v>
          </cell>
          <cell r="Y517">
            <v>0</v>
          </cell>
          <cell r="Z517">
            <v>0</v>
          </cell>
          <cell r="AA517" t="str">
            <v>,</v>
          </cell>
          <cell r="AB517" t="str">
            <v>,</v>
          </cell>
          <cell r="AC517" t="e">
            <v>#DIV/0!</v>
          </cell>
          <cell r="AD517" t="e">
            <v>#DIV/0!</v>
          </cell>
          <cell r="AE517">
            <v>0.71</v>
          </cell>
          <cell r="AF517">
            <v>94.97</v>
          </cell>
          <cell r="AG517">
            <v>0</v>
          </cell>
          <cell r="AH517" t="e">
            <v>#DIV/0!</v>
          </cell>
          <cell r="AI517" t="e">
            <v>#DIV/0!</v>
          </cell>
          <cell r="AJ517" t="e">
            <v>#DIV/0!</v>
          </cell>
          <cell r="AK517" t="e">
            <v>#DIV/0!</v>
          </cell>
          <cell r="AL517" t="e">
            <v>#DIV/0!</v>
          </cell>
          <cell r="AM517" t="e">
            <v>#DIV/0!</v>
          </cell>
          <cell r="AN517" t="e">
            <v>#DIV/0!</v>
          </cell>
          <cell r="AO517" t="e">
            <v>#REF!</v>
          </cell>
          <cell r="AP517" t="e">
            <v>#REF!</v>
          </cell>
          <cell r="AQ517" t="e">
            <v>#REF!</v>
          </cell>
          <cell r="AR517" t="e">
            <v>#REF!</v>
          </cell>
          <cell r="AS517" t="e">
            <v>#REF!</v>
          </cell>
          <cell r="AT517" t="e">
            <v>#REF!</v>
          </cell>
          <cell r="AU517" t="e">
            <v>#REF!</v>
          </cell>
          <cell r="AV517" t="e">
            <v>#REF!</v>
          </cell>
          <cell r="AW517" t="e">
            <v>#DIV/0!</v>
          </cell>
          <cell r="AX517" t="e">
            <v>#DIV/0!</v>
          </cell>
          <cell r="AY517" t="e">
            <v>#DIV/0!</v>
          </cell>
          <cell r="AZ517" t="e">
            <v>#DIV/0!</v>
          </cell>
          <cell r="BE517" t="e">
            <v>#DIV/0!</v>
          </cell>
          <cell r="BF517" t="e">
            <v>#DIV/0!</v>
          </cell>
        </row>
        <row r="518">
          <cell r="A518" t="str">
            <v>-0</v>
          </cell>
          <cell r="B518" t="str">
            <v xml:space="preserve">-0  , </v>
          </cell>
          <cell r="C518"/>
          <cell r="D518"/>
          <cell r="E518"/>
          <cell r="F518"/>
          <cell r="G518"/>
          <cell r="H518"/>
          <cell r="I518"/>
          <cell r="J518"/>
          <cell r="K518"/>
          <cell r="L518"/>
          <cell r="M518"/>
          <cell r="N518"/>
          <cell r="O518"/>
          <cell r="P518"/>
          <cell r="Q518"/>
          <cell r="R518"/>
          <cell r="S518"/>
          <cell r="T518"/>
          <cell r="U518"/>
          <cell r="V518"/>
          <cell r="W518"/>
          <cell r="X518">
            <v>0</v>
          </cell>
          <cell r="Y518">
            <v>0</v>
          </cell>
          <cell r="Z518">
            <v>0</v>
          </cell>
          <cell r="AA518" t="str">
            <v>,</v>
          </cell>
          <cell r="AB518" t="str">
            <v>,</v>
          </cell>
          <cell r="AC518" t="e">
            <v>#DIV/0!</v>
          </cell>
          <cell r="AD518" t="e">
            <v>#DIV/0!</v>
          </cell>
          <cell r="AE518">
            <v>0.71</v>
          </cell>
          <cell r="AF518">
            <v>94.97</v>
          </cell>
          <cell r="AG518">
            <v>0</v>
          </cell>
          <cell r="AH518" t="e">
            <v>#DIV/0!</v>
          </cell>
          <cell r="AI518" t="e">
            <v>#DIV/0!</v>
          </cell>
          <cell r="AJ518" t="e">
            <v>#DIV/0!</v>
          </cell>
          <cell r="AK518" t="e">
            <v>#DIV/0!</v>
          </cell>
          <cell r="AL518" t="e">
            <v>#DIV/0!</v>
          </cell>
          <cell r="AM518" t="e">
            <v>#DIV/0!</v>
          </cell>
          <cell r="AN518" t="e">
            <v>#DIV/0!</v>
          </cell>
          <cell r="AO518" t="e">
            <v>#REF!</v>
          </cell>
          <cell r="AP518" t="e">
            <v>#REF!</v>
          </cell>
          <cell r="AQ518" t="e">
            <v>#REF!</v>
          </cell>
          <cell r="AR518" t="e">
            <v>#REF!</v>
          </cell>
          <cell r="AS518" t="e">
            <v>#REF!</v>
          </cell>
          <cell r="AT518" t="e">
            <v>#REF!</v>
          </cell>
          <cell r="AU518" t="e">
            <v>#REF!</v>
          </cell>
          <cell r="AV518" t="e">
            <v>#REF!</v>
          </cell>
          <cell r="AW518" t="e">
            <v>#DIV/0!</v>
          </cell>
          <cell r="AX518" t="e">
            <v>#DIV/0!</v>
          </cell>
          <cell r="AY518" t="e">
            <v>#DIV/0!</v>
          </cell>
          <cell r="AZ518" t="e">
            <v>#DIV/0!</v>
          </cell>
          <cell r="BE518" t="e">
            <v>#DIV/0!</v>
          </cell>
          <cell r="BF518" t="e">
            <v>#DIV/0!</v>
          </cell>
        </row>
        <row r="519">
          <cell r="A519" t="str">
            <v>-0</v>
          </cell>
          <cell r="B519" t="str">
            <v xml:space="preserve">-0  , </v>
          </cell>
          <cell r="C519"/>
          <cell r="D519"/>
          <cell r="E519"/>
          <cell r="F519"/>
          <cell r="G519"/>
          <cell r="H519"/>
          <cell r="I519"/>
          <cell r="J519"/>
          <cell r="K519"/>
          <cell r="L519"/>
          <cell r="M519"/>
          <cell r="N519"/>
          <cell r="O519"/>
          <cell r="P519"/>
          <cell r="Q519"/>
          <cell r="R519"/>
          <cell r="S519"/>
          <cell r="T519"/>
          <cell r="U519"/>
          <cell r="V519"/>
          <cell r="W519"/>
          <cell r="X519">
            <v>0</v>
          </cell>
          <cell r="Y519">
            <v>0</v>
          </cell>
          <cell r="Z519">
            <v>0</v>
          </cell>
          <cell r="AA519" t="str">
            <v>,</v>
          </cell>
          <cell r="AB519" t="str">
            <v>,</v>
          </cell>
          <cell r="AC519" t="e">
            <v>#DIV/0!</v>
          </cell>
          <cell r="AD519" t="e">
            <v>#DIV/0!</v>
          </cell>
          <cell r="AE519">
            <v>0.71</v>
          </cell>
          <cell r="AF519">
            <v>94.97</v>
          </cell>
          <cell r="AG519">
            <v>0</v>
          </cell>
          <cell r="AH519" t="e">
            <v>#DIV/0!</v>
          </cell>
          <cell r="AI519" t="e">
            <v>#DIV/0!</v>
          </cell>
          <cell r="AJ519" t="e">
            <v>#DIV/0!</v>
          </cell>
          <cell r="AK519" t="e">
            <v>#DIV/0!</v>
          </cell>
          <cell r="AL519" t="e">
            <v>#DIV/0!</v>
          </cell>
          <cell r="AM519" t="e">
            <v>#DIV/0!</v>
          </cell>
          <cell r="AN519" t="e">
            <v>#DIV/0!</v>
          </cell>
          <cell r="AO519" t="e">
            <v>#REF!</v>
          </cell>
          <cell r="AP519" t="e">
            <v>#REF!</v>
          </cell>
          <cell r="AQ519" t="e">
            <v>#REF!</v>
          </cell>
          <cell r="AR519" t="e">
            <v>#REF!</v>
          </cell>
          <cell r="AS519" t="e">
            <v>#REF!</v>
          </cell>
          <cell r="AT519" t="e">
            <v>#REF!</v>
          </cell>
          <cell r="AU519" t="e">
            <v>#REF!</v>
          </cell>
          <cell r="AV519" t="e">
            <v>#REF!</v>
          </cell>
          <cell r="AW519" t="e">
            <v>#DIV/0!</v>
          </cell>
          <cell r="AX519" t="e">
            <v>#DIV/0!</v>
          </cell>
          <cell r="AY519" t="e">
            <v>#DIV/0!</v>
          </cell>
          <cell r="AZ519" t="e">
            <v>#DIV/0!</v>
          </cell>
          <cell r="BE519" t="e">
            <v>#DIV/0!</v>
          </cell>
          <cell r="BF519" t="e">
            <v>#DIV/0!</v>
          </cell>
        </row>
        <row r="520">
          <cell r="A520" t="str">
            <v>-0</v>
          </cell>
          <cell r="B520" t="str">
            <v xml:space="preserve">-0  , </v>
          </cell>
          <cell r="C520"/>
          <cell r="D520"/>
          <cell r="E520"/>
          <cell r="F520"/>
          <cell r="G520"/>
          <cell r="H520"/>
          <cell r="I520"/>
          <cell r="J520"/>
          <cell r="K520"/>
          <cell r="L520"/>
          <cell r="M520"/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  <cell r="X520">
            <v>0</v>
          </cell>
          <cell r="Y520">
            <v>0</v>
          </cell>
          <cell r="Z520">
            <v>0</v>
          </cell>
          <cell r="AA520" t="str">
            <v>,</v>
          </cell>
          <cell r="AB520" t="str">
            <v>,</v>
          </cell>
          <cell r="AC520" t="e">
            <v>#DIV/0!</v>
          </cell>
          <cell r="AD520" t="e">
            <v>#DIV/0!</v>
          </cell>
          <cell r="AE520">
            <v>0.71</v>
          </cell>
          <cell r="AF520">
            <v>94.97</v>
          </cell>
          <cell r="AG520">
            <v>0</v>
          </cell>
          <cell r="AH520" t="e">
            <v>#DIV/0!</v>
          </cell>
          <cell r="AI520" t="e">
            <v>#DIV/0!</v>
          </cell>
          <cell r="AJ520" t="e">
            <v>#DIV/0!</v>
          </cell>
          <cell r="AK520" t="e">
            <v>#DIV/0!</v>
          </cell>
          <cell r="AL520" t="e">
            <v>#DIV/0!</v>
          </cell>
          <cell r="AM520" t="e">
            <v>#DIV/0!</v>
          </cell>
          <cell r="AN520" t="e">
            <v>#DIV/0!</v>
          </cell>
          <cell r="AO520" t="e">
            <v>#REF!</v>
          </cell>
          <cell r="AP520" t="e">
            <v>#REF!</v>
          </cell>
          <cell r="AQ520" t="e">
            <v>#REF!</v>
          </cell>
          <cell r="AR520" t="e">
            <v>#REF!</v>
          </cell>
          <cell r="AS520" t="e">
            <v>#REF!</v>
          </cell>
          <cell r="AT520" t="e">
            <v>#REF!</v>
          </cell>
          <cell r="AU520" t="e">
            <v>#REF!</v>
          </cell>
          <cell r="AV520" t="e">
            <v>#REF!</v>
          </cell>
          <cell r="AW520" t="e">
            <v>#DIV/0!</v>
          </cell>
          <cell r="AX520" t="e">
            <v>#DIV/0!</v>
          </cell>
          <cell r="AY520" t="e">
            <v>#DIV/0!</v>
          </cell>
          <cell r="AZ520" t="e">
            <v>#DIV/0!</v>
          </cell>
          <cell r="BE520" t="e">
            <v>#DIV/0!</v>
          </cell>
          <cell r="BF520" t="e">
            <v>#DIV/0!</v>
          </cell>
        </row>
        <row r="521">
          <cell r="A521" t="str">
            <v>-0</v>
          </cell>
          <cell r="B521" t="str">
            <v xml:space="preserve">-0  , </v>
          </cell>
          <cell r="C521"/>
          <cell r="D521"/>
          <cell r="E521"/>
          <cell r="F521"/>
          <cell r="G521"/>
          <cell r="H521"/>
          <cell r="I521"/>
          <cell r="J521"/>
          <cell r="K521"/>
          <cell r="L521"/>
          <cell r="M521"/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  <cell r="X521">
            <v>0</v>
          </cell>
          <cell r="Y521">
            <v>0</v>
          </cell>
          <cell r="Z521">
            <v>0</v>
          </cell>
          <cell r="AA521" t="str">
            <v>,</v>
          </cell>
          <cell r="AB521" t="str">
            <v>,</v>
          </cell>
          <cell r="AC521" t="e">
            <v>#DIV/0!</v>
          </cell>
          <cell r="AD521" t="e">
            <v>#DIV/0!</v>
          </cell>
          <cell r="AE521">
            <v>0.71</v>
          </cell>
          <cell r="AF521">
            <v>94.97</v>
          </cell>
          <cell r="AG521">
            <v>0</v>
          </cell>
          <cell r="AH521" t="e">
            <v>#DIV/0!</v>
          </cell>
          <cell r="AI521" t="e">
            <v>#DIV/0!</v>
          </cell>
          <cell r="AJ521" t="e">
            <v>#DIV/0!</v>
          </cell>
          <cell r="AK521" t="e">
            <v>#DIV/0!</v>
          </cell>
          <cell r="AL521" t="e">
            <v>#DIV/0!</v>
          </cell>
          <cell r="AM521" t="e">
            <v>#DIV/0!</v>
          </cell>
          <cell r="AN521" t="e">
            <v>#DIV/0!</v>
          </cell>
          <cell r="AO521" t="e">
            <v>#REF!</v>
          </cell>
          <cell r="AP521" t="e">
            <v>#REF!</v>
          </cell>
          <cell r="AQ521" t="e">
            <v>#REF!</v>
          </cell>
          <cell r="AR521" t="e">
            <v>#REF!</v>
          </cell>
          <cell r="AS521" t="e">
            <v>#REF!</v>
          </cell>
          <cell r="AT521" t="e">
            <v>#REF!</v>
          </cell>
          <cell r="AU521" t="e">
            <v>#REF!</v>
          </cell>
          <cell r="AV521" t="e">
            <v>#REF!</v>
          </cell>
          <cell r="AW521" t="e">
            <v>#DIV/0!</v>
          </cell>
          <cell r="AX521" t="e">
            <v>#DIV/0!</v>
          </cell>
          <cell r="AY521" t="e">
            <v>#DIV/0!</v>
          </cell>
          <cell r="AZ521" t="e">
            <v>#DIV/0!</v>
          </cell>
          <cell r="BE521" t="e">
            <v>#DIV/0!</v>
          </cell>
          <cell r="BF521" t="e">
            <v>#DIV/0!</v>
          </cell>
        </row>
        <row r="522">
          <cell r="A522" t="str">
            <v>-0</v>
          </cell>
          <cell r="B522" t="str">
            <v xml:space="preserve">-0  , </v>
          </cell>
          <cell r="C522"/>
          <cell r="D522"/>
          <cell r="E522"/>
          <cell r="F522"/>
          <cell r="G522"/>
          <cell r="H522"/>
          <cell r="I522"/>
          <cell r="J522"/>
          <cell r="K522"/>
          <cell r="L522"/>
          <cell r="M522"/>
          <cell r="N522"/>
          <cell r="O522"/>
          <cell r="P522"/>
          <cell r="Q522"/>
          <cell r="R522"/>
          <cell r="S522"/>
          <cell r="T522"/>
          <cell r="U522"/>
          <cell r="V522"/>
          <cell r="W522"/>
          <cell r="X522">
            <v>0</v>
          </cell>
          <cell r="Y522">
            <v>0</v>
          </cell>
          <cell r="Z522">
            <v>0</v>
          </cell>
          <cell r="AA522" t="str">
            <v>,</v>
          </cell>
          <cell r="AB522" t="str">
            <v>,</v>
          </cell>
          <cell r="AC522" t="e">
            <v>#DIV/0!</v>
          </cell>
          <cell r="AD522" t="e">
            <v>#DIV/0!</v>
          </cell>
          <cell r="AE522">
            <v>0.71</v>
          </cell>
          <cell r="AF522">
            <v>94.97</v>
          </cell>
          <cell r="AG522">
            <v>0</v>
          </cell>
          <cell r="AH522" t="e">
            <v>#DIV/0!</v>
          </cell>
          <cell r="AI522" t="e">
            <v>#DIV/0!</v>
          </cell>
          <cell r="AJ522" t="e">
            <v>#DIV/0!</v>
          </cell>
          <cell r="AK522" t="e">
            <v>#DIV/0!</v>
          </cell>
          <cell r="AL522" t="e">
            <v>#DIV/0!</v>
          </cell>
          <cell r="AM522" t="e">
            <v>#DIV/0!</v>
          </cell>
          <cell r="AN522" t="e">
            <v>#DIV/0!</v>
          </cell>
          <cell r="AO522" t="e">
            <v>#REF!</v>
          </cell>
          <cell r="AP522" t="e">
            <v>#REF!</v>
          </cell>
          <cell r="AQ522" t="e">
            <v>#REF!</v>
          </cell>
          <cell r="AR522" t="e">
            <v>#REF!</v>
          </cell>
          <cell r="AS522" t="e">
            <v>#REF!</v>
          </cell>
          <cell r="AT522" t="e">
            <v>#REF!</v>
          </cell>
          <cell r="AU522" t="e">
            <v>#REF!</v>
          </cell>
          <cell r="AV522" t="e">
            <v>#REF!</v>
          </cell>
          <cell r="AW522" t="e">
            <v>#DIV/0!</v>
          </cell>
          <cell r="AX522" t="e">
            <v>#DIV/0!</v>
          </cell>
          <cell r="AY522" t="e">
            <v>#DIV/0!</v>
          </cell>
          <cell r="AZ522" t="e">
            <v>#DIV/0!</v>
          </cell>
          <cell r="BE522" t="e">
            <v>#DIV/0!</v>
          </cell>
          <cell r="BF522" t="e">
            <v>#DIV/0!</v>
          </cell>
        </row>
        <row r="523">
          <cell r="A523" t="str">
            <v>-0</v>
          </cell>
          <cell r="B523" t="str">
            <v xml:space="preserve">-0  , </v>
          </cell>
          <cell r="C523"/>
          <cell r="D523"/>
          <cell r="E523"/>
          <cell r="F523"/>
          <cell r="G523"/>
          <cell r="H523"/>
          <cell r="I523"/>
          <cell r="J523"/>
          <cell r="K523"/>
          <cell r="L523"/>
          <cell r="M523"/>
          <cell r="N523"/>
          <cell r="O523"/>
          <cell r="P523"/>
          <cell r="Q523"/>
          <cell r="R523"/>
          <cell r="S523"/>
          <cell r="T523"/>
          <cell r="U523"/>
          <cell r="V523"/>
          <cell r="W523"/>
          <cell r="X523">
            <v>0</v>
          </cell>
          <cell r="Y523">
            <v>0</v>
          </cell>
          <cell r="Z523">
            <v>0</v>
          </cell>
          <cell r="AA523" t="str">
            <v>,</v>
          </cell>
          <cell r="AB523" t="str">
            <v>,</v>
          </cell>
          <cell r="AC523" t="e">
            <v>#DIV/0!</v>
          </cell>
          <cell r="AD523" t="e">
            <v>#DIV/0!</v>
          </cell>
          <cell r="AE523">
            <v>0.71</v>
          </cell>
          <cell r="AF523">
            <v>94.97</v>
          </cell>
          <cell r="AG523">
            <v>0</v>
          </cell>
          <cell r="AH523" t="e">
            <v>#DIV/0!</v>
          </cell>
          <cell r="AI523" t="e">
            <v>#DIV/0!</v>
          </cell>
          <cell r="AJ523" t="e">
            <v>#DIV/0!</v>
          </cell>
          <cell r="AK523" t="e">
            <v>#DIV/0!</v>
          </cell>
          <cell r="AL523" t="e">
            <v>#DIV/0!</v>
          </cell>
          <cell r="AM523" t="e">
            <v>#DIV/0!</v>
          </cell>
          <cell r="AN523" t="e">
            <v>#DIV/0!</v>
          </cell>
          <cell r="AO523" t="e">
            <v>#REF!</v>
          </cell>
          <cell r="AP523" t="e">
            <v>#REF!</v>
          </cell>
          <cell r="AQ523" t="e">
            <v>#REF!</v>
          </cell>
          <cell r="AR523" t="e">
            <v>#REF!</v>
          </cell>
          <cell r="AS523" t="e">
            <v>#REF!</v>
          </cell>
          <cell r="AT523" t="e">
            <v>#REF!</v>
          </cell>
          <cell r="AU523" t="e">
            <v>#REF!</v>
          </cell>
          <cell r="AV523" t="e">
            <v>#REF!</v>
          </cell>
          <cell r="AW523" t="e">
            <v>#DIV/0!</v>
          </cell>
          <cell r="AX523" t="e">
            <v>#DIV/0!</v>
          </cell>
          <cell r="AY523" t="e">
            <v>#DIV/0!</v>
          </cell>
          <cell r="AZ523" t="e">
            <v>#DIV/0!</v>
          </cell>
          <cell r="BE523" t="e">
            <v>#DIV/0!</v>
          </cell>
          <cell r="BF523" t="e">
            <v>#DIV/0!</v>
          </cell>
        </row>
        <row r="524">
          <cell r="A524" t="str">
            <v>-0</v>
          </cell>
          <cell r="B524" t="str">
            <v xml:space="preserve">-0  , </v>
          </cell>
          <cell r="C524"/>
          <cell r="D524"/>
          <cell r="E524"/>
          <cell r="F524"/>
          <cell r="G524"/>
          <cell r="H524"/>
          <cell r="I524"/>
          <cell r="J524"/>
          <cell r="K524"/>
          <cell r="L524"/>
          <cell r="M524"/>
          <cell r="N524"/>
          <cell r="O524"/>
          <cell r="P524"/>
          <cell r="Q524"/>
          <cell r="R524"/>
          <cell r="S524"/>
          <cell r="T524"/>
          <cell r="U524"/>
          <cell r="V524"/>
          <cell r="W524"/>
          <cell r="X524">
            <v>0</v>
          </cell>
          <cell r="Y524">
            <v>0</v>
          </cell>
          <cell r="Z524">
            <v>0</v>
          </cell>
          <cell r="AA524" t="str">
            <v>,</v>
          </cell>
          <cell r="AB524" t="str">
            <v>,</v>
          </cell>
          <cell r="AC524" t="e">
            <v>#DIV/0!</v>
          </cell>
          <cell r="AD524" t="e">
            <v>#DIV/0!</v>
          </cell>
          <cell r="AE524">
            <v>0.71</v>
          </cell>
          <cell r="AF524">
            <v>94.97</v>
          </cell>
          <cell r="AG524">
            <v>0</v>
          </cell>
          <cell r="AH524" t="e">
            <v>#DIV/0!</v>
          </cell>
          <cell r="AI524" t="e">
            <v>#DIV/0!</v>
          </cell>
          <cell r="AJ524" t="e">
            <v>#DIV/0!</v>
          </cell>
          <cell r="AK524" t="e">
            <v>#DIV/0!</v>
          </cell>
          <cell r="AL524" t="e">
            <v>#DIV/0!</v>
          </cell>
          <cell r="AM524" t="e">
            <v>#DIV/0!</v>
          </cell>
          <cell r="AN524" t="e">
            <v>#DIV/0!</v>
          </cell>
          <cell r="AO524" t="e">
            <v>#REF!</v>
          </cell>
          <cell r="AP524" t="e">
            <v>#REF!</v>
          </cell>
          <cell r="AQ524" t="e">
            <v>#REF!</v>
          </cell>
          <cell r="AR524" t="e">
            <v>#REF!</v>
          </cell>
          <cell r="AS524" t="e">
            <v>#REF!</v>
          </cell>
          <cell r="AT524" t="e">
            <v>#REF!</v>
          </cell>
          <cell r="AU524" t="e">
            <v>#REF!</v>
          </cell>
          <cell r="AV524" t="e">
            <v>#REF!</v>
          </cell>
          <cell r="AW524" t="e">
            <v>#DIV/0!</v>
          </cell>
          <cell r="AX524" t="e">
            <v>#DIV/0!</v>
          </cell>
          <cell r="AY524" t="e">
            <v>#DIV/0!</v>
          </cell>
          <cell r="AZ524" t="e">
            <v>#DIV/0!</v>
          </cell>
          <cell r="BE524" t="e">
            <v>#DIV/0!</v>
          </cell>
          <cell r="BF524" t="e">
            <v>#DIV/0!</v>
          </cell>
        </row>
        <row r="525">
          <cell r="A525" t="str">
            <v>-0</v>
          </cell>
          <cell r="B525" t="str">
            <v xml:space="preserve">-0  , </v>
          </cell>
          <cell r="C525"/>
          <cell r="D525"/>
          <cell r="E525"/>
          <cell r="F525"/>
          <cell r="G525"/>
          <cell r="H525"/>
          <cell r="I525"/>
          <cell r="J525"/>
          <cell r="K525"/>
          <cell r="L525"/>
          <cell r="M525"/>
          <cell r="N525"/>
          <cell r="O525"/>
          <cell r="P525"/>
          <cell r="Q525"/>
          <cell r="R525"/>
          <cell r="S525"/>
          <cell r="T525"/>
          <cell r="U525"/>
          <cell r="V525"/>
          <cell r="W525"/>
          <cell r="X525">
            <v>0</v>
          </cell>
          <cell r="Y525">
            <v>0</v>
          </cell>
          <cell r="Z525">
            <v>0</v>
          </cell>
          <cell r="AA525" t="str">
            <v>,</v>
          </cell>
          <cell r="AB525" t="str">
            <v>,</v>
          </cell>
          <cell r="AC525" t="e">
            <v>#DIV/0!</v>
          </cell>
          <cell r="AD525" t="e">
            <v>#DIV/0!</v>
          </cell>
          <cell r="AE525">
            <v>0.71</v>
          </cell>
          <cell r="AF525">
            <v>94.97</v>
          </cell>
          <cell r="AG525">
            <v>0</v>
          </cell>
          <cell r="AH525" t="e">
            <v>#DIV/0!</v>
          </cell>
          <cell r="AI525" t="e">
            <v>#DIV/0!</v>
          </cell>
          <cell r="AJ525" t="e">
            <v>#DIV/0!</v>
          </cell>
          <cell r="AK525" t="e">
            <v>#DIV/0!</v>
          </cell>
          <cell r="AL525" t="e">
            <v>#DIV/0!</v>
          </cell>
          <cell r="AM525" t="e">
            <v>#DIV/0!</v>
          </cell>
          <cell r="AN525" t="e">
            <v>#DIV/0!</v>
          </cell>
          <cell r="AO525" t="e">
            <v>#REF!</v>
          </cell>
          <cell r="AP525" t="e">
            <v>#REF!</v>
          </cell>
          <cell r="AQ525" t="e">
            <v>#REF!</v>
          </cell>
          <cell r="AR525" t="e">
            <v>#REF!</v>
          </cell>
          <cell r="AS525" t="e">
            <v>#REF!</v>
          </cell>
          <cell r="AT525" t="e">
            <v>#REF!</v>
          </cell>
          <cell r="AU525" t="e">
            <v>#REF!</v>
          </cell>
          <cell r="AV525" t="e">
            <v>#REF!</v>
          </cell>
          <cell r="AW525" t="e">
            <v>#DIV/0!</v>
          </cell>
          <cell r="AX525" t="e">
            <v>#DIV/0!</v>
          </cell>
          <cell r="AY525" t="e">
            <v>#DIV/0!</v>
          </cell>
          <cell r="AZ525" t="e">
            <v>#DIV/0!</v>
          </cell>
          <cell r="BE525" t="e">
            <v>#DIV/0!</v>
          </cell>
          <cell r="BF525" t="e">
            <v>#DIV/0!</v>
          </cell>
        </row>
        <row r="526">
          <cell r="A526" t="str">
            <v>-0</v>
          </cell>
          <cell r="B526" t="str">
            <v xml:space="preserve">-0  , </v>
          </cell>
          <cell r="C526"/>
          <cell r="D526"/>
          <cell r="E526"/>
          <cell r="F526"/>
          <cell r="G526"/>
          <cell r="H526"/>
          <cell r="I526"/>
          <cell r="J526"/>
          <cell r="K526"/>
          <cell r="L526"/>
          <cell r="M526"/>
          <cell r="N526"/>
          <cell r="O526"/>
          <cell r="P526"/>
          <cell r="Q526"/>
          <cell r="R526"/>
          <cell r="S526"/>
          <cell r="T526"/>
          <cell r="U526"/>
          <cell r="V526"/>
          <cell r="W526"/>
          <cell r="X526">
            <v>0</v>
          </cell>
          <cell r="Y526">
            <v>0</v>
          </cell>
          <cell r="Z526">
            <v>0</v>
          </cell>
          <cell r="AA526" t="str">
            <v>,</v>
          </cell>
          <cell r="AB526" t="str">
            <v>,</v>
          </cell>
          <cell r="AC526" t="e">
            <v>#DIV/0!</v>
          </cell>
          <cell r="AD526" t="e">
            <v>#DIV/0!</v>
          </cell>
          <cell r="AE526">
            <v>0.71</v>
          </cell>
          <cell r="AF526">
            <v>94.97</v>
          </cell>
          <cell r="AG526">
            <v>0</v>
          </cell>
          <cell r="AH526" t="e">
            <v>#DIV/0!</v>
          </cell>
          <cell r="AI526" t="e">
            <v>#DIV/0!</v>
          </cell>
          <cell r="AJ526" t="e">
            <v>#DIV/0!</v>
          </cell>
          <cell r="AK526" t="e">
            <v>#DIV/0!</v>
          </cell>
          <cell r="AL526" t="e">
            <v>#DIV/0!</v>
          </cell>
          <cell r="AM526" t="e">
            <v>#DIV/0!</v>
          </cell>
          <cell r="AN526" t="e">
            <v>#DIV/0!</v>
          </cell>
          <cell r="AO526" t="e">
            <v>#REF!</v>
          </cell>
          <cell r="AP526" t="e">
            <v>#REF!</v>
          </cell>
          <cell r="AQ526" t="e">
            <v>#REF!</v>
          </cell>
          <cell r="AR526" t="e">
            <v>#REF!</v>
          </cell>
          <cell r="AS526" t="e">
            <v>#REF!</v>
          </cell>
          <cell r="AT526" t="e">
            <v>#REF!</v>
          </cell>
          <cell r="AU526" t="e">
            <v>#REF!</v>
          </cell>
          <cell r="AV526" t="e">
            <v>#REF!</v>
          </cell>
          <cell r="AW526" t="e">
            <v>#DIV/0!</v>
          </cell>
          <cell r="AX526" t="e">
            <v>#DIV/0!</v>
          </cell>
          <cell r="AY526" t="e">
            <v>#DIV/0!</v>
          </cell>
          <cell r="AZ526" t="e">
            <v>#DIV/0!</v>
          </cell>
          <cell r="BE526" t="e">
            <v>#DIV/0!</v>
          </cell>
          <cell r="BF526" t="e">
            <v>#DIV/0!</v>
          </cell>
        </row>
        <row r="527">
          <cell r="A527" t="str">
            <v>-0</v>
          </cell>
          <cell r="B527" t="str">
            <v xml:space="preserve">-0  , </v>
          </cell>
          <cell r="C527"/>
          <cell r="D527"/>
          <cell r="E527"/>
          <cell r="F527"/>
          <cell r="G527"/>
          <cell r="H527"/>
          <cell r="I527"/>
          <cell r="J527"/>
          <cell r="K527"/>
          <cell r="L527"/>
          <cell r="M527"/>
          <cell r="N527"/>
          <cell r="O527"/>
          <cell r="P527"/>
          <cell r="Q527"/>
          <cell r="R527"/>
          <cell r="S527"/>
          <cell r="T527"/>
          <cell r="U527"/>
          <cell r="V527"/>
          <cell r="W527"/>
          <cell r="X527">
            <v>0</v>
          </cell>
          <cell r="Y527">
            <v>0</v>
          </cell>
          <cell r="Z527">
            <v>0</v>
          </cell>
          <cell r="AA527" t="str">
            <v>,</v>
          </cell>
          <cell r="AB527" t="str">
            <v>,</v>
          </cell>
          <cell r="AC527" t="e">
            <v>#DIV/0!</v>
          </cell>
          <cell r="AD527" t="e">
            <v>#DIV/0!</v>
          </cell>
          <cell r="AE527">
            <v>0.71</v>
          </cell>
          <cell r="AF527">
            <v>94.97</v>
          </cell>
          <cell r="AG527">
            <v>0</v>
          </cell>
          <cell r="AH527" t="e">
            <v>#DIV/0!</v>
          </cell>
          <cell r="AI527" t="e">
            <v>#DIV/0!</v>
          </cell>
          <cell r="AJ527" t="e">
            <v>#DIV/0!</v>
          </cell>
          <cell r="AK527" t="e">
            <v>#DIV/0!</v>
          </cell>
          <cell r="AL527" t="e">
            <v>#DIV/0!</v>
          </cell>
          <cell r="AM527" t="e">
            <v>#DIV/0!</v>
          </cell>
          <cell r="AN527" t="e">
            <v>#DIV/0!</v>
          </cell>
          <cell r="AO527" t="e">
            <v>#REF!</v>
          </cell>
          <cell r="AP527" t="e">
            <v>#REF!</v>
          </cell>
          <cell r="AQ527" t="e">
            <v>#REF!</v>
          </cell>
          <cell r="AR527" t="e">
            <v>#REF!</v>
          </cell>
          <cell r="AS527" t="e">
            <v>#REF!</v>
          </cell>
          <cell r="AT527" t="e">
            <v>#REF!</v>
          </cell>
          <cell r="AU527" t="e">
            <v>#REF!</v>
          </cell>
          <cell r="AV527" t="e">
            <v>#REF!</v>
          </cell>
          <cell r="AW527" t="e">
            <v>#DIV/0!</v>
          </cell>
          <cell r="AX527" t="e">
            <v>#DIV/0!</v>
          </cell>
          <cell r="AY527" t="e">
            <v>#DIV/0!</v>
          </cell>
          <cell r="AZ527" t="e">
            <v>#DIV/0!</v>
          </cell>
          <cell r="BE527" t="e">
            <v>#DIV/0!</v>
          </cell>
          <cell r="BF527" t="e">
            <v>#DIV/0!</v>
          </cell>
        </row>
        <row r="528">
          <cell r="A528" t="str">
            <v>-0</v>
          </cell>
          <cell r="B528" t="str">
            <v xml:space="preserve">-0  , </v>
          </cell>
          <cell r="C528"/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/>
          <cell r="S528"/>
          <cell r="T528"/>
          <cell r="U528"/>
          <cell r="V528"/>
          <cell r="W528"/>
          <cell r="X528">
            <v>0</v>
          </cell>
          <cell r="Y528">
            <v>0</v>
          </cell>
          <cell r="Z528">
            <v>0</v>
          </cell>
          <cell r="AA528" t="str">
            <v>,</v>
          </cell>
          <cell r="AB528" t="str">
            <v>,</v>
          </cell>
          <cell r="AC528" t="e">
            <v>#DIV/0!</v>
          </cell>
          <cell r="AD528" t="e">
            <v>#DIV/0!</v>
          </cell>
          <cell r="AE528">
            <v>0.71</v>
          </cell>
          <cell r="AF528">
            <v>94.97</v>
          </cell>
          <cell r="AG528">
            <v>0</v>
          </cell>
          <cell r="AH528" t="e">
            <v>#DIV/0!</v>
          </cell>
          <cell r="AI528" t="e">
            <v>#DIV/0!</v>
          </cell>
          <cell r="AJ528" t="e">
            <v>#DIV/0!</v>
          </cell>
          <cell r="AK528" t="e">
            <v>#DIV/0!</v>
          </cell>
          <cell r="AL528" t="e">
            <v>#DIV/0!</v>
          </cell>
          <cell r="AM528" t="e">
            <v>#DIV/0!</v>
          </cell>
          <cell r="AN528" t="e">
            <v>#DIV/0!</v>
          </cell>
          <cell r="AO528" t="e">
            <v>#REF!</v>
          </cell>
          <cell r="AP528" t="e">
            <v>#REF!</v>
          </cell>
          <cell r="AQ528" t="e">
            <v>#REF!</v>
          </cell>
          <cell r="AR528" t="e">
            <v>#REF!</v>
          </cell>
          <cell r="AS528" t="e">
            <v>#REF!</v>
          </cell>
          <cell r="AT528" t="e">
            <v>#REF!</v>
          </cell>
          <cell r="AU528" t="e">
            <v>#REF!</v>
          </cell>
          <cell r="AV528" t="e">
            <v>#REF!</v>
          </cell>
          <cell r="AW528" t="e">
            <v>#DIV/0!</v>
          </cell>
          <cell r="AX528" t="e">
            <v>#DIV/0!</v>
          </cell>
          <cell r="AY528" t="e">
            <v>#DIV/0!</v>
          </cell>
          <cell r="AZ528" t="e">
            <v>#DIV/0!</v>
          </cell>
          <cell r="BE528" t="e">
            <v>#DIV/0!</v>
          </cell>
          <cell r="BF528" t="e">
            <v>#DIV/0!</v>
          </cell>
        </row>
        <row r="529">
          <cell r="A529" t="str">
            <v>-0</v>
          </cell>
          <cell r="B529" t="str">
            <v xml:space="preserve">-0  , </v>
          </cell>
          <cell r="C529"/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/>
          <cell r="S529"/>
          <cell r="T529"/>
          <cell r="U529"/>
          <cell r="V529"/>
          <cell r="W529"/>
          <cell r="X529">
            <v>0</v>
          </cell>
          <cell r="Y529">
            <v>0</v>
          </cell>
          <cell r="Z529">
            <v>0</v>
          </cell>
          <cell r="AA529" t="str">
            <v>,</v>
          </cell>
          <cell r="AB529" t="str">
            <v>,</v>
          </cell>
          <cell r="AC529" t="e">
            <v>#DIV/0!</v>
          </cell>
          <cell r="AD529" t="e">
            <v>#DIV/0!</v>
          </cell>
          <cell r="AE529">
            <v>0.71</v>
          </cell>
          <cell r="AF529">
            <v>94.97</v>
          </cell>
          <cell r="AG529">
            <v>0</v>
          </cell>
          <cell r="AH529" t="e">
            <v>#DIV/0!</v>
          </cell>
          <cell r="AI529" t="e">
            <v>#DIV/0!</v>
          </cell>
          <cell r="AJ529" t="e">
            <v>#DIV/0!</v>
          </cell>
          <cell r="AK529" t="e">
            <v>#DIV/0!</v>
          </cell>
          <cell r="AL529" t="e">
            <v>#DIV/0!</v>
          </cell>
          <cell r="AM529" t="e">
            <v>#DIV/0!</v>
          </cell>
          <cell r="AN529" t="e">
            <v>#DIV/0!</v>
          </cell>
          <cell r="AO529" t="e">
            <v>#REF!</v>
          </cell>
          <cell r="AP529" t="e">
            <v>#REF!</v>
          </cell>
          <cell r="AQ529" t="e">
            <v>#REF!</v>
          </cell>
          <cell r="AR529" t="e">
            <v>#REF!</v>
          </cell>
          <cell r="AS529" t="e">
            <v>#REF!</v>
          </cell>
          <cell r="AT529" t="e">
            <v>#REF!</v>
          </cell>
          <cell r="AU529" t="e">
            <v>#REF!</v>
          </cell>
          <cell r="AV529" t="e">
            <v>#REF!</v>
          </cell>
          <cell r="AW529" t="e">
            <v>#DIV/0!</v>
          </cell>
          <cell r="AX529" t="e">
            <v>#DIV/0!</v>
          </cell>
          <cell r="AY529" t="e">
            <v>#DIV/0!</v>
          </cell>
          <cell r="AZ529" t="e">
            <v>#DIV/0!</v>
          </cell>
          <cell r="BE529" t="e">
            <v>#DIV/0!</v>
          </cell>
          <cell r="BF529" t="e">
            <v>#DIV/0!</v>
          </cell>
        </row>
        <row r="530">
          <cell r="A530" t="str">
            <v>-0</v>
          </cell>
          <cell r="B530" t="str">
            <v xml:space="preserve">-0  , </v>
          </cell>
          <cell r="C530"/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/>
          <cell r="S530"/>
          <cell r="T530"/>
          <cell r="U530"/>
          <cell r="V530"/>
          <cell r="W530"/>
          <cell r="X530">
            <v>0</v>
          </cell>
          <cell r="Y530">
            <v>0</v>
          </cell>
          <cell r="Z530">
            <v>0</v>
          </cell>
          <cell r="AA530" t="str">
            <v>,</v>
          </cell>
          <cell r="AB530" t="str">
            <v>,</v>
          </cell>
          <cell r="AC530" t="e">
            <v>#DIV/0!</v>
          </cell>
          <cell r="AD530" t="e">
            <v>#DIV/0!</v>
          </cell>
          <cell r="AE530">
            <v>0.71</v>
          </cell>
          <cell r="AF530">
            <v>94.97</v>
          </cell>
          <cell r="AG530">
            <v>0</v>
          </cell>
          <cell r="AH530" t="e">
            <v>#DIV/0!</v>
          </cell>
          <cell r="AI530" t="e">
            <v>#DIV/0!</v>
          </cell>
          <cell r="AJ530" t="e">
            <v>#DIV/0!</v>
          </cell>
          <cell r="AK530" t="e">
            <v>#DIV/0!</v>
          </cell>
          <cell r="AL530" t="e">
            <v>#DIV/0!</v>
          </cell>
          <cell r="AM530" t="e">
            <v>#DIV/0!</v>
          </cell>
          <cell r="AN530" t="e">
            <v>#DIV/0!</v>
          </cell>
          <cell r="AO530" t="e">
            <v>#REF!</v>
          </cell>
          <cell r="AP530" t="e">
            <v>#REF!</v>
          </cell>
          <cell r="AQ530" t="e">
            <v>#REF!</v>
          </cell>
          <cell r="AR530" t="e">
            <v>#REF!</v>
          </cell>
          <cell r="AS530" t="e">
            <v>#REF!</v>
          </cell>
          <cell r="AT530" t="e">
            <v>#REF!</v>
          </cell>
          <cell r="AU530" t="e">
            <v>#REF!</v>
          </cell>
          <cell r="AV530" t="e">
            <v>#REF!</v>
          </cell>
          <cell r="AW530" t="e">
            <v>#DIV/0!</v>
          </cell>
          <cell r="AX530" t="e">
            <v>#DIV/0!</v>
          </cell>
          <cell r="AY530" t="e">
            <v>#DIV/0!</v>
          </cell>
          <cell r="AZ530" t="e">
            <v>#DIV/0!</v>
          </cell>
          <cell r="BE530" t="e">
            <v>#DIV/0!</v>
          </cell>
          <cell r="BF530" t="e">
            <v>#DIV/0!</v>
          </cell>
        </row>
        <row r="531">
          <cell r="A531" t="str">
            <v>-0</v>
          </cell>
          <cell r="B531" t="str">
            <v xml:space="preserve">-0  , </v>
          </cell>
          <cell r="C531"/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/>
          <cell r="S531"/>
          <cell r="T531"/>
          <cell r="U531"/>
          <cell r="V531"/>
          <cell r="W531"/>
          <cell r="X531">
            <v>0</v>
          </cell>
          <cell r="Y531">
            <v>0</v>
          </cell>
          <cell r="Z531">
            <v>0</v>
          </cell>
          <cell r="AA531" t="str">
            <v>,</v>
          </cell>
          <cell r="AB531" t="str">
            <v>,</v>
          </cell>
          <cell r="AC531" t="e">
            <v>#DIV/0!</v>
          </cell>
          <cell r="AD531" t="e">
            <v>#DIV/0!</v>
          </cell>
          <cell r="AE531">
            <v>0.71</v>
          </cell>
          <cell r="AF531">
            <v>94.97</v>
          </cell>
          <cell r="AG531">
            <v>0</v>
          </cell>
          <cell r="AH531" t="e">
            <v>#DIV/0!</v>
          </cell>
          <cell r="AI531" t="e">
            <v>#DIV/0!</v>
          </cell>
          <cell r="AJ531" t="e">
            <v>#DIV/0!</v>
          </cell>
          <cell r="AK531" t="e">
            <v>#DIV/0!</v>
          </cell>
          <cell r="AL531" t="e">
            <v>#DIV/0!</v>
          </cell>
          <cell r="AM531" t="e">
            <v>#DIV/0!</v>
          </cell>
          <cell r="AN531" t="e">
            <v>#DIV/0!</v>
          </cell>
          <cell r="AO531" t="e">
            <v>#REF!</v>
          </cell>
          <cell r="AP531" t="e">
            <v>#REF!</v>
          </cell>
          <cell r="AQ531" t="e">
            <v>#REF!</v>
          </cell>
          <cell r="AR531" t="e">
            <v>#REF!</v>
          </cell>
          <cell r="AS531" t="e">
            <v>#REF!</v>
          </cell>
          <cell r="AT531" t="e">
            <v>#REF!</v>
          </cell>
          <cell r="AU531" t="e">
            <v>#REF!</v>
          </cell>
          <cell r="AV531" t="e">
            <v>#REF!</v>
          </cell>
          <cell r="AW531" t="e">
            <v>#DIV/0!</v>
          </cell>
          <cell r="AX531" t="e">
            <v>#DIV/0!</v>
          </cell>
          <cell r="AY531" t="e">
            <v>#DIV/0!</v>
          </cell>
          <cell r="AZ531" t="e">
            <v>#DIV/0!</v>
          </cell>
          <cell r="BE531" t="e">
            <v>#DIV/0!</v>
          </cell>
          <cell r="BF531" t="e">
            <v>#DIV/0!</v>
          </cell>
        </row>
        <row r="532">
          <cell r="A532" t="str">
            <v>-0</v>
          </cell>
          <cell r="B532" t="str">
            <v xml:space="preserve">-0  , </v>
          </cell>
          <cell r="C532"/>
          <cell r="D532"/>
          <cell r="E532"/>
          <cell r="F532"/>
          <cell r="G532"/>
          <cell r="H532"/>
          <cell r="I532"/>
          <cell r="J532"/>
          <cell r="K532"/>
          <cell r="L532"/>
          <cell r="M532"/>
          <cell r="N532"/>
          <cell r="O532"/>
          <cell r="P532"/>
          <cell r="Q532"/>
          <cell r="R532"/>
          <cell r="S532"/>
          <cell r="T532"/>
          <cell r="U532"/>
          <cell r="V532"/>
          <cell r="W532"/>
          <cell r="X532">
            <v>0</v>
          </cell>
          <cell r="Y532">
            <v>0</v>
          </cell>
          <cell r="Z532">
            <v>0</v>
          </cell>
          <cell r="AA532" t="str">
            <v>,</v>
          </cell>
          <cell r="AB532" t="str">
            <v>,</v>
          </cell>
          <cell r="AC532" t="e">
            <v>#DIV/0!</v>
          </cell>
          <cell r="AD532" t="e">
            <v>#DIV/0!</v>
          </cell>
          <cell r="AE532">
            <v>0.71</v>
          </cell>
          <cell r="AF532">
            <v>94.97</v>
          </cell>
          <cell r="AG532">
            <v>0</v>
          </cell>
          <cell r="AH532" t="e">
            <v>#DIV/0!</v>
          </cell>
          <cell r="AI532" t="e">
            <v>#DIV/0!</v>
          </cell>
          <cell r="AJ532" t="e">
            <v>#DIV/0!</v>
          </cell>
          <cell r="AK532" t="e">
            <v>#DIV/0!</v>
          </cell>
          <cell r="AL532" t="e">
            <v>#DIV/0!</v>
          </cell>
          <cell r="AM532" t="e">
            <v>#DIV/0!</v>
          </cell>
          <cell r="AN532" t="e">
            <v>#DIV/0!</v>
          </cell>
          <cell r="AO532" t="e">
            <v>#REF!</v>
          </cell>
          <cell r="AP532" t="e">
            <v>#REF!</v>
          </cell>
          <cell r="AQ532" t="e">
            <v>#REF!</v>
          </cell>
          <cell r="AR532" t="e">
            <v>#REF!</v>
          </cell>
          <cell r="AS532" t="e">
            <v>#REF!</v>
          </cell>
          <cell r="AT532" t="e">
            <v>#REF!</v>
          </cell>
          <cell r="AU532" t="e">
            <v>#REF!</v>
          </cell>
          <cell r="AV532" t="e">
            <v>#REF!</v>
          </cell>
          <cell r="AW532" t="e">
            <v>#DIV/0!</v>
          </cell>
          <cell r="AX532" t="e">
            <v>#DIV/0!</v>
          </cell>
          <cell r="AY532" t="e">
            <v>#DIV/0!</v>
          </cell>
          <cell r="AZ532" t="e">
            <v>#DIV/0!</v>
          </cell>
          <cell r="BE532" t="e">
            <v>#DIV/0!</v>
          </cell>
          <cell r="BF532" t="e">
            <v>#DIV/0!</v>
          </cell>
        </row>
        <row r="533">
          <cell r="A533" t="str">
            <v>-0</v>
          </cell>
          <cell r="B533" t="str">
            <v xml:space="preserve">-0  , </v>
          </cell>
          <cell r="C533"/>
          <cell r="D533"/>
          <cell r="E533"/>
          <cell r="F533"/>
          <cell r="G533"/>
          <cell r="H533"/>
          <cell r="I533"/>
          <cell r="J533"/>
          <cell r="K533"/>
          <cell r="L533"/>
          <cell r="M533"/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  <cell r="X533">
            <v>0</v>
          </cell>
          <cell r="Y533">
            <v>0</v>
          </cell>
          <cell r="Z533">
            <v>0</v>
          </cell>
          <cell r="AA533" t="str">
            <v>,</v>
          </cell>
          <cell r="AB533" t="str">
            <v>,</v>
          </cell>
          <cell r="AC533" t="e">
            <v>#DIV/0!</v>
          </cell>
          <cell r="AD533" t="e">
            <v>#DIV/0!</v>
          </cell>
          <cell r="AE533">
            <v>0.71</v>
          </cell>
          <cell r="AF533">
            <v>94.97</v>
          </cell>
          <cell r="AG533">
            <v>0</v>
          </cell>
          <cell r="AH533" t="e">
            <v>#DIV/0!</v>
          </cell>
          <cell r="AI533" t="e">
            <v>#DIV/0!</v>
          </cell>
          <cell r="AJ533" t="e">
            <v>#DIV/0!</v>
          </cell>
          <cell r="AK533" t="e">
            <v>#DIV/0!</v>
          </cell>
          <cell r="AL533" t="e">
            <v>#DIV/0!</v>
          </cell>
          <cell r="AM533" t="e">
            <v>#DIV/0!</v>
          </cell>
          <cell r="AN533" t="e">
            <v>#DIV/0!</v>
          </cell>
          <cell r="AO533" t="e">
            <v>#REF!</v>
          </cell>
          <cell r="AP533" t="e">
            <v>#REF!</v>
          </cell>
          <cell r="AQ533" t="e">
            <v>#REF!</v>
          </cell>
          <cell r="AR533" t="e">
            <v>#REF!</v>
          </cell>
          <cell r="AS533" t="e">
            <v>#REF!</v>
          </cell>
          <cell r="AT533" t="e">
            <v>#REF!</v>
          </cell>
          <cell r="AU533" t="e">
            <v>#REF!</v>
          </cell>
          <cell r="AV533" t="e">
            <v>#REF!</v>
          </cell>
          <cell r="AW533" t="e">
            <v>#DIV/0!</v>
          </cell>
          <cell r="AX533" t="e">
            <v>#DIV/0!</v>
          </cell>
          <cell r="AY533" t="e">
            <v>#DIV/0!</v>
          </cell>
          <cell r="AZ533" t="e">
            <v>#DIV/0!</v>
          </cell>
          <cell r="BE533" t="e">
            <v>#DIV/0!</v>
          </cell>
          <cell r="BF533" t="e">
            <v>#DIV/0!</v>
          </cell>
        </row>
        <row r="534">
          <cell r="A534" t="str">
            <v>-0</v>
          </cell>
          <cell r="B534" t="str">
            <v xml:space="preserve">-0  , </v>
          </cell>
          <cell r="C534"/>
          <cell r="D534"/>
          <cell r="E534"/>
          <cell r="F534"/>
          <cell r="G534"/>
          <cell r="H534"/>
          <cell r="I534"/>
          <cell r="J534"/>
          <cell r="K534"/>
          <cell r="L534"/>
          <cell r="M534"/>
          <cell r="N534"/>
          <cell r="O534"/>
          <cell r="P534"/>
          <cell r="Q534"/>
          <cell r="R534"/>
          <cell r="S534"/>
          <cell r="T534"/>
          <cell r="U534"/>
          <cell r="V534"/>
          <cell r="W534"/>
          <cell r="X534">
            <v>0</v>
          </cell>
          <cell r="Y534">
            <v>0</v>
          </cell>
          <cell r="Z534">
            <v>0</v>
          </cell>
          <cell r="AA534" t="str">
            <v>,</v>
          </cell>
          <cell r="AB534" t="str">
            <v>,</v>
          </cell>
          <cell r="AC534" t="e">
            <v>#DIV/0!</v>
          </cell>
          <cell r="AD534" t="e">
            <v>#DIV/0!</v>
          </cell>
          <cell r="AE534">
            <v>0.71</v>
          </cell>
          <cell r="AF534">
            <v>94.97</v>
          </cell>
          <cell r="AG534">
            <v>0</v>
          </cell>
          <cell r="AH534" t="e">
            <v>#DIV/0!</v>
          </cell>
          <cell r="AI534" t="e">
            <v>#DIV/0!</v>
          </cell>
          <cell r="AJ534" t="e">
            <v>#DIV/0!</v>
          </cell>
          <cell r="AK534" t="e">
            <v>#DIV/0!</v>
          </cell>
          <cell r="AL534" t="e">
            <v>#DIV/0!</v>
          </cell>
          <cell r="AM534" t="e">
            <v>#DIV/0!</v>
          </cell>
          <cell r="AN534" t="e">
            <v>#DIV/0!</v>
          </cell>
          <cell r="AO534" t="e">
            <v>#REF!</v>
          </cell>
          <cell r="AP534" t="e">
            <v>#REF!</v>
          </cell>
          <cell r="AQ534" t="e">
            <v>#REF!</v>
          </cell>
          <cell r="AR534" t="e">
            <v>#REF!</v>
          </cell>
          <cell r="AS534" t="e">
            <v>#REF!</v>
          </cell>
          <cell r="AT534" t="e">
            <v>#REF!</v>
          </cell>
          <cell r="AU534" t="e">
            <v>#REF!</v>
          </cell>
          <cell r="AV534" t="e">
            <v>#REF!</v>
          </cell>
          <cell r="AW534" t="e">
            <v>#DIV/0!</v>
          </cell>
          <cell r="AX534" t="e">
            <v>#DIV/0!</v>
          </cell>
          <cell r="AY534" t="e">
            <v>#DIV/0!</v>
          </cell>
          <cell r="AZ534" t="e">
            <v>#DIV/0!</v>
          </cell>
          <cell r="BE534" t="e">
            <v>#DIV/0!</v>
          </cell>
          <cell r="BF534" t="e">
            <v>#DIV/0!</v>
          </cell>
        </row>
        <row r="535">
          <cell r="A535" t="str">
            <v>-0</v>
          </cell>
          <cell r="B535" t="str">
            <v xml:space="preserve">-0  , </v>
          </cell>
          <cell r="C535"/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/>
          <cell r="S535"/>
          <cell r="T535"/>
          <cell r="U535"/>
          <cell r="V535"/>
          <cell r="W535"/>
          <cell r="X535">
            <v>0</v>
          </cell>
          <cell r="Y535">
            <v>0</v>
          </cell>
          <cell r="Z535">
            <v>0</v>
          </cell>
          <cell r="AA535" t="str">
            <v>,</v>
          </cell>
          <cell r="AB535" t="str">
            <v>,</v>
          </cell>
          <cell r="AC535" t="e">
            <v>#DIV/0!</v>
          </cell>
          <cell r="AD535" t="e">
            <v>#DIV/0!</v>
          </cell>
          <cell r="AE535">
            <v>0.71</v>
          </cell>
          <cell r="AF535">
            <v>94.97</v>
          </cell>
          <cell r="AG535">
            <v>0</v>
          </cell>
          <cell r="AH535" t="e">
            <v>#DIV/0!</v>
          </cell>
          <cell r="AI535" t="e">
            <v>#DIV/0!</v>
          </cell>
          <cell r="AJ535" t="e">
            <v>#DIV/0!</v>
          </cell>
          <cell r="AK535" t="e">
            <v>#DIV/0!</v>
          </cell>
          <cell r="AL535" t="e">
            <v>#DIV/0!</v>
          </cell>
          <cell r="AM535" t="e">
            <v>#DIV/0!</v>
          </cell>
          <cell r="AN535" t="e">
            <v>#DIV/0!</v>
          </cell>
          <cell r="AO535" t="e">
            <v>#REF!</v>
          </cell>
          <cell r="AP535" t="e">
            <v>#REF!</v>
          </cell>
          <cell r="AQ535" t="e">
            <v>#REF!</v>
          </cell>
          <cell r="AR535" t="e">
            <v>#REF!</v>
          </cell>
          <cell r="AS535" t="e">
            <v>#REF!</v>
          </cell>
          <cell r="AT535" t="e">
            <v>#REF!</v>
          </cell>
          <cell r="AU535" t="e">
            <v>#REF!</v>
          </cell>
          <cell r="AV535" t="e">
            <v>#REF!</v>
          </cell>
          <cell r="AW535" t="e">
            <v>#DIV/0!</v>
          </cell>
          <cell r="AX535" t="e">
            <v>#DIV/0!</v>
          </cell>
          <cell r="AY535" t="e">
            <v>#DIV/0!</v>
          </cell>
          <cell r="AZ535" t="e">
            <v>#DIV/0!</v>
          </cell>
          <cell r="BE535" t="e">
            <v>#DIV/0!</v>
          </cell>
          <cell r="BF535" t="e">
            <v>#DIV/0!</v>
          </cell>
        </row>
        <row r="536">
          <cell r="A536" t="str">
            <v>-0</v>
          </cell>
          <cell r="B536" t="str">
            <v xml:space="preserve">-0  , </v>
          </cell>
          <cell r="C536"/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  <cell r="X536">
            <v>0</v>
          </cell>
          <cell r="Y536">
            <v>0</v>
          </cell>
          <cell r="Z536">
            <v>0</v>
          </cell>
          <cell r="AA536" t="str">
            <v>,</v>
          </cell>
          <cell r="AB536" t="str">
            <v>,</v>
          </cell>
          <cell r="AC536" t="e">
            <v>#DIV/0!</v>
          </cell>
          <cell r="AD536" t="e">
            <v>#DIV/0!</v>
          </cell>
          <cell r="AE536">
            <v>0.71</v>
          </cell>
          <cell r="AF536">
            <v>94.97</v>
          </cell>
          <cell r="AG536">
            <v>0</v>
          </cell>
          <cell r="AH536" t="e">
            <v>#DIV/0!</v>
          </cell>
          <cell r="AI536" t="e">
            <v>#DIV/0!</v>
          </cell>
          <cell r="AJ536" t="e">
            <v>#DIV/0!</v>
          </cell>
          <cell r="AK536" t="e">
            <v>#DIV/0!</v>
          </cell>
          <cell r="AL536" t="e">
            <v>#DIV/0!</v>
          </cell>
          <cell r="AM536" t="e">
            <v>#DIV/0!</v>
          </cell>
          <cell r="AN536" t="e">
            <v>#DIV/0!</v>
          </cell>
          <cell r="AO536" t="e">
            <v>#REF!</v>
          </cell>
          <cell r="AP536" t="e">
            <v>#REF!</v>
          </cell>
          <cell r="AQ536" t="e">
            <v>#REF!</v>
          </cell>
          <cell r="AR536" t="e">
            <v>#REF!</v>
          </cell>
          <cell r="AS536" t="e">
            <v>#REF!</v>
          </cell>
          <cell r="AT536" t="e">
            <v>#REF!</v>
          </cell>
          <cell r="AU536" t="e">
            <v>#REF!</v>
          </cell>
          <cell r="AV536" t="e">
            <v>#REF!</v>
          </cell>
          <cell r="AW536" t="e">
            <v>#DIV/0!</v>
          </cell>
          <cell r="AX536" t="e">
            <v>#DIV/0!</v>
          </cell>
          <cell r="AY536" t="e">
            <v>#DIV/0!</v>
          </cell>
          <cell r="AZ536" t="e">
            <v>#DIV/0!</v>
          </cell>
          <cell r="BE536" t="e">
            <v>#DIV/0!</v>
          </cell>
          <cell r="BF536" t="e">
            <v>#DIV/0!</v>
          </cell>
        </row>
        <row r="537">
          <cell r="A537" t="str">
            <v>-0</v>
          </cell>
          <cell r="B537" t="str">
            <v xml:space="preserve">-0  , </v>
          </cell>
          <cell r="C537"/>
          <cell r="D537"/>
          <cell r="E537"/>
          <cell r="F537"/>
          <cell r="G537"/>
          <cell r="H537"/>
          <cell r="I537"/>
          <cell r="J537"/>
          <cell r="K537"/>
          <cell r="L537"/>
          <cell r="M537"/>
          <cell r="N537"/>
          <cell r="O537"/>
          <cell r="P537"/>
          <cell r="Q537"/>
          <cell r="R537"/>
          <cell r="S537"/>
          <cell r="T537"/>
          <cell r="U537"/>
          <cell r="V537"/>
          <cell r="W537"/>
          <cell r="X537">
            <v>0</v>
          </cell>
          <cell r="Y537">
            <v>0</v>
          </cell>
          <cell r="Z537">
            <v>0</v>
          </cell>
          <cell r="AA537" t="str">
            <v>,</v>
          </cell>
          <cell r="AB537" t="str">
            <v>,</v>
          </cell>
          <cell r="AC537" t="e">
            <v>#DIV/0!</v>
          </cell>
          <cell r="AD537" t="e">
            <v>#DIV/0!</v>
          </cell>
          <cell r="AE537">
            <v>0.71</v>
          </cell>
          <cell r="AF537">
            <v>94.97</v>
          </cell>
          <cell r="AG537">
            <v>0</v>
          </cell>
          <cell r="AH537" t="e">
            <v>#DIV/0!</v>
          </cell>
          <cell r="AI537" t="e">
            <v>#DIV/0!</v>
          </cell>
          <cell r="AJ537" t="e">
            <v>#DIV/0!</v>
          </cell>
          <cell r="AK537" t="e">
            <v>#DIV/0!</v>
          </cell>
          <cell r="AL537" t="e">
            <v>#DIV/0!</v>
          </cell>
          <cell r="AM537" t="e">
            <v>#DIV/0!</v>
          </cell>
          <cell r="AN537" t="e">
            <v>#DIV/0!</v>
          </cell>
          <cell r="AO537" t="e">
            <v>#REF!</v>
          </cell>
          <cell r="AP537" t="e">
            <v>#REF!</v>
          </cell>
          <cell r="AQ537" t="e">
            <v>#REF!</v>
          </cell>
          <cell r="AR537" t="e">
            <v>#REF!</v>
          </cell>
          <cell r="AS537" t="e">
            <v>#REF!</v>
          </cell>
          <cell r="AT537" t="e">
            <v>#REF!</v>
          </cell>
          <cell r="AU537" t="e">
            <v>#REF!</v>
          </cell>
          <cell r="AV537" t="e">
            <v>#REF!</v>
          </cell>
          <cell r="AW537" t="e">
            <v>#DIV/0!</v>
          </cell>
          <cell r="AX537" t="e">
            <v>#DIV/0!</v>
          </cell>
          <cell r="AY537" t="e">
            <v>#DIV/0!</v>
          </cell>
          <cell r="AZ537" t="e">
            <v>#DIV/0!</v>
          </cell>
          <cell r="BE537" t="e">
            <v>#DIV/0!</v>
          </cell>
          <cell r="BF537" t="e">
            <v>#DIV/0!</v>
          </cell>
        </row>
        <row r="538">
          <cell r="A538" t="str">
            <v>-0</v>
          </cell>
          <cell r="B538" t="str">
            <v xml:space="preserve">-0  , </v>
          </cell>
          <cell r="C538"/>
          <cell r="D538"/>
          <cell r="E538"/>
          <cell r="F538"/>
          <cell r="G538"/>
          <cell r="H538"/>
          <cell r="I538"/>
          <cell r="J538"/>
          <cell r="K538"/>
          <cell r="L538"/>
          <cell r="M538"/>
          <cell r="N538"/>
          <cell r="O538"/>
          <cell r="P538"/>
          <cell r="Q538"/>
          <cell r="R538"/>
          <cell r="S538"/>
          <cell r="T538"/>
          <cell r="U538"/>
          <cell r="V538"/>
          <cell r="W538"/>
          <cell r="X538">
            <v>0</v>
          </cell>
          <cell r="Y538">
            <v>0</v>
          </cell>
          <cell r="Z538">
            <v>0</v>
          </cell>
          <cell r="AA538" t="str">
            <v>,</v>
          </cell>
          <cell r="AB538" t="str">
            <v>,</v>
          </cell>
          <cell r="AC538" t="e">
            <v>#DIV/0!</v>
          </cell>
          <cell r="AD538" t="e">
            <v>#DIV/0!</v>
          </cell>
          <cell r="AE538">
            <v>0.71</v>
          </cell>
          <cell r="AF538">
            <v>94.97</v>
          </cell>
          <cell r="AG538">
            <v>0</v>
          </cell>
          <cell r="AH538" t="e">
            <v>#DIV/0!</v>
          </cell>
          <cell r="AI538" t="e">
            <v>#DIV/0!</v>
          </cell>
          <cell r="AJ538" t="e">
            <v>#DIV/0!</v>
          </cell>
          <cell r="AK538" t="e">
            <v>#DIV/0!</v>
          </cell>
          <cell r="AL538" t="e">
            <v>#DIV/0!</v>
          </cell>
          <cell r="AM538" t="e">
            <v>#DIV/0!</v>
          </cell>
          <cell r="AN538" t="e">
            <v>#DIV/0!</v>
          </cell>
          <cell r="AO538" t="e">
            <v>#REF!</v>
          </cell>
          <cell r="AP538" t="e">
            <v>#REF!</v>
          </cell>
          <cell r="AQ538" t="e">
            <v>#REF!</v>
          </cell>
          <cell r="AR538" t="e">
            <v>#REF!</v>
          </cell>
          <cell r="AS538" t="e">
            <v>#REF!</v>
          </cell>
          <cell r="AT538" t="e">
            <v>#REF!</v>
          </cell>
          <cell r="AU538" t="e">
            <v>#REF!</v>
          </cell>
          <cell r="AV538" t="e">
            <v>#REF!</v>
          </cell>
          <cell r="AW538" t="e">
            <v>#DIV/0!</v>
          </cell>
          <cell r="AX538" t="e">
            <v>#DIV/0!</v>
          </cell>
          <cell r="AY538" t="e">
            <v>#DIV/0!</v>
          </cell>
          <cell r="AZ538" t="e">
            <v>#DIV/0!</v>
          </cell>
          <cell r="BE538" t="e">
            <v>#DIV/0!</v>
          </cell>
          <cell r="BF538" t="e">
            <v>#DIV/0!</v>
          </cell>
        </row>
        <row r="539">
          <cell r="A539" t="str">
            <v>-0</v>
          </cell>
          <cell r="B539" t="str">
            <v xml:space="preserve">-0  , </v>
          </cell>
          <cell r="C539"/>
          <cell r="D539"/>
          <cell r="E539"/>
          <cell r="F539"/>
          <cell r="G539"/>
          <cell r="H539"/>
          <cell r="I539"/>
          <cell r="J539"/>
          <cell r="K539"/>
          <cell r="L539"/>
          <cell r="M539"/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  <cell r="X539">
            <v>0</v>
          </cell>
          <cell r="Y539">
            <v>0</v>
          </cell>
          <cell r="Z539">
            <v>0</v>
          </cell>
          <cell r="AA539" t="str">
            <v>,</v>
          </cell>
          <cell r="AB539" t="str">
            <v>,</v>
          </cell>
          <cell r="AC539" t="e">
            <v>#DIV/0!</v>
          </cell>
          <cell r="AD539" t="e">
            <v>#DIV/0!</v>
          </cell>
          <cell r="AE539">
            <v>0.71</v>
          </cell>
          <cell r="AF539">
            <v>94.97</v>
          </cell>
          <cell r="AG539">
            <v>0</v>
          </cell>
          <cell r="AH539" t="e">
            <v>#DIV/0!</v>
          </cell>
          <cell r="AI539" t="e">
            <v>#DIV/0!</v>
          </cell>
          <cell r="AJ539" t="e">
            <v>#DIV/0!</v>
          </cell>
          <cell r="AK539" t="e">
            <v>#DIV/0!</v>
          </cell>
          <cell r="AL539" t="e">
            <v>#DIV/0!</v>
          </cell>
          <cell r="AM539" t="e">
            <v>#DIV/0!</v>
          </cell>
          <cell r="AN539" t="e">
            <v>#DIV/0!</v>
          </cell>
          <cell r="AO539" t="e">
            <v>#REF!</v>
          </cell>
          <cell r="AP539" t="e">
            <v>#REF!</v>
          </cell>
          <cell r="AQ539" t="e">
            <v>#REF!</v>
          </cell>
          <cell r="AR539" t="e">
            <v>#REF!</v>
          </cell>
          <cell r="AS539" t="e">
            <v>#REF!</v>
          </cell>
          <cell r="AT539" t="e">
            <v>#REF!</v>
          </cell>
          <cell r="AU539" t="e">
            <v>#REF!</v>
          </cell>
          <cell r="AV539" t="e">
            <v>#REF!</v>
          </cell>
          <cell r="AW539" t="e">
            <v>#DIV/0!</v>
          </cell>
          <cell r="AX539" t="e">
            <v>#DIV/0!</v>
          </cell>
          <cell r="AY539" t="e">
            <v>#DIV/0!</v>
          </cell>
          <cell r="AZ539" t="e">
            <v>#DIV/0!</v>
          </cell>
          <cell r="BE539" t="e">
            <v>#DIV/0!</v>
          </cell>
          <cell r="BF539" t="e">
            <v>#DIV/0!</v>
          </cell>
        </row>
        <row r="540">
          <cell r="A540" t="str">
            <v>-0</v>
          </cell>
          <cell r="B540" t="str">
            <v xml:space="preserve">-0  , </v>
          </cell>
          <cell r="C540"/>
          <cell r="D540"/>
          <cell r="E540"/>
          <cell r="F540"/>
          <cell r="G540"/>
          <cell r="H540"/>
          <cell r="I540"/>
          <cell r="J540"/>
          <cell r="K540"/>
          <cell r="L540"/>
          <cell r="M540"/>
          <cell r="N540"/>
          <cell r="O540"/>
          <cell r="P540"/>
          <cell r="Q540"/>
          <cell r="R540"/>
          <cell r="S540"/>
          <cell r="T540"/>
          <cell r="U540"/>
          <cell r="V540"/>
          <cell r="W540"/>
          <cell r="X540">
            <v>0</v>
          </cell>
          <cell r="Y540">
            <v>0</v>
          </cell>
          <cell r="Z540">
            <v>0</v>
          </cell>
          <cell r="AA540" t="str">
            <v>,</v>
          </cell>
          <cell r="AB540" t="str">
            <v>,</v>
          </cell>
          <cell r="AC540" t="e">
            <v>#DIV/0!</v>
          </cell>
          <cell r="AD540" t="e">
            <v>#DIV/0!</v>
          </cell>
          <cell r="AE540">
            <v>0.71</v>
          </cell>
          <cell r="AF540">
            <v>94.97</v>
          </cell>
          <cell r="AG540">
            <v>0</v>
          </cell>
          <cell r="AH540" t="e">
            <v>#DIV/0!</v>
          </cell>
          <cell r="AI540" t="e">
            <v>#DIV/0!</v>
          </cell>
          <cell r="AJ540" t="e">
            <v>#DIV/0!</v>
          </cell>
          <cell r="AK540" t="e">
            <v>#DIV/0!</v>
          </cell>
          <cell r="AL540" t="e">
            <v>#DIV/0!</v>
          </cell>
          <cell r="AM540" t="e">
            <v>#DIV/0!</v>
          </cell>
          <cell r="AN540" t="e">
            <v>#DIV/0!</v>
          </cell>
          <cell r="AO540" t="e">
            <v>#REF!</v>
          </cell>
          <cell r="AP540" t="e">
            <v>#REF!</v>
          </cell>
          <cell r="AQ540" t="e">
            <v>#REF!</v>
          </cell>
          <cell r="AR540" t="e">
            <v>#REF!</v>
          </cell>
          <cell r="AS540" t="e">
            <v>#REF!</v>
          </cell>
          <cell r="AT540" t="e">
            <v>#REF!</v>
          </cell>
          <cell r="AU540" t="e">
            <v>#REF!</v>
          </cell>
          <cell r="AV540" t="e">
            <v>#REF!</v>
          </cell>
          <cell r="AW540" t="e">
            <v>#DIV/0!</v>
          </cell>
          <cell r="AX540" t="e">
            <v>#DIV/0!</v>
          </cell>
          <cell r="AY540" t="e">
            <v>#DIV/0!</v>
          </cell>
          <cell r="AZ540" t="e">
            <v>#DIV/0!</v>
          </cell>
          <cell r="BE540" t="e">
            <v>#DIV/0!</v>
          </cell>
          <cell r="BF540" t="e">
            <v>#DIV/0!</v>
          </cell>
        </row>
        <row r="541">
          <cell r="A541" t="str">
            <v>-0</v>
          </cell>
          <cell r="B541" t="str">
            <v xml:space="preserve">-0  , </v>
          </cell>
          <cell r="C541"/>
          <cell r="D541"/>
          <cell r="E541"/>
          <cell r="F541"/>
          <cell r="G541"/>
          <cell r="H541"/>
          <cell r="I541"/>
          <cell r="J541"/>
          <cell r="K541"/>
          <cell r="L541"/>
          <cell r="M541"/>
          <cell r="N541"/>
          <cell r="O541"/>
          <cell r="P541"/>
          <cell r="Q541"/>
          <cell r="R541"/>
          <cell r="S541"/>
          <cell r="T541"/>
          <cell r="U541"/>
          <cell r="V541"/>
          <cell r="W541"/>
          <cell r="X541">
            <v>0</v>
          </cell>
          <cell r="Y541">
            <v>0</v>
          </cell>
          <cell r="Z541">
            <v>0</v>
          </cell>
          <cell r="AA541" t="str">
            <v>,</v>
          </cell>
          <cell r="AB541" t="str">
            <v>,</v>
          </cell>
          <cell r="AC541" t="e">
            <v>#DIV/0!</v>
          </cell>
          <cell r="AD541" t="e">
            <v>#DIV/0!</v>
          </cell>
          <cell r="AE541">
            <v>0.71</v>
          </cell>
          <cell r="AF541">
            <v>94.97</v>
          </cell>
          <cell r="AG541">
            <v>0</v>
          </cell>
          <cell r="AH541" t="e">
            <v>#DIV/0!</v>
          </cell>
          <cell r="AI541" t="e">
            <v>#DIV/0!</v>
          </cell>
          <cell r="AJ541" t="e">
            <v>#DIV/0!</v>
          </cell>
          <cell r="AK541" t="e">
            <v>#DIV/0!</v>
          </cell>
          <cell r="AL541" t="e">
            <v>#DIV/0!</v>
          </cell>
          <cell r="AM541" t="e">
            <v>#DIV/0!</v>
          </cell>
          <cell r="AN541" t="e">
            <v>#DIV/0!</v>
          </cell>
          <cell r="AO541" t="e">
            <v>#REF!</v>
          </cell>
          <cell r="AP541" t="e">
            <v>#REF!</v>
          </cell>
          <cell r="AQ541" t="e">
            <v>#REF!</v>
          </cell>
          <cell r="AR541" t="e">
            <v>#REF!</v>
          </cell>
          <cell r="AS541" t="e">
            <v>#REF!</v>
          </cell>
          <cell r="AT541" t="e">
            <v>#REF!</v>
          </cell>
          <cell r="AU541" t="e">
            <v>#REF!</v>
          </cell>
          <cell r="AV541" t="e">
            <v>#REF!</v>
          </cell>
          <cell r="AW541" t="e">
            <v>#DIV/0!</v>
          </cell>
          <cell r="AX541" t="e">
            <v>#DIV/0!</v>
          </cell>
          <cell r="AY541" t="e">
            <v>#DIV/0!</v>
          </cell>
          <cell r="AZ541" t="e">
            <v>#DIV/0!</v>
          </cell>
          <cell r="BE541" t="e">
            <v>#DIV/0!</v>
          </cell>
          <cell r="BF541" t="e">
            <v>#DIV/0!</v>
          </cell>
        </row>
        <row r="542">
          <cell r="A542" t="str">
            <v>-0</v>
          </cell>
          <cell r="B542" t="str">
            <v xml:space="preserve">-0  , </v>
          </cell>
          <cell r="C542"/>
          <cell r="D542"/>
          <cell r="E542"/>
          <cell r="F542"/>
          <cell r="G542"/>
          <cell r="H542"/>
          <cell r="I542"/>
          <cell r="J542"/>
          <cell r="K542"/>
          <cell r="L542"/>
          <cell r="M542"/>
          <cell r="N542"/>
          <cell r="O542"/>
          <cell r="P542"/>
          <cell r="Q542"/>
          <cell r="R542"/>
          <cell r="S542"/>
          <cell r="T542"/>
          <cell r="U542"/>
          <cell r="V542"/>
          <cell r="W542"/>
          <cell r="X542">
            <v>0</v>
          </cell>
          <cell r="Y542">
            <v>0</v>
          </cell>
          <cell r="Z542">
            <v>0</v>
          </cell>
          <cell r="AA542" t="str">
            <v>,</v>
          </cell>
          <cell r="AB542" t="str">
            <v>,</v>
          </cell>
          <cell r="AC542" t="e">
            <v>#DIV/0!</v>
          </cell>
          <cell r="AD542" t="e">
            <v>#DIV/0!</v>
          </cell>
          <cell r="AE542">
            <v>0.71</v>
          </cell>
          <cell r="AF542">
            <v>94.97</v>
          </cell>
          <cell r="AG542">
            <v>0</v>
          </cell>
          <cell r="AH542" t="e">
            <v>#DIV/0!</v>
          </cell>
          <cell r="AI542" t="e">
            <v>#DIV/0!</v>
          </cell>
          <cell r="AJ542" t="e">
            <v>#DIV/0!</v>
          </cell>
          <cell r="AK542" t="e">
            <v>#DIV/0!</v>
          </cell>
          <cell r="AL542" t="e">
            <v>#DIV/0!</v>
          </cell>
          <cell r="AM542" t="e">
            <v>#DIV/0!</v>
          </cell>
          <cell r="AN542" t="e">
            <v>#DIV/0!</v>
          </cell>
          <cell r="AO542" t="e">
            <v>#REF!</v>
          </cell>
          <cell r="AP542" t="e">
            <v>#REF!</v>
          </cell>
          <cell r="AQ542" t="e">
            <v>#REF!</v>
          </cell>
          <cell r="AR542" t="e">
            <v>#REF!</v>
          </cell>
          <cell r="AS542" t="e">
            <v>#REF!</v>
          </cell>
          <cell r="AT542" t="e">
            <v>#REF!</v>
          </cell>
          <cell r="AU542" t="e">
            <v>#REF!</v>
          </cell>
          <cell r="AV542" t="e">
            <v>#REF!</v>
          </cell>
          <cell r="AW542" t="e">
            <v>#DIV/0!</v>
          </cell>
          <cell r="AX542" t="e">
            <v>#DIV/0!</v>
          </cell>
          <cell r="AY542" t="e">
            <v>#DIV/0!</v>
          </cell>
          <cell r="AZ542" t="e">
            <v>#DIV/0!</v>
          </cell>
          <cell r="BE542" t="e">
            <v>#DIV/0!</v>
          </cell>
          <cell r="BF542" t="e">
            <v>#DIV/0!</v>
          </cell>
        </row>
        <row r="543">
          <cell r="A543" t="str">
            <v>-0</v>
          </cell>
          <cell r="B543" t="str">
            <v xml:space="preserve">-0  , </v>
          </cell>
          <cell r="C543"/>
          <cell r="D543"/>
          <cell r="E543"/>
          <cell r="F543"/>
          <cell r="G543"/>
          <cell r="H543"/>
          <cell r="I543"/>
          <cell r="J543"/>
          <cell r="K543"/>
          <cell r="L543"/>
          <cell r="M543"/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  <cell r="X543">
            <v>0</v>
          </cell>
          <cell r="Y543">
            <v>0</v>
          </cell>
          <cell r="Z543">
            <v>0</v>
          </cell>
          <cell r="AA543" t="str">
            <v>,</v>
          </cell>
          <cell r="AB543" t="str">
            <v>,</v>
          </cell>
          <cell r="AC543" t="e">
            <v>#DIV/0!</v>
          </cell>
          <cell r="AD543" t="e">
            <v>#DIV/0!</v>
          </cell>
          <cell r="AE543">
            <v>0.71</v>
          </cell>
          <cell r="AF543">
            <v>94.97</v>
          </cell>
          <cell r="AG543">
            <v>0</v>
          </cell>
          <cell r="AH543" t="e">
            <v>#DIV/0!</v>
          </cell>
          <cell r="AI543" t="e">
            <v>#DIV/0!</v>
          </cell>
          <cell r="AJ543" t="e">
            <v>#DIV/0!</v>
          </cell>
          <cell r="AK543" t="e">
            <v>#DIV/0!</v>
          </cell>
          <cell r="AL543" t="e">
            <v>#DIV/0!</v>
          </cell>
          <cell r="AM543" t="e">
            <v>#DIV/0!</v>
          </cell>
          <cell r="AN543" t="e">
            <v>#DIV/0!</v>
          </cell>
          <cell r="AO543" t="e">
            <v>#REF!</v>
          </cell>
          <cell r="AP543" t="e">
            <v>#REF!</v>
          </cell>
          <cell r="AQ543" t="e">
            <v>#REF!</v>
          </cell>
          <cell r="AR543" t="e">
            <v>#REF!</v>
          </cell>
          <cell r="AS543" t="e">
            <v>#REF!</v>
          </cell>
          <cell r="AT543" t="e">
            <v>#REF!</v>
          </cell>
          <cell r="AU543" t="e">
            <v>#REF!</v>
          </cell>
          <cell r="AV543" t="e">
            <v>#REF!</v>
          </cell>
          <cell r="AW543" t="e">
            <v>#DIV/0!</v>
          </cell>
          <cell r="AX543" t="e">
            <v>#DIV/0!</v>
          </cell>
          <cell r="AY543" t="e">
            <v>#DIV/0!</v>
          </cell>
          <cell r="AZ543" t="e">
            <v>#DIV/0!</v>
          </cell>
          <cell r="BE543" t="e">
            <v>#DIV/0!</v>
          </cell>
          <cell r="BF543" t="e">
            <v>#DIV/0!</v>
          </cell>
        </row>
        <row r="544">
          <cell r="A544" t="str">
            <v>-0</v>
          </cell>
          <cell r="B544" t="str">
            <v xml:space="preserve">-0  , </v>
          </cell>
          <cell r="C544"/>
          <cell r="D544"/>
          <cell r="E544"/>
          <cell r="F544"/>
          <cell r="G544"/>
          <cell r="H544"/>
          <cell r="I544"/>
          <cell r="J544"/>
          <cell r="K544"/>
          <cell r="L544"/>
          <cell r="M544"/>
          <cell r="N544"/>
          <cell r="O544"/>
          <cell r="P544"/>
          <cell r="Q544"/>
          <cell r="R544"/>
          <cell r="S544"/>
          <cell r="T544"/>
          <cell r="U544"/>
          <cell r="V544"/>
          <cell r="W544"/>
          <cell r="X544">
            <v>0</v>
          </cell>
          <cell r="Y544">
            <v>0</v>
          </cell>
          <cell r="Z544">
            <v>0</v>
          </cell>
          <cell r="AA544" t="str">
            <v>,</v>
          </cell>
          <cell r="AB544" t="str">
            <v>,</v>
          </cell>
          <cell r="AC544" t="e">
            <v>#DIV/0!</v>
          </cell>
          <cell r="AD544" t="e">
            <v>#DIV/0!</v>
          </cell>
          <cell r="AE544">
            <v>0.71</v>
          </cell>
          <cell r="AF544">
            <v>94.97</v>
          </cell>
          <cell r="AG544">
            <v>0</v>
          </cell>
          <cell r="AH544" t="e">
            <v>#DIV/0!</v>
          </cell>
          <cell r="AI544" t="e">
            <v>#DIV/0!</v>
          </cell>
          <cell r="AJ544" t="e">
            <v>#DIV/0!</v>
          </cell>
          <cell r="AK544" t="e">
            <v>#DIV/0!</v>
          </cell>
          <cell r="AL544" t="e">
            <v>#DIV/0!</v>
          </cell>
          <cell r="AM544" t="e">
            <v>#DIV/0!</v>
          </cell>
          <cell r="AN544" t="e">
            <v>#DIV/0!</v>
          </cell>
          <cell r="AO544" t="e">
            <v>#REF!</v>
          </cell>
          <cell r="AP544" t="e">
            <v>#REF!</v>
          </cell>
          <cell r="AQ544" t="e">
            <v>#REF!</v>
          </cell>
          <cell r="AR544" t="e">
            <v>#REF!</v>
          </cell>
          <cell r="AS544" t="e">
            <v>#REF!</v>
          </cell>
          <cell r="AT544" t="e">
            <v>#REF!</v>
          </cell>
          <cell r="AU544" t="e">
            <v>#REF!</v>
          </cell>
          <cell r="AV544" t="e">
            <v>#REF!</v>
          </cell>
          <cell r="AW544" t="e">
            <v>#DIV/0!</v>
          </cell>
          <cell r="AX544" t="e">
            <v>#DIV/0!</v>
          </cell>
          <cell r="AY544" t="e">
            <v>#DIV/0!</v>
          </cell>
          <cell r="AZ544" t="e">
            <v>#DIV/0!</v>
          </cell>
          <cell r="BE544" t="e">
            <v>#DIV/0!</v>
          </cell>
          <cell r="BF544" t="e">
            <v>#DIV/0!</v>
          </cell>
        </row>
        <row r="545">
          <cell r="A545" t="str">
            <v>-0</v>
          </cell>
          <cell r="B545" t="str">
            <v xml:space="preserve">-0  , </v>
          </cell>
          <cell r="C545"/>
          <cell r="D545"/>
          <cell r="E545"/>
          <cell r="F545"/>
          <cell r="G545"/>
          <cell r="H545"/>
          <cell r="I545"/>
          <cell r="J545"/>
          <cell r="K545"/>
          <cell r="L545"/>
          <cell r="M545"/>
          <cell r="N545"/>
          <cell r="O545"/>
          <cell r="P545"/>
          <cell r="Q545"/>
          <cell r="R545"/>
          <cell r="S545"/>
          <cell r="T545"/>
          <cell r="U545"/>
          <cell r="V545"/>
          <cell r="W545"/>
          <cell r="X545">
            <v>0</v>
          </cell>
          <cell r="Y545">
            <v>0</v>
          </cell>
          <cell r="Z545">
            <v>0</v>
          </cell>
          <cell r="AA545" t="str">
            <v>,</v>
          </cell>
          <cell r="AB545" t="str">
            <v>,</v>
          </cell>
          <cell r="AC545" t="e">
            <v>#DIV/0!</v>
          </cell>
          <cell r="AD545" t="e">
            <v>#DIV/0!</v>
          </cell>
          <cell r="AE545">
            <v>0.71</v>
          </cell>
          <cell r="AF545">
            <v>94.97</v>
          </cell>
          <cell r="AG545">
            <v>0</v>
          </cell>
          <cell r="AH545" t="e">
            <v>#DIV/0!</v>
          </cell>
          <cell r="AI545" t="e">
            <v>#DIV/0!</v>
          </cell>
          <cell r="AJ545" t="e">
            <v>#DIV/0!</v>
          </cell>
          <cell r="AK545" t="e">
            <v>#DIV/0!</v>
          </cell>
          <cell r="AL545" t="e">
            <v>#DIV/0!</v>
          </cell>
          <cell r="AM545" t="e">
            <v>#DIV/0!</v>
          </cell>
          <cell r="AN545" t="e">
            <v>#DIV/0!</v>
          </cell>
          <cell r="AO545" t="e">
            <v>#REF!</v>
          </cell>
          <cell r="AP545" t="e">
            <v>#REF!</v>
          </cell>
          <cell r="AQ545" t="e">
            <v>#REF!</v>
          </cell>
          <cell r="AR545" t="e">
            <v>#REF!</v>
          </cell>
          <cell r="AS545" t="e">
            <v>#REF!</v>
          </cell>
          <cell r="AT545" t="e">
            <v>#REF!</v>
          </cell>
          <cell r="AU545" t="e">
            <v>#REF!</v>
          </cell>
          <cell r="AV545" t="e">
            <v>#REF!</v>
          </cell>
          <cell r="AW545" t="e">
            <v>#DIV/0!</v>
          </cell>
          <cell r="AX545" t="e">
            <v>#DIV/0!</v>
          </cell>
          <cell r="AY545" t="e">
            <v>#DIV/0!</v>
          </cell>
          <cell r="AZ545" t="e">
            <v>#DIV/0!</v>
          </cell>
          <cell r="BE545" t="e">
            <v>#DIV/0!</v>
          </cell>
          <cell r="BF545" t="e">
            <v>#DIV/0!</v>
          </cell>
        </row>
        <row r="546">
          <cell r="A546" t="str">
            <v>-0</v>
          </cell>
          <cell r="B546" t="str">
            <v xml:space="preserve">-0  , </v>
          </cell>
          <cell r="C546"/>
          <cell r="D546"/>
          <cell r="E546"/>
          <cell r="F546"/>
          <cell r="G546"/>
          <cell r="H546"/>
          <cell r="I546"/>
          <cell r="J546"/>
          <cell r="K546"/>
          <cell r="L546"/>
          <cell r="M546"/>
          <cell r="N546"/>
          <cell r="O546"/>
          <cell r="P546"/>
          <cell r="Q546"/>
          <cell r="R546"/>
          <cell r="S546"/>
          <cell r="T546"/>
          <cell r="U546"/>
          <cell r="V546"/>
          <cell r="W546"/>
          <cell r="X546">
            <v>0</v>
          </cell>
          <cell r="Y546">
            <v>0</v>
          </cell>
          <cell r="Z546">
            <v>0</v>
          </cell>
          <cell r="AA546" t="str">
            <v>,</v>
          </cell>
          <cell r="AB546" t="str">
            <v>,</v>
          </cell>
          <cell r="AC546" t="e">
            <v>#DIV/0!</v>
          </cell>
          <cell r="AD546" t="e">
            <v>#DIV/0!</v>
          </cell>
          <cell r="AE546">
            <v>0.71</v>
          </cell>
          <cell r="AF546">
            <v>94.97</v>
          </cell>
          <cell r="AG546">
            <v>0</v>
          </cell>
          <cell r="AH546" t="e">
            <v>#DIV/0!</v>
          </cell>
          <cell r="AI546" t="e">
            <v>#DIV/0!</v>
          </cell>
          <cell r="AJ546" t="e">
            <v>#DIV/0!</v>
          </cell>
          <cell r="AK546" t="e">
            <v>#DIV/0!</v>
          </cell>
          <cell r="AL546" t="e">
            <v>#DIV/0!</v>
          </cell>
          <cell r="AM546" t="e">
            <v>#DIV/0!</v>
          </cell>
          <cell r="AN546" t="e">
            <v>#DIV/0!</v>
          </cell>
          <cell r="AO546" t="e">
            <v>#REF!</v>
          </cell>
          <cell r="AP546" t="e">
            <v>#REF!</v>
          </cell>
          <cell r="AQ546" t="e">
            <v>#REF!</v>
          </cell>
          <cell r="AR546" t="e">
            <v>#REF!</v>
          </cell>
          <cell r="AS546" t="e">
            <v>#REF!</v>
          </cell>
          <cell r="AT546" t="e">
            <v>#REF!</v>
          </cell>
          <cell r="AU546" t="e">
            <v>#REF!</v>
          </cell>
          <cell r="AV546" t="e">
            <v>#REF!</v>
          </cell>
          <cell r="AW546" t="e">
            <v>#DIV/0!</v>
          </cell>
          <cell r="AX546" t="e">
            <v>#DIV/0!</v>
          </cell>
          <cell r="AY546" t="e">
            <v>#DIV/0!</v>
          </cell>
          <cell r="AZ546" t="e">
            <v>#DIV/0!</v>
          </cell>
          <cell r="BE546" t="e">
            <v>#DIV/0!</v>
          </cell>
          <cell r="BF546" t="e">
            <v>#DIV/0!</v>
          </cell>
        </row>
        <row r="547">
          <cell r="A547" t="str">
            <v>-0</v>
          </cell>
          <cell r="B547" t="str">
            <v xml:space="preserve">-0  , </v>
          </cell>
          <cell r="C547"/>
          <cell r="D547"/>
          <cell r="E547"/>
          <cell r="F547"/>
          <cell r="G547"/>
          <cell r="H547"/>
          <cell r="I547"/>
          <cell r="J547"/>
          <cell r="K547"/>
          <cell r="L547"/>
          <cell r="M547"/>
          <cell r="N547"/>
          <cell r="O547"/>
          <cell r="P547"/>
          <cell r="Q547"/>
          <cell r="R547"/>
          <cell r="S547"/>
          <cell r="T547"/>
          <cell r="U547"/>
          <cell r="V547"/>
          <cell r="W547"/>
          <cell r="X547">
            <v>0</v>
          </cell>
          <cell r="Y547">
            <v>0</v>
          </cell>
          <cell r="Z547">
            <v>0</v>
          </cell>
          <cell r="AA547" t="str">
            <v>,</v>
          </cell>
          <cell r="AB547" t="str">
            <v>,</v>
          </cell>
          <cell r="AC547" t="e">
            <v>#DIV/0!</v>
          </cell>
          <cell r="AD547" t="e">
            <v>#DIV/0!</v>
          </cell>
          <cell r="AE547">
            <v>0.71</v>
          </cell>
          <cell r="AF547">
            <v>94.97</v>
          </cell>
          <cell r="AG547">
            <v>0</v>
          </cell>
          <cell r="AH547" t="e">
            <v>#DIV/0!</v>
          </cell>
          <cell r="AI547" t="e">
            <v>#DIV/0!</v>
          </cell>
          <cell r="AJ547" t="e">
            <v>#DIV/0!</v>
          </cell>
          <cell r="AK547" t="e">
            <v>#DIV/0!</v>
          </cell>
          <cell r="AL547" t="e">
            <v>#DIV/0!</v>
          </cell>
          <cell r="AM547" t="e">
            <v>#DIV/0!</v>
          </cell>
          <cell r="AN547" t="e">
            <v>#DIV/0!</v>
          </cell>
          <cell r="AO547" t="e">
            <v>#REF!</v>
          </cell>
          <cell r="AP547" t="e">
            <v>#REF!</v>
          </cell>
          <cell r="AQ547" t="e">
            <v>#REF!</v>
          </cell>
          <cell r="AR547" t="e">
            <v>#REF!</v>
          </cell>
          <cell r="AS547" t="e">
            <v>#REF!</v>
          </cell>
          <cell r="AT547" t="e">
            <v>#REF!</v>
          </cell>
          <cell r="AU547" t="e">
            <v>#REF!</v>
          </cell>
          <cell r="AV547" t="e">
            <v>#REF!</v>
          </cell>
          <cell r="AW547" t="e">
            <v>#DIV/0!</v>
          </cell>
          <cell r="AX547" t="e">
            <v>#DIV/0!</v>
          </cell>
          <cell r="AY547" t="e">
            <v>#DIV/0!</v>
          </cell>
          <cell r="AZ547" t="e">
            <v>#DIV/0!</v>
          </cell>
          <cell r="BE547" t="e">
            <v>#DIV/0!</v>
          </cell>
          <cell r="BF547" t="e">
            <v>#DIV/0!</v>
          </cell>
        </row>
        <row r="548">
          <cell r="A548" t="str">
            <v>-0</v>
          </cell>
          <cell r="B548" t="str">
            <v xml:space="preserve">-0  , </v>
          </cell>
          <cell r="C548"/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  <cell r="X548">
            <v>0</v>
          </cell>
          <cell r="Y548">
            <v>0</v>
          </cell>
          <cell r="Z548">
            <v>0</v>
          </cell>
          <cell r="AA548" t="str">
            <v>,</v>
          </cell>
          <cell r="AB548" t="str">
            <v>,</v>
          </cell>
          <cell r="AC548" t="e">
            <v>#DIV/0!</v>
          </cell>
          <cell r="AD548" t="e">
            <v>#DIV/0!</v>
          </cell>
          <cell r="AE548">
            <v>0.71</v>
          </cell>
          <cell r="AF548">
            <v>94.97</v>
          </cell>
          <cell r="AG548">
            <v>0</v>
          </cell>
          <cell r="AH548" t="e">
            <v>#DIV/0!</v>
          </cell>
          <cell r="AI548" t="e">
            <v>#DIV/0!</v>
          </cell>
          <cell r="AJ548" t="e">
            <v>#DIV/0!</v>
          </cell>
          <cell r="AK548" t="e">
            <v>#DIV/0!</v>
          </cell>
          <cell r="AL548" t="e">
            <v>#DIV/0!</v>
          </cell>
          <cell r="AM548" t="e">
            <v>#DIV/0!</v>
          </cell>
          <cell r="AN548" t="e">
            <v>#DIV/0!</v>
          </cell>
          <cell r="AO548" t="e">
            <v>#REF!</v>
          </cell>
          <cell r="AP548" t="e">
            <v>#REF!</v>
          </cell>
          <cell r="AQ548" t="e">
            <v>#REF!</v>
          </cell>
          <cell r="AR548" t="e">
            <v>#REF!</v>
          </cell>
          <cell r="AS548" t="e">
            <v>#REF!</v>
          </cell>
          <cell r="AT548" t="e">
            <v>#REF!</v>
          </cell>
          <cell r="AU548" t="e">
            <v>#REF!</v>
          </cell>
          <cell r="AV548" t="e">
            <v>#REF!</v>
          </cell>
          <cell r="AW548" t="e">
            <v>#DIV/0!</v>
          </cell>
          <cell r="AX548" t="e">
            <v>#DIV/0!</v>
          </cell>
          <cell r="AY548" t="e">
            <v>#DIV/0!</v>
          </cell>
          <cell r="AZ548" t="e">
            <v>#DIV/0!</v>
          </cell>
          <cell r="BE548" t="e">
            <v>#DIV/0!</v>
          </cell>
          <cell r="BF548" t="e">
            <v>#DIV/0!</v>
          </cell>
        </row>
        <row r="549">
          <cell r="A549" t="str">
            <v>-0</v>
          </cell>
          <cell r="B549" t="str">
            <v xml:space="preserve">-0  , </v>
          </cell>
          <cell r="C549"/>
          <cell r="D549"/>
          <cell r="E549"/>
          <cell r="F549"/>
          <cell r="G549"/>
          <cell r="H549"/>
          <cell r="I549"/>
          <cell r="J549"/>
          <cell r="K549"/>
          <cell r="L549"/>
          <cell r="M549"/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  <cell r="X549">
            <v>0</v>
          </cell>
          <cell r="Y549">
            <v>0</v>
          </cell>
          <cell r="Z549">
            <v>0</v>
          </cell>
          <cell r="AA549" t="str">
            <v>,</v>
          </cell>
          <cell r="AB549" t="str">
            <v>,</v>
          </cell>
          <cell r="AC549" t="e">
            <v>#DIV/0!</v>
          </cell>
          <cell r="AD549" t="e">
            <v>#DIV/0!</v>
          </cell>
          <cell r="AE549">
            <v>0.71</v>
          </cell>
          <cell r="AF549">
            <v>94.97</v>
          </cell>
          <cell r="AG549">
            <v>0</v>
          </cell>
          <cell r="AH549" t="e">
            <v>#DIV/0!</v>
          </cell>
          <cell r="AI549" t="e">
            <v>#DIV/0!</v>
          </cell>
          <cell r="AJ549" t="e">
            <v>#DIV/0!</v>
          </cell>
          <cell r="AK549" t="e">
            <v>#DIV/0!</v>
          </cell>
          <cell r="AL549" t="e">
            <v>#DIV/0!</v>
          </cell>
          <cell r="AM549" t="e">
            <v>#DIV/0!</v>
          </cell>
          <cell r="AN549" t="e">
            <v>#DIV/0!</v>
          </cell>
          <cell r="AO549" t="e">
            <v>#REF!</v>
          </cell>
          <cell r="AP549" t="e">
            <v>#REF!</v>
          </cell>
          <cell r="AQ549" t="e">
            <v>#REF!</v>
          </cell>
          <cell r="AR549" t="e">
            <v>#REF!</v>
          </cell>
          <cell r="AS549" t="e">
            <v>#REF!</v>
          </cell>
          <cell r="AT549" t="e">
            <v>#REF!</v>
          </cell>
          <cell r="AU549" t="e">
            <v>#REF!</v>
          </cell>
          <cell r="AV549" t="e">
            <v>#REF!</v>
          </cell>
          <cell r="AW549" t="e">
            <v>#DIV/0!</v>
          </cell>
          <cell r="AX549" t="e">
            <v>#DIV/0!</v>
          </cell>
          <cell r="AY549" t="e">
            <v>#DIV/0!</v>
          </cell>
          <cell r="AZ549" t="e">
            <v>#DIV/0!</v>
          </cell>
          <cell r="BE549" t="e">
            <v>#DIV/0!</v>
          </cell>
          <cell r="BF549" t="e">
            <v>#DIV/0!</v>
          </cell>
        </row>
        <row r="550">
          <cell r="A550" t="str">
            <v>-0</v>
          </cell>
          <cell r="B550" t="str">
            <v xml:space="preserve">-0  , </v>
          </cell>
          <cell r="C550"/>
          <cell r="D550"/>
          <cell r="E550"/>
          <cell r="F550"/>
          <cell r="G550"/>
          <cell r="H550"/>
          <cell r="I550"/>
          <cell r="J550"/>
          <cell r="K550"/>
          <cell r="L550"/>
          <cell r="M550"/>
          <cell r="N550"/>
          <cell r="O550"/>
          <cell r="P550"/>
          <cell r="Q550"/>
          <cell r="R550"/>
          <cell r="S550"/>
          <cell r="T550"/>
          <cell r="U550"/>
          <cell r="V550"/>
          <cell r="W550"/>
          <cell r="X550">
            <v>0</v>
          </cell>
          <cell r="Y550">
            <v>0</v>
          </cell>
          <cell r="Z550">
            <v>0</v>
          </cell>
          <cell r="AA550" t="str">
            <v>,</v>
          </cell>
          <cell r="AB550" t="str">
            <v>,</v>
          </cell>
          <cell r="AC550" t="e">
            <v>#DIV/0!</v>
          </cell>
          <cell r="AD550" t="e">
            <v>#DIV/0!</v>
          </cell>
          <cell r="AE550">
            <v>0.71</v>
          </cell>
          <cell r="AF550">
            <v>94.97</v>
          </cell>
          <cell r="AG550">
            <v>0</v>
          </cell>
          <cell r="AH550" t="e">
            <v>#DIV/0!</v>
          </cell>
          <cell r="AI550" t="e">
            <v>#DIV/0!</v>
          </cell>
          <cell r="AJ550" t="e">
            <v>#DIV/0!</v>
          </cell>
          <cell r="AK550" t="e">
            <v>#DIV/0!</v>
          </cell>
          <cell r="AL550" t="e">
            <v>#DIV/0!</v>
          </cell>
          <cell r="AM550" t="e">
            <v>#DIV/0!</v>
          </cell>
          <cell r="AN550" t="e">
            <v>#DIV/0!</v>
          </cell>
          <cell r="AO550" t="e">
            <v>#REF!</v>
          </cell>
          <cell r="AP550" t="e">
            <v>#REF!</v>
          </cell>
          <cell r="AQ550" t="e">
            <v>#REF!</v>
          </cell>
          <cell r="AR550" t="e">
            <v>#REF!</v>
          </cell>
          <cell r="AS550" t="e">
            <v>#REF!</v>
          </cell>
          <cell r="AT550" t="e">
            <v>#REF!</v>
          </cell>
          <cell r="AU550" t="e">
            <v>#REF!</v>
          </cell>
          <cell r="AV550" t="e">
            <v>#REF!</v>
          </cell>
          <cell r="AW550" t="e">
            <v>#DIV/0!</v>
          </cell>
          <cell r="AX550" t="e">
            <v>#DIV/0!</v>
          </cell>
          <cell r="AY550" t="e">
            <v>#DIV/0!</v>
          </cell>
          <cell r="AZ550" t="e">
            <v>#DIV/0!</v>
          </cell>
          <cell r="BE550" t="e">
            <v>#DIV/0!</v>
          </cell>
          <cell r="BF550" t="e">
            <v>#DIV/0!</v>
          </cell>
        </row>
        <row r="551">
          <cell r="A551" t="str">
            <v>-0</v>
          </cell>
          <cell r="B551" t="str">
            <v xml:space="preserve">-0  , </v>
          </cell>
          <cell r="C551"/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  <cell r="X551">
            <v>0</v>
          </cell>
          <cell r="Y551">
            <v>0</v>
          </cell>
          <cell r="Z551">
            <v>0</v>
          </cell>
          <cell r="AA551" t="str">
            <v>,</v>
          </cell>
          <cell r="AB551" t="str">
            <v>,</v>
          </cell>
          <cell r="AC551" t="e">
            <v>#DIV/0!</v>
          </cell>
          <cell r="AD551" t="e">
            <v>#DIV/0!</v>
          </cell>
          <cell r="AE551">
            <v>0.71</v>
          </cell>
          <cell r="AF551">
            <v>94.97</v>
          </cell>
          <cell r="AG551">
            <v>0</v>
          </cell>
          <cell r="AH551" t="e">
            <v>#DIV/0!</v>
          </cell>
          <cell r="AI551" t="e">
            <v>#DIV/0!</v>
          </cell>
          <cell r="AJ551" t="e">
            <v>#DIV/0!</v>
          </cell>
          <cell r="AK551" t="e">
            <v>#DIV/0!</v>
          </cell>
          <cell r="AL551" t="e">
            <v>#DIV/0!</v>
          </cell>
          <cell r="AM551" t="e">
            <v>#DIV/0!</v>
          </cell>
          <cell r="AN551" t="e">
            <v>#DIV/0!</v>
          </cell>
          <cell r="AO551" t="e">
            <v>#REF!</v>
          </cell>
          <cell r="AP551" t="e">
            <v>#REF!</v>
          </cell>
          <cell r="AQ551" t="e">
            <v>#REF!</v>
          </cell>
          <cell r="AR551" t="e">
            <v>#REF!</v>
          </cell>
          <cell r="AS551" t="e">
            <v>#REF!</v>
          </cell>
          <cell r="AT551" t="e">
            <v>#REF!</v>
          </cell>
          <cell r="AU551" t="e">
            <v>#REF!</v>
          </cell>
          <cell r="AV551" t="e">
            <v>#REF!</v>
          </cell>
          <cell r="AW551" t="e">
            <v>#DIV/0!</v>
          </cell>
          <cell r="AX551" t="e">
            <v>#DIV/0!</v>
          </cell>
          <cell r="AY551" t="e">
            <v>#DIV/0!</v>
          </cell>
          <cell r="AZ551" t="e">
            <v>#DIV/0!</v>
          </cell>
          <cell r="BE551" t="e">
            <v>#DIV/0!</v>
          </cell>
          <cell r="BF551" t="e">
            <v>#DIV/0!</v>
          </cell>
        </row>
        <row r="552">
          <cell r="A552" t="str">
            <v>-0</v>
          </cell>
          <cell r="B552" t="str">
            <v xml:space="preserve">-0  , </v>
          </cell>
          <cell r="C552"/>
          <cell r="D552"/>
          <cell r="E552"/>
          <cell r="F552"/>
          <cell r="G552"/>
          <cell r="H552"/>
          <cell r="I552"/>
          <cell r="J552"/>
          <cell r="K552"/>
          <cell r="L552"/>
          <cell r="M552"/>
          <cell r="N552"/>
          <cell r="O552"/>
          <cell r="P552"/>
          <cell r="Q552"/>
          <cell r="R552"/>
          <cell r="S552"/>
          <cell r="T552"/>
          <cell r="U552"/>
          <cell r="V552"/>
          <cell r="W552"/>
          <cell r="X552">
            <v>0</v>
          </cell>
          <cell r="Y552">
            <v>0</v>
          </cell>
          <cell r="Z552">
            <v>0</v>
          </cell>
          <cell r="AA552" t="str">
            <v>,</v>
          </cell>
          <cell r="AB552" t="str">
            <v>,</v>
          </cell>
          <cell r="AC552" t="e">
            <v>#DIV/0!</v>
          </cell>
          <cell r="AD552" t="e">
            <v>#DIV/0!</v>
          </cell>
          <cell r="AE552">
            <v>0.71</v>
          </cell>
          <cell r="AF552">
            <v>94.97</v>
          </cell>
          <cell r="AG552">
            <v>0</v>
          </cell>
          <cell r="AH552" t="e">
            <v>#DIV/0!</v>
          </cell>
          <cell r="AI552" t="e">
            <v>#DIV/0!</v>
          </cell>
          <cell r="AJ552" t="e">
            <v>#DIV/0!</v>
          </cell>
          <cell r="AK552" t="e">
            <v>#DIV/0!</v>
          </cell>
          <cell r="AL552" t="e">
            <v>#DIV/0!</v>
          </cell>
          <cell r="AM552" t="e">
            <v>#DIV/0!</v>
          </cell>
          <cell r="AN552" t="e">
            <v>#DIV/0!</v>
          </cell>
          <cell r="AO552" t="e">
            <v>#REF!</v>
          </cell>
          <cell r="AP552" t="e">
            <v>#REF!</v>
          </cell>
          <cell r="AQ552" t="e">
            <v>#REF!</v>
          </cell>
          <cell r="AR552" t="e">
            <v>#REF!</v>
          </cell>
          <cell r="AS552" t="e">
            <v>#REF!</v>
          </cell>
          <cell r="AT552" t="e">
            <v>#REF!</v>
          </cell>
          <cell r="AU552" t="e">
            <v>#REF!</v>
          </cell>
          <cell r="AV552" t="e">
            <v>#REF!</v>
          </cell>
          <cell r="AW552" t="e">
            <v>#DIV/0!</v>
          </cell>
          <cell r="AX552" t="e">
            <v>#DIV/0!</v>
          </cell>
          <cell r="AY552" t="e">
            <v>#DIV/0!</v>
          </cell>
          <cell r="AZ552" t="e">
            <v>#DIV/0!</v>
          </cell>
          <cell r="BE552" t="e">
            <v>#DIV/0!</v>
          </cell>
          <cell r="BF552" t="e">
            <v>#DIV/0!</v>
          </cell>
        </row>
        <row r="553">
          <cell r="A553" t="str">
            <v>-0</v>
          </cell>
          <cell r="B553" t="str">
            <v xml:space="preserve">-0  , </v>
          </cell>
          <cell r="C553"/>
          <cell r="D553"/>
          <cell r="E553"/>
          <cell r="F553"/>
          <cell r="G553"/>
          <cell r="H553"/>
          <cell r="I553"/>
          <cell r="J553"/>
          <cell r="K553"/>
          <cell r="L553"/>
          <cell r="M553"/>
          <cell r="N553"/>
          <cell r="O553"/>
          <cell r="P553"/>
          <cell r="Q553"/>
          <cell r="R553"/>
          <cell r="S553"/>
          <cell r="T553"/>
          <cell r="U553"/>
          <cell r="V553"/>
          <cell r="W553"/>
          <cell r="X553">
            <v>0</v>
          </cell>
          <cell r="Y553">
            <v>0</v>
          </cell>
          <cell r="Z553">
            <v>0</v>
          </cell>
          <cell r="AA553" t="str">
            <v>,</v>
          </cell>
          <cell r="AB553" t="str">
            <v>,</v>
          </cell>
          <cell r="AC553" t="e">
            <v>#DIV/0!</v>
          </cell>
          <cell r="AD553" t="e">
            <v>#DIV/0!</v>
          </cell>
          <cell r="AE553">
            <v>0.71</v>
          </cell>
          <cell r="AF553">
            <v>94.97</v>
          </cell>
          <cell r="AG553">
            <v>0</v>
          </cell>
          <cell r="AH553" t="e">
            <v>#DIV/0!</v>
          </cell>
          <cell r="AI553" t="e">
            <v>#DIV/0!</v>
          </cell>
          <cell r="AJ553" t="e">
            <v>#DIV/0!</v>
          </cell>
          <cell r="AK553" t="e">
            <v>#DIV/0!</v>
          </cell>
          <cell r="AL553" t="e">
            <v>#DIV/0!</v>
          </cell>
          <cell r="AM553" t="e">
            <v>#DIV/0!</v>
          </cell>
          <cell r="AN553" t="e">
            <v>#DIV/0!</v>
          </cell>
          <cell r="AO553" t="e">
            <v>#REF!</v>
          </cell>
          <cell r="AP553" t="e">
            <v>#REF!</v>
          </cell>
          <cell r="AQ553" t="e">
            <v>#REF!</v>
          </cell>
          <cell r="AR553" t="e">
            <v>#REF!</v>
          </cell>
          <cell r="AS553" t="e">
            <v>#REF!</v>
          </cell>
          <cell r="AT553" t="e">
            <v>#REF!</v>
          </cell>
          <cell r="AU553" t="e">
            <v>#REF!</v>
          </cell>
          <cell r="AV553" t="e">
            <v>#REF!</v>
          </cell>
          <cell r="AW553" t="e">
            <v>#DIV/0!</v>
          </cell>
          <cell r="AX553" t="e">
            <v>#DIV/0!</v>
          </cell>
          <cell r="AY553" t="e">
            <v>#DIV/0!</v>
          </cell>
          <cell r="AZ553" t="e">
            <v>#DIV/0!</v>
          </cell>
          <cell r="BE553" t="e">
            <v>#DIV/0!</v>
          </cell>
          <cell r="BF553" t="e">
            <v>#DIV/0!</v>
          </cell>
        </row>
        <row r="554">
          <cell r="A554" t="str">
            <v>-0</v>
          </cell>
          <cell r="B554" t="str">
            <v xml:space="preserve">-0  , </v>
          </cell>
          <cell r="C554"/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/>
          <cell r="S554"/>
          <cell r="T554"/>
          <cell r="U554"/>
          <cell r="V554"/>
          <cell r="W554"/>
          <cell r="X554">
            <v>0</v>
          </cell>
          <cell r="Y554">
            <v>0</v>
          </cell>
          <cell r="Z554">
            <v>0</v>
          </cell>
          <cell r="AA554" t="str">
            <v>,</v>
          </cell>
          <cell r="AB554" t="str">
            <v>,</v>
          </cell>
          <cell r="AC554" t="e">
            <v>#DIV/0!</v>
          </cell>
          <cell r="AD554" t="e">
            <v>#DIV/0!</v>
          </cell>
          <cell r="AE554">
            <v>0.71</v>
          </cell>
          <cell r="AF554">
            <v>94.97</v>
          </cell>
          <cell r="AG554">
            <v>0</v>
          </cell>
          <cell r="AH554" t="e">
            <v>#DIV/0!</v>
          </cell>
          <cell r="AI554" t="e">
            <v>#DIV/0!</v>
          </cell>
          <cell r="AJ554" t="e">
            <v>#DIV/0!</v>
          </cell>
          <cell r="AK554" t="e">
            <v>#DIV/0!</v>
          </cell>
          <cell r="AL554" t="e">
            <v>#DIV/0!</v>
          </cell>
          <cell r="AM554" t="e">
            <v>#DIV/0!</v>
          </cell>
          <cell r="AN554" t="e">
            <v>#DIV/0!</v>
          </cell>
          <cell r="AO554" t="e">
            <v>#REF!</v>
          </cell>
          <cell r="AP554" t="e">
            <v>#REF!</v>
          </cell>
          <cell r="AQ554" t="e">
            <v>#REF!</v>
          </cell>
          <cell r="AR554" t="e">
            <v>#REF!</v>
          </cell>
          <cell r="AS554" t="e">
            <v>#REF!</v>
          </cell>
          <cell r="AT554" t="e">
            <v>#REF!</v>
          </cell>
          <cell r="AU554" t="e">
            <v>#REF!</v>
          </cell>
          <cell r="AV554" t="e">
            <v>#REF!</v>
          </cell>
          <cell r="AW554" t="e">
            <v>#DIV/0!</v>
          </cell>
          <cell r="AX554" t="e">
            <v>#DIV/0!</v>
          </cell>
          <cell r="AY554" t="e">
            <v>#DIV/0!</v>
          </cell>
          <cell r="AZ554" t="e">
            <v>#DIV/0!</v>
          </cell>
          <cell r="BE554" t="e">
            <v>#DIV/0!</v>
          </cell>
          <cell r="BF554" t="e">
            <v>#DIV/0!</v>
          </cell>
        </row>
        <row r="555">
          <cell r="A555" t="str">
            <v>-0</v>
          </cell>
          <cell r="B555" t="str">
            <v xml:space="preserve">-0  , </v>
          </cell>
          <cell r="C555"/>
          <cell r="D555"/>
          <cell r="E555"/>
          <cell r="F555"/>
          <cell r="G555"/>
          <cell r="H555"/>
          <cell r="I555"/>
          <cell r="J555"/>
          <cell r="K555"/>
          <cell r="L555"/>
          <cell r="M555"/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  <cell r="X555">
            <v>0</v>
          </cell>
          <cell r="Y555">
            <v>0</v>
          </cell>
          <cell r="Z555">
            <v>0</v>
          </cell>
          <cell r="AA555" t="str">
            <v>,</v>
          </cell>
          <cell r="AB555" t="str">
            <v>,</v>
          </cell>
          <cell r="AC555" t="e">
            <v>#DIV/0!</v>
          </cell>
          <cell r="AD555" t="e">
            <v>#DIV/0!</v>
          </cell>
          <cell r="AE555">
            <v>0.71</v>
          </cell>
          <cell r="AF555">
            <v>94.97</v>
          </cell>
          <cell r="AG555">
            <v>0</v>
          </cell>
          <cell r="AH555" t="e">
            <v>#DIV/0!</v>
          </cell>
          <cell r="AI555" t="e">
            <v>#DIV/0!</v>
          </cell>
          <cell r="AJ555" t="e">
            <v>#DIV/0!</v>
          </cell>
          <cell r="AK555" t="e">
            <v>#DIV/0!</v>
          </cell>
          <cell r="AL555" t="e">
            <v>#DIV/0!</v>
          </cell>
          <cell r="AM555" t="e">
            <v>#DIV/0!</v>
          </cell>
          <cell r="AN555" t="e">
            <v>#DIV/0!</v>
          </cell>
          <cell r="AO555" t="e">
            <v>#REF!</v>
          </cell>
          <cell r="AP555" t="e">
            <v>#REF!</v>
          </cell>
          <cell r="AQ555" t="e">
            <v>#REF!</v>
          </cell>
          <cell r="AR555" t="e">
            <v>#REF!</v>
          </cell>
          <cell r="AS555" t="e">
            <v>#REF!</v>
          </cell>
          <cell r="AT555" t="e">
            <v>#REF!</v>
          </cell>
          <cell r="AU555" t="e">
            <v>#REF!</v>
          </cell>
          <cell r="AV555" t="e">
            <v>#REF!</v>
          </cell>
          <cell r="AW555" t="e">
            <v>#DIV/0!</v>
          </cell>
          <cell r="AX555" t="e">
            <v>#DIV/0!</v>
          </cell>
          <cell r="AY555" t="e">
            <v>#DIV/0!</v>
          </cell>
          <cell r="AZ555" t="e">
            <v>#DIV/0!</v>
          </cell>
          <cell r="BE555" t="e">
            <v>#DIV/0!</v>
          </cell>
          <cell r="BF555" t="e">
            <v>#DIV/0!</v>
          </cell>
        </row>
        <row r="556">
          <cell r="A556" t="str">
            <v>-0</v>
          </cell>
          <cell r="B556" t="str">
            <v xml:space="preserve">-0  , </v>
          </cell>
          <cell r="C556"/>
          <cell r="D556"/>
          <cell r="E556"/>
          <cell r="F556"/>
          <cell r="G556"/>
          <cell r="H556"/>
          <cell r="I556"/>
          <cell r="J556"/>
          <cell r="K556"/>
          <cell r="L556"/>
          <cell r="M556"/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  <cell r="X556">
            <v>0</v>
          </cell>
          <cell r="Y556">
            <v>0</v>
          </cell>
          <cell r="Z556">
            <v>0</v>
          </cell>
          <cell r="AA556" t="str">
            <v>,</v>
          </cell>
          <cell r="AB556" t="str">
            <v>,</v>
          </cell>
          <cell r="AC556" t="e">
            <v>#DIV/0!</v>
          </cell>
          <cell r="AD556" t="e">
            <v>#DIV/0!</v>
          </cell>
          <cell r="AE556">
            <v>0.71</v>
          </cell>
          <cell r="AF556">
            <v>94.97</v>
          </cell>
          <cell r="AG556">
            <v>0</v>
          </cell>
          <cell r="AH556" t="e">
            <v>#DIV/0!</v>
          </cell>
          <cell r="AI556" t="e">
            <v>#DIV/0!</v>
          </cell>
          <cell r="AJ556" t="e">
            <v>#DIV/0!</v>
          </cell>
          <cell r="AK556" t="e">
            <v>#DIV/0!</v>
          </cell>
          <cell r="AL556" t="e">
            <v>#DIV/0!</v>
          </cell>
          <cell r="AM556" t="e">
            <v>#DIV/0!</v>
          </cell>
          <cell r="AN556" t="e">
            <v>#DIV/0!</v>
          </cell>
          <cell r="AO556" t="e">
            <v>#REF!</v>
          </cell>
          <cell r="AP556" t="e">
            <v>#REF!</v>
          </cell>
          <cell r="AQ556" t="e">
            <v>#REF!</v>
          </cell>
          <cell r="AR556" t="e">
            <v>#REF!</v>
          </cell>
          <cell r="AS556" t="e">
            <v>#REF!</v>
          </cell>
          <cell r="AT556" t="e">
            <v>#REF!</v>
          </cell>
          <cell r="AU556" t="e">
            <v>#REF!</v>
          </cell>
          <cell r="AV556" t="e">
            <v>#REF!</v>
          </cell>
          <cell r="AW556" t="e">
            <v>#DIV/0!</v>
          </cell>
          <cell r="AX556" t="e">
            <v>#DIV/0!</v>
          </cell>
          <cell r="AY556" t="e">
            <v>#DIV/0!</v>
          </cell>
          <cell r="AZ556" t="e">
            <v>#DIV/0!</v>
          </cell>
          <cell r="BE556" t="e">
            <v>#DIV/0!</v>
          </cell>
          <cell r="BF556" t="e">
            <v>#DIV/0!</v>
          </cell>
        </row>
        <row r="557">
          <cell r="A557" t="str">
            <v>-0</v>
          </cell>
          <cell r="B557" t="str">
            <v xml:space="preserve">-0  , </v>
          </cell>
          <cell r="C557"/>
          <cell r="D557"/>
          <cell r="E557"/>
          <cell r="F557"/>
          <cell r="G557"/>
          <cell r="H557"/>
          <cell r="I557"/>
          <cell r="J557"/>
          <cell r="K557"/>
          <cell r="L557"/>
          <cell r="M557"/>
          <cell r="N557"/>
          <cell r="O557"/>
          <cell r="P557"/>
          <cell r="Q557"/>
          <cell r="R557"/>
          <cell r="S557"/>
          <cell r="T557"/>
          <cell r="U557"/>
          <cell r="V557"/>
          <cell r="W557"/>
          <cell r="X557">
            <v>0</v>
          </cell>
          <cell r="Y557">
            <v>0</v>
          </cell>
          <cell r="Z557">
            <v>0</v>
          </cell>
          <cell r="AA557" t="str">
            <v>,</v>
          </cell>
          <cell r="AB557" t="str">
            <v>,</v>
          </cell>
          <cell r="AC557" t="e">
            <v>#DIV/0!</v>
          </cell>
          <cell r="AD557" t="e">
            <v>#DIV/0!</v>
          </cell>
          <cell r="AE557">
            <v>0.71</v>
          </cell>
          <cell r="AF557">
            <v>94.97</v>
          </cell>
          <cell r="AG557">
            <v>0</v>
          </cell>
          <cell r="AH557" t="e">
            <v>#DIV/0!</v>
          </cell>
          <cell r="AI557" t="e">
            <v>#DIV/0!</v>
          </cell>
          <cell r="AJ557" t="e">
            <v>#DIV/0!</v>
          </cell>
          <cell r="AK557" t="e">
            <v>#DIV/0!</v>
          </cell>
          <cell r="AL557" t="e">
            <v>#DIV/0!</v>
          </cell>
          <cell r="AM557" t="e">
            <v>#DIV/0!</v>
          </cell>
          <cell r="AN557" t="e">
            <v>#DIV/0!</v>
          </cell>
          <cell r="AO557" t="e">
            <v>#REF!</v>
          </cell>
          <cell r="AP557" t="e">
            <v>#REF!</v>
          </cell>
          <cell r="AQ557" t="e">
            <v>#REF!</v>
          </cell>
          <cell r="AR557" t="e">
            <v>#REF!</v>
          </cell>
          <cell r="AS557" t="e">
            <v>#REF!</v>
          </cell>
          <cell r="AT557" t="e">
            <v>#REF!</v>
          </cell>
          <cell r="AU557" t="e">
            <v>#REF!</v>
          </cell>
          <cell r="AV557" t="e">
            <v>#REF!</v>
          </cell>
          <cell r="AW557" t="e">
            <v>#DIV/0!</v>
          </cell>
          <cell r="AX557" t="e">
            <v>#DIV/0!</v>
          </cell>
          <cell r="AY557" t="e">
            <v>#DIV/0!</v>
          </cell>
          <cell r="AZ557" t="e">
            <v>#DIV/0!</v>
          </cell>
          <cell r="BE557" t="e">
            <v>#DIV/0!</v>
          </cell>
          <cell r="BF557" t="e">
            <v>#DIV/0!</v>
          </cell>
        </row>
        <row r="558">
          <cell r="A558" t="str">
            <v>-0</v>
          </cell>
          <cell r="B558" t="str">
            <v xml:space="preserve">-0  , </v>
          </cell>
          <cell r="C558"/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/>
          <cell r="S558"/>
          <cell r="T558"/>
          <cell r="U558"/>
          <cell r="V558"/>
          <cell r="W558"/>
          <cell r="X558">
            <v>0</v>
          </cell>
          <cell r="Y558">
            <v>0</v>
          </cell>
          <cell r="Z558">
            <v>0</v>
          </cell>
          <cell r="AA558" t="str">
            <v>,</v>
          </cell>
          <cell r="AB558" t="str">
            <v>,</v>
          </cell>
          <cell r="AC558" t="e">
            <v>#DIV/0!</v>
          </cell>
          <cell r="AD558" t="e">
            <v>#DIV/0!</v>
          </cell>
          <cell r="AE558">
            <v>0.71</v>
          </cell>
          <cell r="AF558">
            <v>94.97</v>
          </cell>
          <cell r="AG558">
            <v>0</v>
          </cell>
          <cell r="AH558" t="e">
            <v>#DIV/0!</v>
          </cell>
          <cell r="AI558" t="e">
            <v>#DIV/0!</v>
          </cell>
          <cell r="AJ558" t="e">
            <v>#DIV/0!</v>
          </cell>
          <cell r="AK558" t="e">
            <v>#DIV/0!</v>
          </cell>
          <cell r="AL558" t="e">
            <v>#DIV/0!</v>
          </cell>
          <cell r="AM558" t="e">
            <v>#DIV/0!</v>
          </cell>
          <cell r="AN558" t="e">
            <v>#DIV/0!</v>
          </cell>
          <cell r="AO558" t="e">
            <v>#REF!</v>
          </cell>
          <cell r="AP558" t="e">
            <v>#REF!</v>
          </cell>
          <cell r="AQ558" t="e">
            <v>#REF!</v>
          </cell>
          <cell r="AR558" t="e">
            <v>#REF!</v>
          </cell>
          <cell r="AS558" t="e">
            <v>#REF!</v>
          </cell>
          <cell r="AT558" t="e">
            <v>#REF!</v>
          </cell>
          <cell r="AU558" t="e">
            <v>#REF!</v>
          </cell>
          <cell r="AV558" t="e">
            <v>#REF!</v>
          </cell>
          <cell r="AW558" t="e">
            <v>#DIV/0!</v>
          </cell>
          <cell r="AX558" t="e">
            <v>#DIV/0!</v>
          </cell>
          <cell r="AY558" t="e">
            <v>#DIV/0!</v>
          </cell>
          <cell r="AZ558" t="e">
            <v>#DIV/0!</v>
          </cell>
          <cell r="BE558" t="e">
            <v>#DIV/0!</v>
          </cell>
          <cell r="BF558" t="e">
            <v>#DIV/0!</v>
          </cell>
        </row>
        <row r="559">
          <cell r="A559" t="str">
            <v>-0</v>
          </cell>
          <cell r="B559" t="str">
            <v xml:space="preserve">-0  , </v>
          </cell>
          <cell r="C559"/>
          <cell r="D559"/>
          <cell r="E559"/>
          <cell r="F559"/>
          <cell r="G559"/>
          <cell r="H559"/>
          <cell r="I559"/>
          <cell r="J559"/>
          <cell r="K559"/>
          <cell r="L559"/>
          <cell r="M559"/>
          <cell r="N559"/>
          <cell r="O559"/>
          <cell r="P559"/>
          <cell r="Q559"/>
          <cell r="R559"/>
          <cell r="S559"/>
          <cell r="T559"/>
          <cell r="U559"/>
          <cell r="V559"/>
          <cell r="W559"/>
          <cell r="X559">
            <v>0</v>
          </cell>
          <cell r="Y559">
            <v>0</v>
          </cell>
          <cell r="Z559">
            <v>0</v>
          </cell>
          <cell r="AA559" t="str">
            <v>,</v>
          </cell>
          <cell r="AB559" t="str">
            <v>,</v>
          </cell>
          <cell r="AC559" t="e">
            <v>#DIV/0!</v>
          </cell>
          <cell r="AD559" t="e">
            <v>#DIV/0!</v>
          </cell>
          <cell r="AE559">
            <v>0.71</v>
          </cell>
          <cell r="AF559">
            <v>94.97</v>
          </cell>
          <cell r="AG559">
            <v>0</v>
          </cell>
          <cell r="AH559" t="e">
            <v>#DIV/0!</v>
          </cell>
          <cell r="AI559" t="e">
            <v>#DIV/0!</v>
          </cell>
          <cell r="AJ559" t="e">
            <v>#DIV/0!</v>
          </cell>
          <cell r="AK559" t="e">
            <v>#DIV/0!</v>
          </cell>
          <cell r="AL559" t="e">
            <v>#DIV/0!</v>
          </cell>
          <cell r="AM559" t="e">
            <v>#DIV/0!</v>
          </cell>
          <cell r="AN559" t="e">
            <v>#DIV/0!</v>
          </cell>
          <cell r="AO559" t="e">
            <v>#REF!</v>
          </cell>
          <cell r="AP559" t="e">
            <v>#REF!</v>
          </cell>
          <cell r="AQ559" t="e">
            <v>#REF!</v>
          </cell>
          <cell r="AR559" t="e">
            <v>#REF!</v>
          </cell>
          <cell r="AS559" t="e">
            <v>#REF!</v>
          </cell>
          <cell r="AT559" t="e">
            <v>#REF!</v>
          </cell>
          <cell r="AU559" t="e">
            <v>#REF!</v>
          </cell>
          <cell r="AV559" t="e">
            <v>#REF!</v>
          </cell>
          <cell r="AW559" t="e">
            <v>#DIV/0!</v>
          </cell>
          <cell r="AX559" t="e">
            <v>#DIV/0!</v>
          </cell>
          <cell r="AY559" t="e">
            <v>#DIV/0!</v>
          </cell>
          <cell r="AZ559" t="e">
            <v>#DIV/0!</v>
          </cell>
          <cell r="BE559" t="e">
            <v>#DIV/0!</v>
          </cell>
          <cell r="BF559" t="e">
            <v>#DIV/0!</v>
          </cell>
        </row>
        <row r="560">
          <cell r="A560" t="str">
            <v>-0</v>
          </cell>
          <cell r="B560" t="str">
            <v xml:space="preserve">-0  , </v>
          </cell>
          <cell r="C560"/>
          <cell r="D560"/>
          <cell r="E560"/>
          <cell r="F560"/>
          <cell r="G560"/>
          <cell r="H560"/>
          <cell r="I560"/>
          <cell r="J560"/>
          <cell r="K560"/>
          <cell r="L560"/>
          <cell r="M560"/>
          <cell r="N560"/>
          <cell r="O560"/>
          <cell r="P560"/>
          <cell r="Q560"/>
          <cell r="R560"/>
          <cell r="S560"/>
          <cell r="T560"/>
          <cell r="U560"/>
          <cell r="V560"/>
          <cell r="W560"/>
          <cell r="X560">
            <v>0</v>
          </cell>
          <cell r="Y560">
            <v>0</v>
          </cell>
          <cell r="Z560">
            <v>0</v>
          </cell>
          <cell r="AA560" t="str">
            <v>,</v>
          </cell>
          <cell r="AB560" t="str">
            <v>,</v>
          </cell>
          <cell r="AC560" t="e">
            <v>#DIV/0!</v>
          </cell>
          <cell r="AD560" t="e">
            <v>#DIV/0!</v>
          </cell>
          <cell r="AE560">
            <v>0.71</v>
          </cell>
          <cell r="AF560">
            <v>94.97</v>
          </cell>
          <cell r="AG560">
            <v>0</v>
          </cell>
          <cell r="AH560" t="e">
            <v>#DIV/0!</v>
          </cell>
          <cell r="AI560" t="e">
            <v>#DIV/0!</v>
          </cell>
          <cell r="AJ560" t="e">
            <v>#DIV/0!</v>
          </cell>
          <cell r="AK560" t="e">
            <v>#DIV/0!</v>
          </cell>
          <cell r="AL560" t="e">
            <v>#DIV/0!</v>
          </cell>
          <cell r="AM560" t="e">
            <v>#DIV/0!</v>
          </cell>
          <cell r="AN560" t="e">
            <v>#DIV/0!</v>
          </cell>
          <cell r="AO560" t="e">
            <v>#REF!</v>
          </cell>
          <cell r="AP560" t="e">
            <v>#REF!</v>
          </cell>
          <cell r="AQ560" t="e">
            <v>#REF!</v>
          </cell>
          <cell r="AR560" t="e">
            <v>#REF!</v>
          </cell>
          <cell r="AS560" t="e">
            <v>#REF!</v>
          </cell>
          <cell r="AT560" t="e">
            <v>#REF!</v>
          </cell>
          <cell r="AU560" t="e">
            <v>#REF!</v>
          </cell>
          <cell r="AV560" t="e">
            <v>#REF!</v>
          </cell>
          <cell r="AW560" t="e">
            <v>#DIV/0!</v>
          </cell>
          <cell r="AX560" t="e">
            <v>#DIV/0!</v>
          </cell>
          <cell r="AY560" t="e">
            <v>#DIV/0!</v>
          </cell>
          <cell r="AZ560" t="e">
            <v>#DIV/0!</v>
          </cell>
          <cell r="BE560" t="e">
            <v>#DIV/0!</v>
          </cell>
          <cell r="BF560" t="e">
            <v>#DIV/0!</v>
          </cell>
        </row>
        <row r="561">
          <cell r="A561" t="str">
            <v>-0</v>
          </cell>
          <cell r="B561" t="str">
            <v xml:space="preserve">-0  , </v>
          </cell>
          <cell r="C561"/>
          <cell r="D561"/>
          <cell r="E561"/>
          <cell r="F561"/>
          <cell r="G561"/>
          <cell r="H561"/>
          <cell r="I561"/>
          <cell r="J561"/>
          <cell r="K561"/>
          <cell r="L561"/>
          <cell r="M561"/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  <cell r="X561">
            <v>0</v>
          </cell>
          <cell r="Y561">
            <v>0</v>
          </cell>
          <cell r="Z561">
            <v>0</v>
          </cell>
          <cell r="AA561" t="str">
            <v>,</v>
          </cell>
          <cell r="AB561" t="str">
            <v>,</v>
          </cell>
          <cell r="AC561" t="e">
            <v>#DIV/0!</v>
          </cell>
          <cell r="AD561" t="e">
            <v>#DIV/0!</v>
          </cell>
          <cell r="AE561">
            <v>0.71</v>
          </cell>
          <cell r="AF561">
            <v>94.97</v>
          </cell>
          <cell r="AG561">
            <v>0</v>
          </cell>
          <cell r="AH561" t="e">
            <v>#DIV/0!</v>
          </cell>
          <cell r="AI561" t="e">
            <v>#DIV/0!</v>
          </cell>
          <cell r="AJ561" t="e">
            <v>#DIV/0!</v>
          </cell>
          <cell r="AK561" t="e">
            <v>#DIV/0!</v>
          </cell>
          <cell r="AL561" t="e">
            <v>#DIV/0!</v>
          </cell>
          <cell r="AM561" t="e">
            <v>#DIV/0!</v>
          </cell>
          <cell r="AN561" t="e">
            <v>#DIV/0!</v>
          </cell>
          <cell r="AO561" t="e">
            <v>#REF!</v>
          </cell>
          <cell r="AP561" t="e">
            <v>#REF!</v>
          </cell>
          <cell r="AQ561" t="e">
            <v>#REF!</v>
          </cell>
          <cell r="AR561" t="e">
            <v>#REF!</v>
          </cell>
          <cell r="AS561" t="e">
            <v>#REF!</v>
          </cell>
          <cell r="AT561" t="e">
            <v>#REF!</v>
          </cell>
          <cell r="AU561" t="e">
            <v>#REF!</v>
          </cell>
          <cell r="AV561" t="e">
            <v>#REF!</v>
          </cell>
          <cell r="AW561" t="e">
            <v>#DIV/0!</v>
          </cell>
          <cell r="AX561" t="e">
            <v>#DIV/0!</v>
          </cell>
          <cell r="AY561" t="e">
            <v>#DIV/0!</v>
          </cell>
          <cell r="AZ561" t="e">
            <v>#DIV/0!</v>
          </cell>
          <cell r="BE561" t="e">
            <v>#DIV/0!</v>
          </cell>
          <cell r="BF561" t="e">
            <v>#DIV/0!</v>
          </cell>
        </row>
        <row r="562">
          <cell r="A562" t="str">
            <v>-0</v>
          </cell>
          <cell r="B562" t="str">
            <v xml:space="preserve">-0  , </v>
          </cell>
          <cell r="C562"/>
          <cell r="D562"/>
          <cell r="E562"/>
          <cell r="F562"/>
          <cell r="G562"/>
          <cell r="H562"/>
          <cell r="I562"/>
          <cell r="J562"/>
          <cell r="K562"/>
          <cell r="L562"/>
          <cell r="M562"/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  <cell r="X562">
            <v>0</v>
          </cell>
          <cell r="Y562">
            <v>0</v>
          </cell>
          <cell r="Z562">
            <v>0</v>
          </cell>
          <cell r="AA562" t="str">
            <v>,</v>
          </cell>
          <cell r="AB562" t="str">
            <v>,</v>
          </cell>
          <cell r="AC562" t="e">
            <v>#DIV/0!</v>
          </cell>
          <cell r="AD562" t="e">
            <v>#DIV/0!</v>
          </cell>
          <cell r="AE562">
            <v>0.71</v>
          </cell>
          <cell r="AF562">
            <v>94.97</v>
          </cell>
          <cell r="AG562">
            <v>0</v>
          </cell>
          <cell r="AH562" t="e">
            <v>#DIV/0!</v>
          </cell>
          <cell r="AI562" t="e">
            <v>#DIV/0!</v>
          </cell>
          <cell r="AJ562" t="e">
            <v>#DIV/0!</v>
          </cell>
          <cell r="AK562" t="e">
            <v>#DIV/0!</v>
          </cell>
          <cell r="AL562" t="e">
            <v>#DIV/0!</v>
          </cell>
          <cell r="AM562" t="e">
            <v>#DIV/0!</v>
          </cell>
          <cell r="AN562" t="e">
            <v>#DIV/0!</v>
          </cell>
          <cell r="AO562" t="e">
            <v>#REF!</v>
          </cell>
          <cell r="AP562" t="e">
            <v>#REF!</v>
          </cell>
          <cell r="AQ562" t="e">
            <v>#REF!</v>
          </cell>
          <cell r="AR562" t="e">
            <v>#REF!</v>
          </cell>
          <cell r="AS562" t="e">
            <v>#REF!</v>
          </cell>
          <cell r="AT562" t="e">
            <v>#REF!</v>
          </cell>
          <cell r="AU562" t="e">
            <v>#REF!</v>
          </cell>
          <cell r="AV562" t="e">
            <v>#REF!</v>
          </cell>
          <cell r="AW562" t="e">
            <v>#DIV/0!</v>
          </cell>
          <cell r="AX562" t="e">
            <v>#DIV/0!</v>
          </cell>
          <cell r="AY562" t="e">
            <v>#DIV/0!</v>
          </cell>
          <cell r="AZ562" t="e">
            <v>#DIV/0!</v>
          </cell>
          <cell r="BE562" t="e">
            <v>#DIV/0!</v>
          </cell>
          <cell r="BF562" t="e">
            <v>#DIV/0!</v>
          </cell>
        </row>
        <row r="563">
          <cell r="A563" t="str">
            <v>-0</v>
          </cell>
          <cell r="B563" t="str">
            <v xml:space="preserve">-0  , </v>
          </cell>
          <cell r="C563"/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/>
          <cell r="S563"/>
          <cell r="T563"/>
          <cell r="U563"/>
          <cell r="V563"/>
          <cell r="W563"/>
          <cell r="X563">
            <v>0</v>
          </cell>
          <cell r="Y563">
            <v>0</v>
          </cell>
          <cell r="Z563">
            <v>0</v>
          </cell>
          <cell r="AA563" t="str">
            <v>,</v>
          </cell>
          <cell r="AB563" t="str">
            <v>,</v>
          </cell>
          <cell r="AC563" t="e">
            <v>#DIV/0!</v>
          </cell>
          <cell r="AD563" t="e">
            <v>#DIV/0!</v>
          </cell>
          <cell r="AE563">
            <v>0.71</v>
          </cell>
          <cell r="AF563">
            <v>94.97</v>
          </cell>
          <cell r="AG563">
            <v>0</v>
          </cell>
          <cell r="AH563" t="e">
            <v>#DIV/0!</v>
          </cell>
          <cell r="AI563" t="e">
            <v>#DIV/0!</v>
          </cell>
          <cell r="AJ563" t="e">
            <v>#DIV/0!</v>
          </cell>
          <cell r="AK563" t="e">
            <v>#DIV/0!</v>
          </cell>
          <cell r="AL563" t="e">
            <v>#DIV/0!</v>
          </cell>
          <cell r="AM563" t="e">
            <v>#DIV/0!</v>
          </cell>
          <cell r="AN563" t="e">
            <v>#DIV/0!</v>
          </cell>
          <cell r="AO563" t="e">
            <v>#REF!</v>
          </cell>
          <cell r="AP563" t="e">
            <v>#REF!</v>
          </cell>
          <cell r="AQ563" t="e">
            <v>#REF!</v>
          </cell>
          <cell r="AR563" t="e">
            <v>#REF!</v>
          </cell>
          <cell r="AS563" t="e">
            <v>#REF!</v>
          </cell>
          <cell r="AT563" t="e">
            <v>#REF!</v>
          </cell>
          <cell r="AU563" t="e">
            <v>#REF!</v>
          </cell>
          <cell r="AV563" t="e">
            <v>#REF!</v>
          </cell>
          <cell r="AW563" t="e">
            <v>#DIV/0!</v>
          </cell>
          <cell r="AX563" t="e">
            <v>#DIV/0!</v>
          </cell>
          <cell r="AY563" t="e">
            <v>#DIV/0!</v>
          </cell>
          <cell r="AZ563" t="e">
            <v>#DIV/0!</v>
          </cell>
          <cell r="BE563" t="e">
            <v>#DIV/0!</v>
          </cell>
          <cell r="BF563" t="e">
            <v>#DIV/0!</v>
          </cell>
        </row>
        <row r="564">
          <cell r="A564" t="str">
            <v>-0</v>
          </cell>
          <cell r="B564" t="str">
            <v xml:space="preserve">-0  , </v>
          </cell>
          <cell r="C564"/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/>
          <cell r="S564"/>
          <cell r="T564"/>
          <cell r="U564"/>
          <cell r="V564"/>
          <cell r="W564"/>
          <cell r="X564">
            <v>0</v>
          </cell>
          <cell r="Y564">
            <v>0</v>
          </cell>
          <cell r="Z564">
            <v>0</v>
          </cell>
          <cell r="AA564" t="str">
            <v>,</v>
          </cell>
          <cell r="AB564" t="str">
            <v>,</v>
          </cell>
          <cell r="AC564" t="e">
            <v>#DIV/0!</v>
          </cell>
          <cell r="AD564" t="e">
            <v>#DIV/0!</v>
          </cell>
          <cell r="AE564">
            <v>0.71</v>
          </cell>
          <cell r="AF564">
            <v>94.97</v>
          </cell>
          <cell r="AG564">
            <v>0</v>
          </cell>
          <cell r="AH564" t="e">
            <v>#DIV/0!</v>
          </cell>
          <cell r="AI564" t="e">
            <v>#DIV/0!</v>
          </cell>
          <cell r="AJ564" t="e">
            <v>#DIV/0!</v>
          </cell>
          <cell r="AK564" t="e">
            <v>#DIV/0!</v>
          </cell>
          <cell r="AL564" t="e">
            <v>#DIV/0!</v>
          </cell>
          <cell r="AM564" t="e">
            <v>#DIV/0!</v>
          </cell>
          <cell r="AN564" t="e">
            <v>#DIV/0!</v>
          </cell>
          <cell r="AO564" t="e">
            <v>#REF!</v>
          </cell>
          <cell r="AP564" t="e">
            <v>#REF!</v>
          </cell>
          <cell r="AQ564" t="e">
            <v>#REF!</v>
          </cell>
          <cell r="AR564" t="e">
            <v>#REF!</v>
          </cell>
          <cell r="AS564" t="e">
            <v>#REF!</v>
          </cell>
          <cell r="AT564" t="e">
            <v>#REF!</v>
          </cell>
          <cell r="AU564" t="e">
            <v>#REF!</v>
          </cell>
          <cell r="AV564" t="e">
            <v>#REF!</v>
          </cell>
          <cell r="AW564" t="e">
            <v>#DIV/0!</v>
          </cell>
          <cell r="AX564" t="e">
            <v>#DIV/0!</v>
          </cell>
          <cell r="AY564" t="e">
            <v>#DIV/0!</v>
          </cell>
          <cell r="AZ564" t="e">
            <v>#DIV/0!</v>
          </cell>
          <cell r="BE564" t="e">
            <v>#DIV/0!</v>
          </cell>
          <cell r="BF564" t="e">
            <v>#DIV/0!</v>
          </cell>
        </row>
        <row r="565">
          <cell r="A565" t="str">
            <v>-0</v>
          </cell>
          <cell r="B565" t="str">
            <v xml:space="preserve">-0  , </v>
          </cell>
          <cell r="C565"/>
          <cell r="D565"/>
          <cell r="E565"/>
          <cell r="F565"/>
          <cell r="G565"/>
          <cell r="H565"/>
          <cell r="I565"/>
          <cell r="J565"/>
          <cell r="K565"/>
          <cell r="L565"/>
          <cell r="M565"/>
          <cell r="N565"/>
          <cell r="O565"/>
          <cell r="P565"/>
          <cell r="Q565"/>
          <cell r="R565"/>
          <cell r="S565"/>
          <cell r="T565"/>
          <cell r="U565"/>
          <cell r="V565"/>
          <cell r="W565"/>
          <cell r="X565">
            <v>0</v>
          </cell>
          <cell r="Y565">
            <v>0</v>
          </cell>
          <cell r="Z565">
            <v>0</v>
          </cell>
          <cell r="AA565" t="str">
            <v>,</v>
          </cell>
          <cell r="AB565" t="str">
            <v>,</v>
          </cell>
          <cell r="AC565" t="e">
            <v>#DIV/0!</v>
          </cell>
          <cell r="AD565" t="e">
            <v>#DIV/0!</v>
          </cell>
          <cell r="AE565">
            <v>0.71</v>
          </cell>
          <cell r="AF565">
            <v>94.97</v>
          </cell>
          <cell r="AG565">
            <v>0</v>
          </cell>
          <cell r="AH565" t="e">
            <v>#DIV/0!</v>
          </cell>
          <cell r="AI565" t="e">
            <v>#DIV/0!</v>
          </cell>
          <cell r="AJ565" t="e">
            <v>#DIV/0!</v>
          </cell>
          <cell r="AK565" t="e">
            <v>#DIV/0!</v>
          </cell>
          <cell r="AL565" t="e">
            <v>#DIV/0!</v>
          </cell>
          <cell r="AM565" t="e">
            <v>#DIV/0!</v>
          </cell>
          <cell r="AN565" t="e">
            <v>#DIV/0!</v>
          </cell>
          <cell r="AO565" t="e">
            <v>#REF!</v>
          </cell>
          <cell r="AP565" t="e">
            <v>#REF!</v>
          </cell>
          <cell r="AQ565" t="e">
            <v>#REF!</v>
          </cell>
          <cell r="AR565" t="e">
            <v>#REF!</v>
          </cell>
          <cell r="AS565" t="e">
            <v>#REF!</v>
          </cell>
          <cell r="AT565" t="e">
            <v>#REF!</v>
          </cell>
          <cell r="AU565" t="e">
            <v>#REF!</v>
          </cell>
          <cell r="AV565" t="e">
            <v>#REF!</v>
          </cell>
          <cell r="AW565" t="e">
            <v>#DIV/0!</v>
          </cell>
          <cell r="AX565" t="e">
            <v>#DIV/0!</v>
          </cell>
          <cell r="AY565" t="e">
            <v>#DIV/0!</v>
          </cell>
          <cell r="AZ565" t="e">
            <v>#DIV/0!</v>
          </cell>
          <cell r="BE565" t="e">
            <v>#DIV/0!</v>
          </cell>
          <cell r="BF565" t="e">
            <v>#DIV/0!</v>
          </cell>
        </row>
        <row r="566">
          <cell r="A566" t="str">
            <v>-0</v>
          </cell>
          <cell r="B566" t="str">
            <v xml:space="preserve">-0  , </v>
          </cell>
          <cell r="C566"/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/>
          <cell r="S566"/>
          <cell r="T566"/>
          <cell r="U566"/>
          <cell r="V566"/>
          <cell r="W566"/>
          <cell r="X566">
            <v>0</v>
          </cell>
          <cell r="Y566">
            <v>0</v>
          </cell>
          <cell r="Z566">
            <v>0</v>
          </cell>
          <cell r="AA566" t="str">
            <v>,</v>
          </cell>
          <cell r="AB566" t="str">
            <v>,</v>
          </cell>
          <cell r="AC566" t="e">
            <v>#DIV/0!</v>
          </cell>
          <cell r="AD566" t="e">
            <v>#DIV/0!</v>
          </cell>
          <cell r="AE566">
            <v>0.71</v>
          </cell>
          <cell r="AF566">
            <v>94.97</v>
          </cell>
          <cell r="AG566">
            <v>0</v>
          </cell>
          <cell r="AH566" t="e">
            <v>#DIV/0!</v>
          </cell>
          <cell r="AI566" t="e">
            <v>#DIV/0!</v>
          </cell>
          <cell r="AJ566" t="e">
            <v>#DIV/0!</v>
          </cell>
          <cell r="AK566" t="e">
            <v>#DIV/0!</v>
          </cell>
          <cell r="AL566" t="e">
            <v>#DIV/0!</v>
          </cell>
          <cell r="AM566" t="e">
            <v>#DIV/0!</v>
          </cell>
          <cell r="AN566" t="e">
            <v>#DIV/0!</v>
          </cell>
          <cell r="AO566" t="e">
            <v>#REF!</v>
          </cell>
          <cell r="AP566" t="e">
            <v>#REF!</v>
          </cell>
          <cell r="AQ566" t="e">
            <v>#REF!</v>
          </cell>
          <cell r="AR566" t="e">
            <v>#REF!</v>
          </cell>
          <cell r="AS566" t="e">
            <v>#REF!</v>
          </cell>
          <cell r="AT566" t="e">
            <v>#REF!</v>
          </cell>
          <cell r="AU566" t="e">
            <v>#REF!</v>
          </cell>
          <cell r="AV566" t="e">
            <v>#REF!</v>
          </cell>
          <cell r="AW566" t="e">
            <v>#DIV/0!</v>
          </cell>
          <cell r="AX566" t="e">
            <v>#DIV/0!</v>
          </cell>
          <cell r="AY566" t="e">
            <v>#DIV/0!</v>
          </cell>
          <cell r="AZ566" t="e">
            <v>#DIV/0!</v>
          </cell>
          <cell r="BE566" t="e">
            <v>#DIV/0!</v>
          </cell>
          <cell r="BF566" t="e">
            <v>#DIV/0!</v>
          </cell>
        </row>
        <row r="567">
          <cell r="A567" t="str">
            <v>-0</v>
          </cell>
          <cell r="B567" t="str">
            <v xml:space="preserve">-0  , </v>
          </cell>
          <cell r="C567"/>
          <cell r="D567"/>
          <cell r="E567"/>
          <cell r="F567"/>
          <cell r="G567"/>
          <cell r="H567"/>
          <cell r="I567"/>
          <cell r="J567"/>
          <cell r="K567"/>
          <cell r="L567"/>
          <cell r="M567"/>
          <cell r="N567"/>
          <cell r="O567"/>
          <cell r="P567"/>
          <cell r="Q567"/>
          <cell r="R567"/>
          <cell r="S567"/>
          <cell r="T567"/>
          <cell r="U567"/>
          <cell r="V567"/>
          <cell r="W567"/>
          <cell r="X567">
            <v>0</v>
          </cell>
          <cell r="Y567">
            <v>0</v>
          </cell>
          <cell r="Z567">
            <v>0</v>
          </cell>
          <cell r="AA567" t="str">
            <v>,</v>
          </cell>
          <cell r="AB567" t="str">
            <v>,</v>
          </cell>
          <cell r="AC567" t="e">
            <v>#DIV/0!</v>
          </cell>
          <cell r="AD567" t="e">
            <v>#DIV/0!</v>
          </cell>
          <cell r="AE567">
            <v>0.71</v>
          </cell>
          <cell r="AF567">
            <v>94.97</v>
          </cell>
          <cell r="AG567">
            <v>0</v>
          </cell>
          <cell r="AH567" t="e">
            <v>#DIV/0!</v>
          </cell>
          <cell r="AI567" t="e">
            <v>#DIV/0!</v>
          </cell>
          <cell r="AJ567" t="e">
            <v>#DIV/0!</v>
          </cell>
          <cell r="AK567" t="e">
            <v>#DIV/0!</v>
          </cell>
          <cell r="AL567" t="e">
            <v>#DIV/0!</v>
          </cell>
          <cell r="AM567" t="e">
            <v>#DIV/0!</v>
          </cell>
          <cell r="AN567" t="e">
            <v>#DIV/0!</v>
          </cell>
          <cell r="AO567" t="e">
            <v>#REF!</v>
          </cell>
          <cell r="AP567" t="e">
            <v>#REF!</v>
          </cell>
          <cell r="AQ567" t="e">
            <v>#REF!</v>
          </cell>
          <cell r="AR567" t="e">
            <v>#REF!</v>
          </cell>
          <cell r="AS567" t="e">
            <v>#REF!</v>
          </cell>
          <cell r="AT567" t="e">
            <v>#REF!</v>
          </cell>
          <cell r="AU567" t="e">
            <v>#REF!</v>
          </cell>
          <cell r="AV567" t="e">
            <v>#REF!</v>
          </cell>
          <cell r="AW567" t="e">
            <v>#DIV/0!</v>
          </cell>
          <cell r="AX567" t="e">
            <v>#DIV/0!</v>
          </cell>
          <cell r="AY567" t="e">
            <v>#DIV/0!</v>
          </cell>
          <cell r="AZ567" t="e">
            <v>#DIV/0!</v>
          </cell>
          <cell r="BE567" t="e">
            <v>#DIV/0!</v>
          </cell>
          <cell r="BF567" t="e">
            <v>#DIV/0!</v>
          </cell>
        </row>
        <row r="568">
          <cell r="A568" t="str">
            <v>-0</v>
          </cell>
          <cell r="B568" t="str">
            <v xml:space="preserve">-0  , </v>
          </cell>
          <cell r="C568"/>
          <cell r="D568"/>
          <cell r="E568"/>
          <cell r="F568"/>
          <cell r="G568"/>
          <cell r="H568"/>
          <cell r="I568"/>
          <cell r="J568"/>
          <cell r="K568"/>
          <cell r="L568"/>
          <cell r="M568"/>
          <cell r="N568"/>
          <cell r="O568"/>
          <cell r="P568"/>
          <cell r="Q568"/>
          <cell r="R568"/>
          <cell r="S568"/>
          <cell r="T568"/>
          <cell r="U568"/>
          <cell r="V568"/>
          <cell r="W568"/>
          <cell r="X568">
            <v>0</v>
          </cell>
          <cell r="Y568">
            <v>0</v>
          </cell>
          <cell r="Z568">
            <v>0</v>
          </cell>
          <cell r="AA568" t="str">
            <v>,</v>
          </cell>
          <cell r="AB568" t="str">
            <v>,</v>
          </cell>
          <cell r="AC568" t="e">
            <v>#DIV/0!</v>
          </cell>
          <cell r="AD568" t="e">
            <v>#DIV/0!</v>
          </cell>
          <cell r="AE568">
            <v>0.71</v>
          </cell>
          <cell r="AF568">
            <v>94.97</v>
          </cell>
          <cell r="AG568">
            <v>0</v>
          </cell>
          <cell r="AH568" t="e">
            <v>#DIV/0!</v>
          </cell>
          <cell r="AI568" t="e">
            <v>#DIV/0!</v>
          </cell>
          <cell r="AJ568" t="e">
            <v>#DIV/0!</v>
          </cell>
          <cell r="AK568" t="e">
            <v>#DIV/0!</v>
          </cell>
          <cell r="AL568" t="e">
            <v>#DIV/0!</v>
          </cell>
          <cell r="AM568" t="e">
            <v>#DIV/0!</v>
          </cell>
          <cell r="AN568" t="e">
            <v>#DIV/0!</v>
          </cell>
          <cell r="AO568" t="e">
            <v>#REF!</v>
          </cell>
          <cell r="AP568" t="e">
            <v>#REF!</v>
          </cell>
          <cell r="AQ568" t="e">
            <v>#REF!</v>
          </cell>
          <cell r="AR568" t="e">
            <v>#REF!</v>
          </cell>
          <cell r="AS568" t="e">
            <v>#REF!</v>
          </cell>
          <cell r="AT568" t="e">
            <v>#REF!</v>
          </cell>
          <cell r="AU568" t="e">
            <v>#REF!</v>
          </cell>
          <cell r="AV568" t="e">
            <v>#REF!</v>
          </cell>
          <cell r="AW568" t="e">
            <v>#DIV/0!</v>
          </cell>
          <cell r="AX568" t="e">
            <v>#DIV/0!</v>
          </cell>
          <cell r="AY568" t="e">
            <v>#DIV/0!</v>
          </cell>
          <cell r="AZ568" t="e">
            <v>#DIV/0!</v>
          </cell>
          <cell r="BE568" t="e">
            <v>#DIV/0!</v>
          </cell>
          <cell r="BF568" t="e">
            <v>#DIV/0!</v>
          </cell>
        </row>
        <row r="569">
          <cell r="A569" t="str">
            <v>-0</v>
          </cell>
          <cell r="B569" t="str">
            <v xml:space="preserve">-0  , </v>
          </cell>
          <cell r="C569"/>
          <cell r="D569"/>
          <cell r="E569"/>
          <cell r="F569"/>
          <cell r="G569"/>
          <cell r="H569"/>
          <cell r="I569"/>
          <cell r="J569"/>
          <cell r="K569"/>
          <cell r="L569"/>
          <cell r="M569"/>
          <cell r="N569"/>
          <cell r="O569"/>
          <cell r="P569"/>
          <cell r="Q569"/>
          <cell r="R569"/>
          <cell r="S569"/>
          <cell r="T569"/>
          <cell r="U569"/>
          <cell r="V569"/>
          <cell r="W569"/>
          <cell r="X569">
            <v>0</v>
          </cell>
          <cell r="Y569">
            <v>0</v>
          </cell>
          <cell r="Z569">
            <v>0</v>
          </cell>
          <cell r="AA569" t="str">
            <v>,</v>
          </cell>
          <cell r="AB569" t="str">
            <v>,</v>
          </cell>
          <cell r="AC569" t="e">
            <v>#DIV/0!</v>
          </cell>
          <cell r="AD569" t="e">
            <v>#DIV/0!</v>
          </cell>
          <cell r="AE569">
            <v>0.71</v>
          </cell>
          <cell r="AF569">
            <v>94.97</v>
          </cell>
          <cell r="AG569">
            <v>0</v>
          </cell>
          <cell r="AH569" t="e">
            <v>#DIV/0!</v>
          </cell>
          <cell r="AI569" t="e">
            <v>#DIV/0!</v>
          </cell>
          <cell r="AJ569" t="e">
            <v>#DIV/0!</v>
          </cell>
          <cell r="AK569" t="e">
            <v>#DIV/0!</v>
          </cell>
          <cell r="AL569" t="e">
            <v>#DIV/0!</v>
          </cell>
          <cell r="AM569" t="e">
            <v>#DIV/0!</v>
          </cell>
          <cell r="AN569" t="e">
            <v>#DIV/0!</v>
          </cell>
          <cell r="AO569" t="e">
            <v>#REF!</v>
          </cell>
          <cell r="AP569" t="e">
            <v>#REF!</v>
          </cell>
          <cell r="AQ569" t="e">
            <v>#REF!</v>
          </cell>
          <cell r="AR569" t="e">
            <v>#REF!</v>
          </cell>
          <cell r="AS569" t="e">
            <v>#REF!</v>
          </cell>
          <cell r="AT569" t="e">
            <v>#REF!</v>
          </cell>
          <cell r="AU569" t="e">
            <v>#REF!</v>
          </cell>
          <cell r="AV569" t="e">
            <v>#REF!</v>
          </cell>
          <cell r="AW569" t="e">
            <v>#DIV/0!</v>
          </cell>
          <cell r="AX569" t="e">
            <v>#DIV/0!</v>
          </cell>
          <cell r="AY569" t="e">
            <v>#DIV/0!</v>
          </cell>
          <cell r="AZ569" t="e">
            <v>#DIV/0!</v>
          </cell>
          <cell r="BE569" t="e">
            <v>#DIV/0!</v>
          </cell>
          <cell r="BF569" t="e">
            <v>#DIV/0!</v>
          </cell>
        </row>
        <row r="570">
          <cell r="A570" t="str">
            <v>-0</v>
          </cell>
          <cell r="B570" t="str">
            <v xml:space="preserve">-0  , </v>
          </cell>
          <cell r="C570"/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/>
          <cell r="S570"/>
          <cell r="T570"/>
          <cell r="U570"/>
          <cell r="V570"/>
          <cell r="W570"/>
          <cell r="X570">
            <v>0</v>
          </cell>
          <cell r="Y570">
            <v>0</v>
          </cell>
          <cell r="Z570">
            <v>0</v>
          </cell>
          <cell r="AA570" t="str">
            <v>,</v>
          </cell>
          <cell r="AB570" t="str">
            <v>,</v>
          </cell>
          <cell r="AC570" t="e">
            <v>#DIV/0!</v>
          </cell>
          <cell r="AD570" t="e">
            <v>#DIV/0!</v>
          </cell>
          <cell r="AE570">
            <v>0.71</v>
          </cell>
          <cell r="AF570">
            <v>94.97</v>
          </cell>
          <cell r="AG570">
            <v>0</v>
          </cell>
          <cell r="AH570" t="e">
            <v>#DIV/0!</v>
          </cell>
          <cell r="AI570" t="e">
            <v>#DIV/0!</v>
          </cell>
          <cell r="AJ570" t="e">
            <v>#DIV/0!</v>
          </cell>
          <cell r="AK570" t="e">
            <v>#DIV/0!</v>
          </cell>
          <cell r="AL570" t="e">
            <v>#DIV/0!</v>
          </cell>
          <cell r="AM570" t="e">
            <v>#DIV/0!</v>
          </cell>
          <cell r="AN570" t="e">
            <v>#DIV/0!</v>
          </cell>
          <cell r="AO570" t="e">
            <v>#REF!</v>
          </cell>
          <cell r="AP570" t="e">
            <v>#REF!</v>
          </cell>
          <cell r="AQ570" t="e">
            <v>#REF!</v>
          </cell>
          <cell r="AR570" t="e">
            <v>#REF!</v>
          </cell>
          <cell r="AS570" t="e">
            <v>#REF!</v>
          </cell>
          <cell r="AT570" t="e">
            <v>#REF!</v>
          </cell>
          <cell r="AU570" t="e">
            <v>#REF!</v>
          </cell>
          <cell r="AV570" t="e">
            <v>#REF!</v>
          </cell>
          <cell r="AW570" t="e">
            <v>#DIV/0!</v>
          </cell>
          <cell r="AX570" t="e">
            <v>#DIV/0!</v>
          </cell>
          <cell r="AY570" t="e">
            <v>#DIV/0!</v>
          </cell>
          <cell r="AZ570" t="e">
            <v>#DIV/0!</v>
          </cell>
          <cell r="BE570" t="e">
            <v>#DIV/0!</v>
          </cell>
          <cell r="BF570" t="e">
            <v>#DIV/0!</v>
          </cell>
        </row>
        <row r="571">
          <cell r="A571" t="str">
            <v>-0</v>
          </cell>
          <cell r="B571" t="str">
            <v xml:space="preserve">-0  , </v>
          </cell>
          <cell r="C571"/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/>
          <cell r="S571"/>
          <cell r="T571"/>
          <cell r="U571"/>
          <cell r="V571"/>
          <cell r="W571"/>
          <cell r="X571">
            <v>0</v>
          </cell>
          <cell r="Y571">
            <v>0</v>
          </cell>
          <cell r="Z571">
            <v>0</v>
          </cell>
          <cell r="AA571" t="str">
            <v>,</v>
          </cell>
          <cell r="AB571" t="str">
            <v>,</v>
          </cell>
          <cell r="AC571" t="e">
            <v>#DIV/0!</v>
          </cell>
          <cell r="AD571" t="e">
            <v>#DIV/0!</v>
          </cell>
          <cell r="AE571">
            <v>0.71</v>
          </cell>
          <cell r="AF571">
            <v>94.97</v>
          </cell>
          <cell r="AG571">
            <v>0</v>
          </cell>
          <cell r="AH571" t="e">
            <v>#DIV/0!</v>
          </cell>
          <cell r="AI571" t="e">
            <v>#DIV/0!</v>
          </cell>
          <cell r="AJ571" t="e">
            <v>#DIV/0!</v>
          </cell>
          <cell r="AK571" t="e">
            <v>#DIV/0!</v>
          </cell>
          <cell r="AL571" t="e">
            <v>#DIV/0!</v>
          </cell>
          <cell r="AM571" t="e">
            <v>#DIV/0!</v>
          </cell>
          <cell r="AN571" t="e">
            <v>#DIV/0!</v>
          </cell>
          <cell r="AO571" t="e">
            <v>#REF!</v>
          </cell>
          <cell r="AP571" t="e">
            <v>#REF!</v>
          </cell>
          <cell r="AQ571" t="e">
            <v>#REF!</v>
          </cell>
          <cell r="AR571" t="e">
            <v>#REF!</v>
          </cell>
          <cell r="AS571" t="e">
            <v>#REF!</v>
          </cell>
          <cell r="AT571" t="e">
            <v>#REF!</v>
          </cell>
          <cell r="AU571" t="e">
            <v>#REF!</v>
          </cell>
          <cell r="AV571" t="e">
            <v>#REF!</v>
          </cell>
          <cell r="AW571" t="e">
            <v>#DIV/0!</v>
          </cell>
          <cell r="AX571" t="e">
            <v>#DIV/0!</v>
          </cell>
          <cell r="AY571" t="e">
            <v>#DIV/0!</v>
          </cell>
          <cell r="AZ571" t="e">
            <v>#DIV/0!</v>
          </cell>
          <cell r="BE571" t="e">
            <v>#DIV/0!</v>
          </cell>
          <cell r="BF571" t="e">
            <v>#DIV/0!</v>
          </cell>
        </row>
        <row r="572">
          <cell r="A572" t="str">
            <v>-0</v>
          </cell>
          <cell r="B572" t="str">
            <v xml:space="preserve">-0  , </v>
          </cell>
          <cell r="C572"/>
          <cell r="D572"/>
          <cell r="E572"/>
          <cell r="F572"/>
          <cell r="G572"/>
          <cell r="H572"/>
          <cell r="I572"/>
          <cell r="J572"/>
          <cell r="K572"/>
          <cell r="L572"/>
          <cell r="M572"/>
          <cell r="N572"/>
          <cell r="O572"/>
          <cell r="P572"/>
          <cell r="Q572"/>
          <cell r="R572"/>
          <cell r="S572"/>
          <cell r="T572"/>
          <cell r="U572"/>
          <cell r="V572"/>
          <cell r="W572"/>
          <cell r="X572">
            <v>0</v>
          </cell>
          <cell r="Y572">
            <v>0</v>
          </cell>
          <cell r="Z572">
            <v>0</v>
          </cell>
          <cell r="AA572" t="str">
            <v>,</v>
          </cell>
          <cell r="AB572" t="str">
            <v>,</v>
          </cell>
          <cell r="AC572" t="e">
            <v>#DIV/0!</v>
          </cell>
          <cell r="AD572" t="e">
            <v>#DIV/0!</v>
          </cell>
          <cell r="AE572">
            <v>0.71</v>
          </cell>
          <cell r="AF572">
            <v>94.97</v>
          </cell>
          <cell r="AG572">
            <v>0</v>
          </cell>
          <cell r="AH572" t="e">
            <v>#DIV/0!</v>
          </cell>
          <cell r="AI572" t="e">
            <v>#DIV/0!</v>
          </cell>
          <cell r="AJ572" t="e">
            <v>#DIV/0!</v>
          </cell>
          <cell r="AK572" t="e">
            <v>#DIV/0!</v>
          </cell>
          <cell r="AL572" t="e">
            <v>#DIV/0!</v>
          </cell>
          <cell r="AM572" t="e">
            <v>#DIV/0!</v>
          </cell>
          <cell r="AN572" t="e">
            <v>#DIV/0!</v>
          </cell>
          <cell r="AO572" t="e">
            <v>#REF!</v>
          </cell>
          <cell r="AP572" t="e">
            <v>#REF!</v>
          </cell>
          <cell r="AQ572" t="e">
            <v>#REF!</v>
          </cell>
          <cell r="AR572" t="e">
            <v>#REF!</v>
          </cell>
          <cell r="AS572" t="e">
            <v>#REF!</v>
          </cell>
          <cell r="AT572" t="e">
            <v>#REF!</v>
          </cell>
          <cell r="AU572" t="e">
            <v>#REF!</v>
          </cell>
          <cell r="AV572" t="e">
            <v>#REF!</v>
          </cell>
          <cell r="AW572" t="e">
            <v>#DIV/0!</v>
          </cell>
          <cell r="AX572" t="e">
            <v>#DIV/0!</v>
          </cell>
          <cell r="AY572" t="e">
            <v>#DIV/0!</v>
          </cell>
          <cell r="AZ572" t="e">
            <v>#DIV/0!</v>
          </cell>
          <cell r="BE572" t="e">
            <v>#DIV/0!</v>
          </cell>
          <cell r="BF572" t="e">
            <v>#DIV/0!</v>
          </cell>
        </row>
        <row r="573">
          <cell r="A573" t="str">
            <v>-0</v>
          </cell>
          <cell r="B573" t="str">
            <v xml:space="preserve">-0  , </v>
          </cell>
          <cell r="C573"/>
          <cell r="D573"/>
          <cell r="E573"/>
          <cell r="F573"/>
          <cell r="G573"/>
          <cell r="H573"/>
          <cell r="I573"/>
          <cell r="J573"/>
          <cell r="K573"/>
          <cell r="L573"/>
          <cell r="M573"/>
          <cell r="N573"/>
          <cell r="O573"/>
          <cell r="P573"/>
          <cell r="Q573"/>
          <cell r="R573"/>
          <cell r="S573"/>
          <cell r="T573"/>
          <cell r="U573"/>
          <cell r="V573"/>
          <cell r="W573"/>
          <cell r="X573">
            <v>0</v>
          </cell>
          <cell r="Y573">
            <v>0</v>
          </cell>
          <cell r="Z573">
            <v>0</v>
          </cell>
          <cell r="AA573" t="str">
            <v>,</v>
          </cell>
          <cell r="AB573" t="str">
            <v>,</v>
          </cell>
          <cell r="AC573" t="e">
            <v>#DIV/0!</v>
          </cell>
          <cell r="AD573" t="e">
            <v>#DIV/0!</v>
          </cell>
          <cell r="AE573">
            <v>0.71</v>
          </cell>
          <cell r="AF573">
            <v>94.97</v>
          </cell>
          <cell r="AG573">
            <v>0</v>
          </cell>
          <cell r="AH573" t="e">
            <v>#DIV/0!</v>
          </cell>
          <cell r="AI573" t="e">
            <v>#DIV/0!</v>
          </cell>
          <cell r="AJ573" t="e">
            <v>#DIV/0!</v>
          </cell>
          <cell r="AK573" t="e">
            <v>#DIV/0!</v>
          </cell>
          <cell r="AL573" t="e">
            <v>#DIV/0!</v>
          </cell>
          <cell r="AM573" t="e">
            <v>#DIV/0!</v>
          </cell>
          <cell r="AN573" t="e">
            <v>#DIV/0!</v>
          </cell>
          <cell r="AO573" t="e">
            <v>#REF!</v>
          </cell>
          <cell r="AP573" t="e">
            <v>#REF!</v>
          </cell>
          <cell r="AQ573" t="e">
            <v>#REF!</v>
          </cell>
          <cell r="AR573" t="e">
            <v>#REF!</v>
          </cell>
          <cell r="AS573" t="e">
            <v>#REF!</v>
          </cell>
          <cell r="AT573" t="e">
            <v>#REF!</v>
          </cell>
          <cell r="AU573" t="e">
            <v>#REF!</v>
          </cell>
          <cell r="AV573" t="e">
            <v>#REF!</v>
          </cell>
          <cell r="AW573" t="e">
            <v>#DIV/0!</v>
          </cell>
          <cell r="AX573" t="e">
            <v>#DIV/0!</v>
          </cell>
          <cell r="AY573" t="e">
            <v>#DIV/0!</v>
          </cell>
          <cell r="AZ573" t="e">
            <v>#DIV/0!</v>
          </cell>
          <cell r="BE573" t="e">
            <v>#DIV/0!</v>
          </cell>
          <cell r="BF573" t="e">
            <v>#DIV/0!</v>
          </cell>
        </row>
        <row r="574">
          <cell r="A574" t="str">
            <v>-0</v>
          </cell>
          <cell r="B574" t="str">
            <v xml:space="preserve">-0  , </v>
          </cell>
          <cell r="C574"/>
          <cell r="D574"/>
          <cell r="E574"/>
          <cell r="F574"/>
          <cell r="G574"/>
          <cell r="H574"/>
          <cell r="I574"/>
          <cell r="J574"/>
          <cell r="K574"/>
          <cell r="L574"/>
          <cell r="M574"/>
          <cell r="N574"/>
          <cell r="O574"/>
          <cell r="P574"/>
          <cell r="Q574"/>
          <cell r="R574"/>
          <cell r="S574"/>
          <cell r="T574"/>
          <cell r="U574"/>
          <cell r="V574"/>
          <cell r="W574"/>
          <cell r="X574">
            <v>0</v>
          </cell>
          <cell r="Y574">
            <v>0</v>
          </cell>
          <cell r="Z574">
            <v>0</v>
          </cell>
          <cell r="AA574" t="str">
            <v>,</v>
          </cell>
          <cell r="AB574" t="str">
            <v>,</v>
          </cell>
          <cell r="AC574" t="e">
            <v>#DIV/0!</v>
          </cell>
          <cell r="AD574" t="e">
            <v>#DIV/0!</v>
          </cell>
          <cell r="AE574">
            <v>0.71</v>
          </cell>
          <cell r="AF574">
            <v>94.97</v>
          </cell>
          <cell r="AG574">
            <v>0</v>
          </cell>
          <cell r="AH574" t="e">
            <v>#DIV/0!</v>
          </cell>
          <cell r="AI574" t="e">
            <v>#DIV/0!</v>
          </cell>
          <cell r="AJ574" t="e">
            <v>#DIV/0!</v>
          </cell>
          <cell r="AK574" t="e">
            <v>#DIV/0!</v>
          </cell>
          <cell r="AL574" t="e">
            <v>#DIV/0!</v>
          </cell>
          <cell r="AM574" t="e">
            <v>#DIV/0!</v>
          </cell>
          <cell r="AN574" t="e">
            <v>#DIV/0!</v>
          </cell>
          <cell r="AO574" t="e">
            <v>#REF!</v>
          </cell>
          <cell r="AP574" t="e">
            <v>#REF!</v>
          </cell>
          <cell r="AQ574" t="e">
            <v>#REF!</v>
          </cell>
          <cell r="AR574" t="e">
            <v>#REF!</v>
          </cell>
          <cell r="AS574" t="e">
            <v>#REF!</v>
          </cell>
          <cell r="AT574" t="e">
            <v>#REF!</v>
          </cell>
          <cell r="AU574" t="e">
            <v>#REF!</v>
          </cell>
          <cell r="AV574" t="e">
            <v>#REF!</v>
          </cell>
          <cell r="AW574" t="e">
            <v>#DIV/0!</v>
          </cell>
          <cell r="AX574" t="e">
            <v>#DIV/0!</v>
          </cell>
          <cell r="AY574" t="e">
            <v>#DIV/0!</v>
          </cell>
          <cell r="AZ574" t="e">
            <v>#DIV/0!</v>
          </cell>
          <cell r="BE574" t="e">
            <v>#DIV/0!</v>
          </cell>
          <cell r="BF574" t="e">
            <v>#DIV/0!</v>
          </cell>
        </row>
        <row r="575">
          <cell r="A575" t="str">
            <v>-0</v>
          </cell>
          <cell r="B575" t="str">
            <v xml:space="preserve">-0  , </v>
          </cell>
          <cell r="C575"/>
          <cell r="D575"/>
          <cell r="E575"/>
          <cell r="F575"/>
          <cell r="G575"/>
          <cell r="H575"/>
          <cell r="I575"/>
          <cell r="J575"/>
          <cell r="K575"/>
          <cell r="L575"/>
          <cell r="M575"/>
          <cell r="N575"/>
          <cell r="O575"/>
          <cell r="P575"/>
          <cell r="Q575"/>
          <cell r="R575"/>
          <cell r="S575"/>
          <cell r="T575"/>
          <cell r="U575"/>
          <cell r="V575"/>
          <cell r="W575"/>
          <cell r="X575">
            <v>0</v>
          </cell>
          <cell r="Y575">
            <v>0</v>
          </cell>
          <cell r="Z575">
            <v>0</v>
          </cell>
          <cell r="AA575" t="str">
            <v>,</v>
          </cell>
          <cell r="AB575" t="str">
            <v>,</v>
          </cell>
          <cell r="AC575" t="e">
            <v>#DIV/0!</v>
          </cell>
          <cell r="AD575" t="e">
            <v>#DIV/0!</v>
          </cell>
          <cell r="AE575">
            <v>0.71</v>
          </cell>
          <cell r="AF575">
            <v>94.97</v>
          </cell>
          <cell r="AG575">
            <v>0</v>
          </cell>
          <cell r="AH575" t="e">
            <v>#DIV/0!</v>
          </cell>
          <cell r="AI575" t="e">
            <v>#DIV/0!</v>
          </cell>
          <cell r="AJ575" t="e">
            <v>#DIV/0!</v>
          </cell>
          <cell r="AK575" t="e">
            <v>#DIV/0!</v>
          </cell>
          <cell r="AL575" t="e">
            <v>#DIV/0!</v>
          </cell>
          <cell r="AM575" t="e">
            <v>#DIV/0!</v>
          </cell>
          <cell r="AN575" t="e">
            <v>#DIV/0!</v>
          </cell>
          <cell r="AO575" t="e">
            <v>#REF!</v>
          </cell>
          <cell r="AP575" t="e">
            <v>#REF!</v>
          </cell>
          <cell r="AQ575" t="e">
            <v>#REF!</v>
          </cell>
          <cell r="AR575" t="e">
            <v>#REF!</v>
          </cell>
          <cell r="AS575" t="e">
            <v>#REF!</v>
          </cell>
          <cell r="AT575" t="e">
            <v>#REF!</v>
          </cell>
          <cell r="AU575" t="e">
            <v>#REF!</v>
          </cell>
          <cell r="AV575" t="e">
            <v>#REF!</v>
          </cell>
          <cell r="AW575" t="e">
            <v>#DIV/0!</v>
          </cell>
          <cell r="AX575" t="e">
            <v>#DIV/0!</v>
          </cell>
          <cell r="AY575" t="e">
            <v>#DIV/0!</v>
          </cell>
          <cell r="AZ575" t="e">
            <v>#DIV/0!</v>
          </cell>
          <cell r="BE575" t="e">
            <v>#DIV/0!</v>
          </cell>
          <cell r="BF575" t="e">
            <v>#DIV/0!</v>
          </cell>
        </row>
        <row r="576">
          <cell r="A576" t="str">
            <v>-0</v>
          </cell>
          <cell r="B576" t="str">
            <v xml:space="preserve">-0  , </v>
          </cell>
          <cell r="C576"/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/>
          <cell r="S576"/>
          <cell r="T576"/>
          <cell r="U576"/>
          <cell r="V576"/>
          <cell r="W576"/>
          <cell r="X576">
            <v>0</v>
          </cell>
          <cell r="Y576">
            <v>0</v>
          </cell>
          <cell r="Z576">
            <v>0</v>
          </cell>
          <cell r="AA576" t="str">
            <v>,</v>
          </cell>
          <cell r="AB576" t="str">
            <v>,</v>
          </cell>
          <cell r="AC576" t="e">
            <v>#DIV/0!</v>
          </cell>
          <cell r="AD576" t="e">
            <v>#DIV/0!</v>
          </cell>
          <cell r="AE576">
            <v>0.71</v>
          </cell>
          <cell r="AF576">
            <v>94.97</v>
          </cell>
          <cell r="AG576">
            <v>0</v>
          </cell>
          <cell r="AH576" t="e">
            <v>#DIV/0!</v>
          </cell>
          <cell r="AI576" t="e">
            <v>#DIV/0!</v>
          </cell>
          <cell r="AJ576" t="e">
            <v>#DIV/0!</v>
          </cell>
          <cell r="AK576" t="e">
            <v>#DIV/0!</v>
          </cell>
          <cell r="AL576" t="e">
            <v>#DIV/0!</v>
          </cell>
          <cell r="AM576" t="e">
            <v>#DIV/0!</v>
          </cell>
          <cell r="AN576" t="e">
            <v>#DIV/0!</v>
          </cell>
          <cell r="AO576" t="e">
            <v>#REF!</v>
          </cell>
          <cell r="AP576" t="e">
            <v>#REF!</v>
          </cell>
          <cell r="AQ576" t="e">
            <v>#REF!</v>
          </cell>
          <cell r="AR576" t="e">
            <v>#REF!</v>
          </cell>
          <cell r="AS576" t="e">
            <v>#REF!</v>
          </cell>
          <cell r="AT576" t="e">
            <v>#REF!</v>
          </cell>
          <cell r="AU576" t="e">
            <v>#REF!</v>
          </cell>
          <cell r="AV576" t="e">
            <v>#REF!</v>
          </cell>
          <cell r="AW576" t="e">
            <v>#DIV/0!</v>
          </cell>
          <cell r="AX576" t="e">
            <v>#DIV/0!</v>
          </cell>
          <cell r="AY576" t="e">
            <v>#DIV/0!</v>
          </cell>
          <cell r="AZ576" t="e">
            <v>#DIV/0!</v>
          </cell>
          <cell r="BE576" t="e">
            <v>#DIV/0!</v>
          </cell>
          <cell r="BF576" t="e">
            <v>#DIV/0!</v>
          </cell>
        </row>
        <row r="577">
          <cell r="A577" t="str">
            <v>-0</v>
          </cell>
          <cell r="B577" t="str">
            <v xml:space="preserve">-0  , </v>
          </cell>
          <cell r="C577"/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  <cell r="X577">
            <v>0</v>
          </cell>
          <cell r="Y577">
            <v>0</v>
          </cell>
          <cell r="Z577">
            <v>0</v>
          </cell>
          <cell r="AA577" t="str">
            <v>,</v>
          </cell>
          <cell r="AB577" t="str">
            <v>,</v>
          </cell>
          <cell r="AC577" t="e">
            <v>#DIV/0!</v>
          </cell>
          <cell r="AD577" t="e">
            <v>#DIV/0!</v>
          </cell>
          <cell r="AE577">
            <v>0.71</v>
          </cell>
          <cell r="AF577">
            <v>94.97</v>
          </cell>
          <cell r="AG577">
            <v>0</v>
          </cell>
          <cell r="AH577" t="e">
            <v>#DIV/0!</v>
          </cell>
          <cell r="AI577" t="e">
            <v>#DIV/0!</v>
          </cell>
          <cell r="AJ577" t="e">
            <v>#DIV/0!</v>
          </cell>
          <cell r="AK577" t="e">
            <v>#DIV/0!</v>
          </cell>
          <cell r="AL577" t="e">
            <v>#DIV/0!</v>
          </cell>
          <cell r="AM577" t="e">
            <v>#DIV/0!</v>
          </cell>
          <cell r="AN577" t="e">
            <v>#DIV/0!</v>
          </cell>
          <cell r="AO577" t="e">
            <v>#REF!</v>
          </cell>
          <cell r="AP577" t="e">
            <v>#REF!</v>
          </cell>
          <cell r="AQ577" t="e">
            <v>#REF!</v>
          </cell>
          <cell r="AR577" t="e">
            <v>#REF!</v>
          </cell>
          <cell r="AS577" t="e">
            <v>#REF!</v>
          </cell>
          <cell r="AT577" t="e">
            <v>#REF!</v>
          </cell>
          <cell r="AU577" t="e">
            <v>#REF!</v>
          </cell>
          <cell r="AV577" t="e">
            <v>#REF!</v>
          </cell>
          <cell r="AW577" t="e">
            <v>#DIV/0!</v>
          </cell>
          <cell r="AX577" t="e">
            <v>#DIV/0!</v>
          </cell>
          <cell r="AY577" t="e">
            <v>#DIV/0!</v>
          </cell>
          <cell r="AZ577" t="e">
            <v>#DIV/0!</v>
          </cell>
          <cell r="BE577" t="e">
            <v>#DIV/0!</v>
          </cell>
          <cell r="BF577" t="e">
            <v>#DIV/0!</v>
          </cell>
        </row>
        <row r="578">
          <cell r="A578" t="str">
            <v>-0</v>
          </cell>
          <cell r="B578" t="str">
            <v xml:space="preserve">-0  , </v>
          </cell>
          <cell r="C578"/>
          <cell r="D578"/>
          <cell r="E578"/>
          <cell r="F578"/>
          <cell r="G578"/>
          <cell r="H578"/>
          <cell r="I578"/>
          <cell r="J578"/>
          <cell r="K578"/>
          <cell r="L578"/>
          <cell r="M578"/>
          <cell r="N578"/>
          <cell r="O578"/>
          <cell r="P578"/>
          <cell r="Q578"/>
          <cell r="R578"/>
          <cell r="S578"/>
          <cell r="T578"/>
          <cell r="U578"/>
          <cell r="V578"/>
          <cell r="W578"/>
          <cell r="X578">
            <v>0</v>
          </cell>
          <cell r="Y578">
            <v>0</v>
          </cell>
          <cell r="Z578">
            <v>0</v>
          </cell>
          <cell r="AA578" t="str">
            <v>,</v>
          </cell>
          <cell r="AB578" t="str">
            <v>,</v>
          </cell>
          <cell r="AC578" t="e">
            <v>#DIV/0!</v>
          </cell>
          <cell r="AD578" t="e">
            <v>#DIV/0!</v>
          </cell>
          <cell r="AE578">
            <v>0.71</v>
          </cell>
          <cell r="AF578">
            <v>94.97</v>
          </cell>
          <cell r="AG578">
            <v>0</v>
          </cell>
          <cell r="AH578" t="e">
            <v>#DIV/0!</v>
          </cell>
          <cell r="AI578" t="e">
            <v>#DIV/0!</v>
          </cell>
          <cell r="AJ578" t="e">
            <v>#DIV/0!</v>
          </cell>
          <cell r="AK578" t="e">
            <v>#DIV/0!</v>
          </cell>
          <cell r="AL578" t="e">
            <v>#DIV/0!</v>
          </cell>
          <cell r="AM578" t="e">
            <v>#DIV/0!</v>
          </cell>
          <cell r="AN578" t="e">
            <v>#DIV/0!</v>
          </cell>
          <cell r="AO578" t="e">
            <v>#REF!</v>
          </cell>
          <cell r="AP578" t="e">
            <v>#REF!</v>
          </cell>
          <cell r="AQ578" t="e">
            <v>#REF!</v>
          </cell>
          <cell r="AR578" t="e">
            <v>#REF!</v>
          </cell>
          <cell r="AS578" t="e">
            <v>#REF!</v>
          </cell>
          <cell r="AT578" t="e">
            <v>#REF!</v>
          </cell>
          <cell r="AU578" t="e">
            <v>#REF!</v>
          </cell>
          <cell r="AV578" t="e">
            <v>#REF!</v>
          </cell>
          <cell r="AW578" t="e">
            <v>#DIV/0!</v>
          </cell>
          <cell r="AX578" t="e">
            <v>#DIV/0!</v>
          </cell>
          <cell r="AY578" t="e">
            <v>#DIV/0!</v>
          </cell>
          <cell r="AZ578" t="e">
            <v>#DIV/0!</v>
          </cell>
          <cell r="BE578" t="e">
            <v>#DIV/0!</v>
          </cell>
          <cell r="BF578" t="e">
            <v>#DIV/0!</v>
          </cell>
        </row>
        <row r="579">
          <cell r="A579" t="str">
            <v>-0</v>
          </cell>
          <cell r="B579" t="str">
            <v xml:space="preserve">-0  , </v>
          </cell>
          <cell r="C579"/>
          <cell r="D579"/>
          <cell r="E579"/>
          <cell r="F579"/>
          <cell r="G579"/>
          <cell r="H579"/>
          <cell r="I579"/>
          <cell r="J579"/>
          <cell r="K579"/>
          <cell r="L579"/>
          <cell r="M579"/>
          <cell r="N579"/>
          <cell r="O579"/>
          <cell r="P579"/>
          <cell r="Q579"/>
          <cell r="R579"/>
          <cell r="S579"/>
          <cell r="T579"/>
          <cell r="U579"/>
          <cell r="V579"/>
          <cell r="W579"/>
          <cell r="X579">
            <v>0</v>
          </cell>
          <cell r="Y579">
            <v>0</v>
          </cell>
          <cell r="Z579">
            <v>0</v>
          </cell>
          <cell r="AA579" t="str">
            <v>,</v>
          </cell>
          <cell r="AB579" t="str">
            <v>,</v>
          </cell>
          <cell r="AC579" t="e">
            <v>#DIV/0!</v>
          </cell>
          <cell r="AD579" t="e">
            <v>#DIV/0!</v>
          </cell>
          <cell r="AE579">
            <v>0.71</v>
          </cell>
          <cell r="AF579">
            <v>94.97</v>
          </cell>
          <cell r="AG579">
            <v>0</v>
          </cell>
          <cell r="AH579" t="e">
            <v>#DIV/0!</v>
          </cell>
          <cell r="AI579" t="e">
            <v>#DIV/0!</v>
          </cell>
          <cell r="AJ579" t="e">
            <v>#DIV/0!</v>
          </cell>
          <cell r="AK579" t="e">
            <v>#DIV/0!</v>
          </cell>
          <cell r="AL579" t="e">
            <v>#DIV/0!</v>
          </cell>
          <cell r="AM579" t="e">
            <v>#DIV/0!</v>
          </cell>
          <cell r="AN579" t="e">
            <v>#DIV/0!</v>
          </cell>
          <cell r="AO579" t="e">
            <v>#REF!</v>
          </cell>
          <cell r="AP579" t="e">
            <v>#REF!</v>
          </cell>
          <cell r="AQ579" t="e">
            <v>#REF!</v>
          </cell>
          <cell r="AR579" t="e">
            <v>#REF!</v>
          </cell>
          <cell r="AS579" t="e">
            <v>#REF!</v>
          </cell>
          <cell r="AT579" t="e">
            <v>#REF!</v>
          </cell>
          <cell r="AU579" t="e">
            <v>#REF!</v>
          </cell>
          <cell r="AV579" t="e">
            <v>#REF!</v>
          </cell>
          <cell r="AW579" t="e">
            <v>#DIV/0!</v>
          </cell>
          <cell r="AX579" t="e">
            <v>#DIV/0!</v>
          </cell>
          <cell r="AY579" t="e">
            <v>#DIV/0!</v>
          </cell>
          <cell r="AZ579" t="e">
            <v>#DIV/0!</v>
          </cell>
          <cell r="BE579" t="e">
            <v>#DIV/0!</v>
          </cell>
          <cell r="BF579" t="e">
            <v>#DIV/0!</v>
          </cell>
        </row>
        <row r="580">
          <cell r="A580" t="str">
            <v>-0</v>
          </cell>
          <cell r="B580" t="str">
            <v xml:space="preserve">-0  , </v>
          </cell>
          <cell r="C580"/>
          <cell r="D580"/>
          <cell r="E580"/>
          <cell r="F580"/>
          <cell r="G580"/>
          <cell r="H580"/>
          <cell r="I580"/>
          <cell r="J580"/>
          <cell r="K580"/>
          <cell r="L580"/>
          <cell r="M580"/>
          <cell r="N580"/>
          <cell r="O580"/>
          <cell r="P580"/>
          <cell r="Q580"/>
          <cell r="R580"/>
          <cell r="S580"/>
          <cell r="T580"/>
          <cell r="U580"/>
          <cell r="V580"/>
          <cell r="W580"/>
          <cell r="X580">
            <v>0</v>
          </cell>
          <cell r="Y580">
            <v>0</v>
          </cell>
          <cell r="Z580">
            <v>0</v>
          </cell>
          <cell r="AA580" t="str">
            <v>,</v>
          </cell>
          <cell r="AB580" t="str">
            <v>,</v>
          </cell>
          <cell r="AC580" t="e">
            <v>#DIV/0!</v>
          </cell>
          <cell r="AD580" t="e">
            <v>#DIV/0!</v>
          </cell>
          <cell r="AE580">
            <v>0.71</v>
          </cell>
          <cell r="AF580">
            <v>94.97</v>
          </cell>
          <cell r="AG580">
            <v>0</v>
          </cell>
          <cell r="AH580" t="e">
            <v>#DIV/0!</v>
          </cell>
          <cell r="AI580" t="e">
            <v>#DIV/0!</v>
          </cell>
          <cell r="AJ580" t="e">
            <v>#DIV/0!</v>
          </cell>
          <cell r="AK580" t="e">
            <v>#DIV/0!</v>
          </cell>
          <cell r="AL580" t="e">
            <v>#DIV/0!</v>
          </cell>
          <cell r="AM580" t="e">
            <v>#DIV/0!</v>
          </cell>
          <cell r="AN580" t="e">
            <v>#DIV/0!</v>
          </cell>
          <cell r="AO580" t="e">
            <v>#REF!</v>
          </cell>
          <cell r="AP580" t="e">
            <v>#REF!</v>
          </cell>
          <cell r="AQ580" t="e">
            <v>#REF!</v>
          </cell>
          <cell r="AR580" t="e">
            <v>#REF!</v>
          </cell>
          <cell r="AS580" t="e">
            <v>#REF!</v>
          </cell>
          <cell r="AT580" t="e">
            <v>#REF!</v>
          </cell>
          <cell r="AU580" t="e">
            <v>#REF!</v>
          </cell>
          <cell r="AV580" t="e">
            <v>#REF!</v>
          </cell>
          <cell r="AW580" t="e">
            <v>#DIV/0!</v>
          </cell>
          <cell r="AX580" t="e">
            <v>#DIV/0!</v>
          </cell>
          <cell r="AY580" t="e">
            <v>#DIV/0!</v>
          </cell>
          <cell r="AZ580" t="e">
            <v>#DIV/0!</v>
          </cell>
          <cell r="BE580" t="e">
            <v>#DIV/0!</v>
          </cell>
          <cell r="BF580" t="e">
            <v>#DIV/0!</v>
          </cell>
        </row>
        <row r="581">
          <cell r="A581" t="str">
            <v>-0</v>
          </cell>
          <cell r="B581" t="str">
            <v xml:space="preserve">-0  , </v>
          </cell>
          <cell r="C581"/>
          <cell r="D581"/>
          <cell r="E581"/>
          <cell r="F581"/>
          <cell r="G581"/>
          <cell r="H581"/>
          <cell r="I581"/>
          <cell r="J581"/>
          <cell r="K581"/>
          <cell r="L581"/>
          <cell r="M581"/>
          <cell r="N581"/>
          <cell r="O581"/>
          <cell r="P581"/>
          <cell r="Q581"/>
          <cell r="R581"/>
          <cell r="S581"/>
          <cell r="T581"/>
          <cell r="U581"/>
          <cell r="V581"/>
          <cell r="W581"/>
          <cell r="X581">
            <v>0</v>
          </cell>
          <cell r="Y581">
            <v>0</v>
          </cell>
          <cell r="Z581">
            <v>0</v>
          </cell>
          <cell r="AA581" t="str">
            <v>,</v>
          </cell>
          <cell r="AB581" t="str">
            <v>,</v>
          </cell>
          <cell r="AC581" t="e">
            <v>#DIV/0!</v>
          </cell>
          <cell r="AD581" t="e">
            <v>#DIV/0!</v>
          </cell>
          <cell r="AE581">
            <v>0.71</v>
          </cell>
          <cell r="AF581">
            <v>94.97</v>
          </cell>
          <cell r="AG581">
            <v>0</v>
          </cell>
          <cell r="AH581" t="e">
            <v>#DIV/0!</v>
          </cell>
          <cell r="AI581" t="e">
            <v>#DIV/0!</v>
          </cell>
          <cell r="AJ581" t="e">
            <v>#DIV/0!</v>
          </cell>
          <cell r="AK581" t="e">
            <v>#DIV/0!</v>
          </cell>
          <cell r="AL581" t="e">
            <v>#DIV/0!</v>
          </cell>
          <cell r="AM581" t="e">
            <v>#DIV/0!</v>
          </cell>
          <cell r="AN581" t="e">
            <v>#DIV/0!</v>
          </cell>
          <cell r="AO581" t="e">
            <v>#REF!</v>
          </cell>
          <cell r="AP581" t="e">
            <v>#REF!</v>
          </cell>
          <cell r="AQ581" t="e">
            <v>#REF!</v>
          </cell>
          <cell r="AR581" t="e">
            <v>#REF!</v>
          </cell>
          <cell r="AS581" t="e">
            <v>#REF!</v>
          </cell>
          <cell r="AT581" t="e">
            <v>#REF!</v>
          </cell>
          <cell r="AU581" t="e">
            <v>#REF!</v>
          </cell>
          <cell r="AV581" t="e">
            <v>#REF!</v>
          </cell>
          <cell r="AW581" t="e">
            <v>#DIV/0!</v>
          </cell>
          <cell r="AX581" t="e">
            <v>#DIV/0!</v>
          </cell>
          <cell r="AY581" t="e">
            <v>#DIV/0!</v>
          </cell>
          <cell r="AZ581" t="e">
            <v>#DIV/0!</v>
          </cell>
          <cell r="BE581" t="e">
            <v>#DIV/0!</v>
          </cell>
          <cell r="BF581" t="e">
            <v>#DIV/0!</v>
          </cell>
        </row>
        <row r="582">
          <cell r="A582" t="str">
            <v>-0</v>
          </cell>
          <cell r="B582" t="str">
            <v xml:space="preserve">-0  , </v>
          </cell>
          <cell r="C582"/>
          <cell r="D582"/>
          <cell r="E582"/>
          <cell r="F582"/>
          <cell r="G582"/>
          <cell r="H582"/>
          <cell r="I582"/>
          <cell r="J582"/>
          <cell r="K582"/>
          <cell r="L582"/>
          <cell r="M582"/>
          <cell r="N582"/>
          <cell r="O582"/>
          <cell r="P582"/>
          <cell r="Q582"/>
          <cell r="R582"/>
          <cell r="S582"/>
          <cell r="T582"/>
          <cell r="U582"/>
          <cell r="V582"/>
          <cell r="W582"/>
          <cell r="X582">
            <v>0</v>
          </cell>
          <cell r="Y582">
            <v>0</v>
          </cell>
          <cell r="Z582">
            <v>0</v>
          </cell>
          <cell r="AA582" t="str">
            <v>,</v>
          </cell>
          <cell r="AB582" t="str">
            <v>,</v>
          </cell>
          <cell r="AC582" t="e">
            <v>#DIV/0!</v>
          </cell>
          <cell r="AD582" t="e">
            <v>#DIV/0!</v>
          </cell>
          <cell r="AE582">
            <v>0.71</v>
          </cell>
          <cell r="AF582">
            <v>94.97</v>
          </cell>
          <cell r="AG582">
            <v>0</v>
          </cell>
          <cell r="AH582" t="e">
            <v>#DIV/0!</v>
          </cell>
          <cell r="AI582" t="e">
            <v>#DIV/0!</v>
          </cell>
          <cell r="AJ582" t="e">
            <v>#DIV/0!</v>
          </cell>
          <cell r="AK582" t="e">
            <v>#DIV/0!</v>
          </cell>
          <cell r="AL582" t="e">
            <v>#DIV/0!</v>
          </cell>
          <cell r="AM582" t="e">
            <v>#DIV/0!</v>
          </cell>
          <cell r="AN582" t="e">
            <v>#DIV/0!</v>
          </cell>
          <cell r="AO582" t="e">
            <v>#REF!</v>
          </cell>
          <cell r="AP582" t="e">
            <v>#REF!</v>
          </cell>
          <cell r="AQ582" t="e">
            <v>#REF!</v>
          </cell>
          <cell r="AR582" t="e">
            <v>#REF!</v>
          </cell>
          <cell r="AS582" t="e">
            <v>#REF!</v>
          </cell>
          <cell r="AT582" t="e">
            <v>#REF!</v>
          </cell>
          <cell r="AU582" t="e">
            <v>#REF!</v>
          </cell>
          <cell r="AV582" t="e">
            <v>#REF!</v>
          </cell>
          <cell r="AW582" t="e">
            <v>#DIV/0!</v>
          </cell>
          <cell r="AX582" t="e">
            <v>#DIV/0!</v>
          </cell>
          <cell r="AY582" t="e">
            <v>#DIV/0!</v>
          </cell>
          <cell r="AZ582" t="e">
            <v>#DIV/0!</v>
          </cell>
          <cell r="BE582" t="e">
            <v>#DIV/0!</v>
          </cell>
          <cell r="BF582" t="e">
            <v>#DIV/0!</v>
          </cell>
        </row>
        <row r="583">
          <cell r="A583" t="str">
            <v>-0</v>
          </cell>
          <cell r="B583" t="str">
            <v xml:space="preserve">-0  , </v>
          </cell>
          <cell r="C583"/>
          <cell r="D583"/>
          <cell r="E583"/>
          <cell r="F583"/>
          <cell r="G583"/>
          <cell r="H583"/>
          <cell r="I583"/>
          <cell r="J583"/>
          <cell r="K583"/>
          <cell r="L583"/>
          <cell r="M583"/>
          <cell r="N583"/>
          <cell r="O583"/>
          <cell r="P583"/>
          <cell r="Q583"/>
          <cell r="R583"/>
          <cell r="S583"/>
          <cell r="T583"/>
          <cell r="U583"/>
          <cell r="V583"/>
          <cell r="W583"/>
          <cell r="X583">
            <v>0</v>
          </cell>
          <cell r="Y583">
            <v>0</v>
          </cell>
          <cell r="Z583">
            <v>0</v>
          </cell>
          <cell r="AA583" t="str">
            <v>,</v>
          </cell>
          <cell r="AB583" t="str">
            <v>,</v>
          </cell>
          <cell r="AC583" t="e">
            <v>#DIV/0!</v>
          </cell>
          <cell r="AD583" t="e">
            <v>#DIV/0!</v>
          </cell>
          <cell r="AE583">
            <v>0.71</v>
          </cell>
          <cell r="AF583">
            <v>94.97</v>
          </cell>
          <cell r="AG583">
            <v>0</v>
          </cell>
          <cell r="AH583" t="e">
            <v>#DIV/0!</v>
          </cell>
          <cell r="AI583" t="e">
            <v>#DIV/0!</v>
          </cell>
          <cell r="AJ583" t="e">
            <v>#DIV/0!</v>
          </cell>
          <cell r="AK583" t="e">
            <v>#DIV/0!</v>
          </cell>
          <cell r="AL583" t="e">
            <v>#DIV/0!</v>
          </cell>
          <cell r="AM583" t="e">
            <v>#DIV/0!</v>
          </cell>
          <cell r="AN583" t="e">
            <v>#DIV/0!</v>
          </cell>
          <cell r="AO583" t="e">
            <v>#REF!</v>
          </cell>
          <cell r="AP583" t="e">
            <v>#REF!</v>
          </cell>
          <cell r="AQ583" t="e">
            <v>#REF!</v>
          </cell>
          <cell r="AR583" t="e">
            <v>#REF!</v>
          </cell>
          <cell r="AS583" t="e">
            <v>#REF!</v>
          </cell>
          <cell r="AT583" t="e">
            <v>#REF!</v>
          </cell>
          <cell r="AU583" t="e">
            <v>#REF!</v>
          </cell>
          <cell r="AV583" t="e">
            <v>#REF!</v>
          </cell>
          <cell r="AW583" t="e">
            <v>#DIV/0!</v>
          </cell>
          <cell r="AX583" t="e">
            <v>#DIV/0!</v>
          </cell>
          <cell r="AY583" t="e">
            <v>#DIV/0!</v>
          </cell>
          <cell r="AZ583" t="e">
            <v>#DIV/0!</v>
          </cell>
          <cell r="BE583" t="e">
            <v>#DIV/0!</v>
          </cell>
          <cell r="BF583" t="e">
            <v>#DIV/0!</v>
          </cell>
        </row>
        <row r="584">
          <cell r="A584" t="str">
            <v>-0</v>
          </cell>
          <cell r="B584" t="str">
            <v xml:space="preserve">-0  , </v>
          </cell>
          <cell r="C584"/>
          <cell r="D584"/>
          <cell r="E584"/>
          <cell r="F584"/>
          <cell r="G584"/>
          <cell r="H584"/>
          <cell r="I584"/>
          <cell r="J584"/>
          <cell r="K584"/>
          <cell r="L584"/>
          <cell r="M584"/>
          <cell r="N584"/>
          <cell r="O584"/>
          <cell r="P584"/>
          <cell r="Q584"/>
          <cell r="R584"/>
          <cell r="S584"/>
          <cell r="T584"/>
          <cell r="U584"/>
          <cell r="V584"/>
          <cell r="W584"/>
          <cell r="X584">
            <v>0</v>
          </cell>
          <cell r="Y584">
            <v>0</v>
          </cell>
          <cell r="Z584">
            <v>0</v>
          </cell>
          <cell r="AA584" t="str">
            <v>,</v>
          </cell>
          <cell r="AB584" t="str">
            <v>,</v>
          </cell>
          <cell r="AC584" t="e">
            <v>#DIV/0!</v>
          </cell>
          <cell r="AD584" t="e">
            <v>#DIV/0!</v>
          </cell>
          <cell r="AE584">
            <v>0.71</v>
          </cell>
          <cell r="AF584">
            <v>94.97</v>
          </cell>
          <cell r="AG584">
            <v>0</v>
          </cell>
          <cell r="AH584" t="e">
            <v>#DIV/0!</v>
          </cell>
          <cell r="AI584" t="e">
            <v>#DIV/0!</v>
          </cell>
          <cell r="AJ584" t="e">
            <v>#DIV/0!</v>
          </cell>
          <cell r="AK584" t="e">
            <v>#DIV/0!</v>
          </cell>
          <cell r="AL584" t="e">
            <v>#DIV/0!</v>
          </cell>
          <cell r="AM584" t="e">
            <v>#DIV/0!</v>
          </cell>
          <cell r="AN584" t="e">
            <v>#DIV/0!</v>
          </cell>
          <cell r="AO584" t="e">
            <v>#REF!</v>
          </cell>
          <cell r="AP584" t="e">
            <v>#REF!</v>
          </cell>
          <cell r="AQ584" t="e">
            <v>#REF!</v>
          </cell>
          <cell r="AR584" t="e">
            <v>#REF!</v>
          </cell>
          <cell r="AS584" t="e">
            <v>#REF!</v>
          </cell>
          <cell r="AT584" t="e">
            <v>#REF!</v>
          </cell>
          <cell r="AU584" t="e">
            <v>#REF!</v>
          </cell>
          <cell r="AV584" t="e">
            <v>#REF!</v>
          </cell>
          <cell r="AW584" t="e">
            <v>#DIV/0!</v>
          </cell>
          <cell r="AX584" t="e">
            <v>#DIV/0!</v>
          </cell>
          <cell r="AY584" t="e">
            <v>#DIV/0!</v>
          </cell>
          <cell r="AZ584" t="e">
            <v>#DIV/0!</v>
          </cell>
          <cell r="BE584" t="e">
            <v>#DIV/0!</v>
          </cell>
          <cell r="BF584" t="e">
            <v>#DIV/0!</v>
          </cell>
        </row>
        <row r="585">
          <cell r="A585" t="str">
            <v>-0</v>
          </cell>
          <cell r="B585" t="str">
            <v xml:space="preserve">-0  , </v>
          </cell>
          <cell r="C585"/>
          <cell r="D585"/>
          <cell r="E585"/>
          <cell r="F585"/>
          <cell r="G585"/>
          <cell r="H585"/>
          <cell r="I585"/>
          <cell r="J585"/>
          <cell r="K585"/>
          <cell r="L585"/>
          <cell r="M585"/>
          <cell r="N585"/>
          <cell r="O585"/>
          <cell r="P585"/>
          <cell r="Q585"/>
          <cell r="R585"/>
          <cell r="S585"/>
          <cell r="T585"/>
          <cell r="U585"/>
          <cell r="V585"/>
          <cell r="W585"/>
          <cell r="X585">
            <v>0</v>
          </cell>
          <cell r="Y585">
            <v>0</v>
          </cell>
          <cell r="Z585">
            <v>0</v>
          </cell>
          <cell r="AA585" t="str">
            <v>,</v>
          </cell>
          <cell r="AB585" t="str">
            <v>,</v>
          </cell>
          <cell r="AC585" t="e">
            <v>#DIV/0!</v>
          </cell>
          <cell r="AD585" t="e">
            <v>#DIV/0!</v>
          </cell>
          <cell r="AE585">
            <v>0.71</v>
          </cell>
          <cell r="AF585">
            <v>94.97</v>
          </cell>
          <cell r="AG585">
            <v>0</v>
          </cell>
          <cell r="AH585" t="e">
            <v>#DIV/0!</v>
          </cell>
          <cell r="AI585" t="e">
            <v>#DIV/0!</v>
          </cell>
          <cell r="AJ585" t="e">
            <v>#DIV/0!</v>
          </cell>
          <cell r="AK585" t="e">
            <v>#DIV/0!</v>
          </cell>
          <cell r="AL585" t="e">
            <v>#DIV/0!</v>
          </cell>
          <cell r="AM585" t="e">
            <v>#DIV/0!</v>
          </cell>
          <cell r="AN585" t="e">
            <v>#DIV/0!</v>
          </cell>
          <cell r="AO585" t="e">
            <v>#REF!</v>
          </cell>
          <cell r="AP585" t="e">
            <v>#REF!</v>
          </cell>
          <cell r="AQ585" t="e">
            <v>#REF!</v>
          </cell>
          <cell r="AR585" t="e">
            <v>#REF!</v>
          </cell>
          <cell r="AS585" t="e">
            <v>#REF!</v>
          </cell>
          <cell r="AT585" t="e">
            <v>#REF!</v>
          </cell>
          <cell r="AU585" t="e">
            <v>#REF!</v>
          </cell>
          <cell r="AV585" t="e">
            <v>#REF!</v>
          </cell>
          <cell r="AW585" t="e">
            <v>#DIV/0!</v>
          </cell>
          <cell r="AX585" t="e">
            <v>#DIV/0!</v>
          </cell>
          <cell r="AY585" t="e">
            <v>#DIV/0!</v>
          </cell>
          <cell r="AZ585" t="e">
            <v>#DIV/0!</v>
          </cell>
          <cell r="BE585" t="e">
            <v>#DIV/0!</v>
          </cell>
          <cell r="BF585" t="e">
            <v>#DIV/0!</v>
          </cell>
        </row>
        <row r="586">
          <cell r="A586" t="str">
            <v>-0</v>
          </cell>
          <cell r="B586" t="str">
            <v xml:space="preserve">-0  , </v>
          </cell>
          <cell r="C586"/>
          <cell r="D586"/>
          <cell r="E586"/>
          <cell r="F586"/>
          <cell r="G586"/>
          <cell r="H586"/>
          <cell r="I586"/>
          <cell r="J586"/>
          <cell r="K586"/>
          <cell r="L586"/>
          <cell r="M586"/>
          <cell r="N586"/>
          <cell r="O586"/>
          <cell r="P586"/>
          <cell r="Q586"/>
          <cell r="R586"/>
          <cell r="S586"/>
          <cell r="T586"/>
          <cell r="U586"/>
          <cell r="V586"/>
          <cell r="W586"/>
          <cell r="X586">
            <v>0</v>
          </cell>
          <cell r="Y586">
            <v>0</v>
          </cell>
          <cell r="Z586">
            <v>0</v>
          </cell>
          <cell r="AA586" t="str">
            <v>,</v>
          </cell>
          <cell r="AB586" t="str">
            <v>,</v>
          </cell>
          <cell r="AC586" t="e">
            <v>#DIV/0!</v>
          </cell>
          <cell r="AD586" t="e">
            <v>#DIV/0!</v>
          </cell>
          <cell r="AE586">
            <v>0.71</v>
          </cell>
          <cell r="AF586">
            <v>94.97</v>
          </cell>
          <cell r="AG586">
            <v>0</v>
          </cell>
          <cell r="AH586" t="e">
            <v>#DIV/0!</v>
          </cell>
          <cell r="AI586" t="e">
            <v>#DIV/0!</v>
          </cell>
          <cell r="AJ586" t="e">
            <v>#DIV/0!</v>
          </cell>
          <cell r="AK586" t="e">
            <v>#DIV/0!</v>
          </cell>
          <cell r="AL586" t="e">
            <v>#DIV/0!</v>
          </cell>
          <cell r="AM586" t="e">
            <v>#DIV/0!</v>
          </cell>
          <cell r="AN586" t="e">
            <v>#DIV/0!</v>
          </cell>
          <cell r="AO586" t="e">
            <v>#REF!</v>
          </cell>
          <cell r="AP586" t="e">
            <v>#REF!</v>
          </cell>
          <cell r="AQ586" t="e">
            <v>#REF!</v>
          </cell>
          <cell r="AR586" t="e">
            <v>#REF!</v>
          </cell>
          <cell r="AS586" t="e">
            <v>#REF!</v>
          </cell>
          <cell r="AT586" t="e">
            <v>#REF!</v>
          </cell>
          <cell r="AU586" t="e">
            <v>#REF!</v>
          </cell>
          <cell r="AV586" t="e">
            <v>#REF!</v>
          </cell>
          <cell r="AW586" t="e">
            <v>#DIV/0!</v>
          </cell>
          <cell r="AX586" t="e">
            <v>#DIV/0!</v>
          </cell>
          <cell r="AY586" t="e">
            <v>#DIV/0!</v>
          </cell>
          <cell r="AZ586" t="e">
            <v>#DIV/0!</v>
          </cell>
          <cell r="BE586" t="e">
            <v>#DIV/0!</v>
          </cell>
          <cell r="BF586" t="e">
            <v>#DIV/0!</v>
          </cell>
        </row>
        <row r="587">
          <cell r="A587" t="str">
            <v>-0</v>
          </cell>
          <cell r="B587" t="str">
            <v xml:space="preserve">-0  , </v>
          </cell>
          <cell r="C587"/>
          <cell r="D587"/>
          <cell r="E587"/>
          <cell r="F587"/>
          <cell r="G587"/>
          <cell r="H587"/>
          <cell r="I587"/>
          <cell r="J587"/>
          <cell r="K587"/>
          <cell r="L587"/>
          <cell r="M587"/>
          <cell r="N587"/>
          <cell r="O587"/>
          <cell r="P587"/>
          <cell r="Q587"/>
          <cell r="R587"/>
          <cell r="S587"/>
          <cell r="T587"/>
          <cell r="U587"/>
          <cell r="V587"/>
          <cell r="W587"/>
          <cell r="X587">
            <v>0</v>
          </cell>
          <cell r="Y587">
            <v>0</v>
          </cell>
          <cell r="Z587">
            <v>0</v>
          </cell>
          <cell r="AA587" t="str">
            <v>,</v>
          </cell>
          <cell r="AB587" t="str">
            <v>,</v>
          </cell>
          <cell r="AC587" t="e">
            <v>#DIV/0!</v>
          </cell>
          <cell r="AD587" t="e">
            <v>#DIV/0!</v>
          </cell>
          <cell r="AE587">
            <v>0.71</v>
          </cell>
          <cell r="AF587">
            <v>94.97</v>
          </cell>
          <cell r="AG587">
            <v>0</v>
          </cell>
          <cell r="AH587" t="e">
            <v>#DIV/0!</v>
          </cell>
          <cell r="AI587" t="e">
            <v>#DIV/0!</v>
          </cell>
          <cell r="AJ587" t="e">
            <v>#DIV/0!</v>
          </cell>
          <cell r="AK587" t="e">
            <v>#DIV/0!</v>
          </cell>
          <cell r="AL587" t="e">
            <v>#DIV/0!</v>
          </cell>
          <cell r="AM587" t="e">
            <v>#DIV/0!</v>
          </cell>
          <cell r="AN587" t="e">
            <v>#DIV/0!</v>
          </cell>
          <cell r="AO587" t="e">
            <v>#REF!</v>
          </cell>
          <cell r="AP587" t="e">
            <v>#REF!</v>
          </cell>
          <cell r="AQ587" t="e">
            <v>#REF!</v>
          </cell>
          <cell r="AR587" t="e">
            <v>#REF!</v>
          </cell>
          <cell r="AS587" t="e">
            <v>#REF!</v>
          </cell>
          <cell r="AT587" t="e">
            <v>#REF!</v>
          </cell>
          <cell r="AU587" t="e">
            <v>#REF!</v>
          </cell>
          <cell r="AV587" t="e">
            <v>#REF!</v>
          </cell>
          <cell r="AW587" t="e">
            <v>#DIV/0!</v>
          </cell>
          <cell r="AX587" t="e">
            <v>#DIV/0!</v>
          </cell>
          <cell r="AY587" t="e">
            <v>#DIV/0!</v>
          </cell>
          <cell r="AZ587" t="e">
            <v>#DIV/0!</v>
          </cell>
          <cell r="BE587" t="e">
            <v>#DIV/0!</v>
          </cell>
          <cell r="BF587" t="e">
            <v>#DIV/0!</v>
          </cell>
        </row>
        <row r="588">
          <cell r="A588" t="str">
            <v>-0</v>
          </cell>
          <cell r="B588" t="str">
            <v xml:space="preserve">-0  , </v>
          </cell>
          <cell r="C588"/>
          <cell r="D588"/>
          <cell r="E588"/>
          <cell r="F588"/>
          <cell r="G588"/>
          <cell r="H588"/>
          <cell r="I588"/>
          <cell r="J588"/>
          <cell r="K588"/>
          <cell r="L588"/>
          <cell r="M588"/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  <cell r="X588">
            <v>0</v>
          </cell>
          <cell r="Y588">
            <v>0</v>
          </cell>
          <cell r="Z588">
            <v>0</v>
          </cell>
          <cell r="AA588" t="str">
            <v>,</v>
          </cell>
          <cell r="AB588" t="str">
            <v>,</v>
          </cell>
          <cell r="AC588" t="e">
            <v>#DIV/0!</v>
          </cell>
          <cell r="AD588" t="e">
            <v>#DIV/0!</v>
          </cell>
          <cell r="AE588">
            <v>0.71</v>
          </cell>
          <cell r="AF588">
            <v>94.97</v>
          </cell>
          <cell r="AG588">
            <v>0</v>
          </cell>
          <cell r="AH588" t="e">
            <v>#DIV/0!</v>
          </cell>
          <cell r="AI588" t="e">
            <v>#DIV/0!</v>
          </cell>
          <cell r="AJ588" t="e">
            <v>#DIV/0!</v>
          </cell>
          <cell r="AK588" t="e">
            <v>#DIV/0!</v>
          </cell>
          <cell r="AL588" t="e">
            <v>#DIV/0!</v>
          </cell>
          <cell r="AM588" t="e">
            <v>#DIV/0!</v>
          </cell>
          <cell r="AN588" t="e">
            <v>#DIV/0!</v>
          </cell>
          <cell r="AO588" t="e">
            <v>#REF!</v>
          </cell>
          <cell r="AP588" t="e">
            <v>#REF!</v>
          </cell>
          <cell r="AQ588" t="e">
            <v>#REF!</v>
          </cell>
          <cell r="AR588" t="e">
            <v>#REF!</v>
          </cell>
          <cell r="AS588" t="e">
            <v>#REF!</v>
          </cell>
          <cell r="AT588" t="e">
            <v>#REF!</v>
          </cell>
          <cell r="AU588" t="e">
            <v>#REF!</v>
          </cell>
          <cell r="AV588" t="e">
            <v>#REF!</v>
          </cell>
          <cell r="AW588" t="e">
            <v>#DIV/0!</v>
          </cell>
          <cell r="AX588" t="e">
            <v>#DIV/0!</v>
          </cell>
          <cell r="AY588" t="e">
            <v>#DIV/0!</v>
          </cell>
          <cell r="AZ588" t="e">
            <v>#DIV/0!</v>
          </cell>
          <cell r="BE588" t="e">
            <v>#DIV/0!</v>
          </cell>
          <cell r="BF588" t="e">
            <v>#DIV/0!</v>
          </cell>
        </row>
        <row r="589">
          <cell r="A589" t="str">
            <v>-0</v>
          </cell>
          <cell r="B589" t="str">
            <v xml:space="preserve">-0  , </v>
          </cell>
          <cell r="C589"/>
          <cell r="D589"/>
          <cell r="E589"/>
          <cell r="F589"/>
          <cell r="G589"/>
          <cell r="H589"/>
          <cell r="I589"/>
          <cell r="J589"/>
          <cell r="K589"/>
          <cell r="L589"/>
          <cell r="M589"/>
          <cell r="N589"/>
          <cell r="O589"/>
          <cell r="P589"/>
          <cell r="Q589"/>
          <cell r="R589"/>
          <cell r="S589"/>
          <cell r="T589"/>
          <cell r="U589"/>
          <cell r="V589"/>
          <cell r="W589"/>
          <cell r="X589">
            <v>0</v>
          </cell>
          <cell r="Y589">
            <v>0</v>
          </cell>
          <cell r="Z589">
            <v>0</v>
          </cell>
          <cell r="AA589" t="str">
            <v>,</v>
          </cell>
          <cell r="AB589" t="str">
            <v>,</v>
          </cell>
          <cell r="AC589" t="e">
            <v>#DIV/0!</v>
          </cell>
          <cell r="AD589" t="e">
            <v>#DIV/0!</v>
          </cell>
          <cell r="AE589">
            <v>0.71</v>
          </cell>
          <cell r="AF589">
            <v>94.97</v>
          </cell>
          <cell r="AG589">
            <v>0</v>
          </cell>
          <cell r="AH589" t="e">
            <v>#DIV/0!</v>
          </cell>
          <cell r="AI589" t="e">
            <v>#DIV/0!</v>
          </cell>
          <cell r="AJ589" t="e">
            <v>#DIV/0!</v>
          </cell>
          <cell r="AK589" t="e">
            <v>#DIV/0!</v>
          </cell>
          <cell r="AL589" t="e">
            <v>#DIV/0!</v>
          </cell>
          <cell r="AM589" t="e">
            <v>#DIV/0!</v>
          </cell>
          <cell r="AN589" t="e">
            <v>#DIV/0!</v>
          </cell>
          <cell r="AO589" t="e">
            <v>#REF!</v>
          </cell>
          <cell r="AP589" t="e">
            <v>#REF!</v>
          </cell>
          <cell r="AQ589" t="e">
            <v>#REF!</v>
          </cell>
          <cell r="AR589" t="e">
            <v>#REF!</v>
          </cell>
          <cell r="AS589" t="e">
            <v>#REF!</v>
          </cell>
          <cell r="AT589" t="e">
            <v>#REF!</v>
          </cell>
          <cell r="AU589" t="e">
            <v>#REF!</v>
          </cell>
          <cell r="AV589" t="e">
            <v>#REF!</v>
          </cell>
          <cell r="AW589" t="e">
            <v>#DIV/0!</v>
          </cell>
          <cell r="AX589" t="e">
            <v>#DIV/0!</v>
          </cell>
          <cell r="AY589" t="e">
            <v>#DIV/0!</v>
          </cell>
          <cell r="AZ589" t="e">
            <v>#DIV/0!</v>
          </cell>
          <cell r="BE589" t="e">
            <v>#DIV/0!</v>
          </cell>
          <cell r="BF589" t="e">
            <v>#DIV/0!</v>
          </cell>
        </row>
        <row r="590">
          <cell r="A590" t="str">
            <v>-0</v>
          </cell>
          <cell r="B590" t="str">
            <v xml:space="preserve">-0  , </v>
          </cell>
          <cell r="C590"/>
          <cell r="D590"/>
          <cell r="E590"/>
          <cell r="F590"/>
          <cell r="G590"/>
          <cell r="H590"/>
          <cell r="I590"/>
          <cell r="J590"/>
          <cell r="K590"/>
          <cell r="L590"/>
          <cell r="M590"/>
          <cell r="N590"/>
          <cell r="O590"/>
          <cell r="P590"/>
          <cell r="Q590"/>
          <cell r="R590"/>
          <cell r="S590"/>
          <cell r="T590"/>
          <cell r="U590"/>
          <cell r="V590"/>
          <cell r="W590"/>
          <cell r="X590">
            <v>0</v>
          </cell>
          <cell r="Y590">
            <v>0</v>
          </cell>
          <cell r="Z590">
            <v>0</v>
          </cell>
          <cell r="AA590" t="str">
            <v>,</v>
          </cell>
          <cell r="AB590" t="str">
            <v>,</v>
          </cell>
          <cell r="AC590" t="e">
            <v>#DIV/0!</v>
          </cell>
          <cell r="AD590" t="e">
            <v>#DIV/0!</v>
          </cell>
          <cell r="AE590">
            <v>0.71</v>
          </cell>
          <cell r="AF590">
            <v>94.97</v>
          </cell>
          <cell r="AG590">
            <v>0</v>
          </cell>
          <cell r="AH590" t="e">
            <v>#DIV/0!</v>
          </cell>
          <cell r="AI590" t="e">
            <v>#DIV/0!</v>
          </cell>
          <cell r="AJ590" t="e">
            <v>#DIV/0!</v>
          </cell>
          <cell r="AK590" t="e">
            <v>#DIV/0!</v>
          </cell>
          <cell r="AL590" t="e">
            <v>#DIV/0!</v>
          </cell>
          <cell r="AM590" t="e">
            <v>#DIV/0!</v>
          </cell>
          <cell r="AN590" t="e">
            <v>#DIV/0!</v>
          </cell>
          <cell r="AO590" t="e">
            <v>#REF!</v>
          </cell>
          <cell r="AP590" t="e">
            <v>#REF!</v>
          </cell>
          <cell r="AQ590" t="e">
            <v>#REF!</v>
          </cell>
          <cell r="AR590" t="e">
            <v>#REF!</v>
          </cell>
          <cell r="AS590" t="e">
            <v>#REF!</v>
          </cell>
          <cell r="AT590" t="e">
            <v>#REF!</v>
          </cell>
          <cell r="AU590" t="e">
            <v>#REF!</v>
          </cell>
          <cell r="AV590" t="e">
            <v>#REF!</v>
          </cell>
          <cell r="AW590" t="e">
            <v>#DIV/0!</v>
          </cell>
          <cell r="AX590" t="e">
            <v>#DIV/0!</v>
          </cell>
          <cell r="AY590" t="e">
            <v>#DIV/0!</v>
          </cell>
          <cell r="AZ590" t="e">
            <v>#DIV/0!</v>
          </cell>
          <cell r="BE590" t="e">
            <v>#DIV/0!</v>
          </cell>
          <cell r="BF590" t="e">
            <v>#DIV/0!</v>
          </cell>
        </row>
        <row r="591">
          <cell r="A591" t="str">
            <v>-0</v>
          </cell>
          <cell r="B591" t="str">
            <v xml:space="preserve">-0  , </v>
          </cell>
          <cell r="C591"/>
          <cell r="D591"/>
          <cell r="E591"/>
          <cell r="F591"/>
          <cell r="G591"/>
          <cell r="H591"/>
          <cell r="I591"/>
          <cell r="J591"/>
          <cell r="K591"/>
          <cell r="L591"/>
          <cell r="M591"/>
          <cell r="N591"/>
          <cell r="O591"/>
          <cell r="P591"/>
          <cell r="Q591"/>
          <cell r="R591"/>
          <cell r="S591"/>
          <cell r="T591"/>
          <cell r="U591"/>
          <cell r="V591"/>
          <cell r="W591"/>
          <cell r="X591">
            <v>0</v>
          </cell>
          <cell r="Y591">
            <v>0</v>
          </cell>
          <cell r="Z591">
            <v>0</v>
          </cell>
          <cell r="AA591" t="str">
            <v>,</v>
          </cell>
          <cell r="AB591" t="str">
            <v>,</v>
          </cell>
          <cell r="AC591" t="e">
            <v>#DIV/0!</v>
          </cell>
          <cell r="AD591" t="e">
            <v>#DIV/0!</v>
          </cell>
          <cell r="AE591">
            <v>0.71</v>
          </cell>
          <cell r="AF591">
            <v>94.97</v>
          </cell>
          <cell r="AG591">
            <v>0</v>
          </cell>
          <cell r="AH591" t="e">
            <v>#DIV/0!</v>
          </cell>
          <cell r="AI591" t="e">
            <v>#DIV/0!</v>
          </cell>
          <cell r="AJ591" t="e">
            <v>#DIV/0!</v>
          </cell>
          <cell r="AK591" t="e">
            <v>#DIV/0!</v>
          </cell>
          <cell r="AL591" t="e">
            <v>#DIV/0!</v>
          </cell>
          <cell r="AM591" t="e">
            <v>#DIV/0!</v>
          </cell>
          <cell r="AN591" t="e">
            <v>#DIV/0!</v>
          </cell>
          <cell r="AO591" t="e">
            <v>#REF!</v>
          </cell>
          <cell r="AP591" t="e">
            <v>#REF!</v>
          </cell>
          <cell r="AQ591" t="e">
            <v>#REF!</v>
          </cell>
          <cell r="AR591" t="e">
            <v>#REF!</v>
          </cell>
          <cell r="AS591" t="e">
            <v>#REF!</v>
          </cell>
          <cell r="AT591" t="e">
            <v>#REF!</v>
          </cell>
          <cell r="AU591" t="e">
            <v>#REF!</v>
          </cell>
          <cell r="AV591" t="e">
            <v>#REF!</v>
          </cell>
          <cell r="AW591" t="e">
            <v>#DIV/0!</v>
          </cell>
          <cell r="AX591" t="e">
            <v>#DIV/0!</v>
          </cell>
          <cell r="AY591" t="e">
            <v>#DIV/0!</v>
          </cell>
          <cell r="AZ591" t="e">
            <v>#DIV/0!</v>
          </cell>
          <cell r="BE591" t="e">
            <v>#DIV/0!</v>
          </cell>
          <cell r="BF591" t="e">
            <v>#DIV/0!</v>
          </cell>
        </row>
        <row r="592">
          <cell r="A592" t="str">
            <v>-0</v>
          </cell>
          <cell r="B592" t="str">
            <v xml:space="preserve">-0  , </v>
          </cell>
          <cell r="C592"/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/>
          <cell r="S592"/>
          <cell r="T592"/>
          <cell r="U592"/>
          <cell r="V592"/>
          <cell r="W592"/>
          <cell r="X592">
            <v>0</v>
          </cell>
          <cell r="Y592">
            <v>0</v>
          </cell>
          <cell r="Z592">
            <v>0</v>
          </cell>
          <cell r="AA592" t="str">
            <v>,</v>
          </cell>
          <cell r="AB592" t="str">
            <v>,</v>
          </cell>
          <cell r="AC592" t="e">
            <v>#DIV/0!</v>
          </cell>
          <cell r="AD592" t="e">
            <v>#DIV/0!</v>
          </cell>
          <cell r="AE592">
            <v>0.71</v>
          </cell>
          <cell r="AF592">
            <v>94.97</v>
          </cell>
          <cell r="AG592">
            <v>0</v>
          </cell>
          <cell r="AH592" t="e">
            <v>#DIV/0!</v>
          </cell>
          <cell r="AI592" t="e">
            <v>#DIV/0!</v>
          </cell>
          <cell r="AJ592" t="e">
            <v>#DIV/0!</v>
          </cell>
          <cell r="AK592" t="e">
            <v>#DIV/0!</v>
          </cell>
          <cell r="AL592" t="e">
            <v>#DIV/0!</v>
          </cell>
          <cell r="AM592" t="e">
            <v>#DIV/0!</v>
          </cell>
          <cell r="AN592" t="e">
            <v>#DIV/0!</v>
          </cell>
          <cell r="AO592" t="e">
            <v>#REF!</v>
          </cell>
          <cell r="AP592" t="e">
            <v>#REF!</v>
          </cell>
          <cell r="AQ592" t="e">
            <v>#REF!</v>
          </cell>
          <cell r="AR592" t="e">
            <v>#REF!</v>
          </cell>
          <cell r="AS592" t="e">
            <v>#REF!</v>
          </cell>
          <cell r="AT592" t="e">
            <v>#REF!</v>
          </cell>
          <cell r="AU592" t="e">
            <v>#REF!</v>
          </cell>
          <cell r="AV592" t="e">
            <v>#REF!</v>
          </cell>
          <cell r="AW592" t="e">
            <v>#DIV/0!</v>
          </cell>
          <cell r="AX592" t="e">
            <v>#DIV/0!</v>
          </cell>
          <cell r="AY592" t="e">
            <v>#DIV/0!</v>
          </cell>
          <cell r="AZ592" t="e">
            <v>#DIV/0!</v>
          </cell>
          <cell r="BE592" t="e">
            <v>#DIV/0!</v>
          </cell>
          <cell r="BF592" t="e">
            <v>#DIV/0!</v>
          </cell>
        </row>
        <row r="593">
          <cell r="A593" t="str">
            <v>-0</v>
          </cell>
          <cell r="B593" t="str">
            <v xml:space="preserve">-0  , </v>
          </cell>
          <cell r="C593"/>
          <cell r="D593"/>
          <cell r="E593"/>
          <cell r="F593"/>
          <cell r="G593"/>
          <cell r="H593"/>
          <cell r="I593"/>
          <cell r="J593"/>
          <cell r="K593"/>
          <cell r="L593"/>
          <cell r="M593"/>
          <cell r="N593"/>
          <cell r="O593"/>
          <cell r="P593"/>
          <cell r="Q593"/>
          <cell r="R593"/>
          <cell r="S593"/>
          <cell r="T593"/>
          <cell r="U593"/>
          <cell r="V593"/>
          <cell r="W593"/>
          <cell r="X593">
            <v>0</v>
          </cell>
          <cell r="Y593">
            <v>0</v>
          </cell>
          <cell r="Z593">
            <v>0</v>
          </cell>
          <cell r="AA593" t="str">
            <v>,</v>
          </cell>
          <cell r="AB593" t="str">
            <v>,</v>
          </cell>
          <cell r="AC593" t="e">
            <v>#DIV/0!</v>
          </cell>
          <cell r="AD593" t="e">
            <v>#DIV/0!</v>
          </cell>
          <cell r="AE593">
            <v>0.71</v>
          </cell>
          <cell r="AF593">
            <v>94.97</v>
          </cell>
          <cell r="AG593">
            <v>0</v>
          </cell>
          <cell r="AH593" t="e">
            <v>#DIV/0!</v>
          </cell>
          <cell r="AI593" t="e">
            <v>#DIV/0!</v>
          </cell>
          <cell r="AJ593" t="e">
            <v>#DIV/0!</v>
          </cell>
          <cell r="AK593" t="e">
            <v>#DIV/0!</v>
          </cell>
          <cell r="AL593" t="e">
            <v>#DIV/0!</v>
          </cell>
          <cell r="AM593" t="e">
            <v>#DIV/0!</v>
          </cell>
          <cell r="AN593" t="e">
            <v>#DIV/0!</v>
          </cell>
          <cell r="AO593" t="e">
            <v>#REF!</v>
          </cell>
          <cell r="AP593" t="e">
            <v>#REF!</v>
          </cell>
          <cell r="AQ593" t="e">
            <v>#REF!</v>
          </cell>
          <cell r="AR593" t="e">
            <v>#REF!</v>
          </cell>
          <cell r="AS593" t="e">
            <v>#REF!</v>
          </cell>
          <cell r="AT593" t="e">
            <v>#REF!</v>
          </cell>
          <cell r="AU593" t="e">
            <v>#REF!</v>
          </cell>
          <cell r="AV593" t="e">
            <v>#REF!</v>
          </cell>
          <cell r="AW593" t="e">
            <v>#DIV/0!</v>
          </cell>
          <cell r="AX593" t="e">
            <v>#DIV/0!</v>
          </cell>
          <cell r="AY593" t="e">
            <v>#DIV/0!</v>
          </cell>
          <cell r="AZ593" t="e">
            <v>#DIV/0!</v>
          </cell>
          <cell r="BE593" t="e">
            <v>#DIV/0!</v>
          </cell>
          <cell r="BF593" t="e">
            <v>#DIV/0!</v>
          </cell>
        </row>
        <row r="594">
          <cell r="A594" t="str">
            <v>-0</v>
          </cell>
          <cell r="B594" t="str">
            <v xml:space="preserve">-0  , </v>
          </cell>
          <cell r="C594"/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/>
          <cell r="S594"/>
          <cell r="T594"/>
          <cell r="U594"/>
          <cell r="V594"/>
          <cell r="W594"/>
          <cell r="X594">
            <v>0</v>
          </cell>
          <cell r="Y594">
            <v>0</v>
          </cell>
          <cell r="Z594">
            <v>0</v>
          </cell>
          <cell r="AA594" t="str">
            <v>,</v>
          </cell>
          <cell r="AB594" t="str">
            <v>,</v>
          </cell>
          <cell r="AC594" t="e">
            <v>#DIV/0!</v>
          </cell>
          <cell r="AD594" t="e">
            <v>#DIV/0!</v>
          </cell>
          <cell r="AE594">
            <v>0.71</v>
          </cell>
          <cell r="AF594">
            <v>94.97</v>
          </cell>
          <cell r="AG594">
            <v>0</v>
          </cell>
          <cell r="AH594" t="e">
            <v>#DIV/0!</v>
          </cell>
          <cell r="AI594" t="e">
            <v>#DIV/0!</v>
          </cell>
          <cell r="AJ594" t="e">
            <v>#DIV/0!</v>
          </cell>
          <cell r="AK594" t="e">
            <v>#DIV/0!</v>
          </cell>
          <cell r="AL594" t="e">
            <v>#DIV/0!</v>
          </cell>
          <cell r="AM594" t="e">
            <v>#DIV/0!</v>
          </cell>
          <cell r="AN594" t="e">
            <v>#DIV/0!</v>
          </cell>
          <cell r="AO594" t="e">
            <v>#REF!</v>
          </cell>
          <cell r="AP594" t="e">
            <v>#REF!</v>
          </cell>
          <cell r="AQ594" t="e">
            <v>#REF!</v>
          </cell>
          <cell r="AR594" t="e">
            <v>#REF!</v>
          </cell>
          <cell r="AS594" t="e">
            <v>#REF!</v>
          </cell>
          <cell r="AT594" t="e">
            <v>#REF!</v>
          </cell>
          <cell r="AU594" t="e">
            <v>#REF!</v>
          </cell>
          <cell r="AV594" t="e">
            <v>#REF!</v>
          </cell>
          <cell r="AW594" t="e">
            <v>#DIV/0!</v>
          </cell>
          <cell r="AX594" t="e">
            <v>#DIV/0!</v>
          </cell>
          <cell r="AY594" t="e">
            <v>#DIV/0!</v>
          </cell>
          <cell r="AZ594" t="e">
            <v>#DIV/0!</v>
          </cell>
          <cell r="BE594" t="e">
            <v>#DIV/0!</v>
          </cell>
          <cell r="BF594" t="e">
            <v>#DIV/0!</v>
          </cell>
        </row>
        <row r="595">
          <cell r="A595" t="str">
            <v>-0</v>
          </cell>
          <cell r="B595" t="str">
            <v xml:space="preserve">-0  , </v>
          </cell>
          <cell r="C595"/>
          <cell r="D595"/>
          <cell r="E595"/>
          <cell r="F595"/>
          <cell r="G595"/>
          <cell r="H595"/>
          <cell r="I595"/>
          <cell r="J595"/>
          <cell r="K595"/>
          <cell r="L595"/>
          <cell r="M595"/>
          <cell r="N595"/>
          <cell r="O595"/>
          <cell r="P595"/>
          <cell r="Q595"/>
          <cell r="R595"/>
          <cell r="S595"/>
          <cell r="T595"/>
          <cell r="U595"/>
          <cell r="V595"/>
          <cell r="W595"/>
          <cell r="X595">
            <v>0</v>
          </cell>
          <cell r="Y595">
            <v>0</v>
          </cell>
          <cell r="Z595">
            <v>0</v>
          </cell>
          <cell r="AA595" t="str">
            <v>,</v>
          </cell>
          <cell r="AB595" t="str">
            <v>,</v>
          </cell>
          <cell r="AC595" t="e">
            <v>#DIV/0!</v>
          </cell>
          <cell r="AD595" t="e">
            <v>#DIV/0!</v>
          </cell>
          <cell r="AE595">
            <v>0.71</v>
          </cell>
          <cell r="AF595">
            <v>94.97</v>
          </cell>
          <cell r="AG595">
            <v>0</v>
          </cell>
          <cell r="AH595" t="e">
            <v>#DIV/0!</v>
          </cell>
          <cell r="AI595" t="e">
            <v>#DIV/0!</v>
          </cell>
          <cell r="AJ595" t="e">
            <v>#DIV/0!</v>
          </cell>
          <cell r="AK595" t="e">
            <v>#DIV/0!</v>
          </cell>
          <cell r="AL595" t="e">
            <v>#DIV/0!</v>
          </cell>
          <cell r="AM595" t="e">
            <v>#DIV/0!</v>
          </cell>
          <cell r="AN595" t="e">
            <v>#DIV/0!</v>
          </cell>
          <cell r="AO595" t="e">
            <v>#REF!</v>
          </cell>
          <cell r="AP595" t="e">
            <v>#REF!</v>
          </cell>
          <cell r="AQ595" t="e">
            <v>#REF!</v>
          </cell>
          <cell r="AR595" t="e">
            <v>#REF!</v>
          </cell>
          <cell r="AS595" t="e">
            <v>#REF!</v>
          </cell>
          <cell r="AT595" t="e">
            <v>#REF!</v>
          </cell>
          <cell r="AU595" t="e">
            <v>#REF!</v>
          </cell>
          <cell r="AV595" t="e">
            <v>#REF!</v>
          </cell>
          <cell r="AW595" t="e">
            <v>#DIV/0!</v>
          </cell>
          <cell r="AX595" t="e">
            <v>#DIV/0!</v>
          </cell>
          <cell r="AY595" t="e">
            <v>#DIV/0!</v>
          </cell>
          <cell r="AZ595" t="e">
            <v>#DIV/0!</v>
          </cell>
          <cell r="BE595" t="e">
            <v>#DIV/0!</v>
          </cell>
          <cell r="BF595" t="e">
            <v>#DIV/0!</v>
          </cell>
        </row>
        <row r="596">
          <cell r="A596" t="str">
            <v>-0</v>
          </cell>
          <cell r="B596" t="str">
            <v xml:space="preserve">-0  , </v>
          </cell>
          <cell r="C596"/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/>
          <cell r="S596"/>
          <cell r="T596"/>
          <cell r="U596"/>
          <cell r="V596"/>
          <cell r="W596"/>
          <cell r="X596">
            <v>0</v>
          </cell>
          <cell r="Y596">
            <v>0</v>
          </cell>
          <cell r="Z596">
            <v>0</v>
          </cell>
          <cell r="AA596" t="str">
            <v>,</v>
          </cell>
          <cell r="AB596" t="str">
            <v>,</v>
          </cell>
          <cell r="AC596" t="e">
            <v>#DIV/0!</v>
          </cell>
          <cell r="AD596" t="e">
            <v>#DIV/0!</v>
          </cell>
          <cell r="AE596">
            <v>0.71</v>
          </cell>
          <cell r="AF596">
            <v>94.97</v>
          </cell>
          <cell r="AG596">
            <v>0</v>
          </cell>
          <cell r="AH596" t="e">
            <v>#DIV/0!</v>
          </cell>
          <cell r="AI596" t="e">
            <v>#DIV/0!</v>
          </cell>
          <cell r="AJ596" t="e">
            <v>#DIV/0!</v>
          </cell>
          <cell r="AK596" t="e">
            <v>#DIV/0!</v>
          </cell>
          <cell r="AL596" t="e">
            <v>#DIV/0!</v>
          </cell>
          <cell r="AM596" t="e">
            <v>#DIV/0!</v>
          </cell>
          <cell r="AN596" t="e">
            <v>#DIV/0!</v>
          </cell>
          <cell r="AO596" t="e">
            <v>#REF!</v>
          </cell>
          <cell r="AP596" t="e">
            <v>#REF!</v>
          </cell>
          <cell r="AQ596" t="e">
            <v>#REF!</v>
          </cell>
          <cell r="AR596" t="e">
            <v>#REF!</v>
          </cell>
          <cell r="AS596" t="e">
            <v>#REF!</v>
          </cell>
          <cell r="AT596" t="e">
            <v>#REF!</v>
          </cell>
          <cell r="AU596" t="e">
            <v>#REF!</v>
          </cell>
          <cell r="AV596" t="e">
            <v>#REF!</v>
          </cell>
          <cell r="AW596" t="e">
            <v>#DIV/0!</v>
          </cell>
          <cell r="AX596" t="e">
            <v>#DIV/0!</v>
          </cell>
          <cell r="AY596" t="e">
            <v>#DIV/0!</v>
          </cell>
          <cell r="AZ596" t="e">
            <v>#DIV/0!</v>
          </cell>
          <cell r="BE596" t="e">
            <v>#DIV/0!</v>
          </cell>
          <cell r="BF596" t="e">
            <v>#DIV/0!</v>
          </cell>
        </row>
        <row r="597">
          <cell r="A597" t="str">
            <v>-0</v>
          </cell>
          <cell r="B597" t="str">
            <v xml:space="preserve">-0  , </v>
          </cell>
          <cell r="C597"/>
          <cell r="D597"/>
          <cell r="E597"/>
          <cell r="F597"/>
          <cell r="G597"/>
          <cell r="H597"/>
          <cell r="I597"/>
          <cell r="J597"/>
          <cell r="K597"/>
          <cell r="L597"/>
          <cell r="M597"/>
          <cell r="N597"/>
          <cell r="O597"/>
          <cell r="P597"/>
          <cell r="Q597"/>
          <cell r="R597"/>
          <cell r="S597"/>
          <cell r="T597"/>
          <cell r="U597"/>
          <cell r="V597"/>
          <cell r="W597"/>
          <cell r="X597">
            <v>0</v>
          </cell>
          <cell r="Y597">
            <v>0</v>
          </cell>
          <cell r="Z597">
            <v>0</v>
          </cell>
          <cell r="AA597" t="str">
            <v>,</v>
          </cell>
          <cell r="AB597" t="str">
            <v>,</v>
          </cell>
          <cell r="AC597" t="e">
            <v>#DIV/0!</v>
          </cell>
          <cell r="AD597" t="e">
            <v>#DIV/0!</v>
          </cell>
          <cell r="AE597">
            <v>0.71</v>
          </cell>
          <cell r="AF597">
            <v>94.97</v>
          </cell>
          <cell r="AG597">
            <v>0</v>
          </cell>
          <cell r="AH597" t="e">
            <v>#DIV/0!</v>
          </cell>
          <cell r="AI597" t="e">
            <v>#DIV/0!</v>
          </cell>
          <cell r="AJ597" t="e">
            <v>#DIV/0!</v>
          </cell>
          <cell r="AK597" t="e">
            <v>#DIV/0!</v>
          </cell>
          <cell r="AL597" t="e">
            <v>#DIV/0!</v>
          </cell>
          <cell r="AM597" t="e">
            <v>#DIV/0!</v>
          </cell>
          <cell r="AN597" t="e">
            <v>#DIV/0!</v>
          </cell>
          <cell r="AO597" t="e">
            <v>#REF!</v>
          </cell>
          <cell r="AP597" t="e">
            <v>#REF!</v>
          </cell>
          <cell r="AQ597" t="e">
            <v>#REF!</v>
          </cell>
          <cell r="AR597" t="e">
            <v>#REF!</v>
          </cell>
          <cell r="AS597" t="e">
            <v>#REF!</v>
          </cell>
          <cell r="AT597" t="e">
            <v>#REF!</v>
          </cell>
          <cell r="AU597" t="e">
            <v>#REF!</v>
          </cell>
          <cell r="AV597" t="e">
            <v>#REF!</v>
          </cell>
          <cell r="AW597" t="e">
            <v>#DIV/0!</v>
          </cell>
          <cell r="AX597" t="e">
            <v>#DIV/0!</v>
          </cell>
          <cell r="AY597" t="e">
            <v>#DIV/0!</v>
          </cell>
          <cell r="AZ597" t="e">
            <v>#DIV/0!</v>
          </cell>
          <cell r="BE597" t="e">
            <v>#DIV/0!</v>
          </cell>
          <cell r="BF597" t="e">
            <v>#DIV/0!</v>
          </cell>
        </row>
        <row r="598">
          <cell r="A598" t="str">
            <v>-0</v>
          </cell>
          <cell r="B598" t="str">
            <v xml:space="preserve">-0  , </v>
          </cell>
          <cell r="C598"/>
          <cell r="D598"/>
          <cell r="E598"/>
          <cell r="F598"/>
          <cell r="G598"/>
          <cell r="H598"/>
          <cell r="I598"/>
          <cell r="J598"/>
          <cell r="K598"/>
          <cell r="L598"/>
          <cell r="M598"/>
          <cell r="N598"/>
          <cell r="O598"/>
          <cell r="P598"/>
          <cell r="Q598"/>
          <cell r="R598"/>
          <cell r="S598"/>
          <cell r="T598"/>
          <cell r="U598"/>
          <cell r="V598"/>
          <cell r="W598"/>
          <cell r="X598">
            <v>0</v>
          </cell>
          <cell r="Y598">
            <v>0</v>
          </cell>
          <cell r="Z598">
            <v>0</v>
          </cell>
          <cell r="AA598" t="str">
            <v>,</v>
          </cell>
          <cell r="AB598" t="str">
            <v>,</v>
          </cell>
          <cell r="AC598" t="e">
            <v>#DIV/0!</v>
          </cell>
          <cell r="AD598" t="e">
            <v>#DIV/0!</v>
          </cell>
          <cell r="AE598">
            <v>0.71</v>
          </cell>
          <cell r="AF598">
            <v>94.97</v>
          </cell>
          <cell r="AG598">
            <v>0</v>
          </cell>
          <cell r="AH598" t="e">
            <v>#DIV/0!</v>
          </cell>
          <cell r="AI598" t="e">
            <v>#DIV/0!</v>
          </cell>
          <cell r="AJ598" t="e">
            <v>#DIV/0!</v>
          </cell>
          <cell r="AK598" t="e">
            <v>#DIV/0!</v>
          </cell>
          <cell r="AL598" t="e">
            <v>#DIV/0!</v>
          </cell>
          <cell r="AM598" t="e">
            <v>#DIV/0!</v>
          </cell>
          <cell r="AN598" t="e">
            <v>#DIV/0!</v>
          </cell>
          <cell r="AO598" t="e">
            <v>#REF!</v>
          </cell>
          <cell r="AP598" t="e">
            <v>#REF!</v>
          </cell>
          <cell r="AQ598" t="e">
            <v>#REF!</v>
          </cell>
          <cell r="AR598" t="e">
            <v>#REF!</v>
          </cell>
          <cell r="AS598" t="e">
            <v>#REF!</v>
          </cell>
          <cell r="AT598" t="e">
            <v>#REF!</v>
          </cell>
          <cell r="AU598" t="e">
            <v>#REF!</v>
          </cell>
          <cell r="AV598" t="e">
            <v>#REF!</v>
          </cell>
          <cell r="AW598" t="e">
            <v>#DIV/0!</v>
          </cell>
          <cell r="AX598" t="e">
            <v>#DIV/0!</v>
          </cell>
          <cell r="AY598" t="e">
            <v>#DIV/0!</v>
          </cell>
          <cell r="AZ598" t="e">
            <v>#DIV/0!</v>
          </cell>
          <cell r="BE598" t="e">
            <v>#DIV/0!</v>
          </cell>
          <cell r="BF598" t="e">
            <v>#DIV/0!</v>
          </cell>
        </row>
        <row r="599">
          <cell r="A599" t="str">
            <v>-0</v>
          </cell>
          <cell r="B599" t="str">
            <v xml:space="preserve">-0  , </v>
          </cell>
          <cell r="C599"/>
          <cell r="D599"/>
          <cell r="E599"/>
          <cell r="F599"/>
          <cell r="G599"/>
          <cell r="H599"/>
          <cell r="I599"/>
          <cell r="J599"/>
          <cell r="K599"/>
          <cell r="L599"/>
          <cell r="M599"/>
          <cell r="N599"/>
          <cell r="O599"/>
          <cell r="P599"/>
          <cell r="Q599"/>
          <cell r="R599"/>
          <cell r="S599"/>
          <cell r="T599"/>
          <cell r="U599"/>
          <cell r="V599"/>
          <cell r="W599"/>
          <cell r="X599">
            <v>0</v>
          </cell>
          <cell r="Y599">
            <v>0</v>
          </cell>
          <cell r="Z599">
            <v>0</v>
          </cell>
          <cell r="AA599" t="str">
            <v>,</v>
          </cell>
          <cell r="AB599" t="str">
            <v>,</v>
          </cell>
          <cell r="AC599" t="e">
            <v>#DIV/0!</v>
          </cell>
          <cell r="AD599" t="e">
            <v>#DIV/0!</v>
          </cell>
          <cell r="AE599">
            <v>0.71</v>
          </cell>
          <cell r="AF599">
            <v>94.97</v>
          </cell>
          <cell r="AG599">
            <v>0</v>
          </cell>
          <cell r="AH599" t="e">
            <v>#DIV/0!</v>
          </cell>
          <cell r="AI599" t="e">
            <v>#DIV/0!</v>
          </cell>
          <cell r="AJ599" t="e">
            <v>#DIV/0!</v>
          </cell>
          <cell r="AK599" t="e">
            <v>#DIV/0!</v>
          </cell>
          <cell r="AL599" t="e">
            <v>#DIV/0!</v>
          </cell>
          <cell r="AM599" t="e">
            <v>#DIV/0!</v>
          </cell>
          <cell r="AN599" t="e">
            <v>#DIV/0!</v>
          </cell>
          <cell r="AO599" t="e">
            <v>#REF!</v>
          </cell>
          <cell r="AP599" t="e">
            <v>#REF!</v>
          </cell>
          <cell r="AQ599" t="e">
            <v>#REF!</v>
          </cell>
          <cell r="AR599" t="e">
            <v>#REF!</v>
          </cell>
          <cell r="AS599" t="e">
            <v>#REF!</v>
          </cell>
          <cell r="AT599" t="e">
            <v>#REF!</v>
          </cell>
          <cell r="AU599" t="e">
            <v>#REF!</v>
          </cell>
          <cell r="AV599" t="e">
            <v>#REF!</v>
          </cell>
          <cell r="AW599" t="e">
            <v>#DIV/0!</v>
          </cell>
          <cell r="AX599" t="e">
            <v>#DIV/0!</v>
          </cell>
          <cell r="AY599" t="e">
            <v>#DIV/0!</v>
          </cell>
          <cell r="AZ599" t="e">
            <v>#DIV/0!</v>
          </cell>
          <cell r="BE599" t="e">
            <v>#DIV/0!</v>
          </cell>
          <cell r="BF599" t="e">
            <v>#DIV/0!</v>
          </cell>
        </row>
        <row r="600">
          <cell r="A600" t="str">
            <v>-0</v>
          </cell>
          <cell r="B600" t="str">
            <v xml:space="preserve">-0  , </v>
          </cell>
          <cell r="C600"/>
          <cell r="D600"/>
          <cell r="E600"/>
          <cell r="F600"/>
          <cell r="G600"/>
          <cell r="H600"/>
          <cell r="I600"/>
          <cell r="J600"/>
          <cell r="K600"/>
          <cell r="L600"/>
          <cell r="M600"/>
          <cell r="N600"/>
          <cell r="O600"/>
          <cell r="P600"/>
          <cell r="Q600"/>
          <cell r="R600"/>
          <cell r="S600"/>
          <cell r="T600"/>
          <cell r="U600"/>
          <cell r="V600"/>
          <cell r="W600"/>
          <cell r="X600">
            <v>0</v>
          </cell>
          <cell r="Y600">
            <v>0</v>
          </cell>
          <cell r="Z600">
            <v>0</v>
          </cell>
          <cell r="AA600" t="str">
            <v>,</v>
          </cell>
          <cell r="AB600" t="str">
            <v>,</v>
          </cell>
          <cell r="AC600" t="e">
            <v>#DIV/0!</v>
          </cell>
          <cell r="AD600" t="e">
            <v>#DIV/0!</v>
          </cell>
          <cell r="AE600">
            <v>0.71</v>
          </cell>
          <cell r="AF600">
            <v>94.97</v>
          </cell>
          <cell r="AG600">
            <v>0</v>
          </cell>
          <cell r="AH600" t="e">
            <v>#DIV/0!</v>
          </cell>
          <cell r="AI600" t="e">
            <v>#DIV/0!</v>
          </cell>
          <cell r="AJ600" t="e">
            <v>#DIV/0!</v>
          </cell>
          <cell r="AK600" t="e">
            <v>#DIV/0!</v>
          </cell>
          <cell r="AL600" t="e">
            <v>#DIV/0!</v>
          </cell>
          <cell r="AM600" t="e">
            <v>#DIV/0!</v>
          </cell>
          <cell r="AN600" t="e">
            <v>#DIV/0!</v>
          </cell>
          <cell r="AO600" t="e">
            <v>#REF!</v>
          </cell>
          <cell r="AP600" t="e">
            <v>#REF!</v>
          </cell>
          <cell r="AQ600" t="e">
            <v>#REF!</v>
          </cell>
          <cell r="AR600" t="e">
            <v>#REF!</v>
          </cell>
          <cell r="AS600" t="e">
            <v>#REF!</v>
          </cell>
          <cell r="AT600" t="e">
            <v>#REF!</v>
          </cell>
          <cell r="AU600" t="e">
            <v>#REF!</v>
          </cell>
          <cell r="AV600" t="e">
            <v>#REF!</v>
          </cell>
          <cell r="AW600" t="e">
            <v>#DIV/0!</v>
          </cell>
          <cell r="AX600" t="e">
            <v>#DIV/0!</v>
          </cell>
          <cell r="AY600" t="e">
            <v>#DIV/0!</v>
          </cell>
          <cell r="AZ600" t="e">
            <v>#DIV/0!</v>
          </cell>
          <cell r="BE600" t="e">
            <v>#DIV/0!</v>
          </cell>
          <cell r="BF600" t="e">
            <v>#DIV/0!</v>
          </cell>
        </row>
        <row r="601">
          <cell r="A601" t="str">
            <v>-0</v>
          </cell>
          <cell r="B601" t="str">
            <v xml:space="preserve">-0  , </v>
          </cell>
          <cell r="C601"/>
          <cell r="D601"/>
          <cell r="E601"/>
          <cell r="F601"/>
          <cell r="G601"/>
          <cell r="H601"/>
          <cell r="I601"/>
          <cell r="J601"/>
          <cell r="K601"/>
          <cell r="L601"/>
          <cell r="M601"/>
          <cell r="N601"/>
          <cell r="O601"/>
          <cell r="P601"/>
          <cell r="Q601"/>
          <cell r="R601"/>
          <cell r="S601"/>
          <cell r="T601"/>
          <cell r="U601"/>
          <cell r="V601"/>
          <cell r="W601"/>
          <cell r="X601">
            <v>0</v>
          </cell>
          <cell r="Y601">
            <v>0</v>
          </cell>
          <cell r="Z601">
            <v>0</v>
          </cell>
          <cell r="AA601" t="str">
            <v>,</v>
          </cell>
          <cell r="AB601" t="str">
            <v>,</v>
          </cell>
          <cell r="AC601" t="e">
            <v>#DIV/0!</v>
          </cell>
          <cell r="AD601" t="e">
            <v>#DIV/0!</v>
          </cell>
          <cell r="AE601">
            <v>0.71</v>
          </cell>
          <cell r="AF601">
            <v>94.97</v>
          </cell>
          <cell r="AG601">
            <v>0</v>
          </cell>
          <cell r="AH601" t="e">
            <v>#DIV/0!</v>
          </cell>
          <cell r="AI601" t="e">
            <v>#DIV/0!</v>
          </cell>
          <cell r="AJ601" t="e">
            <v>#DIV/0!</v>
          </cell>
          <cell r="AK601" t="e">
            <v>#DIV/0!</v>
          </cell>
          <cell r="AL601" t="e">
            <v>#DIV/0!</v>
          </cell>
          <cell r="AM601" t="e">
            <v>#DIV/0!</v>
          </cell>
          <cell r="AN601" t="e">
            <v>#DIV/0!</v>
          </cell>
          <cell r="AO601" t="e">
            <v>#REF!</v>
          </cell>
          <cell r="AP601" t="e">
            <v>#REF!</v>
          </cell>
          <cell r="AQ601" t="e">
            <v>#REF!</v>
          </cell>
          <cell r="AR601" t="e">
            <v>#REF!</v>
          </cell>
          <cell r="AS601" t="e">
            <v>#REF!</v>
          </cell>
          <cell r="AT601" t="e">
            <v>#REF!</v>
          </cell>
          <cell r="AU601" t="e">
            <v>#REF!</v>
          </cell>
          <cell r="AV601" t="e">
            <v>#REF!</v>
          </cell>
          <cell r="AW601" t="e">
            <v>#DIV/0!</v>
          </cell>
          <cell r="AX601" t="e">
            <v>#DIV/0!</v>
          </cell>
          <cell r="AY601" t="e">
            <v>#DIV/0!</v>
          </cell>
          <cell r="AZ601" t="e">
            <v>#DIV/0!</v>
          </cell>
          <cell r="BE601" t="e">
            <v>#DIV/0!</v>
          </cell>
          <cell r="BF601" t="e">
            <v>#DIV/0!</v>
          </cell>
        </row>
        <row r="602">
          <cell r="A602" t="str">
            <v>-0</v>
          </cell>
          <cell r="B602" t="str">
            <v xml:space="preserve">-0  , </v>
          </cell>
          <cell r="C602"/>
          <cell r="D602"/>
          <cell r="E602"/>
          <cell r="F602"/>
          <cell r="G602"/>
          <cell r="H602"/>
          <cell r="I602"/>
          <cell r="J602"/>
          <cell r="K602"/>
          <cell r="L602"/>
          <cell r="M602"/>
          <cell r="N602"/>
          <cell r="O602"/>
          <cell r="P602"/>
          <cell r="Q602"/>
          <cell r="R602"/>
          <cell r="S602"/>
          <cell r="T602"/>
          <cell r="U602"/>
          <cell r="V602"/>
          <cell r="W602"/>
          <cell r="X602">
            <v>0</v>
          </cell>
          <cell r="Y602">
            <v>0</v>
          </cell>
          <cell r="Z602">
            <v>0</v>
          </cell>
          <cell r="AA602" t="str">
            <v>,</v>
          </cell>
          <cell r="AB602" t="str">
            <v>,</v>
          </cell>
          <cell r="AC602" t="e">
            <v>#DIV/0!</v>
          </cell>
          <cell r="AD602" t="e">
            <v>#DIV/0!</v>
          </cell>
          <cell r="AE602">
            <v>0.71</v>
          </cell>
          <cell r="AF602">
            <v>94.97</v>
          </cell>
          <cell r="AG602">
            <v>0</v>
          </cell>
          <cell r="AH602" t="e">
            <v>#DIV/0!</v>
          </cell>
          <cell r="AI602" t="e">
            <v>#DIV/0!</v>
          </cell>
          <cell r="AJ602" t="e">
            <v>#DIV/0!</v>
          </cell>
          <cell r="AK602" t="e">
            <v>#DIV/0!</v>
          </cell>
          <cell r="AL602" t="e">
            <v>#DIV/0!</v>
          </cell>
          <cell r="AM602" t="e">
            <v>#DIV/0!</v>
          </cell>
          <cell r="AN602" t="e">
            <v>#DIV/0!</v>
          </cell>
          <cell r="AO602" t="e">
            <v>#REF!</v>
          </cell>
          <cell r="AP602" t="e">
            <v>#REF!</v>
          </cell>
          <cell r="AQ602" t="e">
            <v>#REF!</v>
          </cell>
          <cell r="AR602" t="e">
            <v>#REF!</v>
          </cell>
          <cell r="AS602" t="e">
            <v>#REF!</v>
          </cell>
          <cell r="AT602" t="e">
            <v>#REF!</v>
          </cell>
          <cell r="AU602" t="e">
            <v>#REF!</v>
          </cell>
          <cell r="AV602" t="e">
            <v>#REF!</v>
          </cell>
          <cell r="AW602" t="e">
            <v>#DIV/0!</v>
          </cell>
          <cell r="AX602" t="e">
            <v>#DIV/0!</v>
          </cell>
          <cell r="AY602" t="e">
            <v>#DIV/0!</v>
          </cell>
          <cell r="AZ602" t="e">
            <v>#DIV/0!</v>
          </cell>
          <cell r="BE602" t="e">
            <v>#DIV/0!</v>
          </cell>
          <cell r="BF602" t="e">
            <v>#DIV/0!</v>
          </cell>
        </row>
        <row r="603">
          <cell r="A603" t="str">
            <v>-0</v>
          </cell>
          <cell r="B603" t="str">
            <v xml:space="preserve">-0  , </v>
          </cell>
          <cell r="C603"/>
          <cell r="D603"/>
          <cell r="E603"/>
          <cell r="F603"/>
          <cell r="G603"/>
          <cell r="H603"/>
          <cell r="I603"/>
          <cell r="J603"/>
          <cell r="K603"/>
          <cell r="L603"/>
          <cell r="M603"/>
          <cell r="N603"/>
          <cell r="O603"/>
          <cell r="P603"/>
          <cell r="Q603"/>
          <cell r="R603"/>
          <cell r="S603"/>
          <cell r="T603"/>
          <cell r="U603"/>
          <cell r="V603"/>
          <cell r="W603"/>
          <cell r="X603">
            <v>0</v>
          </cell>
          <cell r="Y603">
            <v>0</v>
          </cell>
          <cell r="Z603">
            <v>0</v>
          </cell>
          <cell r="AA603" t="str">
            <v>,</v>
          </cell>
          <cell r="AB603" t="str">
            <v>,</v>
          </cell>
          <cell r="AC603" t="e">
            <v>#DIV/0!</v>
          </cell>
          <cell r="AD603" t="e">
            <v>#DIV/0!</v>
          </cell>
          <cell r="AE603">
            <v>0.71</v>
          </cell>
          <cell r="AF603">
            <v>94.97</v>
          </cell>
          <cell r="AG603">
            <v>0</v>
          </cell>
          <cell r="AH603" t="e">
            <v>#DIV/0!</v>
          </cell>
          <cell r="AI603" t="e">
            <v>#DIV/0!</v>
          </cell>
          <cell r="AJ603" t="e">
            <v>#DIV/0!</v>
          </cell>
          <cell r="AK603" t="e">
            <v>#DIV/0!</v>
          </cell>
          <cell r="AL603" t="e">
            <v>#DIV/0!</v>
          </cell>
          <cell r="AM603" t="e">
            <v>#DIV/0!</v>
          </cell>
          <cell r="AN603" t="e">
            <v>#DIV/0!</v>
          </cell>
          <cell r="AO603" t="e">
            <v>#REF!</v>
          </cell>
          <cell r="AP603" t="e">
            <v>#REF!</v>
          </cell>
          <cell r="AQ603" t="e">
            <v>#REF!</v>
          </cell>
          <cell r="AR603" t="e">
            <v>#REF!</v>
          </cell>
          <cell r="AS603" t="e">
            <v>#REF!</v>
          </cell>
          <cell r="AT603" t="e">
            <v>#REF!</v>
          </cell>
          <cell r="AU603" t="e">
            <v>#REF!</v>
          </cell>
          <cell r="AV603" t="e">
            <v>#REF!</v>
          </cell>
          <cell r="AW603" t="e">
            <v>#DIV/0!</v>
          </cell>
          <cell r="AX603" t="e">
            <v>#DIV/0!</v>
          </cell>
          <cell r="AY603" t="e">
            <v>#DIV/0!</v>
          </cell>
          <cell r="AZ603" t="e">
            <v>#DIV/0!</v>
          </cell>
          <cell r="BE603" t="e">
            <v>#DIV/0!</v>
          </cell>
          <cell r="BF603" t="e">
            <v>#DIV/0!</v>
          </cell>
        </row>
        <row r="604">
          <cell r="A604" t="str">
            <v>-0</v>
          </cell>
          <cell r="B604" t="str">
            <v xml:space="preserve">-0  , </v>
          </cell>
          <cell r="C604"/>
          <cell r="D604"/>
          <cell r="E604"/>
          <cell r="F604"/>
          <cell r="G604"/>
          <cell r="H604"/>
          <cell r="I604"/>
          <cell r="J604"/>
          <cell r="K604"/>
          <cell r="L604"/>
          <cell r="M604"/>
          <cell r="N604"/>
          <cell r="O604"/>
          <cell r="P604"/>
          <cell r="Q604"/>
          <cell r="R604"/>
          <cell r="S604"/>
          <cell r="T604"/>
          <cell r="U604"/>
          <cell r="V604"/>
          <cell r="W604"/>
          <cell r="X604">
            <v>0</v>
          </cell>
          <cell r="Y604">
            <v>0</v>
          </cell>
          <cell r="Z604">
            <v>0</v>
          </cell>
          <cell r="AA604" t="str">
            <v>,</v>
          </cell>
          <cell r="AB604" t="str">
            <v>,</v>
          </cell>
          <cell r="AC604" t="e">
            <v>#DIV/0!</v>
          </cell>
          <cell r="AD604" t="e">
            <v>#DIV/0!</v>
          </cell>
          <cell r="AE604">
            <v>0.71</v>
          </cell>
          <cell r="AF604">
            <v>94.97</v>
          </cell>
          <cell r="AG604">
            <v>0</v>
          </cell>
          <cell r="AH604" t="e">
            <v>#DIV/0!</v>
          </cell>
          <cell r="AI604" t="e">
            <v>#DIV/0!</v>
          </cell>
          <cell r="AJ604" t="e">
            <v>#DIV/0!</v>
          </cell>
          <cell r="AK604" t="e">
            <v>#DIV/0!</v>
          </cell>
          <cell r="AL604" t="e">
            <v>#DIV/0!</v>
          </cell>
          <cell r="AM604" t="e">
            <v>#DIV/0!</v>
          </cell>
          <cell r="AN604" t="e">
            <v>#DIV/0!</v>
          </cell>
          <cell r="AO604" t="e">
            <v>#REF!</v>
          </cell>
          <cell r="AP604" t="e">
            <v>#REF!</v>
          </cell>
          <cell r="AQ604" t="e">
            <v>#REF!</v>
          </cell>
          <cell r="AR604" t="e">
            <v>#REF!</v>
          </cell>
          <cell r="AS604" t="e">
            <v>#REF!</v>
          </cell>
          <cell r="AT604" t="e">
            <v>#REF!</v>
          </cell>
          <cell r="AU604" t="e">
            <v>#REF!</v>
          </cell>
          <cell r="AV604" t="e">
            <v>#REF!</v>
          </cell>
          <cell r="AW604" t="e">
            <v>#DIV/0!</v>
          </cell>
          <cell r="AX604" t="e">
            <v>#DIV/0!</v>
          </cell>
          <cell r="AY604" t="e">
            <v>#DIV/0!</v>
          </cell>
          <cell r="AZ604" t="e">
            <v>#DIV/0!</v>
          </cell>
          <cell r="BE604" t="e">
            <v>#DIV/0!</v>
          </cell>
          <cell r="BF604" t="e">
            <v>#DIV/0!</v>
          </cell>
        </row>
        <row r="605">
          <cell r="A605" t="str">
            <v>-0</v>
          </cell>
          <cell r="B605" t="str">
            <v xml:space="preserve">-0  , </v>
          </cell>
          <cell r="C605"/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/>
          <cell r="S605"/>
          <cell r="T605"/>
          <cell r="U605"/>
          <cell r="V605"/>
          <cell r="W605"/>
          <cell r="X605">
            <v>0</v>
          </cell>
          <cell r="Y605">
            <v>0</v>
          </cell>
          <cell r="Z605">
            <v>0</v>
          </cell>
          <cell r="AA605" t="str">
            <v>,</v>
          </cell>
          <cell r="AB605" t="str">
            <v>,</v>
          </cell>
          <cell r="AC605" t="e">
            <v>#DIV/0!</v>
          </cell>
          <cell r="AD605" t="e">
            <v>#DIV/0!</v>
          </cell>
          <cell r="AE605">
            <v>0.71</v>
          </cell>
          <cell r="AF605">
            <v>94.97</v>
          </cell>
          <cell r="AG605">
            <v>0</v>
          </cell>
          <cell r="AH605" t="e">
            <v>#DIV/0!</v>
          </cell>
          <cell r="AI605" t="e">
            <v>#DIV/0!</v>
          </cell>
          <cell r="AJ605" t="e">
            <v>#DIV/0!</v>
          </cell>
          <cell r="AK605" t="e">
            <v>#DIV/0!</v>
          </cell>
          <cell r="AL605" t="e">
            <v>#DIV/0!</v>
          </cell>
          <cell r="AM605" t="e">
            <v>#DIV/0!</v>
          </cell>
          <cell r="AN605" t="e">
            <v>#DIV/0!</v>
          </cell>
          <cell r="AO605" t="e">
            <v>#REF!</v>
          </cell>
          <cell r="AP605" t="e">
            <v>#REF!</v>
          </cell>
          <cell r="AQ605" t="e">
            <v>#REF!</v>
          </cell>
          <cell r="AR605" t="e">
            <v>#REF!</v>
          </cell>
          <cell r="AS605" t="e">
            <v>#REF!</v>
          </cell>
          <cell r="AT605" t="e">
            <v>#REF!</v>
          </cell>
          <cell r="AU605" t="e">
            <v>#REF!</v>
          </cell>
          <cell r="AV605" t="e">
            <v>#REF!</v>
          </cell>
          <cell r="AW605" t="e">
            <v>#DIV/0!</v>
          </cell>
          <cell r="AX605" t="e">
            <v>#DIV/0!</v>
          </cell>
          <cell r="AY605" t="e">
            <v>#DIV/0!</v>
          </cell>
          <cell r="AZ605" t="e">
            <v>#DIV/0!</v>
          </cell>
          <cell r="BE605" t="e">
            <v>#DIV/0!</v>
          </cell>
          <cell r="BF605" t="e">
            <v>#DIV/0!</v>
          </cell>
        </row>
        <row r="606">
          <cell r="A606" t="str">
            <v>-0</v>
          </cell>
          <cell r="B606" t="str">
            <v xml:space="preserve">-0  , </v>
          </cell>
          <cell r="C606"/>
          <cell r="D606"/>
          <cell r="E606"/>
          <cell r="F606"/>
          <cell r="G606"/>
          <cell r="H606"/>
          <cell r="I606"/>
          <cell r="J606"/>
          <cell r="K606"/>
          <cell r="L606"/>
          <cell r="M606"/>
          <cell r="N606"/>
          <cell r="O606"/>
          <cell r="P606"/>
          <cell r="Q606"/>
          <cell r="R606"/>
          <cell r="S606"/>
          <cell r="T606"/>
          <cell r="U606"/>
          <cell r="V606"/>
          <cell r="W606"/>
          <cell r="X606">
            <v>0</v>
          </cell>
          <cell r="Y606">
            <v>0</v>
          </cell>
          <cell r="Z606">
            <v>0</v>
          </cell>
          <cell r="AA606" t="str">
            <v>,</v>
          </cell>
          <cell r="AB606" t="str">
            <v>,</v>
          </cell>
          <cell r="AC606" t="e">
            <v>#DIV/0!</v>
          </cell>
          <cell r="AD606" t="e">
            <v>#DIV/0!</v>
          </cell>
          <cell r="AE606">
            <v>0.71</v>
          </cell>
          <cell r="AF606">
            <v>94.97</v>
          </cell>
          <cell r="AG606">
            <v>0</v>
          </cell>
          <cell r="AH606" t="e">
            <v>#DIV/0!</v>
          </cell>
          <cell r="AI606" t="e">
            <v>#DIV/0!</v>
          </cell>
          <cell r="AJ606" t="e">
            <v>#DIV/0!</v>
          </cell>
          <cell r="AK606" t="e">
            <v>#DIV/0!</v>
          </cell>
          <cell r="AL606" t="e">
            <v>#DIV/0!</v>
          </cell>
          <cell r="AM606" t="e">
            <v>#DIV/0!</v>
          </cell>
          <cell r="AN606" t="e">
            <v>#DIV/0!</v>
          </cell>
          <cell r="AO606" t="e">
            <v>#REF!</v>
          </cell>
          <cell r="AP606" t="e">
            <v>#REF!</v>
          </cell>
          <cell r="AQ606" t="e">
            <v>#REF!</v>
          </cell>
          <cell r="AR606" t="e">
            <v>#REF!</v>
          </cell>
          <cell r="AS606" t="e">
            <v>#REF!</v>
          </cell>
          <cell r="AT606" t="e">
            <v>#REF!</v>
          </cell>
          <cell r="AU606" t="e">
            <v>#REF!</v>
          </cell>
          <cell r="AV606" t="e">
            <v>#REF!</v>
          </cell>
          <cell r="AW606" t="e">
            <v>#DIV/0!</v>
          </cell>
          <cell r="AX606" t="e">
            <v>#DIV/0!</v>
          </cell>
          <cell r="AY606" t="e">
            <v>#DIV/0!</v>
          </cell>
          <cell r="AZ606" t="e">
            <v>#DIV/0!</v>
          </cell>
          <cell r="BE606" t="e">
            <v>#DIV/0!</v>
          </cell>
          <cell r="BF606" t="e">
            <v>#DIV/0!</v>
          </cell>
        </row>
        <row r="607">
          <cell r="A607" t="str">
            <v>-0</v>
          </cell>
          <cell r="B607" t="str">
            <v xml:space="preserve">-0  , </v>
          </cell>
          <cell r="C607"/>
          <cell r="D607"/>
          <cell r="E607"/>
          <cell r="F607"/>
          <cell r="G607"/>
          <cell r="H607"/>
          <cell r="I607"/>
          <cell r="J607"/>
          <cell r="K607"/>
          <cell r="L607"/>
          <cell r="M607"/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  <cell r="X607">
            <v>0</v>
          </cell>
          <cell r="Y607">
            <v>0</v>
          </cell>
          <cell r="Z607">
            <v>0</v>
          </cell>
          <cell r="AA607" t="str">
            <v>,</v>
          </cell>
          <cell r="AB607" t="str">
            <v>,</v>
          </cell>
          <cell r="AC607" t="e">
            <v>#DIV/0!</v>
          </cell>
          <cell r="AD607" t="e">
            <v>#DIV/0!</v>
          </cell>
          <cell r="AE607">
            <v>0.71</v>
          </cell>
          <cell r="AF607">
            <v>94.97</v>
          </cell>
          <cell r="AG607">
            <v>0</v>
          </cell>
          <cell r="AH607" t="e">
            <v>#DIV/0!</v>
          </cell>
          <cell r="AI607" t="e">
            <v>#DIV/0!</v>
          </cell>
          <cell r="AJ607" t="e">
            <v>#DIV/0!</v>
          </cell>
          <cell r="AK607" t="e">
            <v>#DIV/0!</v>
          </cell>
          <cell r="AL607" t="e">
            <v>#DIV/0!</v>
          </cell>
          <cell r="AM607" t="e">
            <v>#DIV/0!</v>
          </cell>
          <cell r="AN607" t="e">
            <v>#DIV/0!</v>
          </cell>
          <cell r="AO607" t="e">
            <v>#REF!</v>
          </cell>
          <cell r="AP607" t="e">
            <v>#REF!</v>
          </cell>
          <cell r="AQ607" t="e">
            <v>#REF!</v>
          </cell>
          <cell r="AR607" t="e">
            <v>#REF!</v>
          </cell>
          <cell r="AS607" t="e">
            <v>#REF!</v>
          </cell>
          <cell r="AT607" t="e">
            <v>#REF!</v>
          </cell>
          <cell r="AU607" t="e">
            <v>#REF!</v>
          </cell>
          <cell r="AV607" t="e">
            <v>#REF!</v>
          </cell>
          <cell r="AW607" t="e">
            <v>#DIV/0!</v>
          </cell>
          <cell r="AX607" t="e">
            <v>#DIV/0!</v>
          </cell>
          <cell r="AY607" t="e">
            <v>#DIV/0!</v>
          </cell>
          <cell r="AZ607" t="e">
            <v>#DIV/0!</v>
          </cell>
          <cell r="BE607" t="e">
            <v>#DIV/0!</v>
          </cell>
          <cell r="BF607" t="e">
            <v>#DIV/0!</v>
          </cell>
        </row>
        <row r="608">
          <cell r="A608" t="str">
            <v>-0</v>
          </cell>
          <cell r="B608" t="str">
            <v xml:space="preserve">-0  , </v>
          </cell>
          <cell r="C608"/>
          <cell r="D608"/>
          <cell r="E608"/>
          <cell r="F608"/>
          <cell r="G608"/>
          <cell r="H608"/>
          <cell r="I608"/>
          <cell r="J608"/>
          <cell r="K608"/>
          <cell r="L608"/>
          <cell r="M608"/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  <cell r="X608">
            <v>0</v>
          </cell>
          <cell r="Y608">
            <v>0</v>
          </cell>
          <cell r="Z608">
            <v>0</v>
          </cell>
          <cell r="AA608" t="str">
            <v>,</v>
          </cell>
          <cell r="AB608" t="str">
            <v>,</v>
          </cell>
          <cell r="AC608" t="e">
            <v>#DIV/0!</v>
          </cell>
          <cell r="AD608" t="e">
            <v>#DIV/0!</v>
          </cell>
          <cell r="AE608">
            <v>0.71</v>
          </cell>
          <cell r="AF608">
            <v>94.97</v>
          </cell>
          <cell r="AG608">
            <v>0</v>
          </cell>
          <cell r="AH608" t="e">
            <v>#DIV/0!</v>
          </cell>
          <cell r="AI608" t="e">
            <v>#DIV/0!</v>
          </cell>
          <cell r="AJ608" t="e">
            <v>#DIV/0!</v>
          </cell>
          <cell r="AK608" t="e">
            <v>#DIV/0!</v>
          </cell>
          <cell r="AL608" t="e">
            <v>#DIV/0!</v>
          </cell>
          <cell r="AM608" t="e">
            <v>#DIV/0!</v>
          </cell>
          <cell r="AN608" t="e">
            <v>#DIV/0!</v>
          </cell>
          <cell r="AO608" t="e">
            <v>#REF!</v>
          </cell>
          <cell r="AP608" t="e">
            <v>#REF!</v>
          </cell>
          <cell r="AQ608" t="e">
            <v>#REF!</v>
          </cell>
          <cell r="AR608" t="e">
            <v>#REF!</v>
          </cell>
          <cell r="AS608" t="e">
            <v>#REF!</v>
          </cell>
          <cell r="AT608" t="e">
            <v>#REF!</v>
          </cell>
          <cell r="AU608" t="e">
            <v>#REF!</v>
          </cell>
          <cell r="AV608" t="e">
            <v>#REF!</v>
          </cell>
          <cell r="AW608" t="e">
            <v>#DIV/0!</v>
          </cell>
          <cell r="AX608" t="e">
            <v>#DIV/0!</v>
          </cell>
          <cell r="AY608" t="e">
            <v>#DIV/0!</v>
          </cell>
          <cell r="AZ608" t="e">
            <v>#DIV/0!</v>
          </cell>
          <cell r="BE608" t="e">
            <v>#DIV/0!</v>
          </cell>
          <cell r="BF608" t="e">
            <v>#DIV/0!</v>
          </cell>
        </row>
        <row r="609">
          <cell r="A609" t="str">
            <v>-0</v>
          </cell>
          <cell r="B609" t="str">
            <v xml:space="preserve">-0  , </v>
          </cell>
          <cell r="C609"/>
          <cell r="D609"/>
          <cell r="E609"/>
          <cell r="F609"/>
          <cell r="G609"/>
          <cell r="H609"/>
          <cell r="I609"/>
          <cell r="J609"/>
          <cell r="K609"/>
          <cell r="L609"/>
          <cell r="M609"/>
          <cell r="N609"/>
          <cell r="O609"/>
          <cell r="P609"/>
          <cell r="Q609"/>
          <cell r="R609"/>
          <cell r="S609"/>
          <cell r="T609"/>
          <cell r="U609"/>
          <cell r="V609"/>
          <cell r="W609"/>
          <cell r="X609">
            <v>0</v>
          </cell>
          <cell r="Y609">
            <v>0</v>
          </cell>
          <cell r="Z609">
            <v>0</v>
          </cell>
          <cell r="AA609" t="str">
            <v>,</v>
          </cell>
          <cell r="AB609" t="str">
            <v>,</v>
          </cell>
          <cell r="AC609" t="e">
            <v>#DIV/0!</v>
          </cell>
          <cell r="AD609" t="e">
            <v>#DIV/0!</v>
          </cell>
          <cell r="AE609">
            <v>0.71</v>
          </cell>
          <cell r="AF609">
            <v>94.97</v>
          </cell>
          <cell r="AG609">
            <v>0</v>
          </cell>
          <cell r="AH609" t="e">
            <v>#DIV/0!</v>
          </cell>
          <cell r="AI609" t="e">
            <v>#DIV/0!</v>
          </cell>
          <cell r="AJ609" t="e">
            <v>#DIV/0!</v>
          </cell>
          <cell r="AK609" t="e">
            <v>#DIV/0!</v>
          </cell>
          <cell r="AL609" t="e">
            <v>#DIV/0!</v>
          </cell>
          <cell r="AM609" t="e">
            <v>#DIV/0!</v>
          </cell>
          <cell r="AN609" t="e">
            <v>#DIV/0!</v>
          </cell>
          <cell r="AO609" t="e">
            <v>#REF!</v>
          </cell>
          <cell r="AP609" t="e">
            <v>#REF!</v>
          </cell>
          <cell r="AQ609" t="e">
            <v>#REF!</v>
          </cell>
          <cell r="AR609" t="e">
            <v>#REF!</v>
          </cell>
          <cell r="AS609" t="e">
            <v>#REF!</v>
          </cell>
          <cell r="AT609" t="e">
            <v>#REF!</v>
          </cell>
          <cell r="AU609" t="e">
            <v>#REF!</v>
          </cell>
          <cell r="AV609" t="e">
            <v>#REF!</v>
          </cell>
          <cell r="AW609" t="e">
            <v>#DIV/0!</v>
          </cell>
          <cell r="AX609" t="e">
            <v>#DIV/0!</v>
          </cell>
          <cell r="AY609" t="e">
            <v>#DIV/0!</v>
          </cell>
          <cell r="AZ609" t="e">
            <v>#DIV/0!</v>
          </cell>
          <cell r="BE609" t="e">
            <v>#DIV/0!</v>
          </cell>
          <cell r="BF609" t="e">
            <v>#DIV/0!</v>
          </cell>
        </row>
        <row r="610">
          <cell r="A610" t="str">
            <v>-0</v>
          </cell>
          <cell r="B610" t="str">
            <v xml:space="preserve">-0  , </v>
          </cell>
          <cell r="C610"/>
          <cell r="D610"/>
          <cell r="E610"/>
          <cell r="F610"/>
          <cell r="G610"/>
          <cell r="H610"/>
          <cell r="I610"/>
          <cell r="J610"/>
          <cell r="K610"/>
          <cell r="L610"/>
          <cell r="M610"/>
          <cell r="N610"/>
          <cell r="O610"/>
          <cell r="P610"/>
          <cell r="Q610"/>
          <cell r="R610"/>
          <cell r="S610"/>
          <cell r="T610"/>
          <cell r="U610"/>
          <cell r="V610"/>
          <cell r="W610"/>
          <cell r="X610">
            <v>0</v>
          </cell>
          <cell r="Y610">
            <v>0</v>
          </cell>
          <cell r="Z610">
            <v>0</v>
          </cell>
          <cell r="AA610" t="str">
            <v>,</v>
          </cell>
          <cell r="AB610" t="str">
            <v>,</v>
          </cell>
          <cell r="AC610" t="e">
            <v>#DIV/0!</v>
          </cell>
          <cell r="AD610" t="e">
            <v>#DIV/0!</v>
          </cell>
          <cell r="AE610">
            <v>0.71</v>
          </cell>
          <cell r="AF610">
            <v>94.97</v>
          </cell>
          <cell r="AG610">
            <v>0</v>
          </cell>
          <cell r="AH610" t="e">
            <v>#DIV/0!</v>
          </cell>
          <cell r="AI610" t="e">
            <v>#DIV/0!</v>
          </cell>
          <cell r="AJ610" t="e">
            <v>#DIV/0!</v>
          </cell>
          <cell r="AK610" t="e">
            <v>#DIV/0!</v>
          </cell>
          <cell r="AL610" t="e">
            <v>#DIV/0!</v>
          </cell>
          <cell r="AM610" t="e">
            <v>#DIV/0!</v>
          </cell>
          <cell r="AN610" t="e">
            <v>#DIV/0!</v>
          </cell>
          <cell r="AO610" t="e">
            <v>#REF!</v>
          </cell>
          <cell r="AP610" t="e">
            <v>#REF!</v>
          </cell>
          <cell r="AQ610" t="e">
            <v>#REF!</v>
          </cell>
          <cell r="AR610" t="e">
            <v>#REF!</v>
          </cell>
          <cell r="AS610" t="e">
            <v>#REF!</v>
          </cell>
          <cell r="AT610" t="e">
            <v>#REF!</v>
          </cell>
          <cell r="AU610" t="e">
            <v>#REF!</v>
          </cell>
          <cell r="AV610" t="e">
            <v>#REF!</v>
          </cell>
          <cell r="AW610" t="e">
            <v>#DIV/0!</v>
          </cell>
          <cell r="AX610" t="e">
            <v>#DIV/0!</v>
          </cell>
          <cell r="AY610" t="e">
            <v>#DIV/0!</v>
          </cell>
          <cell r="AZ610" t="e">
            <v>#DIV/0!</v>
          </cell>
          <cell r="BE610" t="e">
            <v>#DIV/0!</v>
          </cell>
          <cell r="BF610" t="e">
            <v>#DIV/0!</v>
          </cell>
        </row>
        <row r="611">
          <cell r="A611" t="str">
            <v>-0</v>
          </cell>
          <cell r="B611" t="str">
            <v xml:space="preserve">-0  , </v>
          </cell>
          <cell r="C611"/>
          <cell r="D611"/>
          <cell r="E611"/>
          <cell r="F611"/>
          <cell r="G611"/>
          <cell r="H611"/>
          <cell r="I611"/>
          <cell r="J611"/>
          <cell r="K611"/>
          <cell r="L611"/>
          <cell r="M611"/>
          <cell r="N611"/>
          <cell r="O611"/>
          <cell r="P611"/>
          <cell r="Q611"/>
          <cell r="R611"/>
          <cell r="S611"/>
          <cell r="T611"/>
          <cell r="U611"/>
          <cell r="V611"/>
          <cell r="W611"/>
          <cell r="X611">
            <v>0</v>
          </cell>
          <cell r="Y611">
            <v>0</v>
          </cell>
          <cell r="Z611">
            <v>0</v>
          </cell>
          <cell r="AA611" t="str">
            <v>,</v>
          </cell>
          <cell r="AB611" t="str">
            <v>,</v>
          </cell>
          <cell r="AC611" t="e">
            <v>#DIV/0!</v>
          </cell>
          <cell r="AD611" t="e">
            <v>#DIV/0!</v>
          </cell>
          <cell r="AE611">
            <v>0.71</v>
          </cell>
          <cell r="AF611">
            <v>94.97</v>
          </cell>
          <cell r="AG611">
            <v>0</v>
          </cell>
          <cell r="AH611" t="e">
            <v>#DIV/0!</v>
          </cell>
          <cell r="AI611" t="e">
            <v>#DIV/0!</v>
          </cell>
          <cell r="AJ611" t="e">
            <v>#DIV/0!</v>
          </cell>
          <cell r="AK611" t="e">
            <v>#DIV/0!</v>
          </cell>
          <cell r="AL611" t="e">
            <v>#DIV/0!</v>
          </cell>
          <cell r="AM611" t="e">
            <v>#DIV/0!</v>
          </cell>
          <cell r="AN611" t="e">
            <v>#DIV/0!</v>
          </cell>
          <cell r="AO611" t="e">
            <v>#REF!</v>
          </cell>
          <cell r="AP611" t="e">
            <v>#REF!</v>
          </cell>
          <cell r="AQ611" t="e">
            <v>#REF!</v>
          </cell>
          <cell r="AR611" t="e">
            <v>#REF!</v>
          </cell>
          <cell r="AS611" t="e">
            <v>#REF!</v>
          </cell>
          <cell r="AT611" t="e">
            <v>#REF!</v>
          </cell>
          <cell r="AU611" t="e">
            <v>#REF!</v>
          </cell>
          <cell r="AV611" t="e">
            <v>#REF!</v>
          </cell>
          <cell r="AW611" t="e">
            <v>#DIV/0!</v>
          </cell>
          <cell r="AX611" t="e">
            <v>#DIV/0!</v>
          </cell>
          <cell r="AY611" t="e">
            <v>#DIV/0!</v>
          </cell>
          <cell r="AZ611" t="e">
            <v>#DIV/0!</v>
          </cell>
          <cell r="BE611" t="e">
            <v>#DIV/0!</v>
          </cell>
          <cell r="BF611" t="e">
            <v>#DIV/0!</v>
          </cell>
        </row>
        <row r="612">
          <cell r="A612" t="str">
            <v>-0</v>
          </cell>
          <cell r="B612" t="str">
            <v xml:space="preserve">-0  , </v>
          </cell>
          <cell r="C612"/>
          <cell r="D612"/>
          <cell r="E612"/>
          <cell r="F612"/>
          <cell r="G612"/>
          <cell r="H612"/>
          <cell r="I612"/>
          <cell r="J612"/>
          <cell r="K612"/>
          <cell r="L612"/>
          <cell r="M612"/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  <cell r="X612">
            <v>0</v>
          </cell>
          <cell r="Y612">
            <v>0</v>
          </cell>
          <cell r="Z612">
            <v>0</v>
          </cell>
          <cell r="AA612" t="str">
            <v>,</v>
          </cell>
          <cell r="AB612" t="str">
            <v>,</v>
          </cell>
          <cell r="AC612" t="e">
            <v>#DIV/0!</v>
          </cell>
          <cell r="AD612" t="e">
            <v>#DIV/0!</v>
          </cell>
          <cell r="AE612">
            <v>0.71</v>
          </cell>
          <cell r="AF612">
            <v>94.97</v>
          </cell>
          <cell r="AG612">
            <v>0</v>
          </cell>
          <cell r="AH612" t="e">
            <v>#DIV/0!</v>
          </cell>
          <cell r="AI612" t="e">
            <v>#DIV/0!</v>
          </cell>
          <cell r="AJ612" t="e">
            <v>#DIV/0!</v>
          </cell>
          <cell r="AK612" t="e">
            <v>#DIV/0!</v>
          </cell>
          <cell r="AL612" t="e">
            <v>#DIV/0!</v>
          </cell>
          <cell r="AM612" t="e">
            <v>#DIV/0!</v>
          </cell>
          <cell r="AN612" t="e">
            <v>#DIV/0!</v>
          </cell>
          <cell r="AO612" t="e">
            <v>#REF!</v>
          </cell>
          <cell r="AP612" t="e">
            <v>#REF!</v>
          </cell>
          <cell r="AQ612" t="e">
            <v>#REF!</v>
          </cell>
          <cell r="AR612" t="e">
            <v>#REF!</v>
          </cell>
          <cell r="AS612" t="e">
            <v>#REF!</v>
          </cell>
          <cell r="AT612" t="e">
            <v>#REF!</v>
          </cell>
          <cell r="AU612" t="e">
            <v>#REF!</v>
          </cell>
          <cell r="AV612" t="e">
            <v>#REF!</v>
          </cell>
          <cell r="AW612" t="e">
            <v>#DIV/0!</v>
          </cell>
          <cell r="AX612" t="e">
            <v>#DIV/0!</v>
          </cell>
          <cell r="AY612" t="e">
            <v>#DIV/0!</v>
          </cell>
          <cell r="AZ612" t="e">
            <v>#DIV/0!</v>
          </cell>
          <cell r="BE612" t="e">
            <v>#DIV/0!</v>
          </cell>
          <cell r="BF612" t="e">
            <v>#DIV/0!</v>
          </cell>
        </row>
        <row r="613">
          <cell r="A613" t="str">
            <v>-0</v>
          </cell>
          <cell r="B613" t="str">
            <v xml:space="preserve">-0  , </v>
          </cell>
          <cell r="C613"/>
          <cell r="D613"/>
          <cell r="E613"/>
          <cell r="F613"/>
          <cell r="G613"/>
          <cell r="H613"/>
          <cell r="I613"/>
          <cell r="J613"/>
          <cell r="K613"/>
          <cell r="L613"/>
          <cell r="M613"/>
          <cell r="N613"/>
          <cell r="O613"/>
          <cell r="P613"/>
          <cell r="Q613"/>
          <cell r="R613"/>
          <cell r="S613"/>
          <cell r="T613"/>
          <cell r="U613"/>
          <cell r="V613"/>
          <cell r="W613"/>
          <cell r="X613">
            <v>0</v>
          </cell>
          <cell r="Y613">
            <v>0</v>
          </cell>
          <cell r="Z613">
            <v>0</v>
          </cell>
          <cell r="AA613" t="str">
            <v>,</v>
          </cell>
          <cell r="AB613" t="str">
            <v>,</v>
          </cell>
          <cell r="AC613" t="e">
            <v>#DIV/0!</v>
          </cell>
          <cell r="AD613" t="e">
            <v>#DIV/0!</v>
          </cell>
          <cell r="AE613">
            <v>0.71</v>
          </cell>
          <cell r="AF613">
            <v>94.97</v>
          </cell>
          <cell r="AG613">
            <v>0</v>
          </cell>
          <cell r="AH613" t="e">
            <v>#DIV/0!</v>
          </cell>
          <cell r="AI613" t="e">
            <v>#DIV/0!</v>
          </cell>
          <cell r="AJ613" t="e">
            <v>#DIV/0!</v>
          </cell>
          <cell r="AK613" t="e">
            <v>#DIV/0!</v>
          </cell>
          <cell r="AL613" t="e">
            <v>#DIV/0!</v>
          </cell>
          <cell r="AM613" t="e">
            <v>#DIV/0!</v>
          </cell>
          <cell r="AN613" t="e">
            <v>#DIV/0!</v>
          </cell>
          <cell r="AO613" t="e">
            <v>#REF!</v>
          </cell>
          <cell r="AP613" t="e">
            <v>#REF!</v>
          </cell>
          <cell r="AQ613" t="e">
            <v>#REF!</v>
          </cell>
          <cell r="AR613" t="e">
            <v>#REF!</v>
          </cell>
          <cell r="AS613" t="e">
            <v>#REF!</v>
          </cell>
          <cell r="AT613" t="e">
            <v>#REF!</v>
          </cell>
          <cell r="AU613" t="e">
            <v>#REF!</v>
          </cell>
          <cell r="AV613" t="e">
            <v>#REF!</v>
          </cell>
          <cell r="AW613" t="e">
            <v>#DIV/0!</v>
          </cell>
          <cell r="AX613" t="e">
            <v>#DIV/0!</v>
          </cell>
          <cell r="AY613" t="e">
            <v>#DIV/0!</v>
          </cell>
          <cell r="AZ613" t="e">
            <v>#DIV/0!</v>
          </cell>
          <cell r="BE613" t="e">
            <v>#DIV/0!</v>
          </cell>
          <cell r="BF613" t="e">
            <v>#DIV/0!</v>
          </cell>
        </row>
        <row r="614">
          <cell r="A614" t="str">
            <v>-0</v>
          </cell>
          <cell r="B614" t="str">
            <v xml:space="preserve">-0  , </v>
          </cell>
          <cell r="C614"/>
          <cell r="D614"/>
          <cell r="E614"/>
          <cell r="F614"/>
          <cell r="G614"/>
          <cell r="H614"/>
          <cell r="I614"/>
          <cell r="J614"/>
          <cell r="K614"/>
          <cell r="L614"/>
          <cell r="M614"/>
          <cell r="N614"/>
          <cell r="O614"/>
          <cell r="P614"/>
          <cell r="Q614"/>
          <cell r="R614"/>
          <cell r="S614"/>
          <cell r="T614"/>
          <cell r="U614"/>
          <cell r="V614"/>
          <cell r="W614"/>
          <cell r="X614">
            <v>0</v>
          </cell>
          <cell r="Y614">
            <v>0</v>
          </cell>
          <cell r="Z614">
            <v>0</v>
          </cell>
          <cell r="AA614" t="str">
            <v>,</v>
          </cell>
          <cell r="AB614" t="str">
            <v>,</v>
          </cell>
          <cell r="AC614" t="e">
            <v>#DIV/0!</v>
          </cell>
          <cell r="AD614" t="e">
            <v>#DIV/0!</v>
          </cell>
          <cell r="AE614">
            <v>0.71</v>
          </cell>
          <cell r="AF614">
            <v>94.97</v>
          </cell>
          <cell r="AG614">
            <v>0</v>
          </cell>
          <cell r="AH614" t="e">
            <v>#DIV/0!</v>
          </cell>
          <cell r="AI614" t="e">
            <v>#DIV/0!</v>
          </cell>
          <cell r="AJ614" t="e">
            <v>#DIV/0!</v>
          </cell>
          <cell r="AK614" t="e">
            <v>#DIV/0!</v>
          </cell>
          <cell r="AL614" t="e">
            <v>#DIV/0!</v>
          </cell>
          <cell r="AM614" t="e">
            <v>#DIV/0!</v>
          </cell>
          <cell r="AN614" t="e">
            <v>#DIV/0!</v>
          </cell>
          <cell r="AO614" t="e">
            <v>#REF!</v>
          </cell>
          <cell r="AP614" t="e">
            <v>#REF!</v>
          </cell>
          <cell r="AQ614" t="e">
            <v>#REF!</v>
          </cell>
          <cell r="AR614" t="e">
            <v>#REF!</v>
          </cell>
          <cell r="AS614" t="e">
            <v>#REF!</v>
          </cell>
          <cell r="AT614" t="e">
            <v>#REF!</v>
          </cell>
          <cell r="AU614" t="e">
            <v>#REF!</v>
          </cell>
          <cell r="AV614" t="e">
            <v>#REF!</v>
          </cell>
          <cell r="AW614" t="e">
            <v>#DIV/0!</v>
          </cell>
          <cell r="AX614" t="e">
            <v>#DIV/0!</v>
          </cell>
          <cell r="AY614" t="e">
            <v>#DIV/0!</v>
          </cell>
          <cell r="AZ614" t="e">
            <v>#DIV/0!</v>
          </cell>
          <cell r="BE614" t="e">
            <v>#DIV/0!</v>
          </cell>
          <cell r="BF614" t="e">
            <v>#DIV/0!</v>
          </cell>
        </row>
        <row r="615">
          <cell r="A615" t="str">
            <v>-0</v>
          </cell>
          <cell r="B615" t="str">
            <v xml:space="preserve">-0  , </v>
          </cell>
          <cell r="C615"/>
          <cell r="D615"/>
          <cell r="E615"/>
          <cell r="F615"/>
          <cell r="G615"/>
          <cell r="H615"/>
          <cell r="I615"/>
          <cell r="J615"/>
          <cell r="K615"/>
          <cell r="L615"/>
          <cell r="M615"/>
          <cell r="N615"/>
          <cell r="O615"/>
          <cell r="P615"/>
          <cell r="Q615"/>
          <cell r="R615"/>
          <cell r="S615"/>
          <cell r="T615"/>
          <cell r="U615"/>
          <cell r="V615"/>
          <cell r="W615"/>
          <cell r="X615">
            <v>0</v>
          </cell>
          <cell r="Y615">
            <v>0</v>
          </cell>
          <cell r="Z615">
            <v>0</v>
          </cell>
          <cell r="AA615" t="str">
            <v>,</v>
          </cell>
          <cell r="AB615" t="str">
            <v>,</v>
          </cell>
          <cell r="AC615" t="e">
            <v>#DIV/0!</v>
          </cell>
          <cell r="AD615" t="e">
            <v>#DIV/0!</v>
          </cell>
          <cell r="AE615">
            <v>0.71</v>
          </cell>
          <cell r="AF615">
            <v>94.97</v>
          </cell>
          <cell r="AG615">
            <v>0</v>
          </cell>
          <cell r="AH615" t="e">
            <v>#DIV/0!</v>
          </cell>
          <cell r="AI615" t="e">
            <v>#DIV/0!</v>
          </cell>
          <cell r="AJ615" t="e">
            <v>#DIV/0!</v>
          </cell>
          <cell r="AK615" t="e">
            <v>#DIV/0!</v>
          </cell>
          <cell r="AL615" t="e">
            <v>#DIV/0!</v>
          </cell>
          <cell r="AM615" t="e">
            <v>#DIV/0!</v>
          </cell>
          <cell r="AN615" t="e">
            <v>#DIV/0!</v>
          </cell>
          <cell r="AO615" t="e">
            <v>#REF!</v>
          </cell>
          <cell r="AP615" t="e">
            <v>#REF!</v>
          </cell>
          <cell r="AQ615" t="e">
            <v>#REF!</v>
          </cell>
          <cell r="AR615" t="e">
            <v>#REF!</v>
          </cell>
          <cell r="AS615" t="e">
            <v>#REF!</v>
          </cell>
          <cell r="AT615" t="e">
            <v>#REF!</v>
          </cell>
          <cell r="AU615" t="e">
            <v>#REF!</v>
          </cell>
          <cell r="AV615" t="e">
            <v>#REF!</v>
          </cell>
          <cell r="AW615" t="e">
            <v>#DIV/0!</v>
          </cell>
          <cell r="AX615" t="e">
            <v>#DIV/0!</v>
          </cell>
          <cell r="AY615" t="e">
            <v>#DIV/0!</v>
          </cell>
          <cell r="AZ615" t="e">
            <v>#DIV/0!</v>
          </cell>
          <cell r="BE615" t="e">
            <v>#DIV/0!</v>
          </cell>
          <cell r="BF615" t="e">
            <v>#DIV/0!</v>
          </cell>
        </row>
        <row r="616">
          <cell r="A616" t="str">
            <v>-0</v>
          </cell>
          <cell r="B616" t="str">
            <v xml:space="preserve">-0  , </v>
          </cell>
          <cell r="C616"/>
          <cell r="D616"/>
          <cell r="E616"/>
          <cell r="F616"/>
          <cell r="G616"/>
          <cell r="H616"/>
          <cell r="I616"/>
          <cell r="J616"/>
          <cell r="K616"/>
          <cell r="L616"/>
          <cell r="M616"/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  <cell r="X616">
            <v>0</v>
          </cell>
          <cell r="Y616">
            <v>0</v>
          </cell>
          <cell r="Z616">
            <v>0</v>
          </cell>
          <cell r="AA616" t="str">
            <v>,</v>
          </cell>
          <cell r="AB616" t="str">
            <v>,</v>
          </cell>
          <cell r="AC616" t="e">
            <v>#DIV/0!</v>
          </cell>
          <cell r="AD616" t="e">
            <v>#DIV/0!</v>
          </cell>
          <cell r="AE616">
            <v>0.71</v>
          </cell>
          <cell r="AF616">
            <v>94.97</v>
          </cell>
          <cell r="AG616">
            <v>0</v>
          </cell>
          <cell r="AH616" t="e">
            <v>#DIV/0!</v>
          </cell>
          <cell r="AI616" t="e">
            <v>#DIV/0!</v>
          </cell>
          <cell r="AJ616" t="e">
            <v>#DIV/0!</v>
          </cell>
          <cell r="AK616" t="e">
            <v>#DIV/0!</v>
          </cell>
          <cell r="AL616" t="e">
            <v>#DIV/0!</v>
          </cell>
          <cell r="AM616" t="e">
            <v>#DIV/0!</v>
          </cell>
          <cell r="AN616" t="e">
            <v>#DIV/0!</v>
          </cell>
          <cell r="AO616" t="e">
            <v>#REF!</v>
          </cell>
          <cell r="AP616" t="e">
            <v>#REF!</v>
          </cell>
          <cell r="AQ616" t="e">
            <v>#REF!</v>
          </cell>
          <cell r="AR616" t="e">
            <v>#REF!</v>
          </cell>
          <cell r="AS616" t="e">
            <v>#REF!</v>
          </cell>
          <cell r="AT616" t="e">
            <v>#REF!</v>
          </cell>
          <cell r="AU616" t="e">
            <v>#REF!</v>
          </cell>
          <cell r="AV616" t="e">
            <v>#REF!</v>
          </cell>
          <cell r="AW616" t="e">
            <v>#DIV/0!</v>
          </cell>
          <cell r="AX616" t="e">
            <v>#DIV/0!</v>
          </cell>
          <cell r="AY616" t="e">
            <v>#DIV/0!</v>
          </cell>
          <cell r="AZ616" t="e">
            <v>#DIV/0!</v>
          </cell>
          <cell r="BE616" t="e">
            <v>#DIV/0!</v>
          </cell>
          <cell r="BF616" t="e">
            <v>#DIV/0!</v>
          </cell>
        </row>
        <row r="617">
          <cell r="A617" t="str">
            <v>-0</v>
          </cell>
          <cell r="B617" t="str">
            <v xml:space="preserve">-0  , </v>
          </cell>
          <cell r="C617"/>
          <cell r="D617"/>
          <cell r="E617"/>
          <cell r="F617"/>
          <cell r="G617"/>
          <cell r="H617"/>
          <cell r="I617"/>
          <cell r="J617"/>
          <cell r="K617"/>
          <cell r="L617"/>
          <cell r="M617"/>
          <cell r="N617"/>
          <cell r="O617"/>
          <cell r="P617"/>
          <cell r="Q617"/>
          <cell r="R617"/>
          <cell r="S617"/>
          <cell r="T617"/>
          <cell r="U617"/>
          <cell r="V617"/>
          <cell r="W617"/>
          <cell r="X617">
            <v>0</v>
          </cell>
          <cell r="Y617">
            <v>0</v>
          </cell>
          <cell r="Z617">
            <v>0</v>
          </cell>
          <cell r="AA617" t="str">
            <v>,</v>
          </cell>
          <cell r="AB617" t="str">
            <v>,</v>
          </cell>
          <cell r="AC617" t="e">
            <v>#DIV/0!</v>
          </cell>
          <cell r="AD617" t="e">
            <v>#DIV/0!</v>
          </cell>
          <cell r="AE617">
            <v>0.71</v>
          </cell>
          <cell r="AF617">
            <v>94.97</v>
          </cell>
          <cell r="AG617">
            <v>0</v>
          </cell>
          <cell r="AH617" t="e">
            <v>#DIV/0!</v>
          </cell>
          <cell r="AI617" t="e">
            <v>#DIV/0!</v>
          </cell>
          <cell r="AJ617" t="e">
            <v>#DIV/0!</v>
          </cell>
          <cell r="AK617" t="e">
            <v>#DIV/0!</v>
          </cell>
          <cell r="AL617" t="e">
            <v>#DIV/0!</v>
          </cell>
          <cell r="AM617" t="e">
            <v>#DIV/0!</v>
          </cell>
          <cell r="AN617" t="e">
            <v>#DIV/0!</v>
          </cell>
          <cell r="AO617" t="e">
            <v>#REF!</v>
          </cell>
          <cell r="AP617" t="e">
            <v>#REF!</v>
          </cell>
          <cell r="AQ617" t="e">
            <v>#REF!</v>
          </cell>
          <cell r="AR617" t="e">
            <v>#REF!</v>
          </cell>
          <cell r="AS617" t="e">
            <v>#REF!</v>
          </cell>
          <cell r="AT617" t="e">
            <v>#REF!</v>
          </cell>
          <cell r="AU617" t="e">
            <v>#REF!</v>
          </cell>
          <cell r="AV617" t="e">
            <v>#REF!</v>
          </cell>
          <cell r="AW617" t="e">
            <v>#DIV/0!</v>
          </cell>
          <cell r="AX617" t="e">
            <v>#DIV/0!</v>
          </cell>
          <cell r="AY617" t="e">
            <v>#DIV/0!</v>
          </cell>
          <cell r="AZ617" t="e">
            <v>#DIV/0!</v>
          </cell>
          <cell r="BE617" t="e">
            <v>#DIV/0!</v>
          </cell>
          <cell r="BF617" t="e">
            <v>#DIV/0!</v>
          </cell>
        </row>
        <row r="618">
          <cell r="A618" t="str">
            <v>-0</v>
          </cell>
          <cell r="B618" t="str">
            <v xml:space="preserve">-0  , </v>
          </cell>
          <cell r="C618"/>
          <cell r="D618"/>
          <cell r="E618"/>
          <cell r="F618"/>
          <cell r="G618"/>
          <cell r="H618"/>
          <cell r="I618"/>
          <cell r="J618"/>
          <cell r="K618"/>
          <cell r="L618"/>
          <cell r="M618"/>
          <cell r="N618"/>
          <cell r="O618"/>
          <cell r="P618"/>
          <cell r="Q618"/>
          <cell r="R618"/>
          <cell r="S618"/>
          <cell r="T618"/>
          <cell r="U618"/>
          <cell r="V618"/>
          <cell r="W618"/>
          <cell r="X618">
            <v>0</v>
          </cell>
          <cell r="Y618">
            <v>0</v>
          </cell>
          <cell r="Z618">
            <v>0</v>
          </cell>
          <cell r="AA618" t="str">
            <v>,</v>
          </cell>
          <cell r="AB618" t="str">
            <v>,</v>
          </cell>
          <cell r="AC618" t="e">
            <v>#DIV/0!</v>
          </cell>
          <cell r="AD618" t="e">
            <v>#DIV/0!</v>
          </cell>
          <cell r="AE618">
            <v>0.71</v>
          </cell>
          <cell r="AF618">
            <v>94.97</v>
          </cell>
          <cell r="AG618">
            <v>0</v>
          </cell>
          <cell r="AH618" t="e">
            <v>#DIV/0!</v>
          </cell>
          <cell r="AI618" t="e">
            <v>#DIV/0!</v>
          </cell>
          <cell r="AJ618" t="e">
            <v>#DIV/0!</v>
          </cell>
          <cell r="AK618" t="e">
            <v>#DIV/0!</v>
          </cell>
          <cell r="AL618" t="e">
            <v>#DIV/0!</v>
          </cell>
          <cell r="AM618" t="e">
            <v>#DIV/0!</v>
          </cell>
          <cell r="AN618" t="e">
            <v>#DIV/0!</v>
          </cell>
          <cell r="AO618" t="e">
            <v>#REF!</v>
          </cell>
          <cell r="AP618" t="e">
            <v>#REF!</v>
          </cell>
          <cell r="AQ618" t="e">
            <v>#REF!</v>
          </cell>
          <cell r="AR618" t="e">
            <v>#REF!</v>
          </cell>
          <cell r="AS618" t="e">
            <v>#REF!</v>
          </cell>
          <cell r="AT618" t="e">
            <v>#REF!</v>
          </cell>
          <cell r="AU618" t="e">
            <v>#REF!</v>
          </cell>
          <cell r="AV618" t="e">
            <v>#REF!</v>
          </cell>
          <cell r="AW618" t="e">
            <v>#DIV/0!</v>
          </cell>
          <cell r="AX618" t="e">
            <v>#DIV/0!</v>
          </cell>
          <cell r="AY618" t="e">
            <v>#DIV/0!</v>
          </cell>
          <cell r="AZ618" t="e">
            <v>#DIV/0!</v>
          </cell>
          <cell r="BE618" t="e">
            <v>#DIV/0!</v>
          </cell>
          <cell r="BF618" t="e">
            <v>#DIV/0!</v>
          </cell>
        </row>
        <row r="619">
          <cell r="A619" t="str">
            <v>-0</v>
          </cell>
          <cell r="B619" t="str">
            <v xml:space="preserve">-0  , </v>
          </cell>
          <cell r="C619"/>
          <cell r="D619"/>
          <cell r="E619"/>
          <cell r="F619"/>
          <cell r="G619"/>
          <cell r="H619"/>
          <cell r="I619"/>
          <cell r="J619"/>
          <cell r="K619"/>
          <cell r="L619"/>
          <cell r="M619"/>
          <cell r="N619"/>
          <cell r="O619"/>
          <cell r="P619"/>
          <cell r="Q619"/>
          <cell r="R619"/>
          <cell r="S619"/>
          <cell r="T619"/>
          <cell r="U619"/>
          <cell r="V619"/>
          <cell r="W619"/>
          <cell r="X619">
            <v>0</v>
          </cell>
          <cell r="Y619">
            <v>0</v>
          </cell>
          <cell r="Z619">
            <v>0</v>
          </cell>
          <cell r="AA619" t="str">
            <v>,</v>
          </cell>
          <cell r="AB619" t="str">
            <v>,</v>
          </cell>
          <cell r="AC619" t="e">
            <v>#DIV/0!</v>
          </cell>
          <cell r="AD619" t="e">
            <v>#DIV/0!</v>
          </cell>
          <cell r="AE619">
            <v>0.71</v>
          </cell>
          <cell r="AF619">
            <v>94.97</v>
          </cell>
          <cell r="AG619">
            <v>0</v>
          </cell>
          <cell r="AH619" t="e">
            <v>#DIV/0!</v>
          </cell>
          <cell r="AI619" t="e">
            <v>#DIV/0!</v>
          </cell>
          <cell r="AJ619" t="e">
            <v>#DIV/0!</v>
          </cell>
          <cell r="AK619" t="e">
            <v>#DIV/0!</v>
          </cell>
          <cell r="AL619" t="e">
            <v>#DIV/0!</v>
          </cell>
          <cell r="AM619" t="e">
            <v>#DIV/0!</v>
          </cell>
          <cell r="AN619" t="e">
            <v>#DIV/0!</v>
          </cell>
          <cell r="AO619" t="e">
            <v>#REF!</v>
          </cell>
          <cell r="AP619" t="e">
            <v>#REF!</v>
          </cell>
          <cell r="AQ619" t="e">
            <v>#REF!</v>
          </cell>
          <cell r="AR619" t="e">
            <v>#REF!</v>
          </cell>
          <cell r="AS619" t="e">
            <v>#REF!</v>
          </cell>
          <cell r="AT619" t="e">
            <v>#REF!</v>
          </cell>
          <cell r="AU619" t="e">
            <v>#REF!</v>
          </cell>
          <cell r="AV619" t="e">
            <v>#REF!</v>
          </cell>
          <cell r="AW619" t="e">
            <v>#DIV/0!</v>
          </cell>
          <cell r="AX619" t="e">
            <v>#DIV/0!</v>
          </cell>
          <cell r="AY619" t="e">
            <v>#DIV/0!</v>
          </cell>
          <cell r="AZ619" t="e">
            <v>#DIV/0!</v>
          </cell>
          <cell r="BE619" t="e">
            <v>#DIV/0!</v>
          </cell>
          <cell r="BF619" t="e">
            <v>#DIV/0!</v>
          </cell>
        </row>
        <row r="620">
          <cell r="A620" t="str">
            <v>-0</v>
          </cell>
          <cell r="B620" t="str">
            <v xml:space="preserve">-0  , </v>
          </cell>
          <cell r="C620"/>
          <cell r="D620"/>
          <cell r="E620"/>
          <cell r="F620"/>
          <cell r="G620"/>
          <cell r="H620"/>
          <cell r="I620"/>
          <cell r="J620"/>
          <cell r="K620"/>
          <cell r="L620"/>
          <cell r="M620"/>
          <cell r="N620"/>
          <cell r="O620"/>
          <cell r="P620"/>
          <cell r="Q620"/>
          <cell r="R620"/>
          <cell r="S620"/>
          <cell r="T620"/>
          <cell r="U620"/>
          <cell r="V620"/>
          <cell r="W620"/>
          <cell r="X620">
            <v>0</v>
          </cell>
          <cell r="Y620">
            <v>0</v>
          </cell>
          <cell r="Z620">
            <v>0</v>
          </cell>
          <cell r="AA620" t="str">
            <v>,</v>
          </cell>
          <cell r="AB620" t="str">
            <v>,</v>
          </cell>
          <cell r="AC620" t="e">
            <v>#DIV/0!</v>
          </cell>
          <cell r="AD620" t="e">
            <v>#DIV/0!</v>
          </cell>
          <cell r="AE620">
            <v>0.71</v>
          </cell>
          <cell r="AF620">
            <v>94.97</v>
          </cell>
          <cell r="AG620">
            <v>0</v>
          </cell>
          <cell r="AH620" t="e">
            <v>#DIV/0!</v>
          </cell>
          <cell r="AI620" t="e">
            <v>#DIV/0!</v>
          </cell>
          <cell r="AJ620" t="e">
            <v>#DIV/0!</v>
          </cell>
          <cell r="AK620" t="e">
            <v>#DIV/0!</v>
          </cell>
          <cell r="AL620" t="e">
            <v>#DIV/0!</v>
          </cell>
          <cell r="AM620" t="e">
            <v>#DIV/0!</v>
          </cell>
          <cell r="AN620" t="e">
            <v>#DIV/0!</v>
          </cell>
          <cell r="AO620" t="e">
            <v>#REF!</v>
          </cell>
          <cell r="AP620" t="e">
            <v>#REF!</v>
          </cell>
          <cell r="AQ620" t="e">
            <v>#REF!</v>
          </cell>
          <cell r="AR620" t="e">
            <v>#REF!</v>
          </cell>
          <cell r="AS620" t="e">
            <v>#REF!</v>
          </cell>
          <cell r="AT620" t="e">
            <v>#REF!</v>
          </cell>
          <cell r="AU620" t="e">
            <v>#REF!</v>
          </cell>
          <cell r="AV620" t="e">
            <v>#REF!</v>
          </cell>
          <cell r="AW620" t="e">
            <v>#DIV/0!</v>
          </cell>
          <cell r="AX620" t="e">
            <v>#DIV/0!</v>
          </cell>
          <cell r="AY620" t="e">
            <v>#DIV/0!</v>
          </cell>
          <cell r="AZ620" t="e">
            <v>#DIV/0!</v>
          </cell>
          <cell r="BE620" t="e">
            <v>#DIV/0!</v>
          </cell>
          <cell r="BF620" t="e">
            <v>#DIV/0!</v>
          </cell>
        </row>
        <row r="621">
          <cell r="A621" t="str">
            <v>-0</v>
          </cell>
          <cell r="B621" t="str">
            <v xml:space="preserve">-0  , </v>
          </cell>
          <cell r="C621"/>
          <cell r="D621"/>
          <cell r="E621"/>
          <cell r="F621"/>
          <cell r="G621"/>
          <cell r="H621"/>
          <cell r="I621"/>
          <cell r="J621"/>
          <cell r="K621"/>
          <cell r="L621"/>
          <cell r="M621"/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  <cell r="X621">
            <v>0</v>
          </cell>
          <cell r="Y621">
            <v>0</v>
          </cell>
          <cell r="Z621">
            <v>0</v>
          </cell>
          <cell r="AA621" t="str">
            <v>,</v>
          </cell>
          <cell r="AB621" t="str">
            <v>,</v>
          </cell>
          <cell r="AC621" t="e">
            <v>#DIV/0!</v>
          </cell>
          <cell r="AD621" t="e">
            <v>#DIV/0!</v>
          </cell>
          <cell r="AE621">
            <v>0.71</v>
          </cell>
          <cell r="AF621">
            <v>94.97</v>
          </cell>
          <cell r="AG621">
            <v>0</v>
          </cell>
          <cell r="AH621" t="e">
            <v>#DIV/0!</v>
          </cell>
          <cell r="AI621" t="e">
            <v>#DIV/0!</v>
          </cell>
          <cell r="AJ621" t="e">
            <v>#DIV/0!</v>
          </cell>
          <cell r="AK621" t="e">
            <v>#DIV/0!</v>
          </cell>
          <cell r="AL621" t="e">
            <v>#DIV/0!</v>
          </cell>
          <cell r="AM621" t="e">
            <v>#DIV/0!</v>
          </cell>
          <cell r="AN621" t="e">
            <v>#DIV/0!</v>
          </cell>
          <cell r="AO621" t="e">
            <v>#REF!</v>
          </cell>
          <cell r="AP621" t="e">
            <v>#REF!</v>
          </cell>
          <cell r="AQ621" t="e">
            <v>#REF!</v>
          </cell>
          <cell r="AR621" t="e">
            <v>#REF!</v>
          </cell>
          <cell r="AS621" t="e">
            <v>#REF!</v>
          </cell>
          <cell r="AT621" t="e">
            <v>#REF!</v>
          </cell>
          <cell r="AU621" t="e">
            <v>#REF!</v>
          </cell>
          <cell r="AV621" t="e">
            <v>#REF!</v>
          </cell>
          <cell r="AW621" t="e">
            <v>#DIV/0!</v>
          </cell>
          <cell r="AX621" t="e">
            <v>#DIV/0!</v>
          </cell>
          <cell r="AY621" t="e">
            <v>#DIV/0!</v>
          </cell>
          <cell r="AZ621" t="e">
            <v>#DIV/0!</v>
          </cell>
          <cell r="BE621" t="e">
            <v>#DIV/0!</v>
          </cell>
          <cell r="BF621" t="e">
            <v>#DIV/0!</v>
          </cell>
        </row>
        <row r="622">
          <cell r="A622" t="str">
            <v>-0</v>
          </cell>
          <cell r="B622" t="str">
            <v xml:space="preserve">-0  , </v>
          </cell>
          <cell r="C622"/>
          <cell r="D622"/>
          <cell r="E622"/>
          <cell r="F622"/>
          <cell r="G622"/>
          <cell r="H622"/>
          <cell r="I622"/>
          <cell r="J622"/>
          <cell r="K622"/>
          <cell r="L622"/>
          <cell r="M622"/>
          <cell r="N622"/>
          <cell r="O622"/>
          <cell r="P622"/>
          <cell r="Q622"/>
          <cell r="R622"/>
          <cell r="S622"/>
          <cell r="T622"/>
          <cell r="U622"/>
          <cell r="V622"/>
          <cell r="W622"/>
          <cell r="X622">
            <v>0</v>
          </cell>
          <cell r="Y622">
            <v>0</v>
          </cell>
          <cell r="Z622">
            <v>0</v>
          </cell>
          <cell r="AA622" t="str">
            <v>,</v>
          </cell>
          <cell r="AB622" t="str">
            <v>,</v>
          </cell>
          <cell r="AC622" t="e">
            <v>#DIV/0!</v>
          </cell>
          <cell r="AD622" t="e">
            <v>#DIV/0!</v>
          </cell>
          <cell r="AE622">
            <v>0.71</v>
          </cell>
          <cell r="AF622">
            <v>94.97</v>
          </cell>
          <cell r="AG622">
            <v>0</v>
          </cell>
          <cell r="AH622" t="e">
            <v>#DIV/0!</v>
          </cell>
          <cell r="AI622" t="e">
            <v>#DIV/0!</v>
          </cell>
          <cell r="AJ622" t="e">
            <v>#DIV/0!</v>
          </cell>
          <cell r="AK622" t="e">
            <v>#DIV/0!</v>
          </cell>
          <cell r="AL622" t="e">
            <v>#DIV/0!</v>
          </cell>
          <cell r="AM622" t="e">
            <v>#DIV/0!</v>
          </cell>
          <cell r="AN622" t="e">
            <v>#DIV/0!</v>
          </cell>
          <cell r="AO622" t="e">
            <v>#REF!</v>
          </cell>
          <cell r="AP622" t="e">
            <v>#REF!</v>
          </cell>
          <cell r="AQ622" t="e">
            <v>#REF!</v>
          </cell>
          <cell r="AR622" t="e">
            <v>#REF!</v>
          </cell>
          <cell r="AS622" t="e">
            <v>#REF!</v>
          </cell>
          <cell r="AT622" t="e">
            <v>#REF!</v>
          </cell>
          <cell r="AU622" t="e">
            <v>#REF!</v>
          </cell>
          <cell r="AV622" t="e">
            <v>#REF!</v>
          </cell>
          <cell r="AW622" t="e">
            <v>#DIV/0!</v>
          </cell>
          <cell r="AX622" t="e">
            <v>#DIV/0!</v>
          </cell>
          <cell r="AY622" t="e">
            <v>#DIV/0!</v>
          </cell>
          <cell r="AZ622" t="e">
            <v>#DIV/0!</v>
          </cell>
          <cell r="BE622" t="e">
            <v>#DIV/0!</v>
          </cell>
          <cell r="BF622" t="e">
            <v>#DIV/0!</v>
          </cell>
        </row>
        <row r="623">
          <cell r="A623" t="str">
            <v>-0</v>
          </cell>
          <cell r="B623" t="str">
            <v xml:space="preserve">-0  , </v>
          </cell>
          <cell r="C623"/>
          <cell r="D623"/>
          <cell r="E623"/>
          <cell r="F623"/>
          <cell r="G623"/>
          <cell r="H623"/>
          <cell r="I623"/>
          <cell r="J623"/>
          <cell r="K623"/>
          <cell r="L623"/>
          <cell r="M623"/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  <cell r="X623">
            <v>0</v>
          </cell>
          <cell r="Y623">
            <v>0</v>
          </cell>
          <cell r="Z623">
            <v>0</v>
          </cell>
          <cell r="AA623" t="str">
            <v>,</v>
          </cell>
          <cell r="AB623" t="str">
            <v>,</v>
          </cell>
          <cell r="AC623" t="e">
            <v>#DIV/0!</v>
          </cell>
          <cell r="AD623" t="e">
            <v>#DIV/0!</v>
          </cell>
          <cell r="AE623">
            <v>0.71</v>
          </cell>
          <cell r="AF623">
            <v>94.97</v>
          </cell>
          <cell r="AG623">
            <v>0</v>
          </cell>
          <cell r="AH623" t="e">
            <v>#DIV/0!</v>
          </cell>
          <cell r="AI623" t="e">
            <v>#DIV/0!</v>
          </cell>
          <cell r="AJ623" t="e">
            <v>#DIV/0!</v>
          </cell>
          <cell r="AK623" t="e">
            <v>#DIV/0!</v>
          </cell>
          <cell r="AL623" t="e">
            <v>#DIV/0!</v>
          </cell>
          <cell r="AM623" t="e">
            <v>#DIV/0!</v>
          </cell>
          <cell r="AN623" t="e">
            <v>#DIV/0!</v>
          </cell>
          <cell r="AO623" t="e">
            <v>#REF!</v>
          </cell>
          <cell r="AP623" t="e">
            <v>#REF!</v>
          </cell>
          <cell r="AQ623" t="e">
            <v>#REF!</v>
          </cell>
          <cell r="AR623" t="e">
            <v>#REF!</v>
          </cell>
          <cell r="AS623" t="e">
            <v>#REF!</v>
          </cell>
          <cell r="AT623" t="e">
            <v>#REF!</v>
          </cell>
          <cell r="AU623" t="e">
            <v>#REF!</v>
          </cell>
          <cell r="AV623" t="e">
            <v>#REF!</v>
          </cell>
          <cell r="AW623" t="e">
            <v>#DIV/0!</v>
          </cell>
          <cell r="AX623" t="e">
            <v>#DIV/0!</v>
          </cell>
          <cell r="AY623" t="e">
            <v>#DIV/0!</v>
          </cell>
          <cell r="AZ623" t="e">
            <v>#DIV/0!</v>
          </cell>
          <cell r="BE623" t="e">
            <v>#DIV/0!</v>
          </cell>
          <cell r="BF623" t="e">
            <v>#DIV/0!</v>
          </cell>
        </row>
        <row r="624">
          <cell r="A624" t="str">
            <v>-0</v>
          </cell>
          <cell r="B624" t="str">
            <v xml:space="preserve">-0  , </v>
          </cell>
          <cell r="C624"/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/>
          <cell r="S624"/>
          <cell r="T624"/>
          <cell r="U624"/>
          <cell r="V624"/>
          <cell r="W624"/>
          <cell r="X624">
            <v>0</v>
          </cell>
          <cell r="Y624">
            <v>0</v>
          </cell>
          <cell r="Z624">
            <v>0</v>
          </cell>
          <cell r="AA624" t="str">
            <v>,</v>
          </cell>
          <cell r="AB624" t="str">
            <v>,</v>
          </cell>
          <cell r="AC624" t="e">
            <v>#DIV/0!</v>
          </cell>
          <cell r="AD624" t="e">
            <v>#DIV/0!</v>
          </cell>
          <cell r="AE624">
            <v>0.71</v>
          </cell>
          <cell r="AF624">
            <v>94.97</v>
          </cell>
          <cell r="AG624">
            <v>0</v>
          </cell>
          <cell r="AH624" t="e">
            <v>#DIV/0!</v>
          </cell>
          <cell r="AI624" t="e">
            <v>#DIV/0!</v>
          </cell>
          <cell r="AJ624" t="e">
            <v>#DIV/0!</v>
          </cell>
          <cell r="AK624" t="e">
            <v>#DIV/0!</v>
          </cell>
          <cell r="AL624" t="e">
            <v>#DIV/0!</v>
          </cell>
          <cell r="AM624" t="e">
            <v>#DIV/0!</v>
          </cell>
          <cell r="AN624" t="e">
            <v>#DIV/0!</v>
          </cell>
          <cell r="AO624" t="e">
            <v>#REF!</v>
          </cell>
          <cell r="AP624" t="e">
            <v>#REF!</v>
          </cell>
          <cell r="AQ624" t="e">
            <v>#REF!</v>
          </cell>
          <cell r="AR624" t="e">
            <v>#REF!</v>
          </cell>
          <cell r="AS624" t="e">
            <v>#REF!</v>
          </cell>
          <cell r="AT624" t="e">
            <v>#REF!</v>
          </cell>
          <cell r="AU624" t="e">
            <v>#REF!</v>
          </cell>
          <cell r="AV624" t="e">
            <v>#REF!</v>
          </cell>
          <cell r="AW624" t="e">
            <v>#DIV/0!</v>
          </cell>
          <cell r="AX624" t="e">
            <v>#DIV/0!</v>
          </cell>
          <cell r="AY624" t="e">
            <v>#DIV/0!</v>
          </cell>
          <cell r="AZ624" t="e">
            <v>#DIV/0!</v>
          </cell>
          <cell r="BE624" t="e">
            <v>#DIV/0!</v>
          </cell>
          <cell r="BF624" t="e">
            <v>#DIV/0!</v>
          </cell>
        </row>
        <row r="625">
          <cell r="A625" t="str">
            <v>-0</v>
          </cell>
          <cell r="B625" t="str">
            <v xml:space="preserve">-0  , </v>
          </cell>
          <cell r="C625"/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/>
          <cell r="S625"/>
          <cell r="T625"/>
          <cell r="U625"/>
          <cell r="V625"/>
          <cell r="W625"/>
          <cell r="X625">
            <v>0</v>
          </cell>
          <cell r="Y625">
            <v>0</v>
          </cell>
          <cell r="Z625">
            <v>0</v>
          </cell>
          <cell r="AA625" t="str">
            <v>,</v>
          </cell>
          <cell r="AB625" t="str">
            <v>,</v>
          </cell>
          <cell r="AC625" t="e">
            <v>#DIV/0!</v>
          </cell>
          <cell r="AD625" t="e">
            <v>#DIV/0!</v>
          </cell>
          <cell r="AE625">
            <v>0.71</v>
          </cell>
          <cell r="AF625">
            <v>94.97</v>
          </cell>
          <cell r="AG625">
            <v>0</v>
          </cell>
          <cell r="AH625" t="e">
            <v>#DIV/0!</v>
          </cell>
          <cell r="AI625" t="e">
            <v>#DIV/0!</v>
          </cell>
          <cell r="AJ625" t="e">
            <v>#DIV/0!</v>
          </cell>
          <cell r="AK625" t="e">
            <v>#DIV/0!</v>
          </cell>
          <cell r="AL625" t="e">
            <v>#DIV/0!</v>
          </cell>
          <cell r="AM625" t="e">
            <v>#DIV/0!</v>
          </cell>
          <cell r="AN625" t="e">
            <v>#DIV/0!</v>
          </cell>
          <cell r="AO625" t="e">
            <v>#REF!</v>
          </cell>
          <cell r="AP625" t="e">
            <v>#REF!</v>
          </cell>
          <cell r="AQ625" t="e">
            <v>#REF!</v>
          </cell>
          <cell r="AR625" t="e">
            <v>#REF!</v>
          </cell>
          <cell r="AS625" t="e">
            <v>#REF!</v>
          </cell>
          <cell r="AT625" t="e">
            <v>#REF!</v>
          </cell>
          <cell r="AU625" t="e">
            <v>#REF!</v>
          </cell>
          <cell r="AV625" t="e">
            <v>#REF!</v>
          </cell>
          <cell r="AW625" t="e">
            <v>#DIV/0!</v>
          </cell>
          <cell r="AX625" t="e">
            <v>#DIV/0!</v>
          </cell>
          <cell r="AY625" t="e">
            <v>#DIV/0!</v>
          </cell>
          <cell r="AZ625" t="e">
            <v>#DIV/0!</v>
          </cell>
          <cell r="BE625" t="e">
            <v>#DIV/0!</v>
          </cell>
          <cell r="BF625" t="e">
            <v>#DIV/0!</v>
          </cell>
        </row>
        <row r="626">
          <cell r="A626" t="str">
            <v>-0</v>
          </cell>
          <cell r="B626" t="str">
            <v xml:space="preserve">-0  , </v>
          </cell>
          <cell r="C626"/>
          <cell r="D626"/>
          <cell r="E626"/>
          <cell r="F626"/>
          <cell r="G626"/>
          <cell r="H626"/>
          <cell r="I626"/>
          <cell r="J626"/>
          <cell r="K626"/>
          <cell r="L626"/>
          <cell r="M626"/>
          <cell r="N626"/>
          <cell r="O626"/>
          <cell r="P626"/>
          <cell r="Q626"/>
          <cell r="R626"/>
          <cell r="S626"/>
          <cell r="T626"/>
          <cell r="U626"/>
          <cell r="V626"/>
          <cell r="W626"/>
          <cell r="X626">
            <v>0</v>
          </cell>
          <cell r="Y626">
            <v>0</v>
          </cell>
          <cell r="Z626">
            <v>0</v>
          </cell>
          <cell r="AA626" t="str">
            <v>,</v>
          </cell>
          <cell r="AB626" t="str">
            <v>,</v>
          </cell>
          <cell r="AC626" t="e">
            <v>#DIV/0!</v>
          </cell>
          <cell r="AD626" t="e">
            <v>#DIV/0!</v>
          </cell>
          <cell r="AE626">
            <v>0.71</v>
          </cell>
          <cell r="AF626">
            <v>94.97</v>
          </cell>
          <cell r="AG626">
            <v>0</v>
          </cell>
          <cell r="AH626" t="e">
            <v>#DIV/0!</v>
          </cell>
          <cell r="AI626" t="e">
            <v>#DIV/0!</v>
          </cell>
          <cell r="AJ626" t="e">
            <v>#DIV/0!</v>
          </cell>
          <cell r="AK626" t="e">
            <v>#DIV/0!</v>
          </cell>
          <cell r="AL626" t="e">
            <v>#DIV/0!</v>
          </cell>
          <cell r="AM626" t="e">
            <v>#DIV/0!</v>
          </cell>
          <cell r="AN626" t="e">
            <v>#DIV/0!</v>
          </cell>
          <cell r="AO626" t="e">
            <v>#REF!</v>
          </cell>
          <cell r="AP626" t="e">
            <v>#REF!</v>
          </cell>
          <cell r="AQ626" t="e">
            <v>#REF!</v>
          </cell>
          <cell r="AR626" t="e">
            <v>#REF!</v>
          </cell>
          <cell r="AS626" t="e">
            <v>#REF!</v>
          </cell>
          <cell r="AT626" t="e">
            <v>#REF!</v>
          </cell>
          <cell r="AU626" t="e">
            <v>#REF!</v>
          </cell>
          <cell r="AV626" t="e">
            <v>#REF!</v>
          </cell>
          <cell r="AW626" t="e">
            <v>#DIV/0!</v>
          </cell>
          <cell r="AX626" t="e">
            <v>#DIV/0!</v>
          </cell>
          <cell r="AY626" t="e">
            <v>#DIV/0!</v>
          </cell>
          <cell r="AZ626" t="e">
            <v>#DIV/0!</v>
          </cell>
          <cell r="BE626" t="e">
            <v>#DIV/0!</v>
          </cell>
          <cell r="BF626" t="e">
            <v>#DIV/0!</v>
          </cell>
        </row>
        <row r="627">
          <cell r="A627" t="str">
            <v>-0</v>
          </cell>
          <cell r="B627" t="str">
            <v xml:space="preserve">-0  , </v>
          </cell>
          <cell r="C627"/>
          <cell r="D627"/>
          <cell r="E627"/>
          <cell r="F627"/>
          <cell r="G627"/>
          <cell r="H627"/>
          <cell r="I627"/>
          <cell r="J627"/>
          <cell r="K627"/>
          <cell r="L627"/>
          <cell r="M627"/>
          <cell r="N627"/>
          <cell r="O627"/>
          <cell r="P627"/>
          <cell r="Q627"/>
          <cell r="R627"/>
          <cell r="S627"/>
          <cell r="T627"/>
          <cell r="U627"/>
          <cell r="V627"/>
          <cell r="W627"/>
          <cell r="X627">
            <v>0</v>
          </cell>
          <cell r="Y627">
            <v>0</v>
          </cell>
          <cell r="Z627">
            <v>0</v>
          </cell>
          <cell r="AA627" t="str">
            <v>,</v>
          </cell>
          <cell r="AB627" t="str">
            <v>,</v>
          </cell>
          <cell r="AC627" t="e">
            <v>#DIV/0!</v>
          </cell>
          <cell r="AD627" t="e">
            <v>#DIV/0!</v>
          </cell>
          <cell r="AE627">
            <v>0.71</v>
          </cell>
          <cell r="AF627">
            <v>94.97</v>
          </cell>
          <cell r="AG627">
            <v>0</v>
          </cell>
          <cell r="AH627" t="e">
            <v>#DIV/0!</v>
          </cell>
          <cell r="AI627" t="e">
            <v>#DIV/0!</v>
          </cell>
          <cell r="AJ627" t="e">
            <v>#DIV/0!</v>
          </cell>
          <cell r="AK627" t="e">
            <v>#DIV/0!</v>
          </cell>
          <cell r="AL627" t="e">
            <v>#DIV/0!</v>
          </cell>
          <cell r="AM627" t="e">
            <v>#DIV/0!</v>
          </cell>
          <cell r="AN627" t="e">
            <v>#DIV/0!</v>
          </cell>
          <cell r="AO627" t="e">
            <v>#REF!</v>
          </cell>
          <cell r="AP627" t="e">
            <v>#REF!</v>
          </cell>
          <cell r="AQ627" t="e">
            <v>#REF!</v>
          </cell>
          <cell r="AR627" t="e">
            <v>#REF!</v>
          </cell>
          <cell r="AS627" t="e">
            <v>#REF!</v>
          </cell>
          <cell r="AT627" t="e">
            <v>#REF!</v>
          </cell>
          <cell r="AU627" t="e">
            <v>#REF!</v>
          </cell>
          <cell r="AV627" t="e">
            <v>#REF!</v>
          </cell>
          <cell r="AW627" t="e">
            <v>#DIV/0!</v>
          </cell>
          <cell r="AX627" t="e">
            <v>#DIV/0!</v>
          </cell>
          <cell r="AY627" t="e">
            <v>#DIV/0!</v>
          </cell>
          <cell r="AZ627" t="e">
            <v>#DIV/0!</v>
          </cell>
          <cell r="BE627" t="e">
            <v>#DIV/0!</v>
          </cell>
          <cell r="BF627" t="e">
            <v>#DIV/0!</v>
          </cell>
        </row>
        <row r="628">
          <cell r="A628" t="str">
            <v>-0</v>
          </cell>
          <cell r="B628" t="str">
            <v xml:space="preserve">-0  , </v>
          </cell>
          <cell r="C628"/>
          <cell r="D628"/>
          <cell r="E628"/>
          <cell r="F628"/>
          <cell r="G628"/>
          <cell r="H628"/>
          <cell r="I628"/>
          <cell r="J628"/>
          <cell r="K628"/>
          <cell r="L628"/>
          <cell r="M628"/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  <cell r="X628">
            <v>0</v>
          </cell>
          <cell r="Y628">
            <v>0</v>
          </cell>
          <cell r="Z628">
            <v>0</v>
          </cell>
          <cell r="AA628" t="str">
            <v>,</v>
          </cell>
          <cell r="AB628" t="str">
            <v>,</v>
          </cell>
          <cell r="AC628" t="e">
            <v>#DIV/0!</v>
          </cell>
          <cell r="AD628" t="e">
            <v>#DIV/0!</v>
          </cell>
          <cell r="AE628">
            <v>0.71</v>
          </cell>
          <cell r="AF628">
            <v>94.97</v>
          </cell>
          <cell r="AG628">
            <v>0</v>
          </cell>
          <cell r="AH628" t="e">
            <v>#DIV/0!</v>
          </cell>
          <cell r="AI628" t="e">
            <v>#DIV/0!</v>
          </cell>
          <cell r="AJ628" t="e">
            <v>#DIV/0!</v>
          </cell>
          <cell r="AK628" t="e">
            <v>#DIV/0!</v>
          </cell>
          <cell r="AL628" t="e">
            <v>#DIV/0!</v>
          </cell>
          <cell r="AM628" t="e">
            <v>#DIV/0!</v>
          </cell>
          <cell r="AN628" t="e">
            <v>#DIV/0!</v>
          </cell>
          <cell r="AO628" t="e">
            <v>#REF!</v>
          </cell>
          <cell r="AP628" t="e">
            <v>#REF!</v>
          </cell>
          <cell r="AQ628" t="e">
            <v>#REF!</v>
          </cell>
          <cell r="AR628" t="e">
            <v>#REF!</v>
          </cell>
          <cell r="AS628" t="e">
            <v>#REF!</v>
          </cell>
          <cell r="AT628" t="e">
            <v>#REF!</v>
          </cell>
          <cell r="AU628" t="e">
            <v>#REF!</v>
          </cell>
          <cell r="AV628" t="e">
            <v>#REF!</v>
          </cell>
          <cell r="AW628" t="e">
            <v>#DIV/0!</v>
          </cell>
          <cell r="AX628" t="e">
            <v>#DIV/0!</v>
          </cell>
          <cell r="AY628" t="e">
            <v>#DIV/0!</v>
          </cell>
          <cell r="AZ628" t="e">
            <v>#DIV/0!</v>
          </cell>
          <cell r="BE628" t="e">
            <v>#DIV/0!</v>
          </cell>
          <cell r="BF628" t="e">
            <v>#DIV/0!</v>
          </cell>
        </row>
        <row r="629">
          <cell r="A629" t="str">
            <v>-0</v>
          </cell>
          <cell r="B629" t="str">
            <v xml:space="preserve">-0  , </v>
          </cell>
          <cell r="C629"/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/>
          <cell r="S629"/>
          <cell r="T629"/>
          <cell r="U629"/>
          <cell r="V629"/>
          <cell r="W629"/>
          <cell r="X629">
            <v>0</v>
          </cell>
          <cell r="Y629">
            <v>0</v>
          </cell>
          <cell r="Z629">
            <v>0</v>
          </cell>
          <cell r="AA629" t="str">
            <v>,</v>
          </cell>
          <cell r="AB629" t="str">
            <v>,</v>
          </cell>
          <cell r="AC629" t="e">
            <v>#DIV/0!</v>
          </cell>
          <cell r="AD629" t="e">
            <v>#DIV/0!</v>
          </cell>
          <cell r="AE629">
            <v>0.71</v>
          </cell>
          <cell r="AF629">
            <v>94.97</v>
          </cell>
          <cell r="AG629">
            <v>0</v>
          </cell>
          <cell r="AH629" t="e">
            <v>#DIV/0!</v>
          </cell>
          <cell r="AI629" t="e">
            <v>#DIV/0!</v>
          </cell>
          <cell r="AJ629" t="e">
            <v>#DIV/0!</v>
          </cell>
          <cell r="AK629" t="e">
            <v>#DIV/0!</v>
          </cell>
          <cell r="AL629" t="e">
            <v>#DIV/0!</v>
          </cell>
          <cell r="AM629" t="e">
            <v>#DIV/0!</v>
          </cell>
          <cell r="AN629" t="e">
            <v>#DIV/0!</v>
          </cell>
          <cell r="AO629" t="e">
            <v>#REF!</v>
          </cell>
          <cell r="AP629" t="e">
            <v>#REF!</v>
          </cell>
          <cell r="AQ629" t="e">
            <v>#REF!</v>
          </cell>
          <cell r="AR629" t="e">
            <v>#REF!</v>
          </cell>
          <cell r="AS629" t="e">
            <v>#REF!</v>
          </cell>
          <cell r="AT629" t="e">
            <v>#REF!</v>
          </cell>
          <cell r="AU629" t="e">
            <v>#REF!</v>
          </cell>
          <cell r="AV629" t="e">
            <v>#REF!</v>
          </cell>
          <cell r="AW629" t="e">
            <v>#DIV/0!</v>
          </cell>
          <cell r="AX629" t="e">
            <v>#DIV/0!</v>
          </cell>
          <cell r="AY629" t="e">
            <v>#DIV/0!</v>
          </cell>
          <cell r="AZ629" t="e">
            <v>#DIV/0!</v>
          </cell>
          <cell r="BE629" t="e">
            <v>#DIV/0!</v>
          </cell>
          <cell r="BF629" t="e">
            <v>#DIV/0!</v>
          </cell>
        </row>
        <row r="630">
          <cell r="A630" t="str">
            <v>-0</v>
          </cell>
          <cell r="B630" t="str">
            <v xml:space="preserve">-0  , </v>
          </cell>
          <cell r="C630"/>
          <cell r="D630"/>
          <cell r="E630"/>
          <cell r="F630"/>
          <cell r="G630"/>
          <cell r="H630"/>
          <cell r="I630"/>
          <cell r="J630"/>
          <cell r="K630"/>
          <cell r="L630"/>
          <cell r="M630"/>
          <cell r="N630"/>
          <cell r="O630"/>
          <cell r="P630"/>
          <cell r="Q630"/>
          <cell r="R630"/>
          <cell r="S630"/>
          <cell r="T630"/>
          <cell r="U630"/>
          <cell r="V630"/>
          <cell r="W630"/>
          <cell r="X630">
            <v>0</v>
          </cell>
          <cell r="Y630">
            <v>0</v>
          </cell>
          <cell r="Z630">
            <v>0</v>
          </cell>
          <cell r="AA630" t="str">
            <v>,</v>
          </cell>
          <cell r="AB630" t="str">
            <v>,</v>
          </cell>
          <cell r="AC630" t="e">
            <v>#DIV/0!</v>
          </cell>
          <cell r="AD630" t="e">
            <v>#DIV/0!</v>
          </cell>
          <cell r="AE630">
            <v>0.71</v>
          </cell>
          <cell r="AF630">
            <v>94.97</v>
          </cell>
          <cell r="AG630">
            <v>0</v>
          </cell>
          <cell r="AH630" t="e">
            <v>#DIV/0!</v>
          </cell>
          <cell r="AI630" t="e">
            <v>#DIV/0!</v>
          </cell>
          <cell r="AJ630" t="e">
            <v>#DIV/0!</v>
          </cell>
          <cell r="AK630" t="e">
            <v>#DIV/0!</v>
          </cell>
          <cell r="AL630" t="e">
            <v>#DIV/0!</v>
          </cell>
          <cell r="AM630" t="e">
            <v>#DIV/0!</v>
          </cell>
          <cell r="AN630" t="e">
            <v>#DIV/0!</v>
          </cell>
          <cell r="AO630" t="e">
            <v>#REF!</v>
          </cell>
          <cell r="AP630" t="e">
            <v>#REF!</v>
          </cell>
          <cell r="AQ630" t="e">
            <v>#REF!</v>
          </cell>
          <cell r="AR630" t="e">
            <v>#REF!</v>
          </cell>
          <cell r="AS630" t="e">
            <v>#REF!</v>
          </cell>
          <cell r="AT630" t="e">
            <v>#REF!</v>
          </cell>
          <cell r="AU630" t="e">
            <v>#REF!</v>
          </cell>
          <cell r="AV630" t="e">
            <v>#REF!</v>
          </cell>
          <cell r="AW630" t="e">
            <v>#DIV/0!</v>
          </cell>
          <cell r="AX630" t="e">
            <v>#DIV/0!</v>
          </cell>
          <cell r="AY630" t="e">
            <v>#DIV/0!</v>
          </cell>
          <cell r="AZ630" t="e">
            <v>#DIV/0!</v>
          </cell>
          <cell r="BE630" t="e">
            <v>#DIV/0!</v>
          </cell>
          <cell r="BF630" t="e">
            <v>#DIV/0!</v>
          </cell>
        </row>
        <row r="631">
          <cell r="A631" t="str">
            <v>-0</v>
          </cell>
          <cell r="B631" t="str">
            <v xml:space="preserve">-0  , </v>
          </cell>
          <cell r="C631"/>
          <cell r="D631"/>
          <cell r="E631"/>
          <cell r="F631"/>
          <cell r="G631"/>
          <cell r="H631"/>
          <cell r="I631"/>
          <cell r="J631"/>
          <cell r="K631"/>
          <cell r="L631"/>
          <cell r="M631"/>
          <cell r="N631"/>
          <cell r="O631"/>
          <cell r="P631"/>
          <cell r="Q631"/>
          <cell r="R631"/>
          <cell r="S631"/>
          <cell r="T631"/>
          <cell r="U631"/>
          <cell r="V631"/>
          <cell r="W631"/>
          <cell r="X631">
            <v>0</v>
          </cell>
          <cell r="Y631">
            <v>0</v>
          </cell>
          <cell r="Z631">
            <v>0</v>
          </cell>
          <cell r="AA631" t="str">
            <v>,</v>
          </cell>
          <cell r="AB631" t="str">
            <v>,</v>
          </cell>
          <cell r="AC631" t="e">
            <v>#DIV/0!</v>
          </cell>
          <cell r="AD631" t="e">
            <v>#DIV/0!</v>
          </cell>
          <cell r="AE631">
            <v>0.71</v>
          </cell>
          <cell r="AF631">
            <v>94.97</v>
          </cell>
          <cell r="AG631">
            <v>0</v>
          </cell>
          <cell r="AH631" t="e">
            <v>#DIV/0!</v>
          </cell>
          <cell r="AI631" t="e">
            <v>#DIV/0!</v>
          </cell>
          <cell r="AJ631" t="e">
            <v>#DIV/0!</v>
          </cell>
          <cell r="AK631" t="e">
            <v>#DIV/0!</v>
          </cell>
          <cell r="AL631" t="e">
            <v>#DIV/0!</v>
          </cell>
          <cell r="AM631" t="e">
            <v>#DIV/0!</v>
          </cell>
          <cell r="AN631" t="e">
            <v>#DIV/0!</v>
          </cell>
          <cell r="AO631" t="e">
            <v>#REF!</v>
          </cell>
          <cell r="AP631" t="e">
            <v>#REF!</v>
          </cell>
          <cell r="AQ631" t="e">
            <v>#REF!</v>
          </cell>
          <cell r="AR631" t="e">
            <v>#REF!</v>
          </cell>
          <cell r="AS631" t="e">
            <v>#REF!</v>
          </cell>
          <cell r="AT631" t="e">
            <v>#REF!</v>
          </cell>
          <cell r="AU631" t="e">
            <v>#REF!</v>
          </cell>
          <cell r="AV631" t="e">
            <v>#REF!</v>
          </cell>
          <cell r="AW631" t="e">
            <v>#DIV/0!</v>
          </cell>
          <cell r="AX631" t="e">
            <v>#DIV/0!</v>
          </cell>
          <cell r="AY631" t="e">
            <v>#DIV/0!</v>
          </cell>
          <cell r="AZ631" t="e">
            <v>#DIV/0!</v>
          </cell>
          <cell r="BE631" t="e">
            <v>#DIV/0!</v>
          </cell>
          <cell r="BF631" t="e">
            <v>#DIV/0!</v>
          </cell>
        </row>
        <row r="632">
          <cell r="A632" t="str">
            <v>-0</v>
          </cell>
          <cell r="B632" t="str">
            <v xml:space="preserve">-0  , </v>
          </cell>
          <cell r="C632"/>
          <cell r="D632"/>
          <cell r="E632"/>
          <cell r="F632"/>
          <cell r="G632"/>
          <cell r="H632"/>
          <cell r="I632"/>
          <cell r="J632"/>
          <cell r="K632"/>
          <cell r="L632"/>
          <cell r="M632"/>
          <cell r="N632"/>
          <cell r="O632"/>
          <cell r="P632"/>
          <cell r="Q632"/>
          <cell r="R632"/>
          <cell r="S632"/>
          <cell r="T632"/>
          <cell r="U632"/>
          <cell r="V632"/>
          <cell r="W632"/>
          <cell r="X632">
            <v>0</v>
          </cell>
          <cell r="Y632">
            <v>0</v>
          </cell>
          <cell r="Z632">
            <v>0</v>
          </cell>
          <cell r="AA632" t="str">
            <v>,</v>
          </cell>
          <cell r="AB632" t="str">
            <v>,</v>
          </cell>
          <cell r="AC632" t="e">
            <v>#DIV/0!</v>
          </cell>
          <cell r="AD632" t="e">
            <v>#DIV/0!</v>
          </cell>
          <cell r="AE632">
            <v>0.71</v>
          </cell>
          <cell r="AF632">
            <v>94.97</v>
          </cell>
          <cell r="AG632">
            <v>0</v>
          </cell>
          <cell r="AH632" t="e">
            <v>#DIV/0!</v>
          </cell>
          <cell r="AI632" t="e">
            <v>#DIV/0!</v>
          </cell>
          <cell r="AJ632" t="e">
            <v>#DIV/0!</v>
          </cell>
          <cell r="AK632" t="e">
            <v>#DIV/0!</v>
          </cell>
          <cell r="AL632" t="e">
            <v>#DIV/0!</v>
          </cell>
          <cell r="AM632" t="e">
            <v>#DIV/0!</v>
          </cell>
          <cell r="AN632" t="e">
            <v>#DIV/0!</v>
          </cell>
          <cell r="AO632" t="e">
            <v>#REF!</v>
          </cell>
          <cell r="AP632" t="e">
            <v>#REF!</v>
          </cell>
          <cell r="AQ632" t="e">
            <v>#REF!</v>
          </cell>
          <cell r="AR632" t="e">
            <v>#REF!</v>
          </cell>
          <cell r="AS632" t="e">
            <v>#REF!</v>
          </cell>
          <cell r="AT632" t="e">
            <v>#REF!</v>
          </cell>
          <cell r="AU632" t="e">
            <v>#REF!</v>
          </cell>
          <cell r="AV632" t="e">
            <v>#REF!</v>
          </cell>
          <cell r="AW632" t="e">
            <v>#DIV/0!</v>
          </cell>
          <cell r="AX632" t="e">
            <v>#DIV/0!</v>
          </cell>
          <cell r="AY632" t="e">
            <v>#DIV/0!</v>
          </cell>
          <cell r="AZ632" t="e">
            <v>#DIV/0!</v>
          </cell>
          <cell r="BE632" t="e">
            <v>#DIV/0!</v>
          </cell>
          <cell r="BF632" t="e">
            <v>#DIV/0!</v>
          </cell>
        </row>
        <row r="633">
          <cell r="A633" t="str">
            <v>-0</v>
          </cell>
          <cell r="B633" t="str">
            <v xml:space="preserve">-0  , </v>
          </cell>
          <cell r="C633"/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  <cell r="X633">
            <v>0</v>
          </cell>
          <cell r="Y633">
            <v>0</v>
          </cell>
          <cell r="Z633">
            <v>0</v>
          </cell>
          <cell r="AA633" t="str">
            <v>,</v>
          </cell>
          <cell r="AB633" t="str">
            <v>,</v>
          </cell>
          <cell r="AC633" t="e">
            <v>#DIV/0!</v>
          </cell>
          <cell r="AD633" t="e">
            <v>#DIV/0!</v>
          </cell>
          <cell r="AE633">
            <v>0.71</v>
          </cell>
          <cell r="AF633">
            <v>94.97</v>
          </cell>
          <cell r="AG633">
            <v>0</v>
          </cell>
          <cell r="AH633" t="e">
            <v>#DIV/0!</v>
          </cell>
          <cell r="AI633" t="e">
            <v>#DIV/0!</v>
          </cell>
          <cell r="AJ633" t="e">
            <v>#DIV/0!</v>
          </cell>
          <cell r="AK633" t="e">
            <v>#DIV/0!</v>
          </cell>
          <cell r="AL633" t="e">
            <v>#DIV/0!</v>
          </cell>
          <cell r="AM633" t="e">
            <v>#DIV/0!</v>
          </cell>
          <cell r="AN633" t="e">
            <v>#DIV/0!</v>
          </cell>
          <cell r="AO633" t="e">
            <v>#REF!</v>
          </cell>
          <cell r="AP633" t="e">
            <v>#REF!</v>
          </cell>
          <cell r="AQ633" t="e">
            <v>#REF!</v>
          </cell>
          <cell r="AR633" t="e">
            <v>#REF!</v>
          </cell>
          <cell r="AS633" t="e">
            <v>#REF!</v>
          </cell>
          <cell r="AT633" t="e">
            <v>#REF!</v>
          </cell>
          <cell r="AU633" t="e">
            <v>#REF!</v>
          </cell>
          <cell r="AV633" t="e">
            <v>#REF!</v>
          </cell>
          <cell r="AW633" t="e">
            <v>#DIV/0!</v>
          </cell>
          <cell r="AX633" t="e">
            <v>#DIV/0!</v>
          </cell>
          <cell r="AY633" t="e">
            <v>#DIV/0!</v>
          </cell>
          <cell r="AZ633" t="e">
            <v>#DIV/0!</v>
          </cell>
          <cell r="BE633" t="e">
            <v>#DIV/0!</v>
          </cell>
          <cell r="BF633" t="e">
            <v>#DIV/0!</v>
          </cell>
        </row>
        <row r="634">
          <cell r="A634" t="str">
            <v>-0</v>
          </cell>
          <cell r="B634" t="str">
            <v xml:space="preserve">-0  , </v>
          </cell>
          <cell r="C634"/>
          <cell r="D634"/>
          <cell r="E634"/>
          <cell r="F634"/>
          <cell r="G634"/>
          <cell r="H634"/>
          <cell r="I634"/>
          <cell r="J634"/>
          <cell r="K634"/>
          <cell r="L634"/>
          <cell r="M634"/>
          <cell r="N634"/>
          <cell r="O634"/>
          <cell r="P634"/>
          <cell r="Q634"/>
          <cell r="R634"/>
          <cell r="S634"/>
          <cell r="T634"/>
          <cell r="U634"/>
          <cell r="V634"/>
          <cell r="W634"/>
          <cell r="X634">
            <v>0</v>
          </cell>
          <cell r="Y634">
            <v>0</v>
          </cell>
          <cell r="Z634">
            <v>0</v>
          </cell>
          <cell r="AA634" t="str">
            <v>,</v>
          </cell>
          <cell r="AB634" t="str">
            <v>,</v>
          </cell>
          <cell r="AC634" t="e">
            <v>#DIV/0!</v>
          </cell>
          <cell r="AD634" t="e">
            <v>#DIV/0!</v>
          </cell>
          <cell r="AE634">
            <v>0.71</v>
          </cell>
          <cell r="AF634">
            <v>94.97</v>
          </cell>
          <cell r="AG634">
            <v>0</v>
          </cell>
          <cell r="AH634" t="e">
            <v>#DIV/0!</v>
          </cell>
          <cell r="AI634" t="e">
            <v>#DIV/0!</v>
          </cell>
          <cell r="AJ634" t="e">
            <v>#DIV/0!</v>
          </cell>
          <cell r="AK634" t="e">
            <v>#DIV/0!</v>
          </cell>
          <cell r="AL634" t="e">
            <v>#DIV/0!</v>
          </cell>
          <cell r="AM634" t="e">
            <v>#DIV/0!</v>
          </cell>
          <cell r="AN634" t="e">
            <v>#DIV/0!</v>
          </cell>
          <cell r="AO634" t="e">
            <v>#REF!</v>
          </cell>
          <cell r="AP634" t="e">
            <v>#REF!</v>
          </cell>
          <cell r="AQ634" t="e">
            <v>#REF!</v>
          </cell>
          <cell r="AR634" t="e">
            <v>#REF!</v>
          </cell>
          <cell r="AS634" t="e">
            <v>#REF!</v>
          </cell>
          <cell r="AT634" t="e">
            <v>#REF!</v>
          </cell>
          <cell r="AU634" t="e">
            <v>#REF!</v>
          </cell>
          <cell r="AV634" t="e">
            <v>#REF!</v>
          </cell>
          <cell r="AW634" t="e">
            <v>#DIV/0!</v>
          </cell>
          <cell r="AX634" t="e">
            <v>#DIV/0!</v>
          </cell>
          <cell r="AY634" t="e">
            <v>#DIV/0!</v>
          </cell>
          <cell r="AZ634" t="e">
            <v>#DIV/0!</v>
          </cell>
          <cell r="BE634" t="e">
            <v>#DIV/0!</v>
          </cell>
          <cell r="BF634" t="e">
            <v>#DIV/0!</v>
          </cell>
        </row>
        <row r="635">
          <cell r="A635" t="str">
            <v>-0</v>
          </cell>
          <cell r="B635" t="str">
            <v xml:space="preserve">-0  , </v>
          </cell>
          <cell r="C635"/>
          <cell r="D635"/>
          <cell r="E635"/>
          <cell r="F635"/>
          <cell r="G635"/>
          <cell r="H635"/>
          <cell r="I635"/>
          <cell r="J635"/>
          <cell r="K635"/>
          <cell r="L635"/>
          <cell r="M635"/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  <cell r="X635">
            <v>0</v>
          </cell>
          <cell r="Y635">
            <v>0</v>
          </cell>
          <cell r="Z635">
            <v>0</v>
          </cell>
          <cell r="AA635" t="str">
            <v>,</v>
          </cell>
          <cell r="AB635" t="str">
            <v>,</v>
          </cell>
          <cell r="AC635" t="e">
            <v>#DIV/0!</v>
          </cell>
          <cell r="AD635" t="e">
            <v>#DIV/0!</v>
          </cell>
          <cell r="AE635">
            <v>0.71</v>
          </cell>
          <cell r="AF635">
            <v>94.97</v>
          </cell>
          <cell r="AG635">
            <v>0</v>
          </cell>
          <cell r="AH635" t="e">
            <v>#DIV/0!</v>
          </cell>
          <cell r="AI635" t="e">
            <v>#DIV/0!</v>
          </cell>
          <cell r="AJ635" t="e">
            <v>#DIV/0!</v>
          </cell>
          <cell r="AK635" t="e">
            <v>#DIV/0!</v>
          </cell>
          <cell r="AL635" t="e">
            <v>#DIV/0!</v>
          </cell>
          <cell r="AM635" t="e">
            <v>#DIV/0!</v>
          </cell>
          <cell r="AN635" t="e">
            <v>#DIV/0!</v>
          </cell>
          <cell r="AO635" t="e">
            <v>#REF!</v>
          </cell>
          <cell r="AP635" t="e">
            <v>#REF!</v>
          </cell>
          <cell r="AQ635" t="e">
            <v>#REF!</v>
          </cell>
          <cell r="AR635" t="e">
            <v>#REF!</v>
          </cell>
          <cell r="AS635" t="e">
            <v>#REF!</v>
          </cell>
          <cell r="AT635" t="e">
            <v>#REF!</v>
          </cell>
          <cell r="AU635" t="e">
            <v>#REF!</v>
          </cell>
          <cell r="AV635" t="e">
            <v>#REF!</v>
          </cell>
          <cell r="AW635" t="e">
            <v>#DIV/0!</v>
          </cell>
          <cell r="AX635" t="e">
            <v>#DIV/0!</v>
          </cell>
          <cell r="AY635" t="e">
            <v>#DIV/0!</v>
          </cell>
          <cell r="AZ635" t="e">
            <v>#DIV/0!</v>
          </cell>
          <cell r="BE635" t="e">
            <v>#DIV/0!</v>
          </cell>
          <cell r="BF635" t="e">
            <v>#DIV/0!</v>
          </cell>
        </row>
        <row r="636">
          <cell r="A636" t="str">
            <v>-0</v>
          </cell>
          <cell r="B636" t="str">
            <v xml:space="preserve">-0  , </v>
          </cell>
          <cell r="C636"/>
          <cell r="D636"/>
          <cell r="E636"/>
          <cell r="F636"/>
          <cell r="G636"/>
          <cell r="H636"/>
          <cell r="I636"/>
          <cell r="J636"/>
          <cell r="K636"/>
          <cell r="L636"/>
          <cell r="M636"/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  <cell r="X636">
            <v>0</v>
          </cell>
          <cell r="Y636">
            <v>0</v>
          </cell>
          <cell r="Z636">
            <v>0</v>
          </cell>
          <cell r="AA636" t="str">
            <v>,</v>
          </cell>
          <cell r="AB636" t="str">
            <v>,</v>
          </cell>
          <cell r="AC636" t="e">
            <v>#DIV/0!</v>
          </cell>
          <cell r="AD636" t="e">
            <v>#DIV/0!</v>
          </cell>
          <cell r="AE636">
            <v>0.71</v>
          </cell>
          <cell r="AF636">
            <v>94.97</v>
          </cell>
          <cell r="AG636">
            <v>0</v>
          </cell>
          <cell r="AH636" t="e">
            <v>#DIV/0!</v>
          </cell>
          <cell r="AI636" t="e">
            <v>#DIV/0!</v>
          </cell>
          <cell r="AJ636" t="e">
            <v>#DIV/0!</v>
          </cell>
          <cell r="AK636" t="e">
            <v>#DIV/0!</v>
          </cell>
          <cell r="AL636" t="e">
            <v>#DIV/0!</v>
          </cell>
          <cell r="AM636" t="e">
            <v>#DIV/0!</v>
          </cell>
          <cell r="AN636" t="e">
            <v>#DIV/0!</v>
          </cell>
          <cell r="AO636" t="e">
            <v>#REF!</v>
          </cell>
          <cell r="AP636" t="e">
            <v>#REF!</v>
          </cell>
          <cell r="AQ636" t="e">
            <v>#REF!</v>
          </cell>
          <cell r="AR636" t="e">
            <v>#REF!</v>
          </cell>
          <cell r="AS636" t="e">
            <v>#REF!</v>
          </cell>
          <cell r="AT636" t="e">
            <v>#REF!</v>
          </cell>
          <cell r="AU636" t="e">
            <v>#REF!</v>
          </cell>
          <cell r="AV636" t="e">
            <v>#REF!</v>
          </cell>
          <cell r="AW636" t="e">
            <v>#DIV/0!</v>
          </cell>
          <cell r="AX636" t="e">
            <v>#DIV/0!</v>
          </cell>
          <cell r="AY636" t="e">
            <v>#DIV/0!</v>
          </cell>
          <cell r="AZ636" t="e">
            <v>#DIV/0!</v>
          </cell>
          <cell r="BE636" t="e">
            <v>#DIV/0!</v>
          </cell>
          <cell r="BF636" t="e">
            <v>#DIV/0!</v>
          </cell>
        </row>
        <row r="637">
          <cell r="A637" t="str">
            <v>-0</v>
          </cell>
          <cell r="B637" t="str">
            <v xml:space="preserve">-0  , </v>
          </cell>
          <cell r="C637"/>
          <cell r="D637"/>
          <cell r="E637"/>
          <cell r="F637"/>
          <cell r="G637"/>
          <cell r="H637"/>
          <cell r="I637"/>
          <cell r="J637"/>
          <cell r="K637"/>
          <cell r="L637"/>
          <cell r="M637"/>
          <cell r="N637"/>
          <cell r="O637"/>
          <cell r="P637"/>
          <cell r="Q637"/>
          <cell r="R637"/>
          <cell r="S637"/>
          <cell r="T637"/>
          <cell r="U637"/>
          <cell r="V637"/>
          <cell r="W637"/>
          <cell r="X637">
            <v>0</v>
          </cell>
          <cell r="Y637">
            <v>0</v>
          </cell>
          <cell r="Z637">
            <v>0</v>
          </cell>
          <cell r="AA637" t="str">
            <v>,</v>
          </cell>
          <cell r="AB637" t="str">
            <v>,</v>
          </cell>
          <cell r="AC637" t="e">
            <v>#DIV/0!</v>
          </cell>
          <cell r="AD637" t="e">
            <v>#DIV/0!</v>
          </cell>
          <cell r="AE637">
            <v>0.71</v>
          </cell>
          <cell r="AF637">
            <v>94.97</v>
          </cell>
          <cell r="AG637">
            <v>0</v>
          </cell>
          <cell r="AH637" t="e">
            <v>#DIV/0!</v>
          </cell>
          <cell r="AI637" t="e">
            <v>#DIV/0!</v>
          </cell>
          <cell r="AJ637" t="e">
            <v>#DIV/0!</v>
          </cell>
          <cell r="AK637" t="e">
            <v>#DIV/0!</v>
          </cell>
          <cell r="AL637" t="e">
            <v>#DIV/0!</v>
          </cell>
          <cell r="AM637" t="e">
            <v>#DIV/0!</v>
          </cell>
          <cell r="AN637" t="e">
            <v>#DIV/0!</v>
          </cell>
          <cell r="AO637" t="e">
            <v>#REF!</v>
          </cell>
          <cell r="AP637" t="e">
            <v>#REF!</v>
          </cell>
          <cell r="AQ637" t="e">
            <v>#REF!</v>
          </cell>
          <cell r="AR637" t="e">
            <v>#REF!</v>
          </cell>
          <cell r="AS637" t="e">
            <v>#REF!</v>
          </cell>
          <cell r="AT637" t="e">
            <v>#REF!</v>
          </cell>
          <cell r="AU637" t="e">
            <v>#REF!</v>
          </cell>
          <cell r="AV637" t="e">
            <v>#REF!</v>
          </cell>
          <cell r="AW637" t="e">
            <v>#DIV/0!</v>
          </cell>
          <cell r="AX637" t="e">
            <v>#DIV/0!</v>
          </cell>
          <cell r="AY637" t="e">
            <v>#DIV/0!</v>
          </cell>
          <cell r="AZ637" t="e">
            <v>#DIV/0!</v>
          </cell>
          <cell r="BE637" t="e">
            <v>#DIV/0!</v>
          </cell>
          <cell r="BF637" t="e">
            <v>#DIV/0!</v>
          </cell>
        </row>
        <row r="638">
          <cell r="A638" t="str">
            <v>-0</v>
          </cell>
          <cell r="B638" t="str">
            <v xml:space="preserve">-0  , </v>
          </cell>
          <cell r="C638"/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/>
          <cell r="S638"/>
          <cell r="T638"/>
          <cell r="U638"/>
          <cell r="V638"/>
          <cell r="W638"/>
          <cell r="X638">
            <v>0</v>
          </cell>
          <cell r="Y638">
            <v>0</v>
          </cell>
          <cell r="Z638">
            <v>0</v>
          </cell>
          <cell r="AA638" t="str">
            <v>,</v>
          </cell>
          <cell r="AB638" t="str">
            <v>,</v>
          </cell>
          <cell r="AC638" t="e">
            <v>#DIV/0!</v>
          </cell>
          <cell r="AD638" t="e">
            <v>#DIV/0!</v>
          </cell>
          <cell r="AE638">
            <v>0.71</v>
          </cell>
          <cell r="AF638">
            <v>94.97</v>
          </cell>
          <cell r="AG638">
            <v>0</v>
          </cell>
          <cell r="AH638" t="e">
            <v>#DIV/0!</v>
          </cell>
          <cell r="AI638" t="e">
            <v>#DIV/0!</v>
          </cell>
          <cell r="AJ638" t="e">
            <v>#DIV/0!</v>
          </cell>
          <cell r="AK638" t="e">
            <v>#DIV/0!</v>
          </cell>
          <cell r="AL638" t="e">
            <v>#DIV/0!</v>
          </cell>
          <cell r="AM638" t="e">
            <v>#DIV/0!</v>
          </cell>
          <cell r="AN638" t="e">
            <v>#DIV/0!</v>
          </cell>
          <cell r="AO638" t="e">
            <v>#REF!</v>
          </cell>
          <cell r="AP638" t="e">
            <v>#REF!</v>
          </cell>
          <cell r="AQ638" t="e">
            <v>#REF!</v>
          </cell>
          <cell r="AR638" t="e">
            <v>#REF!</v>
          </cell>
          <cell r="AS638" t="e">
            <v>#REF!</v>
          </cell>
          <cell r="AT638" t="e">
            <v>#REF!</v>
          </cell>
          <cell r="AU638" t="e">
            <v>#REF!</v>
          </cell>
          <cell r="AV638" t="e">
            <v>#REF!</v>
          </cell>
          <cell r="AW638" t="e">
            <v>#DIV/0!</v>
          </cell>
          <cell r="AX638" t="e">
            <v>#DIV/0!</v>
          </cell>
          <cell r="AY638" t="e">
            <v>#DIV/0!</v>
          </cell>
          <cell r="AZ638" t="e">
            <v>#DIV/0!</v>
          </cell>
          <cell r="BE638" t="e">
            <v>#DIV/0!</v>
          </cell>
          <cell r="BF638" t="e">
            <v>#DIV/0!</v>
          </cell>
        </row>
        <row r="639">
          <cell r="A639" t="str">
            <v>-0</v>
          </cell>
          <cell r="B639" t="str">
            <v xml:space="preserve">-0  , </v>
          </cell>
          <cell r="C639"/>
          <cell r="D639"/>
          <cell r="E639"/>
          <cell r="F639"/>
          <cell r="G639"/>
          <cell r="H639"/>
          <cell r="I639"/>
          <cell r="J639"/>
          <cell r="K639"/>
          <cell r="L639"/>
          <cell r="M639"/>
          <cell r="N639"/>
          <cell r="O639"/>
          <cell r="P639"/>
          <cell r="Q639"/>
          <cell r="R639"/>
          <cell r="S639"/>
          <cell r="T639"/>
          <cell r="U639"/>
          <cell r="V639"/>
          <cell r="W639"/>
          <cell r="X639">
            <v>0</v>
          </cell>
          <cell r="Y639">
            <v>0</v>
          </cell>
          <cell r="Z639">
            <v>0</v>
          </cell>
          <cell r="AA639" t="str">
            <v>,</v>
          </cell>
          <cell r="AB639" t="str">
            <v>,</v>
          </cell>
          <cell r="AC639" t="e">
            <v>#DIV/0!</v>
          </cell>
          <cell r="AD639" t="e">
            <v>#DIV/0!</v>
          </cell>
          <cell r="AE639">
            <v>0.71</v>
          </cell>
          <cell r="AF639">
            <v>94.97</v>
          </cell>
          <cell r="AG639">
            <v>0</v>
          </cell>
          <cell r="AH639" t="e">
            <v>#DIV/0!</v>
          </cell>
          <cell r="AI639" t="e">
            <v>#DIV/0!</v>
          </cell>
          <cell r="AJ639" t="e">
            <v>#DIV/0!</v>
          </cell>
          <cell r="AK639" t="e">
            <v>#DIV/0!</v>
          </cell>
          <cell r="AL639" t="e">
            <v>#DIV/0!</v>
          </cell>
          <cell r="AM639" t="e">
            <v>#DIV/0!</v>
          </cell>
          <cell r="AN639" t="e">
            <v>#DIV/0!</v>
          </cell>
          <cell r="AO639" t="e">
            <v>#REF!</v>
          </cell>
          <cell r="AP639" t="e">
            <v>#REF!</v>
          </cell>
          <cell r="AQ639" t="e">
            <v>#REF!</v>
          </cell>
          <cell r="AR639" t="e">
            <v>#REF!</v>
          </cell>
          <cell r="AS639" t="e">
            <v>#REF!</v>
          </cell>
          <cell r="AT639" t="e">
            <v>#REF!</v>
          </cell>
          <cell r="AU639" t="e">
            <v>#REF!</v>
          </cell>
          <cell r="AV639" t="e">
            <v>#REF!</v>
          </cell>
          <cell r="AW639" t="e">
            <v>#DIV/0!</v>
          </cell>
          <cell r="AX639" t="e">
            <v>#DIV/0!</v>
          </cell>
          <cell r="AY639" t="e">
            <v>#DIV/0!</v>
          </cell>
          <cell r="AZ639" t="e">
            <v>#DIV/0!</v>
          </cell>
          <cell r="BE639" t="e">
            <v>#DIV/0!</v>
          </cell>
          <cell r="BF639" t="e">
            <v>#DIV/0!</v>
          </cell>
        </row>
        <row r="640">
          <cell r="A640" t="str">
            <v>-0</v>
          </cell>
          <cell r="B640" t="str">
            <v xml:space="preserve">-0  , </v>
          </cell>
          <cell r="C640"/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  <cell r="X640">
            <v>0</v>
          </cell>
          <cell r="Y640">
            <v>0</v>
          </cell>
          <cell r="Z640">
            <v>0</v>
          </cell>
          <cell r="AA640" t="str">
            <v>,</v>
          </cell>
          <cell r="AB640" t="str">
            <v>,</v>
          </cell>
          <cell r="AC640" t="e">
            <v>#DIV/0!</v>
          </cell>
          <cell r="AD640" t="e">
            <v>#DIV/0!</v>
          </cell>
          <cell r="AE640">
            <v>0.71</v>
          </cell>
          <cell r="AF640">
            <v>94.97</v>
          </cell>
          <cell r="AG640">
            <v>0</v>
          </cell>
          <cell r="AH640" t="e">
            <v>#DIV/0!</v>
          </cell>
          <cell r="AI640" t="e">
            <v>#DIV/0!</v>
          </cell>
          <cell r="AJ640" t="e">
            <v>#DIV/0!</v>
          </cell>
          <cell r="AK640" t="e">
            <v>#DIV/0!</v>
          </cell>
          <cell r="AL640" t="e">
            <v>#DIV/0!</v>
          </cell>
          <cell r="AM640" t="e">
            <v>#DIV/0!</v>
          </cell>
          <cell r="AN640" t="e">
            <v>#DIV/0!</v>
          </cell>
          <cell r="AO640" t="e">
            <v>#REF!</v>
          </cell>
          <cell r="AP640" t="e">
            <v>#REF!</v>
          </cell>
          <cell r="AQ640" t="e">
            <v>#REF!</v>
          </cell>
          <cell r="AR640" t="e">
            <v>#REF!</v>
          </cell>
          <cell r="AS640" t="e">
            <v>#REF!</v>
          </cell>
          <cell r="AT640" t="e">
            <v>#REF!</v>
          </cell>
          <cell r="AU640" t="e">
            <v>#REF!</v>
          </cell>
          <cell r="AV640" t="e">
            <v>#REF!</v>
          </cell>
          <cell r="AW640" t="e">
            <v>#DIV/0!</v>
          </cell>
          <cell r="AX640" t="e">
            <v>#DIV/0!</v>
          </cell>
          <cell r="AY640" t="e">
            <v>#DIV/0!</v>
          </cell>
          <cell r="AZ640" t="e">
            <v>#DIV/0!</v>
          </cell>
          <cell r="BE640" t="e">
            <v>#DIV/0!</v>
          </cell>
          <cell r="BF640" t="e">
            <v>#DIV/0!</v>
          </cell>
        </row>
        <row r="641">
          <cell r="A641" t="str">
            <v>-0</v>
          </cell>
          <cell r="B641" t="str">
            <v xml:space="preserve">-0  , </v>
          </cell>
          <cell r="C641"/>
          <cell r="D641"/>
          <cell r="E641"/>
          <cell r="F641"/>
          <cell r="G641"/>
          <cell r="H641"/>
          <cell r="I641"/>
          <cell r="J641"/>
          <cell r="K641"/>
          <cell r="L641"/>
          <cell r="M641"/>
          <cell r="N641"/>
          <cell r="O641"/>
          <cell r="P641"/>
          <cell r="Q641"/>
          <cell r="R641"/>
          <cell r="S641"/>
          <cell r="T641"/>
          <cell r="U641"/>
          <cell r="V641"/>
          <cell r="W641"/>
          <cell r="X641">
            <v>0</v>
          </cell>
          <cell r="Y641">
            <v>0</v>
          </cell>
          <cell r="Z641">
            <v>0</v>
          </cell>
          <cell r="AA641" t="str">
            <v>,</v>
          </cell>
          <cell r="AB641" t="str">
            <v>,</v>
          </cell>
          <cell r="AC641" t="e">
            <v>#DIV/0!</v>
          </cell>
          <cell r="AD641" t="e">
            <v>#DIV/0!</v>
          </cell>
          <cell r="AE641">
            <v>0.71</v>
          </cell>
          <cell r="AF641">
            <v>94.97</v>
          </cell>
          <cell r="AG641">
            <v>0</v>
          </cell>
          <cell r="AH641" t="e">
            <v>#DIV/0!</v>
          </cell>
          <cell r="AI641" t="e">
            <v>#DIV/0!</v>
          </cell>
          <cell r="AJ641" t="e">
            <v>#DIV/0!</v>
          </cell>
          <cell r="AK641" t="e">
            <v>#DIV/0!</v>
          </cell>
          <cell r="AL641" t="e">
            <v>#DIV/0!</v>
          </cell>
          <cell r="AM641" t="e">
            <v>#DIV/0!</v>
          </cell>
          <cell r="AN641" t="e">
            <v>#DIV/0!</v>
          </cell>
          <cell r="AO641" t="e">
            <v>#REF!</v>
          </cell>
          <cell r="AP641" t="e">
            <v>#REF!</v>
          </cell>
          <cell r="AQ641" t="e">
            <v>#REF!</v>
          </cell>
          <cell r="AR641" t="e">
            <v>#REF!</v>
          </cell>
          <cell r="AS641" t="e">
            <v>#REF!</v>
          </cell>
          <cell r="AT641" t="e">
            <v>#REF!</v>
          </cell>
          <cell r="AU641" t="e">
            <v>#REF!</v>
          </cell>
          <cell r="AV641" t="e">
            <v>#REF!</v>
          </cell>
          <cell r="AW641" t="e">
            <v>#DIV/0!</v>
          </cell>
          <cell r="AX641" t="e">
            <v>#DIV/0!</v>
          </cell>
          <cell r="AY641" t="e">
            <v>#DIV/0!</v>
          </cell>
          <cell r="AZ641" t="e">
            <v>#DIV/0!</v>
          </cell>
          <cell r="BE641" t="e">
            <v>#DIV/0!</v>
          </cell>
          <cell r="BF641" t="e">
            <v>#DIV/0!</v>
          </cell>
        </row>
        <row r="642">
          <cell r="A642" t="str">
            <v>-0</v>
          </cell>
          <cell r="B642" t="str">
            <v xml:space="preserve">-0  , </v>
          </cell>
          <cell r="C642"/>
          <cell r="D642"/>
          <cell r="E642"/>
          <cell r="F642"/>
          <cell r="G642"/>
          <cell r="H642"/>
          <cell r="I642"/>
          <cell r="J642"/>
          <cell r="K642"/>
          <cell r="L642"/>
          <cell r="M642"/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  <cell r="X642">
            <v>0</v>
          </cell>
          <cell r="Y642">
            <v>0</v>
          </cell>
          <cell r="Z642">
            <v>0</v>
          </cell>
          <cell r="AA642" t="str">
            <v>,</v>
          </cell>
          <cell r="AB642" t="str">
            <v>,</v>
          </cell>
          <cell r="AC642" t="e">
            <v>#DIV/0!</v>
          </cell>
          <cell r="AD642" t="e">
            <v>#DIV/0!</v>
          </cell>
          <cell r="AE642">
            <v>0.71</v>
          </cell>
          <cell r="AF642">
            <v>94.97</v>
          </cell>
          <cell r="AG642">
            <v>0</v>
          </cell>
          <cell r="AH642" t="e">
            <v>#DIV/0!</v>
          </cell>
          <cell r="AI642" t="e">
            <v>#DIV/0!</v>
          </cell>
          <cell r="AJ642" t="e">
            <v>#DIV/0!</v>
          </cell>
          <cell r="AK642" t="e">
            <v>#DIV/0!</v>
          </cell>
          <cell r="AL642" t="e">
            <v>#DIV/0!</v>
          </cell>
          <cell r="AM642" t="e">
            <v>#DIV/0!</v>
          </cell>
          <cell r="AN642" t="e">
            <v>#DIV/0!</v>
          </cell>
          <cell r="AO642" t="e">
            <v>#REF!</v>
          </cell>
          <cell r="AP642" t="e">
            <v>#REF!</v>
          </cell>
          <cell r="AQ642" t="e">
            <v>#REF!</v>
          </cell>
          <cell r="AR642" t="e">
            <v>#REF!</v>
          </cell>
          <cell r="AS642" t="e">
            <v>#REF!</v>
          </cell>
          <cell r="AT642" t="e">
            <v>#REF!</v>
          </cell>
          <cell r="AU642" t="e">
            <v>#REF!</v>
          </cell>
          <cell r="AV642" t="e">
            <v>#REF!</v>
          </cell>
          <cell r="AW642" t="e">
            <v>#DIV/0!</v>
          </cell>
          <cell r="AX642" t="e">
            <v>#DIV/0!</v>
          </cell>
          <cell r="AY642" t="e">
            <v>#DIV/0!</v>
          </cell>
          <cell r="AZ642" t="e">
            <v>#DIV/0!</v>
          </cell>
          <cell r="BE642" t="e">
            <v>#DIV/0!</v>
          </cell>
          <cell r="BF642" t="e">
            <v>#DIV/0!</v>
          </cell>
        </row>
        <row r="643">
          <cell r="A643" t="str">
            <v>-0</v>
          </cell>
          <cell r="B643" t="str">
            <v xml:space="preserve">-0  , </v>
          </cell>
          <cell r="C643"/>
          <cell r="D643"/>
          <cell r="E643"/>
          <cell r="F643"/>
          <cell r="G643"/>
          <cell r="H643"/>
          <cell r="I643"/>
          <cell r="J643"/>
          <cell r="K643"/>
          <cell r="L643"/>
          <cell r="M643"/>
          <cell r="N643"/>
          <cell r="O643"/>
          <cell r="P643"/>
          <cell r="Q643"/>
          <cell r="R643"/>
          <cell r="S643"/>
          <cell r="T643"/>
          <cell r="U643"/>
          <cell r="V643"/>
          <cell r="W643"/>
          <cell r="X643">
            <v>0</v>
          </cell>
          <cell r="Y643">
            <v>0</v>
          </cell>
          <cell r="Z643">
            <v>0</v>
          </cell>
          <cell r="AA643" t="str">
            <v>,</v>
          </cell>
          <cell r="AB643" t="str">
            <v>,</v>
          </cell>
          <cell r="AC643" t="e">
            <v>#DIV/0!</v>
          </cell>
          <cell r="AD643" t="e">
            <v>#DIV/0!</v>
          </cell>
          <cell r="AE643">
            <v>0.71</v>
          </cell>
          <cell r="AF643">
            <v>94.97</v>
          </cell>
          <cell r="AG643">
            <v>0</v>
          </cell>
          <cell r="AH643" t="e">
            <v>#DIV/0!</v>
          </cell>
          <cell r="AI643" t="e">
            <v>#DIV/0!</v>
          </cell>
          <cell r="AJ643" t="e">
            <v>#DIV/0!</v>
          </cell>
          <cell r="AK643" t="e">
            <v>#DIV/0!</v>
          </cell>
          <cell r="AL643" t="e">
            <v>#DIV/0!</v>
          </cell>
          <cell r="AM643" t="e">
            <v>#DIV/0!</v>
          </cell>
          <cell r="AN643" t="e">
            <v>#DIV/0!</v>
          </cell>
          <cell r="AO643" t="e">
            <v>#REF!</v>
          </cell>
          <cell r="AP643" t="e">
            <v>#REF!</v>
          </cell>
          <cell r="AQ643" t="e">
            <v>#REF!</v>
          </cell>
          <cell r="AR643" t="e">
            <v>#REF!</v>
          </cell>
          <cell r="AS643" t="e">
            <v>#REF!</v>
          </cell>
          <cell r="AT643" t="e">
            <v>#REF!</v>
          </cell>
          <cell r="AU643" t="e">
            <v>#REF!</v>
          </cell>
          <cell r="AV643" t="e">
            <v>#REF!</v>
          </cell>
          <cell r="AW643" t="e">
            <v>#DIV/0!</v>
          </cell>
          <cell r="AX643" t="e">
            <v>#DIV/0!</v>
          </cell>
          <cell r="AY643" t="e">
            <v>#DIV/0!</v>
          </cell>
          <cell r="AZ643" t="e">
            <v>#DIV/0!</v>
          </cell>
          <cell r="BE643" t="e">
            <v>#DIV/0!</v>
          </cell>
          <cell r="BF643" t="e">
            <v>#DIV/0!</v>
          </cell>
        </row>
        <row r="644">
          <cell r="A644" t="str">
            <v>-0</v>
          </cell>
          <cell r="B644" t="str">
            <v xml:space="preserve">-0  , </v>
          </cell>
          <cell r="C644"/>
          <cell r="D644"/>
          <cell r="E644"/>
          <cell r="F644"/>
          <cell r="G644"/>
          <cell r="H644"/>
          <cell r="I644"/>
          <cell r="J644"/>
          <cell r="K644"/>
          <cell r="L644"/>
          <cell r="M644"/>
          <cell r="N644"/>
          <cell r="O644"/>
          <cell r="P644"/>
          <cell r="Q644"/>
          <cell r="R644"/>
          <cell r="S644"/>
          <cell r="T644"/>
          <cell r="U644"/>
          <cell r="V644"/>
          <cell r="W644"/>
          <cell r="X644">
            <v>0</v>
          </cell>
          <cell r="Y644">
            <v>0</v>
          </cell>
          <cell r="Z644">
            <v>0</v>
          </cell>
          <cell r="AA644" t="str">
            <v>,</v>
          </cell>
          <cell r="AB644" t="str">
            <v>,</v>
          </cell>
          <cell r="AC644" t="e">
            <v>#DIV/0!</v>
          </cell>
          <cell r="AD644" t="e">
            <v>#DIV/0!</v>
          </cell>
          <cell r="AE644">
            <v>0.71</v>
          </cell>
          <cell r="AF644">
            <v>94.97</v>
          </cell>
          <cell r="AG644">
            <v>0</v>
          </cell>
          <cell r="AH644" t="e">
            <v>#DIV/0!</v>
          </cell>
          <cell r="AI644" t="e">
            <v>#DIV/0!</v>
          </cell>
          <cell r="AJ644" t="e">
            <v>#DIV/0!</v>
          </cell>
          <cell r="AK644" t="e">
            <v>#DIV/0!</v>
          </cell>
          <cell r="AL644" t="e">
            <v>#DIV/0!</v>
          </cell>
          <cell r="AM644" t="e">
            <v>#DIV/0!</v>
          </cell>
          <cell r="AN644" t="e">
            <v>#DIV/0!</v>
          </cell>
          <cell r="AO644" t="e">
            <v>#REF!</v>
          </cell>
          <cell r="AP644" t="e">
            <v>#REF!</v>
          </cell>
          <cell r="AQ644" t="e">
            <v>#REF!</v>
          </cell>
          <cell r="AR644" t="e">
            <v>#REF!</v>
          </cell>
          <cell r="AS644" t="e">
            <v>#REF!</v>
          </cell>
          <cell r="AT644" t="e">
            <v>#REF!</v>
          </cell>
          <cell r="AU644" t="e">
            <v>#REF!</v>
          </cell>
          <cell r="AV644" t="e">
            <v>#REF!</v>
          </cell>
          <cell r="AW644" t="e">
            <v>#DIV/0!</v>
          </cell>
          <cell r="AX644" t="e">
            <v>#DIV/0!</v>
          </cell>
          <cell r="AY644" t="e">
            <v>#DIV/0!</v>
          </cell>
          <cell r="AZ644" t="e">
            <v>#DIV/0!</v>
          </cell>
          <cell r="BE644" t="e">
            <v>#DIV/0!</v>
          </cell>
          <cell r="BF644" t="e">
            <v>#DIV/0!</v>
          </cell>
        </row>
        <row r="645">
          <cell r="A645" t="str">
            <v>-0</v>
          </cell>
          <cell r="B645" t="str">
            <v xml:space="preserve">-0  , </v>
          </cell>
          <cell r="C645"/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/>
          <cell r="S645"/>
          <cell r="T645"/>
          <cell r="U645"/>
          <cell r="V645"/>
          <cell r="W645"/>
          <cell r="X645">
            <v>0</v>
          </cell>
          <cell r="Y645">
            <v>0</v>
          </cell>
          <cell r="Z645">
            <v>0</v>
          </cell>
          <cell r="AA645" t="str">
            <v>,</v>
          </cell>
          <cell r="AB645" t="str">
            <v>,</v>
          </cell>
          <cell r="AC645" t="e">
            <v>#DIV/0!</v>
          </cell>
          <cell r="AD645" t="e">
            <v>#DIV/0!</v>
          </cell>
          <cell r="AE645">
            <v>0.71</v>
          </cell>
          <cell r="AF645">
            <v>94.97</v>
          </cell>
          <cell r="AG645">
            <v>0</v>
          </cell>
          <cell r="AH645" t="e">
            <v>#DIV/0!</v>
          </cell>
          <cell r="AI645" t="e">
            <v>#DIV/0!</v>
          </cell>
          <cell r="AJ645" t="e">
            <v>#DIV/0!</v>
          </cell>
          <cell r="AK645" t="e">
            <v>#DIV/0!</v>
          </cell>
          <cell r="AL645" t="e">
            <v>#DIV/0!</v>
          </cell>
          <cell r="AM645" t="e">
            <v>#DIV/0!</v>
          </cell>
          <cell r="AN645" t="e">
            <v>#DIV/0!</v>
          </cell>
          <cell r="AO645" t="e">
            <v>#REF!</v>
          </cell>
          <cell r="AP645" t="e">
            <v>#REF!</v>
          </cell>
          <cell r="AQ645" t="e">
            <v>#REF!</v>
          </cell>
          <cell r="AR645" t="e">
            <v>#REF!</v>
          </cell>
          <cell r="AS645" t="e">
            <v>#REF!</v>
          </cell>
          <cell r="AT645" t="e">
            <v>#REF!</v>
          </cell>
          <cell r="AU645" t="e">
            <v>#REF!</v>
          </cell>
          <cell r="AV645" t="e">
            <v>#REF!</v>
          </cell>
          <cell r="AW645" t="e">
            <v>#DIV/0!</v>
          </cell>
          <cell r="AX645" t="e">
            <v>#DIV/0!</v>
          </cell>
          <cell r="AY645" t="e">
            <v>#DIV/0!</v>
          </cell>
          <cell r="AZ645" t="e">
            <v>#DIV/0!</v>
          </cell>
          <cell r="BE645" t="e">
            <v>#DIV/0!</v>
          </cell>
          <cell r="BF645" t="e">
            <v>#DIV/0!</v>
          </cell>
        </row>
        <row r="646">
          <cell r="A646" t="str">
            <v>-0</v>
          </cell>
          <cell r="B646" t="str">
            <v xml:space="preserve">-0  , </v>
          </cell>
          <cell r="C646"/>
          <cell r="D646"/>
          <cell r="E646"/>
          <cell r="F646"/>
          <cell r="G646"/>
          <cell r="H646"/>
          <cell r="I646"/>
          <cell r="J646"/>
          <cell r="K646"/>
          <cell r="L646"/>
          <cell r="M646"/>
          <cell r="N646"/>
          <cell r="O646"/>
          <cell r="P646"/>
          <cell r="Q646"/>
          <cell r="R646"/>
          <cell r="S646"/>
          <cell r="T646"/>
          <cell r="U646"/>
          <cell r="V646"/>
          <cell r="W646"/>
          <cell r="X646">
            <v>0</v>
          </cell>
          <cell r="Y646">
            <v>0</v>
          </cell>
          <cell r="Z646">
            <v>0</v>
          </cell>
          <cell r="AA646" t="str">
            <v>,</v>
          </cell>
          <cell r="AB646" t="str">
            <v>,</v>
          </cell>
          <cell r="AC646" t="e">
            <v>#DIV/0!</v>
          </cell>
          <cell r="AD646" t="e">
            <v>#DIV/0!</v>
          </cell>
          <cell r="AE646">
            <v>0.71</v>
          </cell>
          <cell r="AF646">
            <v>94.97</v>
          </cell>
          <cell r="AG646">
            <v>0</v>
          </cell>
          <cell r="AH646" t="e">
            <v>#DIV/0!</v>
          </cell>
          <cell r="AI646" t="e">
            <v>#DIV/0!</v>
          </cell>
          <cell r="AJ646" t="e">
            <v>#DIV/0!</v>
          </cell>
          <cell r="AK646" t="e">
            <v>#DIV/0!</v>
          </cell>
          <cell r="AL646" t="e">
            <v>#DIV/0!</v>
          </cell>
          <cell r="AM646" t="e">
            <v>#DIV/0!</v>
          </cell>
          <cell r="AN646" t="e">
            <v>#DIV/0!</v>
          </cell>
          <cell r="AO646" t="e">
            <v>#REF!</v>
          </cell>
          <cell r="AP646" t="e">
            <v>#REF!</v>
          </cell>
          <cell r="AQ646" t="e">
            <v>#REF!</v>
          </cell>
          <cell r="AR646" t="e">
            <v>#REF!</v>
          </cell>
          <cell r="AS646" t="e">
            <v>#REF!</v>
          </cell>
          <cell r="AT646" t="e">
            <v>#REF!</v>
          </cell>
          <cell r="AU646" t="e">
            <v>#REF!</v>
          </cell>
          <cell r="AV646" t="e">
            <v>#REF!</v>
          </cell>
          <cell r="AW646" t="e">
            <v>#DIV/0!</v>
          </cell>
          <cell r="AX646" t="e">
            <v>#DIV/0!</v>
          </cell>
          <cell r="AY646" t="e">
            <v>#DIV/0!</v>
          </cell>
          <cell r="AZ646" t="e">
            <v>#DIV/0!</v>
          </cell>
          <cell r="BE646" t="e">
            <v>#DIV/0!</v>
          </cell>
          <cell r="BF646" t="e">
            <v>#DIV/0!</v>
          </cell>
        </row>
        <row r="647">
          <cell r="A647" t="str">
            <v>-0</v>
          </cell>
          <cell r="B647" t="str">
            <v xml:space="preserve">-0  , </v>
          </cell>
          <cell r="C647"/>
          <cell r="D647"/>
          <cell r="E647"/>
          <cell r="F647"/>
          <cell r="G647"/>
          <cell r="H647"/>
          <cell r="I647"/>
          <cell r="J647"/>
          <cell r="K647"/>
          <cell r="L647"/>
          <cell r="M647"/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  <cell r="X647">
            <v>0</v>
          </cell>
          <cell r="Y647">
            <v>0</v>
          </cell>
          <cell r="Z647">
            <v>0</v>
          </cell>
          <cell r="AA647" t="str">
            <v>,</v>
          </cell>
          <cell r="AB647" t="str">
            <v>,</v>
          </cell>
          <cell r="AC647" t="e">
            <v>#DIV/0!</v>
          </cell>
          <cell r="AD647" t="e">
            <v>#DIV/0!</v>
          </cell>
          <cell r="AE647">
            <v>0.71</v>
          </cell>
          <cell r="AF647">
            <v>94.97</v>
          </cell>
          <cell r="AG647">
            <v>0</v>
          </cell>
          <cell r="AH647" t="e">
            <v>#DIV/0!</v>
          </cell>
          <cell r="AI647" t="e">
            <v>#DIV/0!</v>
          </cell>
          <cell r="AJ647" t="e">
            <v>#DIV/0!</v>
          </cell>
          <cell r="AK647" t="e">
            <v>#DIV/0!</v>
          </cell>
          <cell r="AL647" t="e">
            <v>#DIV/0!</v>
          </cell>
          <cell r="AM647" t="e">
            <v>#DIV/0!</v>
          </cell>
          <cell r="AN647" t="e">
            <v>#DIV/0!</v>
          </cell>
          <cell r="AO647" t="e">
            <v>#REF!</v>
          </cell>
          <cell r="AP647" t="e">
            <v>#REF!</v>
          </cell>
          <cell r="AQ647" t="e">
            <v>#REF!</v>
          </cell>
          <cell r="AR647" t="e">
            <v>#REF!</v>
          </cell>
          <cell r="AS647" t="e">
            <v>#REF!</v>
          </cell>
          <cell r="AT647" t="e">
            <v>#REF!</v>
          </cell>
          <cell r="AU647" t="e">
            <v>#REF!</v>
          </cell>
          <cell r="AV647" t="e">
            <v>#REF!</v>
          </cell>
          <cell r="AW647" t="e">
            <v>#DIV/0!</v>
          </cell>
          <cell r="AX647" t="e">
            <v>#DIV/0!</v>
          </cell>
          <cell r="AY647" t="e">
            <v>#DIV/0!</v>
          </cell>
          <cell r="AZ647" t="e">
            <v>#DIV/0!</v>
          </cell>
          <cell r="BE647" t="e">
            <v>#DIV/0!</v>
          </cell>
          <cell r="BF647" t="e">
            <v>#DIV/0!</v>
          </cell>
        </row>
        <row r="648">
          <cell r="A648" t="str">
            <v>-0</v>
          </cell>
          <cell r="B648" t="str">
            <v xml:space="preserve">-0  , </v>
          </cell>
          <cell r="C648"/>
          <cell r="D648"/>
          <cell r="E648"/>
          <cell r="F648"/>
          <cell r="G648"/>
          <cell r="H648"/>
          <cell r="I648"/>
          <cell r="J648"/>
          <cell r="K648"/>
          <cell r="L648"/>
          <cell r="M648"/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  <cell r="X648">
            <v>0</v>
          </cell>
          <cell r="Y648">
            <v>0</v>
          </cell>
          <cell r="Z648">
            <v>0</v>
          </cell>
          <cell r="AA648" t="str">
            <v>,</v>
          </cell>
          <cell r="AB648" t="str">
            <v>,</v>
          </cell>
          <cell r="AC648" t="e">
            <v>#DIV/0!</v>
          </cell>
          <cell r="AD648" t="e">
            <v>#DIV/0!</v>
          </cell>
          <cell r="AE648">
            <v>0.71</v>
          </cell>
          <cell r="AF648">
            <v>94.97</v>
          </cell>
          <cell r="AG648">
            <v>0</v>
          </cell>
          <cell r="AH648" t="e">
            <v>#DIV/0!</v>
          </cell>
          <cell r="AI648" t="e">
            <v>#DIV/0!</v>
          </cell>
          <cell r="AJ648" t="e">
            <v>#DIV/0!</v>
          </cell>
          <cell r="AK648" t="e">
            <v>#DIV/0!</v>
          </cell>
          <cell r="AL648" t="e">
            <v>#DIV/0!</v>
          </cell>
          <cell r="AM648" t="e">
            <v>#DIV/0!</v>
          </cell>
          <cell r="AN648" t="e">
            <v>#DIV/0!</v>
          </cell>
          <cell r="AO648" t="e">
            <v>#REF!</v>
          </cell>
          <cell r="AP648" t="e">
            <v>#REF!</v>
          </cell>
          <cell r="AQ648" t="e">
            <v>#REF!</v>
          </cell>
          <cell r="AR648" t="e">
            <v>#REF!</v>
          </cell>
          <cell r="AS648" t="e">
            <v>#REF!</v>
          </cell>
          <cell r="AT648" t="e">
            <v>#REF!</v>
          </cell>
          <cell r="AU648" t="e">
            <v>#REF!</v>
          </cell>
          <cell r="AV648" t="e">
            <v>#REF!</v>
          </cell>
          <cell r="AW648" t="e">
            <v>#DIV/0!</v>
          </cell>
          <cell r="AX648" t="e">
            <v>#DIV/0!</v>
          </cell>
          <cell r="AY648" t="e">
            <v>#DIV/0!</v>
          </cell>
          <cell r="AZ648" t="e">
            <v>#DIV/0!</v>
          </cell>
          <cell r="BE648" t="e">
            <v>#DIV/0!</v>
          </cell>
          <cell r="BF648" t="e">
            <v>#DIV/0!</v>
          </cell>
        </row>
        <row r="649">
          <cell r="A649" t="str">
            <v>-0</v>
          </cell>
          <cell r="B649" t="str">
            <v xml:space="preserve">-0  , </v>
          </cell>
          <cell r="C649"/>
          <cell r="D649"/>
          <cell r="E649"/>
          <cell r="F649"/>
          <cell r="G649"/>
          <cell r="H649"/>
          <cell r="I649"/>
          <cell r="J649"/>
          <cell r="K649"/>
          <cell r="L649"/>
          <cell r="M649"/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  <cell r="X649">
            <v>0</v>
          </cell>
          <cell r="Y649">
            <v>0</v>
          </cell>
          <cell r="Z649">
            <v>0</v>
          </cell>
          <cell r="AA649" t="str">
            <v>,</v>
          </cell>
          <cell r="AB649" t="str">
            <v>,</v>
          </cell>
          <cell r="AC649" t="e">
            <v>#DIV/0!</v>
          </cell>
          <cell r="AD649" t="e">
            <v>#DIV/0!</v>
          </cell>
          <cell r="AE649">
            <v>0.71</v>
          </cell>
          <cell r="AF649">
            <v>94.97</v>
          </cell>
          <cell r="AG649">
            <v>0</v>
          </cell>
          <cell r="AH649" t="e">
            <v>#DIV/0!</v>
          </cell>
          <cell r="AI649" t="e">
            <v>#DIV/0!</v>
          </cell>
          <cell r="AJ649" t="e">
            <v>#DIV/0!</v>
          </cell>
          <cell r="AK649" t="e">
            <v>#DIV/0!</v>
          </cell>
          <cell r="AL649" t="e">
            <v>#DIV/0!</v>
          </cell>
          <cell r="AM649" t="e">
            <v>#DIV/0!</v>
          </cell>
          <cell r="AN649" t="e">
            <v>#DIV/0!</v>
          </cell>
          <cell r="AO649" t="e">
            <v>#REF!</v>
          </cell>
          <cell r="AP649" t="e">
            <v>#REF!</v>
          </cell>
          <cell r="AQ649" t="e">
            <v>#REF!</v>
          </cell>
          <cell r="AR649" t="e">
            <v>#REF!</v>
          </cell>
          <cell r="AS649" t="e">
            <v>#REF!</v>
          </cell>
          <cell r="AT649" t="e">
            <v>#REF!</v>
          </cell>
          <cell r="AU649" t="e">
            <v>#REF!</v>
          </cell>
          <cell r="AV649" t="e">
            <v>#REF!</v>
          </cell>
          <cell r="AW649" t="e">
            <v>#DIV/0!</v>
          </cell>
          <cell r="AX649" t="e">
            <v>#DIV/0!</v>
          </cell>
          <cell r="AY649" t="e">
            <v>#DIV/0!</v>
          </cell>
          <cell r="AZ649" t="e">
            <v>#DIV/0!</v>
          </cell>
          <cell r="BE649" t="e">
            <v>#DIV/0!</v>
          </cell>
          <cell r="BF649" t="e">
            <v>#DIV/0!</v>
          </cell>
        </row>
        <row r="650">
          <cell r="A650" t="str">
            <v>-0</v>
          </cell>
          <cell r="B650" t="str">
            <v xml:space="preserve">-0  , </v>
          </cell>
          <cell r="C650"/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/>
          <cell r="S650"/>
          <cell r="T650"/>
          <cell r="U650"/>
          <cell r="V650"/>
          <cell r="W650"/>
          <cell r="X650">
            <v>0</v>
          </cell>
          <cell r="Y650">
            <v>0</v>
          </cell>
          <cell r="Z650">
            <v>0</v>
          </cell>
          <cell r="AA650" t="str">
            <v>,</v>
          </cell>
          <cell r="AB650" t="str">
            <v>,</v>
          </cell>
          <cell r="AC650" t="e">
            <v>#DIV/0!</v>
          </cell>
          <cell r="AD650" t="e">
            <v>#DIV/0!</v>
          </cell>
          <cell r="AE650">
            <v>0.71</v>
          </cell>
          <cell r="AF650">
            <v>94.97</v>
          </cell>
          <cell r="AG650">
            <v>0</v>
          </cell>
          <cell r="AH650" t="e">
            <v>#DIV/0!</v>
          </cell>
          <cell r="AI650" t="e">
            <v>#DIV/0!</v>
          </cell>
          <cell r="AJ650" t="e">
            <v>#DIV/0!</v>
          </cell>
          <cell r="AK650" t="e">
            <v>#DIV/0!</v>
          </cell>
          <cell r="AL650" t="e">
            <v>#DIV/0!</v>
          </cell>
          <cell r="AM650" t="e">
            <v>#DIV/0!</v>
          </cell>
          <cell r="AN650" t="e">
            <v>#DIV/0!</v>
          </cell>
          <cell r="AO650" t="e">
            <v>#REF!</v>
          </cell>
          <cell r="AP650" t="e">
            <v>#REF!</v>
          </cell>
          <cell r="AQ650" t="e">
            <v>#REF!</v>
          </cell>
          <cell r="AR650" t="e">
            <v>#REF!</v>
          </cell>
          <cell r="AS650" t="e">
            <v>#REF!</v>
          </cell>
          <cell r="AT650" t="e">
            <v>#REF!</v>
          </cell>
          <cell r="AU650" t="e">
            <v>#REF!</v>
          </cell>
          <cell r="AV650" t="e">
            <v>#REF!</v>
          </cell>
          <cell r="AW650" t="e">
            <v>#DIV/0!</v>
          </cell>
          <cell r="AX650" t="e">
            <v>#DIV/0!</v>
          </cell>
          <cell r="AY650" t="e">
            <v>#DIV/0!</v>
          </cell>
          <cell r="AZ650" t="e">
            <v>#DIV/0!</v>
          </cell>
          <cell r="BE650" t="e">
            <v>#DIV/0!</v>
          </cell>
          <cell r="BF650" t="e">
            <v>#DIV/0!</v>
          </cell>
        </row>
        <row r="651">
          <cell r="A651" t="str">
            <v>-0</v>
          </cell>
          <cell r="B651" t="str">
            <v xml:space="preserve">-0  , </v>
          </cell>
          <cell r="C651"/>
          <cell r="D651"/>
          <cell r="E651"/>
          <cell r="F651"/>
          <cell r="G651"/>
          <cell r="H651"/>
          <cell r="I651"/>
          <cell r="J651"/>
          <cell r="K651"/>
          <cell r="L651"/>
          <cell r="M651"/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  <cell r="X651">
            <v>0</v>
          </cell>
          <cell r="Y651">
            <v>0</v>
          </cell>
          <cell r="Z651">
            <v>0</v>
          </cell>
          <cell r="AA651" t="str">
            <v>,</v>
          </cell>
          <cell r="AB651" t="str">
            <v>,</v>
          </cell>
          <cell r="AC651" t="e">
            <v>#DIV/0!</v>
          </cell>
          <cell r="AD651" t="e">
            <v>#DIV/0!</v>
          </cell>
          <cell r="AE651">
            <v>0.71</v>
          </cell>
          <cell r="AF651">
            <v>94.97</v>
          </cell>
          <cell r="AG651">
            <v>0</v>
          </cell>
          <cell r="AH651" t="e">
            <v>#DIV/0!</v>
          </cell>
          <cell r="AI651" t="e">
            <v>#DIV/0!</v>
          </cell>
          <cell r="AJ651" t="e">
            <v>#DIV/0!</v>
          </cell>
          <cell r="AK651" t="e">
            <v>#DIV/0!</v>
          </cell>
          <cell r="AL651" t="e">
            <v>#DIV/0!</v>
          </cell>
          <cell r="AM651" t="e">
            <v>#DIV/0!</v>
          </cell>
          <cell r="AN651" t="e">
            <v>#DIV/0!</v>
          </cell>
          <cell r="AO651" t="e">
            <v>#REF!</v>
          </cell>
          <cell r="AP651" t="e">
            <v>#REF!</v>
          </cell>
          <cell r="AQ651" t="e">
            <v>#REF!</v>
          </cell>
          <cell r="AR651" t="e">
            <v>#REF!</v>
          </cell>
          <cell r="AS651" t="e">
            <v>#REF!</v>
          </cell>
          <cell r="AT651" t="e">
            <v>#REF!</v>
          </cell>
          <cell r="AU651" t="e">
            <v>#REF!</v>
          </cell>
          <cell r="AV651" t="e">
            <v>#REF!</v>
          </cell>
          <cell r="AW651" t="e">
            <v>#DIV/0!</v>
          </cell>
          <cell r="AX651" t="e">
            <v>#DIV/0!</v>
          </cell>
          <cell r="AY651" t="e">
            <v>#DIV/0!</v>
          </cell>
          <cell r="AZ651" t="e">
            <v>#DIV/0!</v>
          </cell>
          <cell r="BE651" t="e">
            <v>#DIV/0!</v>
          </cell>
          <cell r="BF651" t="e">
            <v>#DIV/0!</v>
          </cell>
        </row>
        <row r="652">
          <cell r="A652" t="str">
            <v>-0</v>
          </cell>
          <cell r="B652" t="str">
            <v xml:space="preserve">-0  , </v>
          </cell>
          <cell r="C652"/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  <cell r="X652">
            <v>0</v>
          </cell>
          <cell r="Y652">
            <v>0</v>
          </cell>
          <cell r="Z652">
            <v>0</v>
          </cell>
          <cell r="AA652" t="str">
            <v>,</v>
          </cell>
          <cell r="AB652" t="str">
            <v>,</v>
          </cell>
          <cell r="AC652" t="e">
            <v>#DIV/0!</v>
          </cell>
          <cell r="AD652" t="e">
            <v>#DIV/0!</v>
          </cell>
          <cell r="AE652">
            <v>0.71</v>
          </cell>
          <cell r="AF652">
            <v>94.97</v>
          </cell>
          <cell r="AG652">
            <v>0</v>
          </cell>
          <cell r="AH652" t="e">
            <v>#DIV/0!</v>
          </cell>
          <cell r="AI652" t="e">
            <v>#DIV/0!</v>
          </cell>
          <cell r="AJ652" t="e">
            <v>#DIV/0!</v>
          </cell>
          <cell r="AK652" t="e">
            <v>#DIV/0!</v>
          </cell>
          <cell r="AL652" t="e">
            <v>#DIV/0!</v>
          </cell>
          <cell r="AM652" t="e">
            <v>#DIV/0!</v>
          </cell>
          <cell r="AN652" t="e">
            <v>#DIV/0!</v>
          </cell>
          <cell r="AO652" t="e">
            <v>#REF!</v>
          </cell>
          <cell r="AP652" t="e">
            <v>#REF!</v>
          </cell>
          <cell r="AQ652" t="e">
            <v>#REF!</v>
          </cell>
          <cell r="AR652" t="e">
            <v>#REF!</v>
          </cell>
          <cell r="AS652" t="e">
            <v>#REF!</v>
          </cell>
          <cell r="AT652" t="e">
            <v>#REF!</v>
          </cell>
          <cell r="AU652" t="e">
            <v>#REF!</v>
          </cell>
          <cell r="AV652" t="e">
            <v>#REF!</v>
          </cell>
          <cell r="AW652" t="e">
            <v>#DIV/0!</v>
          </cell>
          <cell r="AX652" t="e">
            <v>#DIV/0!</v>
          </cell>
          <cell r="AY652" t="e">
            <v>#DIV/0!</v>
          </cell>
          <cell r="AZ652" t="e">
            <v>#DIV/0!</v>
          </cell>
          <cell r="BE652" t="e">
            <v>#DIV/0!</v>
          </cell>
          <cell r="BF652" t="e">
            <v>#DIV/0!</v>
          </cell>
        </row>
        <row r="653">
          <cell r="A653" t="str">
            <v>-0</v>
          </cell>
          <cell r="B653" t="str">
            <v xml:space="preserve">-0  , </v>
          </cell>
          <cell r="C653"/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  <cell r="X653">
            <v>0</v>
          </cell>
          <cell r="Y653">
            <v>0</v>
          </cell>
          <cell r="Z653">
            <v>0</v>
          </cell>
          <cell r="AA653" t="str">
            <v>,</v>
          </cell>
          <cell r="AB653" t="str">
            <v>,</v>
          </cell>
          <cell r="AC653" t="e">
            <v>#DIV/0!</v>
          </cell>
          <cell r="AD653" t="e">
            <v>#DIV/0!</v>
          </cell>
          <cell r="AE653">
            <v>0.71</v>
          </cell>
          <cell r="AF653">
            <v>94.97</v>
          </cell>
          <cell r="AG653">
            <v>0</v>
          </cell>
          <cell r="AH653" t="e">
            <v>#DIV/0!</v>
          </cell>
          <cell r="AI653" t="e">
            <v>#DIV/0!</v>
          </cell>
          <cell r="AJ653" t="e">
            <v>#DIV/0!</v>
          </cell>
          <cell r="AK653" t="e">
            <v>#DIV/0!</v>
          </cell>
          <cell r="AL653" t="e">
            <v>#DIV/0!</v>
          </cell>
          <cell r="AM653" t="e">
            <v>#DIV/0!</v>
          </cell>
          <cell r="AN653" t="e">
            <v>#DIV/0!</v>
          </cell>
          <cell r="AO653" t="e">
            <v>#REF!</v>
          </cell>
          <cell r="AP653" t="e">
            <v>#REF!</v>
          </cell>
          <cell r="AQ653" t="e">
            <v>#REF!</v>
          </cell>
          <cell r="AR653" t="e">
            <v>#REF!</v>
          </cell>
          <cell r="AS653" t="e">
            <v>#REF!</v>
          </cell>
          <cell r="AT653" t="e">
            <v>#REF!</v>
          </cell>
          <cell r="AU653" t="e">
            <v>#REF!</v>
          </cell>
          <cell r="AV653" t="e">
            <v>#REF!</v>
          </cell>
          <cell r="AW653" t="e">
            <v>#DIV/0!</v>
          </cell>
          <cell r="AX653" t="e">
            <v>#DIV/0!</v>
          </cell>
          <cell r="AY653" t="e">
            <v>#DIV/0!</v>
          </cell>
          <cell r="AZ653" t="e">
            <v>#DIV/0!</v>
          </cell>
          <cell r="BE653" t="e">
            <v>#DIV/0!</v>
          </cell>
          <cell r="BF653" t="e">
            <v>#DIV/0!</v>
          </cell>
        </row>
        <row r="654">
          <cell r="A654" t="str">
            <v>-0</v>
          </cell>
          <cell r="B654" t="str">
            <v xml:space="preserve">-0  , </v>
          </cell>
          <cell r="C654"/>
          <cell r="D654"/>
          <cell r="E654"/>
          <cell r="F654"/>
          <cell r="G654"/>
          <cell r="H654"/>
          <cell r="I654"/>
          <cell r="J654"/>
          <cell r="K654"/>
          <cell r="L654"/>
          <cell r="M654"/>
          <cell r="N654"/>
          <cell r="O654"/>
          <cell r="P654"/>
          <cell r="Q654"/>
          <cell r="R654"/>
          <cell r="S654"/>
          <cell r="T654"/>
          <cell r="U654"/>
          <cell r="V654"/>
          <cell r="W654"/>
          <cell r="X654">
            <v>0</v>
          </cell>
          <cell r="Y654">
            <v>0</v>
          </cell>
          <cell r="Z654">
            <v>0</v>
          </cell>
          <cell r="AA654" t="str">
            <v>,</v>
          </cell>
          <cell r="AB654" t="str">
            <v>,</v>
          </cell>
          <cell r="AC654" t="e">
            <v>#DIV/0!</v>
          </cell>
          <cell r="AD654" t="e">
            <v>#DIV/0!</v>
          </cell>
          <cell r="AE654">
            <v>0.71</v>
          </cell>
          <cell r="AF654">
            <v>94.97</v>
          </cell>
          <cell r="AG654">
            <v>0</v>
          </cell>
          <cell r="AH654" t="e">
            <v>#DIV/0!</v>
          </cell>
          <cell r="AI654" t="e">
            <v>#DIV/0!</v>
          </cell>
          <cell r="AJ654" t="e">
            <v>#DIV/0!</v>
          </cell>
          <cell r="AK654" t="e">
            <v>#DIV/0!</v>
          </cell>
          <cell r="AL654" t="e">
            <v>#DIV/0!</v>
          </cell>
          <cell r="AM654" t="e">
            <v>#DIV/0!</v>
          </cell>
          <cell r="AN654" t="e">
            <v>#DIV/0!</v>
          </cell>
          <cell r="AO654" t="e">
            <v>#REF!</v>
          </cell>
          <cell r="AP654" t="e">
            <v>#REF!</v>
          </cell>
          <cell r="AQ654" t="e">
            <v>#REF!</v>
          </cell>
          <cell r="AR654" t="e">
            <v>#REF!</v>
          </cell>
          <cell r="AS654" t="e">
            <v>#REF!</v>
          </cell>
          <cell r="AT654" t="e">
            <v>#REF!</v>
          </cell>
          <cell r="AU654" t="e">
            <v>#REF!</v>
          </cell>
          <cell r="AV654" t="e">
            <v>#REF!</v>
          </cell>
          <cell r="AW654" t="e">
            <v>#DIV/0!</v>
          </cell>
          <cell r="AX654" t="e">
            <v>#DIV/0!</v>
          </cell>
          <cell r="AY654" t="e">
            <v>#DIV/0!</v>
          </cell>
          <cell r="AZ654" t="e">
            <v>#DIV/0!</v>
          </cell>
          <cell r="BE654" t="e">
            <v>#DIV/0!</v>
          </cell>
          <cell r="BF654" t="e">
            <v>#DIV/0!</v>
          </cell>
        </row>
        <row r="655">
          <cell r="A655" t="str">
            <v>-0</v>
          </cell>
          <cell r="B655" t="str">
            <v xml:space="preserve">-0  , </v>
          </cell>
          <cell r="C655"/>
          <cell r="D655"/>
          <cell r="E655"/>
          <cell r="F655"/>
          <cell r="G655"/>
          <cell r="H655"/>
          <cell r="I655"/>
          <cell r="J655"/>
          <cell r="K655"/>
          <cell r="L655"/>
          <cell r="M655"/>
          <cell r="N655"/>
          <cell r="O655"/>
          <cell r="P655"/>
          <cell r="Q655"/>
          <cell r="R655"/>
          <cell r="S655"/>
          <cell r="T655"/>
          <cell r="U655"/>
          <cell r="V655"/>
          <cell r="W655"/>
          <cell r="X655">
            <v>0</v>
          </cell>
          <cell r="Y655">
            <v>0</v>
          </cell>
          <cell r="Z655">
            <v>0</v>
          </cell>
          <cell r="AA655" t="str">
            <v>,</v>
          </cell>
          <cell r="AB655" t="str">
            <v>,</v>
          </cell>
          <cell r="AC655" t="e">
            <v>#DIV/0!</v>
          </cell>
          <cell r="AD655" t="e">
            <v>#DIV/0!</v>
          </cell>
          <cell r="AE655">
            <v>0.71</v>
          </cell>
          <cell r="AF655">
            <v>94.97</v>
          </cell>
          <cell r="AG655">
            <v>0</v>
          </cell>
          <cell r="AH655" t="e">
            <v>#DIV/0!</v>
          </cell>
          <cell r="AI655" t="e">
            <v>#DIV/0!</v>
          </cell>
          <cell r="AJ655" t="e">
            <v>#DIV/0!</v>
          </cell>
          <cell r="AK655" t="e">
            <v>#DIV/0!</v>
          </cell>
          <cell r="AL655" t="e">
            <v>#DIV/0!</v>
          </cell>
          <cell r="AM655" t="e">
            <v>#DIV/0!</v>
          </cell>
          <cell r="AN655" t="e">
            <v>#DIV/0!</v>
          </cell>
          <cell r="AO655" t="e">
            <v>#REF!</v>
          </cell>
          <cell r="AP655" t="e">
            <v>#REF!</v>
          </cell>
          <cell r="AQ655" t="e">
            <v>#REF!</v>
          </cell>
          <cell r="AR655" t="e">
            <v>#REF!</v>
          </cell>
          <cell r="AS655" t="e">
            <v>#REF!</v>
          </cell>
          <cell r="AT655" t="e">
            <v>#REF!</v>
          </cell>
          <cell r="AU655" t="e">
            <v>#REF!</v>
          </cell>
          <cell r="AV655" t="e">
            <v>#REF!</v>
          </cell>
          <cell r="AW655" t="e">
            <v>#DIV/0!</v>
          </cell>
          <cell r="AX655" t="e">
            <v>#DIV/0!</v>
          </cell>
          <cell r="AY655" t="e">
            <v>#DIV/0!</v>
          </cell>
          <cell r="AZ655" t="e">
            <v>#DIV/0!</v>
          </cell>
          <cell r="BE655" t="e">
            <v>#DIV/0!</v>
          </cell>
          <cell r="BF655" t="e">
            <v>#DIV/0!</v>
          </cell>
        </row>
        <row r="656">
          <cell r="A656" t="str">
            <v>-0</v>
          </cell>
          <cell r="B656" t="str">
            <v xml:space="preserve">-0  , </v>
          </cell>
          <cell r="C656"/>
          <cell r="D656"/>
          <cell r="E656"/>
          <cell r="F656"/>
          <cell r="G656"/>
          <cell r="H656"/>
          <cell r="I656"/>
          <cell r="J656"/>
          <cell r="K656"/>
          <cell r="L656"/>
          <cell r="M656"/>
          <cell r="N656"/>
          <cell r="O656"/>
          <cell r="P656"/>
          <cell r="Q656"/>
          <cell r="R656"/>
          <cell r="S656"/>
          <cell r="T656"/>
          <cell r="U656"/>
          <cell r="V656"/>
          <cell r="W656"/>
          <cell r="X656">
            <v>0</v>
          </cell>
          <cell r="Y656">
            <v>0</v>
          </cell>
          <cell r="Z656">
            <v>0</v>
          </cell>
          <cell r="AA656" t="str">
            <v>,</v>
          </cell>
          <cell r="AB656" t="str">
            <v>,</v>
          </cell>
          <cell r="AC656" t="e">
            <v>#DIV/0!</v>
          </cell>
          <cell r="AD656" t="e">
            <v>#DIV/0!</v>
          </cell>
          <cell r="AE656">
            <v>0.71</v>
          </cell>
          <cell r="AF656">
            <v>94.97</v>
          </cell>
          <cell r="AG656">
            <v>0</v>
          </cell>
          <cell r="AH656" t="e">
            <v>#DIV/0!</v>
          </cell>
          <cell r="AI656" t="e">
            <v>#DIV/0!</v>
          </cell>
          <cell r="AJ656" t="e">
            <v>#DIV/0!</v>
          </cell>
          <cell r="AK656" t="e">
            <v>#DIV/0!</v>
          </cell>
          <cell r="AL656" t="e">
            <v>#DIV/0!</v>
          </cell>
          <cell r="AM656" t="e">
            <v>#DIV/0!</v>
          </cell>
          <cell r="AN656" t="e">
            <v>#DIV/0!</v>
          </cell>
          <cell r="AO656" t="e">
            <v>#REF!</v>
          </cell>
          <cell r="AP656" t="e">
            <v>#REF!</v>
          </cell>
          <cell r="AQ656" t="e">
            <v>#REF!</v>
          </cell>
          <cell r="AR656" t="e">
            <v>#REF!</v>
          </cell>
          <cell r="AS656" t="e">
            <v>#REF!</v>
          </cell>
          <cell r="AT656" t="e">
            <v>#REF!</v>
          </cell>
          <cell r="AU656" t="e">
            <v>#REF!</v>
          </cell>
          <cell r="AV656" t="e">
            <v>#REF!</v>
          </cell>
          <cell r="AW656" t="e">
            <v>#DIV/0!</v>
          </cell>
          <cell r="AX656" t="e">
            <v>#DIV/0!</v>
          </cell>
          <cell r="AY656" t="e">
            <v>#DIV/0!</v>
          </cell>
          <cell r="AZ656" t="e">
            <v>#DIV/0!</v>
          </cell>
          <cell r="BE656" t="e">
            <v>#DIV/0!</v>
          </cell>
          <cell r="BF656" t="e">
            <v>#DIV/0!</v>
          </cell>
        </row>
        <row r="657">
          <cell r="A657" t="str">
            <v>-0</v>
          </cell>
          <cell r="B657" t="str">
            <v xml:space="preserve">-0  , </v>
          </cell>
          <cell r="C657"/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  <cell r="X657">
            <v>0</v>
          </cell>
          <cell r="Y657">
            <v>0</v>
          </cell>
          <cell r="Z657">
            <v>0</v>
          </cell>
          <cell r="AA657" t="str">
            <v>,</v>
          </cell>
          <cell r="AB657" t="str">
            <v>,</v>
          </cell>
          <cell r="AC657" t="e">
            <v>#DIV/0!</v>
          </cell>
          <cell r="AD657" t="e">
            <v>#DIV/0!</v>
          </cell>
          <cell r="AE657">
            <v>0.71</v>
          </cell>
          <cell r="AF657">
            <v>94.97</v>
          </cell>
          <cell r="AG657">
            <v>0</v>
          </cell>
          <cell r="AH657" t="e">
            <v>#DIV/0!</v>
          </cell>
          <cell r="AI657" t="e">
            <v>#DIV/0!</v>
          </cell>
          <cell r="AJ657" t="e">
            <v>#DIV/0!</v>
          </cell>
          <cell r="AK657" t="e">
            <v>#DIV/0!</v>
          </cell>
          <cell r="AL657" t="e">
            <v>#DIV/0!</v>
          </cell>
          <cell r="AM657" t="e">
            <v>#DIV/0!</v>
          </cell>
          <cell r="AN657" t="e">
            <v>#DIV/0!</v>
          </cell>
          <cell r="AO657" t="e">
            <v>#REF!</v>
          </cell>
          <cell r="AP657" t="e">
            <v>#REF!</v>
          </cell>
          <cell r="AQ657" t="e">
            <v>#REF!</v>
          </cell>
          <cell r="AR657" t="e">
            <v>#REF!</v>
          </cell>
          <cell r="AS657" t="e">
            <v>#REF!</v>
          </cell>
          <cell r="AT657" t="e">
            <v>#REF!</v>
          </cell>
          <cell r="AU657" t="e">
            <v>#REF!</v>
          </cell>
          <cell r="AV657" t="e">
            <v>#REF!</v>
          </cell>
          <cell r="AW657" t="e">
            <v>#DIV/0!</v>
          </cell>
          <cell r="AX657" t="e">
            <v>#DIV/0!</v>
          </cell>
          <cell r="AY657" t="e">
            <v>#DIV/0!</v>
          </cell>
          <cell r="AZ657" t="e">
            <v>#DIV/0!</v>
          </cell>
          <cell r="BE657" t="e">
            <v>#DIV/0!</v>
          </cell>
          <cell r="BF657" t="e">
            <v>#DIV/0!</v>
          </cell>
        </row>
        <row r="658">
          <cell r="A658" t="str">
            <v>-0</v>
          </cell>
          <cell r="B658" t="str">
            <v xml:space="preserve">-0  , </v>
          </cell>
          <cell r="C658"/>
          <cell r="D658"/>
          <cell r="E658"/>
          <cell r="F658"/>
          <cell r="G658"/>
          <cell r="H658"/>
          <cell r="I658"/>
          <cell r="J658"/>
          <cell r="K658"/>
          <cell r="L658"/>
          <cell r="M658"/>
          <cell r="N658"/>
          <cell r="O658"/>
          <cell r="P658"/>
          <cell r="Q658"/>
          <cell r="R658"/>
          <cell r="S658"/>
          <cell r="T658"/>
          <cell r="U658"/>
          <cell r="V658"/>
          <cell r="W658"/>
          <cell r="X658">
            <v>0</v>
          </cell>
          <cell r="Y658">
            <v>0</v>
          </cell>
          <cell r="Z658">
            <v>0</v>
          </cell>
          <cell r="AA658" t="str">
            <v>,</v>
          </cell>
          <cell r="AB658" t="str">
            <v>,</v>
          </cell>
          <cell r="AC658" t="e">
            <v>#DIV/0!</v>
          </cell>
          <cell r="AD658" t="e">
            <v>#DIV/0!</v>
          </cell>
          <cell r="AE658">
            <v>0.71</v>
          </cell>
          <cell r="AF658">
            <v>94.97</v>
          </cell>
          <cell r="AG658">
            <v>0</v>
          </cell>
          <cell r="AH658" t="e">
            <v>#DIV/0!</v>
          </cell>
          <cell r="AI658" t="e">
            <v>#DIV/0!</v>
          </cell>
          <cell r="AJ658" t="e">
            <v>#DIV/0!</v>
          </cell>
          <cell r="AK658" t="e">
            <v>#DIV/0!</v>
          </cell>
          <cell r="AL658" t="e">
            <v>#DIV/0!</v>
          </cell>
          <cell r="AM658" t="e">
            <v>#DIV/0!</v>
          </cell>
          <cell r="AN658" t="e">
            <v>#DIV/0!</v>
          </cell>
          <cell r="AO658" t="e">
            <v>#REF!</v>
          </cell>
          <cell r="AP658" t="e">
            <v>#REF!</v>
          </cell>
          <cell r="AQ658" t="e">
            <v>#REF!</v>
          </cell>
          <cell r="AR658" t="e">
            <v>#REF!</v>
          </cell>
          <cell r="AS658" t="e">
            <v>#REF!</v>
          </cell>
          <cell r="AT658" t="e">
            <v>#REF!</v>
          </cell>
          <cell r="AU658" t="e">
            <v>#REF!</v>
          </cell>
          <cell r="AV658" t="e">
            <v>#REF!</v>
          </cell>
          <cell r="AW658" t="e">
            <v>#DIV/0!</v>
          </cell>
          <cell r="AX658" t="e">
            <v>#DIV/0!</v>
          </cell>
          <cell r="AY658" t="e">
            <v>#DIV/0!</v>
          </cell>
          <cell r="AZ658" t="e">
            <v>#DIV/0!</v>
          </cell>
          <cell r="BE658" t="e">
            <v>#DIV/0!</v>
          </cell>
          <cell r="BF658" t="e">
            <v>#DIV/0!</v>
          </cell>
        </row>
        <row r="659">
          <cell r="A659" t="str">
            <v>-0</v>
          </cell>
          <cell r="B659" t="str">
            <v xml:space="preserve">-0  , </v>
          </cell>
          <cell r="C659"/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/>
          <cell r="S659"/>
          <cell r="T659"/>
          <cell r="U659"/>
          <cell r="V659"/>
          <cell r="W659"/>
          <cell r="X659">
            <v>0</v>
          </cell>
          <cell r="Y659">
            <v>0</v>
          </cell>
          <cell r="Z659">
            <v>0</v>
          </cell>
          <cell r="AA659" t="str">
            <v>,</v>
          </cell>
          <cell r="AB659" t="str">
            <v>,</v>
          </cell>
          <cell r="AC659" t="e">
            <v>#DIV/0!</v>
          </cell>
          <cell r="AD659" t="e">
            <v>#DIV/0!</v>
          </cell>
          <cell r="AE659">
            <v>0.71</v>
          </cell>
          <cell r="AF659">
            <v>94.97</v>
          </cell>
          <cell r="AG659">
            <v>0</v>
          </cell>
          <cell r="AH659" t="e">
            <v>#DIV/0!</v>
          </cell>
          <cell r="AI659" t="e">
            <v>#DIV/0!</v>
          </cell>
          <cell r="AJ659" t="e">
            <v>#DIV/0!</v>
          </cell>
          <cell r="AK659" t="e">
            <v>#DIV/0!</v>
          </cell>
          <cell r="AL659" t="e">
            <v>#DIV/0!</v>
          </cell>
          <cell r="AM659" t="e">
            <v>#DIV/0!</v>
          </cell>
          <cell r="AN659" t="e">
            <v>#DIV/0!</v>
          </cell>
          <cell r="AO659" t="e">
            <v>#REF!</v>
          </cell>
          <cell r="AP659" t="e">
            <v>#REF!</v>
          </cell>
          <cell r="AQ659" t="e">
            <v>#REF!</v>
          </cell>
          <cell r="AR659" t="e">
            <v>#REF!</v>
          </cell>
          <cell r="AS659" t="e">
            <v>#REF!</v>
          </cell>
          <cell r="AT659" t="e">
            <v>#REF!</v>
          </cell>
          <cell r="AU659" t="e">
            <v>#REF!</v>
          </cell>
          <cell r="AV659" t="e">
            <v>#REF!</v>
          </cell>
          <cell r="AW659" t="e">
            <v>#DIV/0!</v>
          </cell>
          <cell r="AX659" t="e">
            <v>#DIV/0!</v>
          </cell>
          <cell r="AY659" t="e">
            <v>#DIV/0!</v>
          </cell>
          <cell r="AZ659" t="e">
            <v>#DIV/0!</v>
          </cell>
          <cell r="BE659" t="e">
            <v>#DIV/0!</v>
          </cell>
          <cell r="BF659" t="e">
            <v>#DIV/0!</v>
          </cell>
        </row>
        <row r="660">
          <cell r="A660" t="str">
            <v>-0</v>
          </cell>
          <cell r="B660" t="str">
            <v xml:space="preserve">-0  , </v>
          </cell>
          <cell r="C660"/>
          <cell r="D660"/>
          <cell r="E660"/>
          <cell r="F660"/>
          <cell r="G660"/>
          <cell r="H660"/>
          <cell r="I660"/>
          <cell r="J660"/>
          <cell r="K660"/>
          <cell r="L660"/>
          <cell r="M660"/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  <cell r="X660">
            <v>0</v>
          </cell>
          <cell r="Y660">
            <v>0</v>
          </cell>
          <cell r="Z660">
            <v>0</v>
          </cell>
          <cell r="AA660" t="str">
            <v>,</v>
          </cell>
          <cell r="AB660" t="str">
            <v>,</v>
          </cell>
          <cell r="AC660" t="e">
            <v>#DIV/0!</v>
          </cell>
          <cell r="AD660" t="e">
            <v>#DIV/0!</v>
          </cell>
          <cell r="AE660">
            <v>0.71</v>
          </cell>
          <cell r="AF660">
            <v>94.97</v>
          </cell>
          <cell r="AG660">
            <v>0</v>
          </cell>
          <cell r="AH660" t="e">
            <v>#DIV/0!</v>
          </cell>
          <cell r="AI660" t="e">
            <v>#DIV/0!</v>
          </cell>
          <cell r="AJ660" t="e">
            <v>#DIV/0!</v>
          </cell>
          <cell r="AK660" t="e">
            <v>#DIV/0!</v>
          </cell>
          <cell r="AL660" t="e">
            <v>#DIV/0!</v>
          </cell>
          <cell r="AM660" t="e">
            <v>#DIV/0!</v>
          </cell>
          <cell r="AN660" t="e">
            <v>#DIV/0!</v>
          </cell>
          <cell r="AO660" t="e">
            <v>#REF!</v>
          </cell>
          <cell r="AP660" t="e">
            <v>#REF!</v>
          </cell>
          <cell r="AQ660" t="e">
            <v>#REF!</v>
          </cell>
          <cell r="AR660" t="e">
            <v>#REF!</v>
          </cell>
          <cell r="AS660" t="e">
            <v>#REF!</v>
          </cell>
          <cell r="AT660" t="e">
            <v>#REF!</v>
          </cell>
          <cell r="AU660" t="e">
            <v>#REF!</v>
          </cell>
          <cell r="AV660" t="e">
            <v>#REF!</v>
          </cell>
          <cell r="AW660" t="e">
            <v>#DIV/0!</v>
          </cell>
          <cell r="AX660" t="e">
            <v>#DIV/0!</v>
          </cell>
          <cell r="AY660" t="e">
            <v>#DIV/0!</v>
          </cell>
          <cell r="AZ660" t="e">
            <v>#DIV/0!</v>
          </cell>
          <cell r="BE660" t="e">
            <v>#DIV/0!</v>
          </cell>
          <cell r="BF660" t="e">
            <v>#DIV/0!</v>
          </cell>
        </row>
        <row r="661">
          <cell r="A661" t="str">
            <v>-0</v>
          </cell>
          <cell r="B661" t="str">
            <v xml:space="preserve">-0  , </v>
          </cell>
          <cell r="C661"/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  <cell r="X661">
            <v>0</v>
          </cell>
          <cell r="Y661">
            <v>0</v>
          </cell>
          <cell r="Z661">
            <v>0</v>
          </cell>
          <cell r="AA661" t="str">
            <v>,</v>
          </cell>
          <cell r="AB661" t="str">
            <v>,</v>
          </cell>
          <cell r="AC661" t="e">
            <v>#DIV/0!</v>
          </cell>
          <cell r="AD661" t="e">
            <v>#DIV/0!</v>
          </cell>
          <cell r="AE661">
            <v>0.71</v>
          </cell>
          <cell r="AF661">
            <v>94.97</v>
          </cell>
          <cell r="AG661">
            <v>0</v>
          </cell>
          <cell r="AH661" t="e">
            <v>#DIV/0!</v>
          </cell>
          <cell r="AI661" t="e">
            <v>#DIV/0!</v>
          </cell>
          <cell r="AJ661" t="e">
            <v>#DIV/0!</v>
          </cell>
          <cell r="AK661" t="e">
            <v>#DIV/0!</v>
          </cell>
          <cell r="AL661" t="e">
            <v>#DIV/0!</v>
          </cell>
          <cell r="AM661" t="e">
            <v>#DIV/0!</v>
          </cell>
          <cell r="AN661" t="e">
            <v>#DIV/0!</v>
          </cell>
          <cell r="AO661" t="e">
            <v>#REF!</v>
          </cell>
          <cell r="AP661" t="e">
            <v>#REF!</v>
          </cell>
          <cell r="AQ661" t="e">
            <v>#REF!</v>
          </cell>
          <cell r="AR661" t="e">
            <v>#REF!</v>
          </cell>
          <cell r="AS661" t="e">
            <v>#REF!</v>
          </cell>
          <cell r="AT661" t="e">
            <v>#REF!</v>
          </cell>
          <cell r="AU661" t="e">
            <v>#REF!</v>
          </cell>
          <cell r="AV661" t="e">
            <v>#REF!</v>
          </cell>
          <cell r="AW661" t="e">
            <v>#DIV/0!</v>
          </cell>
          <cell r="AX661" t="e">
            <v>#DIV/0!</v>
          </cell>
          <cell r="AY661" t="e">
            <v>#DIV/0!</v>
          </cell>
          <cell r="AZ661" t="e">
            <v>#DIV/0!</v>
          </cell>
          <cell r="BE661" t="e">
            <v>#DIV/0!</v>
          </cell>
          <cell r="BF661" t="e">
            <v>#DIV/0!</v>
          </cell>
        </row>
        <row r="662">
          <cell r="A662" t="str">
            <v>-0</v>
          </cell>
          <cell r="B662" t="str">
            <v xml:space="preserve">-0  , </v>
          </cell>
          <cell r="C662"/>
          <cell r="D662"/>
          <cell r="E662"/>
          <cell r="F662"/>
          <cell r="G662"/>
          <cell r="H662"/>
          <cell r="I662"/>
          <cell r="J662"/>
          <cell r="K662"/>
          <cell r="L662"/>
          <cell r="M662"/>
          <cell r="N662"/>
          <cell r="O662"/>
          <cell r="P662"/>
          <cell r="Q662"/>
          <cell r="R662"/>
          <cell r="S662"/>
          <cell r="T662"/>
          <cell r="U662"/>
          <cell r="V662"/>
          <cell r="W662"/>
          <cell r="X662">
            <v>0</v>
          </cell>
          <cell r="Y662">
            <v>0</v>
          </cell>
          <cell r="Z662">
            <v>0</v>
          </cell>
          <cell r="AA662" t="str">
            <v>,</v>
          </cell>
          <cell r="AB662" t="str">
            <v>,</v>
          </cell>
          <cell r="AC662" t="e">
            <v>#DIV/0!</v>
          </cell>
          <cell r="AD662" t="e">
            <v>#DIV/0!</v>
          </cell>
          <cell r="AE662">
            <v>0.71</v>
          </cell>
          <cell r="AF662">
            <v>94.97</v>
          </cell>
          <cell r="AG662">
            <v>0</v>
          </cell>
          <cell r="AH662" t="e">
            <v>#DIV/0!</v>
          </cell>
          <cell r="AI662" t="e">
            <v>#DIV/0!</v>
          </cell>
          <cell r="AJ662" t="e">
            <v>#DIV/0!</v>
          </cell>
          <cell r="AK662" t="e">
            <v>#DIV/0!</v>
          </cell>
          <cell r="AL662" t="e">
            <v>#DIV/0!</v>
          </cell>
          <cell r="AM662" t="e">
            <v>#DIV/0!</v>
          </cell>
          <cell r="AN662" t="e">
            <v>#DIV/0!</v>
          </cell>
          <cell r="AO662" t="e">
            <v>#REF!</v>
          </cell>
          <cell r="AP662" t="e">
            <v>#REF!</v>
          </cell>
          <cell r="AQ662" t="e">
            <v>#REF!</v>
          </cell>
          <cell r="AR662" t="e">
            <v>#REF!</v>
          </cell>
          <cell r="AS662" t="e">
            <v>#REF!</v>
          </cell>
          <cell r="AT662" t="e">
            <v>#REF!</v>
          </cell>
          <cell r="AU662" t="e">
            <v>#REF!</v>
          </cell>
          <cell r="AV662" t="e">
            <v>#REF!</v>
          </cell>
          <cell r="AW662" t="e">
            <v>#DIV/0!</v>
          </cell>
          <cell r="AX662" t="e">
            <v>#DIV/0!</v>
          </cell>
          <cell r="AY662" t="e">
            <v>#DIV/0!</v>
          </cell>
          <cell r="AZ662" t="e">
            <v>#DIV/0!</v>
          </cell>
          <cell r="BE662" t="e">
            <v>#DIV/0!</v>
          </cell>
          <cell r="BF662" t="e">
            <v>#DIV/0!</v>
          </cell>
        </row>
        <row r="663">
          <cell r="A663" t="str">
            <v>-0</v>
          </cell>
          <cell r="B663" t="str">
            <v xml:space="preserve">-0  , </v>
          </cell>
          <cell r="C663"/>
          <cell r="D663"/>
          <cell r="E663"/>
          <cell r="F663"/>
          <cell r="G663"/>
          <cell r="H663"/>
          <cell r="I663"/>
          <cell r="J663"/>
          <cell r="K663"/>
          <cell r="L663"/>
          <cell r="M663"/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  <cell r="X663">
            <v>0</v>
          </cell>
          <cell r="Y663">
            <v>0</v>
          </cell>
          <cell r="Z663">
            <v>0</v>
          </cell>
          <cell r="AA663" t="str">
            <v>,</v>
          </cell>
          <cell r="AB663" t="str">
            <v>,</v>
          </cell>
          <cell r="AC663" t="e">
            <v>#DIV/0!</v>
          </cell>
          <cell r="AD663" t="e">
            <v>#DIV/0!</v>
          </cell>
          <cell r="AE663">
            <v>0.71</v>
          </cell>
          <cell r="AF663">
            <v>94.97</v>
          </cell>
          <cell r="AG663">
            <v>0</v>
          </cell>
          <cell r="AH663" t="e">
            <v>#DIV/0!</v>
          </cell>
          <cell r="AI663" t="e">
            <v>#DIV/0!</v>
          </cell>
          <cell r="AJ663" t="e">
            <v>#DIV/0!</v>
          </cell>
          <cell r="AK663" t="e">
            <v>#DIV/0!</v>
          </cell>
          <cell r="AL663" t="e">
            <v>#DIV/0!</v>
          </cell>
          <cell r="AM663" t="e">
            <v>#DIV/0!</v>
          </cell>
          <cell r="AN663" t="e">
            <v>#DIV/0!</v>
          </cell>
          <cell r="AO663" t="e">
            <v>#REF!</v>
          </cell>
          <cell r="AP663" t="e">
            <v>#REF!</v>
          </cell>
          <cell r="AQ663" t="e">
            <v>#REF!</v>
          </cell>
          <cell r="AR663" t="e">
            <v>#REF!</v>
          </cell>
          <cell r="AS663" t="e">
            <v>#REF!</v>
          </cell>
          <cell r="AT663" t="e">
            <v>#REF!</v>
          </cell>
          <cell r="AU663" t="e">
            <v>#REF!</v>
          </cell>
          <cell r="AV663" t="e">
            <v>#REF!</v>
          </cell>
          <cell r="AW663" t="e">
            <v>#DIV/0!</v>
          </cell>
          <cell r="AX663" t="e">
            <v>#DIV/0!</v>
          </cell>
          <cell r="AY663" t="e">
            <v>#DIV/0!</v>
          </cell>
          <cell r="AZ663" t="e">
            <v>#DIV/0!</v>
          </cell>
          <cell r="BE663" t="e">
            <v>#DIV/0!</v>
          </cell>
          <cell r="BF663" t="e">
            <v>#DIV/0!</v>
          </cell>
        </row>
        <row r="664">
          <cell r="A664" t="str">
            <v>-0</v>
          </cell>
          <cell r="B664" t="str">
            <v xml:space="preserve">-0  , </v>
          </cell>
          <cell r="C664"/>
          <cell r="D664"/>
          <cell r="E664"/>
          <cell r="F664"/>
          <cell r="G664"/>
          <cell r="H664"/>
          <cell r="I664"/>
          <cell r="J664"/>
          <cell r="K664"/>
          <cell r="L664"/>
          <cell r="M664"/>
          <cell r="N664"/>
          <cell r="O664"/>
          <cell r="P664"/>
          <cell r="Q664"/>
          <cell r="R664"/>
          <cell r="S664"/>
          <cell r="T664"/>
          <cell r="U664"/>
          <cell r="V664"/>
          <cell r="W664"/>
          <cell r="X664">
            <v>0</v>
          </cell>
          <cell r="Y664">
            <v>0</v>
          </cell>
          <cell r="Z664">
            <v>0</v>
          </cell>
          <cell r="AA664" t="str">
            <v>,</v>
          </cell>
          <cell r="AB664" t="str">
            <v>,</v>
          </cell>
          <cell r="AC664" t="e">
            <v>#DIV/0!</v>
          </cell>
          <cell r="AD664" t="e">
            <v>#DIV/0!</v>
          </cell>
          <cell r="AE664">
            <v>0.71</v>
          </cell>
          <cell r="AF664">
            <v>94.97</v>
          </cell>
          <cell r="AG664">
            <v>0</v>
          </cell>
          <cell r="AH664" t="e">
            <v>#DIV/0!</v>
          </cell>
          <cell r="AI664" t="e">
            <v>#DIV/0!</v>
          </cell>
          <cell r="AJ664" t="e">
            <v>#DIV/0!</v>
          </cell>
          <cell r="AK664" t="e">
            <v>#DIV/0!</v>
          </cell>
          <cell r="AL664" t="e">
            <v>#DIV/0!</v>
          </cell>
          <cell r="AM664" t="e">
            <v>#DIV/0!</v>
          </cell>
          <cell r="AN664" t="e">
            <v>#DIV/0!</v>
          </cell>
          <cell r="AO664" t="e">
            <v>#REF!</v>
          </cell>
          <cell r="AP664" t="e">
            <v>#REF!</v>
          </cell>
          <cell r="AQ664" t="e">
            <v>#REF!</v>
          </cell>
          <cell r="AR664" t="e">
            <v>#REF!</v>
          </cell>
          <cell r="AS664" t="e">
            <v>#REF!</v>
          </cell>
          <cell r="AT664" t="e">
            <v>#REF!</v>
          </cell>
          <cell r="AU664" t="e">
            <v>#REF!</v>
          </cell>
          <cell r="AV664" t="e">
            <v>#REF!</v>
          </cell>
          <cell r="AW664" t="e">
            <v>#DIV/0!</v>
          </cell>
          <cell r="AX664" t="e">
            <v>#DIV/0!</v>
          </cell>
          <cell r="AY664" t="e">
            <v>#DIV/0!</v>
          </cell>
          <cell r="AZ664" t="e">
            <v>#DIV/0!</v>
          </cell>
          <cell r="BE664" t="e">
            <v>#DIV/0!</v>
          </cell>
          <cell r="BF664" t="e">
            <v>#DIV/0!</v>
          </cell>
        </row>
        <row r="665">
          <cell r="A665" t="str">
            <v>-0</v>
          </cell>
          <cell r="B665" t="str">
            <v xml:space="preserve">-0  , </v>
          </cell>
          <cell r="C665"/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/>
          <cell r="S665"/>
          <cell r="T665"/>
          <cell r="U665"/>
          <cell r="V665"/>
          <cell r="W665"/>
          <cell r="X665">
            <v>0</v>
          </cell>
          <cell r="Y665">
            <v>0</v>
          </cell>
          <cell r="Z665">
            <v>0</v>
          </cell>
          <cell r="AA665" t="str">
            <v>,</v>
          </cell>
          <cell r="AB665" t="str">
            <v>,</v>
          </cell>
          <cell r="AC665" t="e">
            <v>#DIV/0!</v>
          </cell>
          <cell r="AD665" t="e">
            <v>#DIV/0!</v>
          </cell>
          <cell r="AE665">
            <v>0.71</v>
          </cell>
          <cell r="AF665">
            <v>94.97</v>
          </cell>
          <cell r="AG665">
            <v>0</v>
          </cell>
          <cell r="AH665" t="e">
            <v>#DIV/0!</v>
          </cell>
          <cell r="AI665" t="e">
            <v>#DIV/0!</v>
          </cell>
          <cell r="AJ665" t="e">
            <v>#DIV/0!</v>
          </cell>
          <cell r="AK665" t="e">
            <v>#DIV/0!</v>
          </cell>
          <cell r="AL665" t="e">
            <v>#DIV/0!</v>
          </cell>
          <cell r="AM665" t="e">
            <v>#DIV/0!</v>
          </cell>
          <cell r="AN665" t="e">
            <v>#DIV/0!</v>
          </cell>
          <cell r="AO665" t="e">
            <v>#REF!</v>
          </cell>
          <cell r="AP665" t="e">
            <v>#REF!</v>
          </cell>
          <cell r="AQ665" t="e">
            <v>#REF!</v>
          </cell>
          <cell r="AR665" t="e">
            <v>#REF!</v>
          </cell>
          <cell r="AS665" t="e">
            <v>#REF!</v>
          </cell>
          <cell r="AT665" t="e">
            <v>#REF!</v>
          </cell>
          <cell r="AU665" t="e">
            <v>#REF!</v>
          </cell>
          <cell r="AV665" t="e">
            <v>#REF!</v>
          </cell>
          <cell r="AW665" t="e">
            <v>#DIV/0!</v>
          </cell>
          <cell r="AX665" t="e">
            <v>#DIV/0!</v>
          </cell>
          <cell r="AY665" t="e">
            <v>#DIV/0!</v>
          </cell>
          <cell r="AZ665" t="e">
            <v>#DIV/0!</v>
          </cell>
          <cell r="BE665" t="e">
            <v>#DIV/0!</v>
          </cell>
          <cell r="BF665" t="e">
            <v>#DIV/0!</v>
          </cell>
        </row>
        <row r="666">
          <cell r="A666" t="str">
            <v>-0</v>
          </cell>
          <cell r="B666" t="str">
            <v xml:space="preserve">-0  , </v>
          </cell>
          <cell r="C666"/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/>
          <cell r="S666"/>
          <cell r="T666"/>
          <cell r="U666"/>
          <cell r="V666"/>
          <cell r="W666"/>
          <cell r="X666">
            <v>0</v>
          </cell>
          <cell r="Y666">
            <v>0</v>
          </cell>
          <cell r="Z666">
            <v>0</v>
          </cell>
          <cell r="AA666" t="str">
            <v>,</v>
          </cell>
          <cell r="AB666" t="str">
            <v>,</v>
          </cell>
          <cell r="AC666" t="e">
            <v>#DIV/0!</v>
          </cell>
          <cell r="AD666" t="e">
            <v>#DIV/0!</v>
          </cell>
          <cell r="AE666">
            <v>0.71</v>
          </cell>
          <cell r="AF666">
            <v>94.97</v>
          </cell>
          <cell r="AG666">
            <v>0</v>
          </cell>
          <cell r="AH666" t="e">
            <v>#DIV/0!</v>
          </cell>
          <cell r="AI666" t="e">
            <v>#DIV/0!</v>
          </cell>
          <cell r="AJ666" t="e">
            <v>#DIV/0!</v>
          </cell>
          <cell r="AK666" t="e">
            <v>#DIV/0!</v>
          </cell>
          <cell r="AL666" t="e">
            <v>#DIV/0!</v>
          </cell>
          <cell r="AM666" t="e">
            <v>#DIV/0!</v>
          </cell>
          <cell r="AN666" t="e">
            <v>#DIV/0!</v>
          </cell>
          <cell r="AO666" t="e">
            <v>#REF!</v>
          </cell>
          <cell r="AP666" t="e">
            <v>#REF!</v>
          </cell>
          <cell r="AQ666" t="e">
            <v>#REF!</v>
          </cell>
          <cell r="AR666" t="e">
            <v>#REF!</v>
          </cell>
          <cell r="AS666" t="e">
            <v>#REF!</v>
          </cell>
          <cell r="AT666" t="e">
            <v>#REF!</v>
          </cell>
          <cell r="AU666" t="e">
            <v>#REF!</v>
          </cell>
          <cell r="AV666" t="e">
            <v>#REF!</v>
          </cell>
          <cell r="AW666" t="e">
            <v>#DIV/0!</v>
          </cell>
          <cell r="AX666" t="e">
            <v>#DIV/0!</v>
          </cell>
          <cell r="AY666" t="e">
            <v>#DIV/0!</v>
          </cell>
          <cell r="AZ666" t="e">
            <v>#DIV/0!</v>
          </cell>
          <cell r="BE666" t="e">
            <v>#DIV/0!</v>
          </cell>
          <cell r="BF666" t="e">
            <v>#DIV/0!</v>
          </cell>
        </row>
        <row r="667">
          <cell r="A667" t="str">
            <v>-0</v>
          </cell>
          <cell r="B667" t="str">
            <v xml:space="preserve">-0  , </v>
          </cell>
          <cell r="C667"/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/>
          <cell r="S667"/>
          <cell r="T667"/>
          <cell r="U667"/>
          <cell r="V667"/>
          <cell r="W667"/>
          <cell r="X667">
            <v>0</v>
          </cell>
          <cell r="Y667">
            <v>0</v>
          </cell>
          <cell r="Z667">
            <v>0</v>
          </cell>
          <cell r="AA667" t="str">
            <v>,</v>
          </cell>
          <cell r="AB667" t="str">
            <v>,</v>
          </cell>
          <cell r="AC667" t="e">
            <v>#DIV/0!</v>
          </cell>
          <cell r="AD667" t="e">
            <v>#DIV/0!</v>
          </cell>
          <cell r="AE667">
            <v>0.71</v>
          </cell>
          <cell r="AF667">
            <v>94.97</v>
          </cell>
          <cell r="AG667">
            <v>0</v>
          </cell>
          <cell r="AH667" t="e">
            <v>#DIV/0!</v>
          </cell>
          <cell r="AI667" t="e">
            <v>#DIV/0!</v>
          </cell>
          <cell r="AJ667" t="e">
            <v>#DIV/0!</v>
          </cell>
          <cell r="AK667" t="e">
            <v>#DIV/0!</v>
          </cell>
          <cell r="AL667" t="e">
            <v>#DIV/0!</v>
          </cell>
          <cell r="AM667" t="e">
            <v>#DIV/0!</v>
          </cell>
          <cell r="AN667" t="e">
            <v>#DIV/0!</v>
          </cell>
          <cell r="AO667" t="e">
            <v>#REF!</v>
          </cell>
          <cell r="AP667" t="e">
            <v>#REF!</v>
          </cell>
          <cell r="AQ667" t="e">
            <v>#REF!</v>
          </cell>
          <cell r="AR667" t="e">
            <v>#REF!</v>
          </cell>
          <cell r="AS667" t="e">
            <v>#REF!</v>
          </cell>
          <cell r="AT667" t="e">
            <v>#REF!</v>
          </cell>
          <cell r="AU667" t="e">
            <v>#REF!</v>
          </cell>
          <cell r="AV667" t="e">
            <v>#REF!</v>
          </cell>
          <cell r="AW667" t="e">
            <v>#DIV/0!</v>
          </cell>
          <cell r="AX667" t="e">
            <v>#DIV/0!</v>
          </cell>
          <cell r="AY667" t="e">
            <v>#DIV/0!</v>
          </cell>
          <cell r="AZ667" t="e">
            <v>#DIV/0!</v>
          </cell>
          <cell r="BE667" t="e">
            <v>#DIV/0!</v>
          </cell>
          <cell r="BF667" t="e">
            <v>#DIV/0!</v>
          </cell>
        </row>
        <row r="668">
          <cell r="A668" t="str">
            <v>-0</v>
          </cell>
          <cell r="B668" t="str">
            <v xml:space="preserve">-0  , </v>
          </cell>
          <cell r="C668"/>
          <cell r="D668"/>
          <cell r="E668"/>
          <cell r="F668"/>
          <cell r="G668"/>
          <cell r="H668"/>
          <cell r="I668"/>
          <cell r="J668"/>
          <cell r="K668"/>
          <cell r="L668"/>
          <cell r="M668"/>
          <cell r="N668"/>
          <cell r="O668"/>
          <cell r="P668"/>
          <cell r="Q668"/>
          <cell r="R668"/>
          <cell r="S668"/>
          <cell r="T668"/>
          <cell r="U668"/>
          <cell r="V668"/>
          <cell r="W668"/>
          <cell r="X668">
            <v>0</v>
          </cell>
          <cell r="Y668">
            <v>0</v>
          </cell>
          <cell r="Z668">
            <v>0</v>
          </cell>
          <cell r="AA668" t="str">
            <v>,</v>
          </cell>
          <cell r="AB668" t="str">
            <v>,</v>
          </cell>
          <cell r="AC668" t="e">
            <v>#DIV/0!</v>
          </cell>
          <cell r="AD668" t="e">
            <v>#DIV/0!</v>
          </cell>
          <cell r="AE668">
            <v>0.71</v>
          </cell>
          <cell r="AF668">
            <v>94.97</v>
          </cell>
          <cell r="AG668">
            <v>0</v>
          </cell>
          <cell r="AH668" t="e">
            <v>#DIV/0!</v>
          </cell>
          <cell r="AI668" t="e">
            <v>#DIV/0!</v>
          </cell>
          <cell r="AJ668" t="e">
            <v>#DIV/0!</v>
          </cell>
          <cell r="AK668" t="e">
            <v>#DIV/0!</v>
          </cell>
          <cell r="AL668" t="e">
            <v>#DIV/0!</v>
          </cell>
          <cell r="AM668" t="e">
            <v>#DIV/0!</v>
          </cell>
          <cell r="AN668" t="e">
            <v>#DIV/0!</v>
          </cell>
          <cell r="AO668" t="e">
            <v>#REF!</v>
          </cell>
          <cell r="AP668" t="e">
            <v>#REF!</v>
          </cell>
          <cell r="AQ668" t="e">
            <v>#REF!</v>
          </cell>
          <cell r="AR668" t="e">
            <v>#REF!</v>
          </cell>
          <cell r="AS668" t="e">
            <v>#REF!</v>
          </cell>
          <cell r="AT668" t="e">
            <v>#REF!</v>
          </cell>
          <cell r="AU668" t="e">
            <v>#REF!</v>
          </cell>
          <cell r="AV668" t="e">
            <v>#REF!</v>
          </cell>
          <cell r="AW668" t="e">
            <v>#DIV/0!</v>
          </cell>
          <cell r="AX668" t="e">
            <v>#DIV/0!</v>
          </cell>
          <cell r="AY668" t="e">
            <v>#DIV/0!</v>
          </cell>
          <cell r="AZ668" t="e">
            <v>#DIV/0!</v>
          </cell>
          <cell r="BE668" t="e">
            <v>#DIV/0!</v>
          </cell>
          <cell r="BF668" t="e">
            <v>#DIV/0!</v>
          </cell>
        </row>
        <row r="669">
          <cell r="A669" t="str">
            <v>-0</v>
          </cell>
          <cell r="B669" t="str">
            <v xml:space="preserve">-0  , </v>
          </cell>
          <cell r="C669"/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/>
          <cell r="S669"/>
          <cell r="T669"/>
          <cell r="U669"/>
          <cell r="V669"/>
          <cell r="W669"/>
          <cell r="X669">
            <v>0</v>
          </cell>
          <cell r="Y669">
            <v>0</v>
          </cell>
          <cell r="Z669">
            <v>0</v>
          </cell>
          <cell r="AA669" t="str">
            <v>,</v>
          </cell>
          <cell r="AB669" t="str">
            <v>,</v>
          </cell>
          <cell r="AC669" t="e">
            <v>#DIV/0!</v>
          </cell>
          <cell r="AD669" t="e">
            <v>#DIV/0!</v>
          </cell>
          <cell r="AE669">
            <v>0.71</v>
          </cell>
          <cell r="AF669">
            <v>94.97</v>
          </cell>
          <cell r="AG669">
            <v>0</v>
          </cell>
          <cell r="AH669" t="e">
            <v>#DIV/0!</v>
          </cell>
          <cell r="AI669" t="e">
            <v>#DIV/0!</v>
          </cell>
          <cell r="AJ669" t="e">
            <v>#DIV/0!</v>
          </cell>
          <cell r="AK669" t="e">
            <v>#DIV/0!</v>
          </cell>
          <cell r="AL669" t="e">
            <v>#DIV/0!</v>
          </cell>
          <cell r="AM669" t="e">
            <v>#DIV/0!</v>
          </cell>
          <cell r="AN669" t="e">
            <v>#DIV/0!</v>
          </cell>
          <cell r="AO669" t="e">
            <v>#REF!</v>
          </cell>
          <cell r="AP669" t="e">
            <v>#REF!</v>
          </cell>
          <cell r="AQ669" t="e">
            <v>#REF!</v>
          </cell>
          <cell r="AR669" t="e">
            <v>#REF!</v>
          </cell>
          <cell r="AS669" t="e">
            <v>#REF!</v>
          </cell>
          <cell r="AT669" t="e">
            <v>#REF!</v>
          </cell>
          <cell r="AU669" t="e">
            <v>#REF!</v>
          </cell>
          <cell r="AV669" t="e">
            <v>#REF!</v>
          </cell>
          <cell r="AW669" t="e">
            <v>#DIV/0!</v>
          </cell>
          <cell r="AX669" t="e">
            <v>#DIV/0!</v>
          </cell>
          <cell r="AY669" t="e">
            <v>#DIV/0!</v>
          </cell>
          <cell r="AZ669" t="e">
            <v>#DIV/0!</v>
          </cell>
          <cell r="BE669" t="e">
            <v>#DIV/0!</v>
          </cell>
          <cell r="BF669" t="e">
            <v>#DIV/0!</v>
          </cell>
        </row>
        <row r="670">
          <cell r="A670" t="str">
            <v>-0</v>
          </cell>
          <cell r="B670" t="str">
            <v xml:space="preserve">-0  , </v>
          </cell>
          <cell r="C670"/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  <cell r="X670">
            <v>0</v>
          </cell>
          <cell r="Y670">
            <v>0</v>
          </cell>
          <cell r="Z670">
            <v>0</v>
          </cell>
          <cell r="AA670" t="str">
            <v>,</v>
          </cell>
          <cell r="AB670" t="str">
            <v>,</v>
          </cell>
          <cell r="AC670" t="e">
            <v>#DIV/0!</v>
          </cell>
          <cell r="AD670" t="e">
            <v>#DIV/0!</v>
          </cell>
          <cell r="AE670">
            <v>0.71</v>
          </cell>
          <cell r="AF670">
            <v>94.97</v>
          </cell>
          <cell r="AG670">
            <v>0</v>
          </cell>
          <cell r="AH670" t="e">
            <v>#DIV/0!</v>
          </cell>
          <cell r="AI670" t="e">
            <v>#DIV/0!</v>
          </cell>
          <cell r="AJ670" t="e">
            <v>#DIV/0!</v>
          </cell>
          <cell r="AK670" t="e">
            <v>#DIV/0!</v>
          </cell>
          <cell r="AL670" t="e">
            <v>#DIV/0!</v>
          </cell>
          <cell r="AM670" t="e">
            <v>#DIV/0!</v>
          </cell>
          <cell r="AN670" t="e">
            <v>#DIV/0!</v>
          </cell>
          <cell r="AO670" t="e">
            <v>#REF!</v>
          </cell>
          <cell r="AP670" t="e">
            <v>#REF!</v>
          </cell>
          <cell r="AQ670" t="e">
            <v>#REF!</v>
          </cell>
          <cell r="AR670" t="e">
            <v>#REF!</v>
          </cell>
          <cell r="AS670" t="e">
            <v>#REF!</v>
          </cell>
          <cell r="AT670" t="e">
            <v>#REF!</v>
          </cell>
          <cell r="AU670" t="e">
            <v>#REF!</v>
          </cell>
          <cell r="AV670" t="e">
            <v>#REF!</v>
          </cell>
          <cell r="AW670" t="e">
            <v>#DIV/0!</v>
          </cell>
          <cell r="AX670" t="e">
            <v>#DIV/0!</v>
          </cell>
          <cell r="AY670" t="e">
            <v>#DIV/0!</v>
          </cell>
          <cell r="AZ670" t="e">
            <v>#DIV/0!</v>
          </cell>
          <cell r="BE670" t="e">
            <v>#DIV/0!</v>
          </cell>
          <cell r="BF670" t="e">
            <v>#DIV/0!</v>
          </cell>
        </row>
        <row r="671">
          <cell r="A671" t="str">
            <v>-0</v>
          </cell>
          <cell r="B671" t="str">
            <v xml:space="preserve">-0  , </v>
          </cell>
          <cell r="C671"/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  <cell r="X671">
            <v>0</v>
          </cell>
          <cell r="Y671">
            <v>0</v>
          </cell>
          <cell r="Z671">
            <v>0</v>
          </cell>
          <cell r="AA671" t="str">
            <v>,</v>
          </cell>
          <cell r="AB671" t="str">
            <v>,</v>
          </cell>
          <cell r="AC671" t="e">
            <v>#DIV/0!</v>
          </cell>
          <cell r="AD671" t="e">
            <v>#DIV/0!</v>
          </cell>
          <cell r="AE671">
            <v>0.71</v>
          </cell>
          <cell r="AF671">
            <v>94.97</v>
          </cell>
          <cell r="AG671">
            <v>0</v>
          </cell>
          <cell r="AH671" t="e">
            <v>#DIV/0!</v>
          </cell>
          <cell r="AI671" t="e">
            <v>#DIV/0!</v>
          </cell>
          <cell r="AJ671" t="e">
            <v>#DIV/0!</v>
          </cell>
          <cell r="AK671" t="e">
            <v>#DIV/0!</v>
          </cell>
          <cell r="AL671" t="e">
            <v>#DIV/0!</v>
          </cell>
          <cell r="AM671" t="e">
            <v>#DIV/0!</v>
          </cell>
          <cell r="AN671" t="e">
            <v>#DIV/0!</v>
          </cell>
          <cell r="AO671" t="e">
            <v>#REF!</v>
          </cell>
          <cell r="AP671" t="e">
            <v>#REF!</v>
          </cell>
          <cell r="AQ671" t="e">
            <v>#REF!</v>
          </cell>
          <cell r="AR671" t="e">
            <v>#REF!</v>
          </cell>
          <cell r="AS671" t="e">
            <v>#REF!</v>
          </cell>
          <cell r="AT671" t="e">
            <v>#REF!</v>
          </cell>
          <cell r="AU671" t="e">
            <v>#REF!</v>
          </cell>
          <cell r="AV671" t="e">
            <v>#REF!</v>
          </cell>
          <cell r="AW671" t="e">
            <v>#DIV/0!</v>
          </cell>
          <cell r="AX671" t="e">
            <v>#DIV/0!</v>
          </cell>
          <cell r="AY671" t="e">
            <v>#DIV/0!</v>
          </cell>
          <cell r="AZ671" t="e">
            <v>#DIV/0!</v>
          </cell>
          <cell r="BE671" t="e">
            <v>#DIV/0!</v>
          </cell>
          <cell r="BF671" t="e">
            <v>#DIV/0!</v>
          </cell>
        </row>
        <row r="672">
          <cell r="A672" t="str">
            <v>-0</v>
          </cell>
          <cell r="B672" t="str">
            <v xml:space="preserve">-0  , </v>
          </cell>
          <cell r="C672"/>
          <cell r="D672"/>
          <cell r="E672"/>
          <cell r="F672"/>
          <cell r="G672"/>
          <cell r="H672"/>
          <cell r="I672"/>
          <cell r="J672"/>
          <cell r="K672"/>
          <cell r="L672"/>
          <cell r="M672"/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  <cell r="X672">
            <v>0</v>
          </cell>
          <cell r="Y672">
            <v>0</v>
          </cell>
          <cell r="Z672">
            <v>0</v>
          </cell>
          <cell r="AA672" t="str">
            <v>,</v>
          </cell>
          <cell r="AB672" t="str">
            <v>,</v>
          </cell>
          <cell r="AC672" t="e">
            <v>#DIV/0!</v>
          </cell>
          <cell r="AD672" t="e">
            <v>#DIV/0!</v>
          </cell>
          <cell r="AE672">
            <v>0.71</v>
          </cell>
          <cell r="AF672">
            <v>94.97</v>
          </cell>
          <cell r="AG672">
            <v>0</v>
          </cell>
          <cell r="AH672" t="e">
            <v>#DIV/0!</v>
          </cell>
          <cell r="AI672" t="e">
            <v>#DIV/0!</v>
          </cell>
          <cell r="AJ672" t="e">
            <v>#DIV/0!</v>
          </cell>
          <cell r="AK672" t="e">
            <v>#DIV/0!</v>
          </cell>
          <cell r="AL672" t="e">
            <v>#DIV/0!</v>
          </cell>
          <cell r="AM672" t="e">
            <v>#DIV/0!</v>
          </cell>
          <cell r="AN672" t="e">
            <v>#DIV/0!</v>
          </cell>
          <cell r="AO672" t="e">
            <v>#REF!</v>
          </cell>
          <cell r="AP672" t="e">
            <v>#REF!</v>
          </cell>
          <cell r="AQ672" t="e">
            <v>#REF!</v>
          </cell>
          <cell r="AR672" t="e">
            <v>#REF!</v>
          </cell>
          <cell r="AS672" t="e">
            <v>#REF!</v>
          </cell>
          <cell r="AT672" t="e">
            <v>#REF!</v>
          </cell>
          <cell r="AU672" t="e">
            <v>#REF!</v>
          </cell>
          <cell r="AV672" t="e">
            <v>#REF!</v>
          </cell>
          <cell r="AW672" t="e">
            <v>#DIV/0!</v>
          </cell>
          <cell r="AX672" t="e">
            <v>#DIV/0!</v>
          </cell>
          <cell r="AY672" t="e">
            <v>#DIV/0!</v>
          </cell>
          <cell r="AZ672" t="e">
            <v>#DIV/0!</v>
          </cell>
          <cell r="BE672" t="e">
            <v>#DIV/0!</v>
          </cell>
          <cell r="BF672" t="e">
            <v>#DIV/0!</v>
          </cell>
        </row>
        <row r="673">
          <cell r="A673" t="str">
            <v>-0</v>
          </cell>
          <cell r="B673" t="str">
            <v xml:space="preserve">-0  , </v>
          </cell>
          <cell r="C673"/>
          <cell r="D673"/>
          <cell r="E673"/>
          <cell r="F673"/>
          <cell r="G673"/>
          <cell r="H673"/>
          <cell r="I673"/>
          <cell r="J673"/>
          <cell r="K673"/>
          <cell r="L673"/>
          <cell r="M673"/>
          <cell r="N673"/>
          <cell r="O673"/>
          <cell r="P673"/>
          <cell r="Q673"/>
          <cell r="R673"/>
          <cell r="S673"/>
          <cell r="T673"/>
          <cell r="U673"/>
          <cell r="V673"/>
          <cell r="W673"/>
          <cell r="X673">
            <v>0</v>
          </cell>
          <cell r="Y673">
            <v>0</v>
          </cell>
          <cell r="Z673">
            <v>0</v>
          </cell>
          <cell r="AA673" t="str">
            <v>,</v>
          </cell>
          <cell r="AB673" t="str">
            <v>,</v>
          </cell>
          <cell r="AC673" t="e">
            <v>#DIV/0!</v>
          </cell>
          <cell r="AD673" t="e">
            <v>#DIV/0!</v>
          </cell>
          <cell r="AE673">
            <v>0.71</v>
          </cell>
          <cell r="AF673">
            <v>94.97</v>
          </cell>
          <cell r="AG673">
            <v>0</v>
          </cell>
          <cell r="AH673" t="e">
            <v>#DIV/0!</v>
          </cell>
          <cell r="AI673" t="e">
            <v>#DIV/0!</v>
          </cell>
          <cell r="AJ673" t="e">
            <v>#DIV/0!</v>
          </cell>
          <cell r="AK673" t="e">
            <v>#DIV/0!</v>
          </cell>
          <cell r="AL673" t="e">
            <v>#DIV/0!</v>
          </cell>
          <cell r="AM673" t="e">
            <v>#DIV/0!</v>
          </cell>
          <cell r="AN673" t="e">
            <v>#DIV/0!</v>
          </cell>
          <cell r="AO673" t="e">
            <v>#REF!</v>
          </cell>
          <cell r="AP673" t="e">
            <v>#REF!</v>
          </cell>
          <cell r="AQ673" t="e">
            <v>#REF!</v>
          </cell>
          <cell r="AR673" t="e">
            <v>#REF!</v>
          </cell>
          <cell r="AS673" t="e">
            <v>#REF!</v>
          </cell>
          <cell r="AT673" t="e">
            <v>#REF!</v>
          </cell>
          <cell r="AU673" t="e">
            <v>#REF!</v>
          </cell>
          <cell r="AV673" t="e">
            <v>#REF!</v>
          </cell>
          <cell r="AW673" t="e">
            <v>#DIV/0!</v>
          </cell>
          <cell r="AX673" t="e">
            <v>#DIV/0!</v>
          </cell>
          <cell r="AY673" t="e">
            <v>#DIV/0!</v>
          </cell>
          <cell r="AZ673" t="e">
            <v>#DIV/0!</v>
          </cell>
          <cell r="BE673" t="e">
            <v>#DIV/0!</v>
          </cell>
          <cell r="BF673" t="e">
            <v>#DIV/0!</v>
          </cell>
        </row>
        <row r="674">
          <cell r="A674" t="str">
            <v>-0</v>
          </cell>
          <cell r="B674" t="str">
            <v xml:space="preserve">-0  , </v>
          </cell>
          <cell r="C674"/>
          <cell r="D674"/>
          <cell r="E674"/>
          <cell r="F674"/>
          <cell r="G674"/>
          <cell r="H674"/>
          <cell r="I674"/>
          <cell r="J674"/>
          <cell r="K674"/>
          <cell r="L674"/>
          <cell r="M674"/>
          <cell r="N674"/>
          <cell r="O674"/>
          <cell r="P674"/>
          <cell r="Q674"/>
          <cell r="R674"/>
          <cell r="S674"/>
          <cell r="T674"/>
          <cell r="U674"/>
          <cell r="V674"/>
          <cell r="W674"/>
          <cell r="X674">
            <v>0</v>
          </cell>
          <cell r="Y674">
            <v>0</v>
          </cell>
          <cell r="Z674">
            <v>0</v>
          </cell>
          <cell r="AA674" t="str">
            <v>,</v>
          </cell>
          <cell r="AB674" t="str">
            <v>,</v>
          </cell>
          <cell r="AC674" t="e">
            <v>#DIV/0!</v>
          </cell>
          <cell r="AD674" t="e">
            <v>#DIV/0!</v>
          </cell>
          <cell r="AE674">
            <v>0.71</v>
          </cell>
          <cell r="AF674">
            <v>94.97</v>
          </cell>
          <cell r="AG674">
            <v>0</v>
          </cell>
          <cell r="AH674" t="e">
            <v>#DIV/0!</v>
          </cell>
          <cell r="AI674" t="e">
            <v>#DIV/0!</v>
          </cell>
          <cell r="AJ674" t="e">
            <v>#DIV/0!</v>
          </cell>
          <cell r="AK674" t="e">
            <v>#DIV/0!</v>
          </cell>
          <cell r="AL674" t="e">
            <v>#DIV/0!</v>
          </cell>
          <cell r="AM674" t="e">
            <v>#DIV/0!</v>
          </cell>
          <cell r="AN674" t="e">
            <v>#DIV/0!</v>
          </cell>
          <cell r="AO674" t="e">
            <v>#REF!</v>
          </cell>
          <cell r="AP674" t="e">
            <v>#REF!</v>
          </cell>
          <cell r="AQ674" t="e">
            <v>#REF!</v>
          </cell>
          <cell r="AR674" t="e">
            <v>#REF!</v>
          </cell>
          <cell r="AS674" t="e">
            <v>#REF!</v>
          </cell>
          <cell r="AT674" t="e">
            <v>#REF!</v>
          </cell>
          <cell r="AU674" t="e">
            <v>#REF!</v>
          </cell>
          <cell r="AV674" t="e">
            <v>#REF!</v>
          </cell>
          <cell r="AW674" t="e">
            <v>#DIV/0!</v>
          </cell>
          <cell r="AX674" t="e">
            <v>#DIV/0!</v>
          </cell>
          <cell r="AY674" t="e">
            <v>#DIV/0!</v>
          </cell>
          <cell r="AZ674" t="e">
            <v>#DIV/0!</v>
          </cell>
          <cell r="BE674" t="e">
            <v>#DIV/0!</v>
          </cell>
          <cell r="BF674" t="e">
            <v>#DIV/0!</v>
          </cell>
        </row>
        <row r="675">
          <cell r="A675" t="str">
            <v>-0</v>
          </cell>
          <cell r="B675" t="str">
            <v xml:space="preserve">-0  , </v>
          </cell>
          <cell r="C675"/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  <cell r="X675">
            <v>0</v>
          </cell>
          <cell r="Y675">
            <v>0</v>
          </cell>
          <cell r="Z675">
            <v>0</v>
          </cell>
          <cell r="AA675" t="str">
            <v>,</v>
          </cell>
          <cell r="AB675" t="str">
            <v>,</v>
          </cell>
          <cell r="AC675" t="e">
            <v>#DIV/0!</v>
          </cell>
          <cell r="AD675" t="e">
            <v>#DIV/0!</v>
          </cell>
          <cell r="AE675">
            <v>0.71</v>
          </cell>
          <cell r="AF675">
            <v>94.97</v>
          </cell>
          <cell r="AG675">
            <v>0</v>
          </cell>
          <cell r="AH675" t="e">
            <v>#DIV/0!</v>
          </cell>
          <cell r="AI675" t="e">
            <v>#DIV/0!</v>
          </cell>
          <cell r="AJ675" t="e">
            <v>#DIV/0!</v>
          </cell>
          <cell r="AK675" t="e">
            <v>#DIV/0!</v>
          </cell>
          <cell r="AL675" t="e">
            <v>#DIV/0!</v>
          </cell>
          <cell r="AM675" t="e">
            <v>#DIV/0!</v>
          </cell>
          <cell r="AN675" t="e">
            <v>#DIV/0!</v>
          </cell>
          <cell r="AO675" t="e">
            <v>#REF!</v>
          </cell>
          <cell r="AP675" t="e">
            <v>#REF!</v>
          </cell>
          <cell r="AQ675" t="e">
            <v>#REF!</v>
          </cell>
          <cell r="AR675" t="e">
            <v>#REF!</v>
          </cell>
          <cell r="AS675" t="e">
            <v>#REF!</v>
          </cell>
          <cell r="AT675" t="e">
            <v>#REF!</v>
          </cell>
          <cell r="AU675" t="e">
            <v>#REF!</v>
          </cell>
          <cell r="AV675" t="e">
            <v>#REF!</v>
          </cell>
          <cell r="AW675" t="e">
            <v>#DIV/0!</v>
          </cell>
          <cell r="AX675" t="e">
            <v>#DIV/0!</v>
          </cell>
          <cell r="AY675" t="e">
            <v>#DIV/0!</v>
          </cell>
          <cell r="AZ675" t="e">
            <v>#DIV/0!</v>
          </cell>
          <cell r="BE675" t="e">
            <v>#DIV/0!</v>
          </cell>
          <cell r="BF675" t="e">
            <v>#DIV/0!</v>
          </cell>
        </row>
        <row r="676">
          <cell r="A676" t="str">
            <v>-0</v>
          </cell>
          <cell r="B676" t="str">
            <v xml:space="preserve">-0  , </v>
          </cell>
          <cell r="C676"/>
          <cell r="D676"/>
          <cell r="E676"/>
          <cell r="F676"/>
          <cell r="G676"/>
          <cell r="H676"/>
          <cell r="I676"/>
          <cell r="J676"/>
          <cell r="K676"/>
          <cell r="L676"/>
          <cell r="M676"/>
          <cell r="N676"/>
          <cell r="O676"/>
          <cell r="P676"/>
          <cell r="Q676"/>
          <cell r="R676"/>
          <cell r="S676"/>
          <cell r="T676"/>
          <cell r="U676"/>
          <cell r="V676"/>
          <cell r="W676"/>
          <cell r="X676">
            <v>0</v>
          </cell>
          <cell r="Y676">
            <v>0</v>
          </cell>
          <cell r="Z676">
            <v>0</v>
          </cell>
          <cell r="AA676" t="str">
            <v>,</v>
          </cell>
          <cell r="AB676" t="str">
            <v>,</v>
          </cell>
          <cell r="AC676" t="e">
            <v>#DIV/0!</v>
          </cell>
          <cell r="AD676" t="e">
            <v>#DIV/0!</v>
          </cell>
          <cell r="AE676">
            <v>0.71</v>
          </cell>
          <cell r="AF676">
            <v>94.97</v>
          </cell>
          <cell r="AG676">
            <v>0</v>
          </cell>
          <cell r="AH676" t="e">
            <v>#DIV/0!</v>
          </cell>
          <cell r="AI676" t="e">
            <v>#DIV/0!</v>
          </cell>
          <cell r="AJ676" t="e">
            <v>#DIV/0!</v>
          </cell>
          <cell r="AK676" t="e">
            <v>#DIV/0!</v>
          </cell>
          <cell r="AL676" t="e">
            <v>#DIV/0!</v>
          </cell>
          <cell r="AM676" t="e">
            <v>#DIV/0!</v>
          </cell>
          <cell r="AN676" t="e">
            <v>#DIV/0!</v>
          </cell>
          <cell r="AO676" t="e">
            <v>#REF!</v>
          </cell>
          <cell r="AP676" t="e">
            <v>#REF!</v>
          </cell>
          <cell r="AQ676" t="e">
            <v>#REF!</v>
          </cell>
          <cell r="AR676" t="e">
            <v>#REF!</v>
          </cell>
          <cell r="AS676" t="e">
            <v>#REF!</v>
          </cell>
          <cell r="AT676" t="e">
            <v>#REF!</v>
          </cell>
          <cell r="AU676" t="e">
            <v>#REF!</v>
          </cell>
          <cell r="AV676" t="e">
            <v>#REF!</v>
          </cell>
          <cell r="AW676" t="e">
            <v>#DIV/0!</v>
          </cell>
          <cell r="AX676" t="e">
            <v>#DIV/0!</v>
          </cell>
          <cell r="AY676" t="e">
            <v>#DIV/0!</v>
          </cell>
          <cell r="AZ676" t="e">
            <v>#DIV/0!</v>
          </cell>
          <cell r="BE676" t="e">
            <v>#DIV/0!</v>
          </cell>
          <cell r="BF676" t="e">
            <v>#DIV/0!</v>
          </cell>
        </row>
        <row r="677">
          <cell r="A677" t="str">
            <v>-0</v>
          </cell>
          <cell r="B677" t="str">
            <v xml:space="preserve">-0  , </v>
          </cell>
          <cell r="C677"/>
          <cell r="D677"/>
          <cell r="E677"/>
          <cell r="F677"/>
          <cell r="G677"/>
          <cell r="H677"/>
          <cell r="I677"/>
          <cell r="J677"/>
          <cell r="K677"/>
          <cell r="L677"/>
          <cell r="M677"/>
          <cell r="N677"/>
          <cell r="O677"/>
          <cell r="P677"/>
          <cell r="Q677"/>
          <cell r="R677"/>
          <cell r="S677"/>
          <cell r="T677"/>
          <cell r="U677"/>
          <cell r="V677"/>
          <cell r="W677"/>
          <cell r="X677">
            <v>0</v>
          </cell>
          <cell r="Y677">
            <v>0</v>
          </cell>
          <cell r="Z677">
            <v>0</v>
          </cell>
          <cell r="AA677" t="str">
            <v>,</v>
          </cell>
          <cell r="AB677" t="str">
            <v>,</v>
          </cell>
          <cell r="AC677" t="e">
            <v>#DIV/0!</v>
          </cell>
          <cell r="AD677" t="e">
            <v>#DIV/0!</v>
          </cell>
          <cell r="AE677">
            <v>0.71</v>
          </cell>
          <cell r="AF677">
            <v>94.97</v>
          </cell>
          <cell r="AG677">
            <v>0</v>
          </cell>
          <cell r="AH677" t="e">
            <v>#DIV/0!</v>
          </cell>
          <cell r="AI677" t="e">
            <v>#DIV/0!</v>
          </cell>
          <cell r="AJ677" t="e">
            <v>#DIV/0!</v>
          </cell>
          <cell r="AK677" t="e">
            <v>#DIV/0!</v>
          </cell>
          <cell r="AL677" t="e">
            <v>#DIV/0!</v>
          </cell>
          <cell r="AM677" t="e">
            <v>#DIV/0!</v>
          </cell>
          <cell r="AN677" t="e">
            <v>#DIV/0!</v>
          </cell>
          <cell r="AO677" t="e">
            <v>#REF!</v>
          </cell>
          <cell r="AP677" t="e">
            <v>#REF!</v>
          </cell>
          <cell r="AQ677" t="e">
            <v>#REF!</v>
          </cell>
          <cell r="AR677" t="e">
            <v>#REF!</v>
          </cell>
          <cell r="AS677" t="e">
            <v>#REF!</v>
          </cell>
          <cell r="AT677" t="e">
            <v>#REF!</v>
          </cell>
          <cell r="AU677" t="e">
            <v>#REF!</v>
          </cell>
          <cell r="AV677" t="e">
            <v>#REF!</v>
          </cell>
          <cell r="AW677" t="e">
            <v>#DIV/0!</v>
          </cell>
          <cell r="AX677" t="e">
            <v>#DIV/0!</v>
          </cell>
          <cell r="AY677" t="e">
            <v>#DIV/0!</v>
          </cell>
          <cell r="AZ677" t="e">
            <v>#DIV/0!</v>
          </cell>
          <cell r="BE677" t="e">
            <v>#DIV/0!</v>
          </cell>
          <cell r="BF677" t="e">
            <v>#DIV/0!</v>
          </cell>
        </row>
        <row r="678">
          <cell r="A678" t="str">
            <v>-0</v>
          </cell>
          <cell r="B678" t="str">
            <v xml:space="preserve">-0  , </v>
          </cell>
          <cell r="C678"/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  <cell r="X678">
            <v>0</v>
          </cell>
          <cell r="Y678">
            <v>0</v>
          </cell>
          <cell r="Z678">
            <v>0</v>
          </cell>
          <cell r="AA678" t="str">
            <v>,</v>
          </cell>
          <cell r="AB678" t="str">
            <v>,</v>
          </cell>
          <cell r="AC678" t="e">
            <v>#DIV/0!</v>
          </cell>
          <cell r="AD678" t="e">
            <v>#DIV/0!</v>
          </cell>
          <cell r="AE678">
            <v>0.71</v>
          </cell>
          <cell r="AF678">
            <v>94.97</v>
          </cell>
          <cell r="AG678">
            <v>0</v>
          </cell>
          <cell r="AH678" t="e">
            <v>#DIV/0!</v>
          </cell>
          <cell r="AI678" t="e">
            <v>#DIV/0!</v>
          </cell>
          <cell r="AJ678" t="e">
            <v>#DIV/0!</v>
          </cell>
          <cell r="AK678" t="e">
            <v>#DIV/0!</v>
          </cell>
          <cell r="AL678" t="e">
            <v>#DIV/0!</v>
          </cell>
          <cell r="AM678" t="e">
            <v>#DIV/0!</v>
          </cell>
          <cell r="AN678" t="e">
            <v>#DIV/0!</v>
          </cell>
          <cell r="AO678" t="e">
            <v>#REF!</v>
          </cell>
          <cell r="AP678" t="e">
            <v>#REF!</v>
          </cell>
          <cell r="AQ678" t="e">
            <v>#REF!</v>
          </cell>
          <cell r="AR678" t="e">
            <v>#REF!</v>
          </cell>
          <cell r="AS678" t="e">
            <v>#REF!</v>
          </cell>
          <cell r="AT678" t="e">
            <v>#REF!</v>
          </cell>
          <cell r="AU678" t="e">
            <v>#REF!</v>
          </cell>
          <cell r="AV678" t="e">
            <v>#REF!</v>
          </cell>
          <cell r="AW678" t="e">
            <v>#DIV/0!</v>
          </cell>
          <cell r="AX678" t="e">
            <v>#DIV/0!</v>
          </cell>
          <cell r="AY678" t="e">
            <v>#DIV/0!</v>
          </cell>
          <cell r="AZ678" t="e">
            <v>#DIV/0!</v>
          </cell>
          <cell r="BE678" t="e">
            <v>#DIV/0!</v>
          </cell>
          <cell r="BF678" t="e">
            <v>#DIV/0!</v>
          </cell>
        </row>
        <row r="679">
          <cell r="A679" t="str">
            <v>-0</v>
          </cell>
          <cell r="B679" t="str">
            <v xml:space="preserve">-0  , </v>
          </cell>
          <cell r="C679"/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/>
          <cell r="S679"/>
          <cell r="T679"/>
          <cell r="U679"/>
          <cell r="V679"/>
          <cell r="W679"/>
          <cell r="X679">
            <v>0</v>
          </cell>
          <cell r="Y679">
            <v>0</v>
          </cell>
          <cell r="Z679">
            <v>0</v>
          </cell>
          <cell r="AA679" t="str">
            <v>,</v>
          </cell>
          <cell r="AB679" t="str">
            <v>,</v>
          </cell>
          <cell r="AC679" t="e">
            <v>#DIV/0!</v>
          </cell>
          <cell r="AD679" t="e">
            <v>#DIV/0!</v>
          </cell>
          <cell r="AE679">
            <v>0.71</v>
          </cell>
          <cell r="AF679">
            <v>94.97</v>
          </cell>
          <cell r="AG679">
            <v>0</v>
          </cell>
          <cell r="AH679" t="e">
            <v>#DIV/0!</v>
          </cell>
          <cell r="AI679" t="e">
            <v>#DIV/0!</v>
          </cell>
          <cell r="AJ679" t="e">
            <v>#DIV/0!</v>
          </cell>
          <cell r="AK679" t="e">
            <v>#DIV/0!</v>
          </cell>
          <cell r="AL679" t="e">
            <v>#DIV/0!</v>
          </cell>
          <cell r="AM679" t="e">
            <v>#DIV/0!</v>
          </cell>
          <cell r="AN679" t="e">
            <v>#DIV/0!</v>
          </cell>
          <cell r="AO679" t="e">
            <v>#REF!</v>
          </cell>
          <cell r="AP679" t="e">
            <v>#REF!</v>
          </cell>
          <cell r="AQ679" t="e">
            <v>#REF!</v>
          </cell>
          <cell r="AR679" t="e">
            <v>#REF!</v>
          </cell>
          <cell r="AS679" t="e">
            <v>#REF!</v>
          </cell>
          <cell r="AT679" t="e">
            <v>#REF!</v>
          </cell>
          <cell r="AU679" t="e">
            <v>#REF!</v>
          </cell>
          <cell r="AV679" t="e">
            <v>#REF!</v>
          </cell>
          <cell r="AW679" t="e">
            <v>#DIV/0!</v>
          </cell>
          <cell r="AX679" t="e">
            <v>#DIV/0!</v>
          </cell>
          <cell r="AY679" t="e">
            <v>#DIV/0!</v>
          </cell>
          <cell r="AZ679" t="e">
            <v>#DIV/0!</v>
          </cell>
          <cell r="BE679" t="e">
            <v>#DIV/0!</v>
          </cell>
          <cell r="BF679" t="e">
            <v>#DIV/0!</v>
          </cell>
        </row>
        <row r="680">
          <cell r="A680" t="str">
            <v>-0</v>
          </cell>
          <cell r="B680" t="str">
            <v xml:space="preserve">-0  , </v>
          </cell>
          <cell r="C680"/>
          <cell r="D680"/>
          <cell r="E680"/>
          <cell r="F680"/>
          <cell r="G680"/>
          <cell r="H680"/>
          <cell r="I680"/>
          <cell r="J680"/>
          <cell r="K680"/>
          <cell r="L680"/>
          <cell r="M680"/>
          <cell r="N680"/>
          <cell r="O680"/>
          <cell r="P680"/>
          <cell r="Q680"/>
          <cell r="R680"/>
          <cell r="S680"/>
          <cell r="T680"/>
          <cell r="U680"/>
          <cell r="V680"/>
          <cell r="W680"/>
          <cell r="X680">
            <v>0</v>
          </cell>
          <cell r="Y680">
            <v>0</v>
          </cell>
          <cell r="Z680">
            <v>0</v>
          </cell>
          <cell r="AA680" t="str">
            <v>,</v>
          </cell>
          <cell r="AB680" t="str">
            <v>,</v>
          </cell>
          <cell r="AC680" t="e">
            <v>#DIV/0!</v>
          </cell>
          <cell r="AD680" t="e">
            <v>#DIV/0!</v>
          </cell>
          <cell r="AE680">
            <v>0.71</v>
          </cell>
          <cell r="AF680">
            <v>94.97</v>
          </cell>
          <cell r="AG680">
            <v>0</v>
          </cell>
          <cell r="AH680" t="e">
            <v>#DIV/0!</v>
          </cell>
          <cell r="AI680" t="e">
            <v>#DIV/0!</v>
          </cell>
          <cell r="AJ680" t="e">
            <v>#DIV/0!</v>
          </cell>
          <cell r="AK680" t="e">
            <v>#DIV/0!</v>
          </cell>
          <cell r="AL680" t="e">
            <v>#DIV/0!</v>
          </cell>
          <cell r="AM680" t="e">
            <v>#DIV/0!</v>
          </cell>
          <cell r="AN680" t="e">
            <v>#DIV/0!</v>
          </cell>
          <cell r="AO680" t="e">
            <v>#REF!</v>
          </cell>
          <cell r="AP680" t="e">
            <v>#REF!</v>
          </cell>
          <cell r="AQ680" t="e">
            <v>#REF!</v>
          </cell>
          <cell r="AR680" t="e">
            <v>#REF!</v>
          </cell>
          <cell r="AS680" t="e">
            <v>#REF!</v>
          </cell>
          <cell r="AT680" t="e">
            <v>#REF!</v>
          </cell>
          <cell r="AU680" t="e">
            <v>#REF!</v>
          </cell>
          <cell r="AV680" t="e">
            <v>#REF!</v>
          </cell>
          <cell r="AW680" t="e">
            <v>#DIV/0!</v>
          </cell>
          <cell r="AX680" t="e">
            <v>#DIV/0!</v>
          </cell>
          <cell r="AY680" t="e">
            <v>#DIV/0!</v>
          </cell>
          <cell r="AZ680" t="e">
            <v>#DIV/0!</v>
          </cell>
          <cell r="BE680" t="e">
            <v>#DIV/0!</v>
          </cell>
          <cell r="BF680" t="e">
            <v>#DIV/0!</v>
          </cell>
        </row>
        <row r="681">
          <cell r="A681" t="str">
            <v>-0</v>
          </cell>
          <cell r="B681" t="str">
            <v xml:space="preserve">-0  , </v>
          </cell>
          <cell r="C681"/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/>
          <cell r="S681"/>
          <cell r="T681"/>
          <cell r="U681"/>
          <cell r="V681"/>
          <cell r="W681"/>
          <cell r="X681">
            <v>0</v>
          </cell>
          <cell r="Y681">
            <v>0</v>
          </cell>
          <cell r="Z681">
            <v>0</v>
          </cell>
          <cell r="AA681" t="str">
            <v>,</v>
          </cell>
          <cell r="AB681" t="str">
            <v>,</v>
          </cell>
          <cell r="AC681" t="e">
            <v>#DIV/0!</v>
          </cell>
          <cell r="AD681" t="e">
            <v>#DIV/0!</v>
          </cell>
          <cell r="AE681">
            <v>0.71</v>
          </cell>
          <cell r="AF681">
            <v>94.97</v>
          </cell>
          <cell r="AG681">
            <v>0</v>
          </cell>
          <cell r="AH681" t="e">
            <v>#DIV/0!</v>
          </cell>
          <cell r="AI681" t="e">
            <v>#DIV/0!</v>
          </cell>
          <cell r="AJ681" t="e">
            <v>#DIV/0!</v>
          </cell>
          <cell r="AK681" t="e">
            <v>#DIV/0!</v>
          </cell>
          <cell r="AL681" t="e">
            <v>#DIV/0!</v>
          </cell>
          <cell r="AM681" t="e">
            <v>#DIV/0!</v>
          </cell>
          <cell r="AN681" t="e">
            <v>#DIV/0!</v>
          </cell>
          <cell r="AO681" t="e">
            <v>#REF!</v>
          </cell>
          <cell r="AP681" t="e">
            <v>#REF!</v>
          </cell>
          <cell r="AQ681" t="e">
            <v>#REF!</v>
          </cell>
          <cell r="AR681" t="e">
            <v>#REF!</v>
          </cell>
          <cell r="AS681" t="e">
            <v>#REF!</v>
          </cell>
          <cell r="AT681" t="e">
            <v>#REF!</v>
          </cell>
          <cell r="AU681" t="e">
            <v>#REF!</v>
          </cell>
          <cell r="AV681" t="e">
            <v>#REF!</v>
          </cell>
          <cell r="AW681" t="e">
            <v>#DIV/0!</v>
          </cell>
          <cell r="AX681" t="e">
            <v>#DIV/0!</v>
          </cell>
          <cell r="AY681" t="e">
            <v>#DIV/0!</v>
          </cell>
          <cell r="AZ681" t="e">
            <v>#DIV/0!</v>
          </cell>
          <cell r="BE681" t="e">
            <v>#DIV/0!</v>
          </cell>
          <cell r="BF681" t="e">
            <v>#DIV/0!</v>
          </cell>
        </row>
        <row r="682">
          <cell r="A682" t="str">
            <v>-0</v>
          </cell>
          <cell r="B682" t="str">
            <v xml:space="preserve">-0  , </v>
          </cell>
          <cell r="C682"/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/>
          <cell r="S682"/>
          <cell r="T682"/>
          <cell r="U682"/>
          <cell r="V682"/>
          <cell r="W682"/>
          <cell r="X682">
            <v>0</v>
          </cell>
          <cell r="Y682">
            <v>0</v>
          </cell>
          <cell r="Z682">
            <v>0</v>
          </cell>
          <cell r="AA682" t="str">
            <v>,</v>
          </cell>
          <cell r="AB682" t="str">
            <v>,</v>
          </cell>
          <cell r="AC682" t="e">
            <v>#DIV/0!</v>
          </cell>
          <cell r="AD682" t="e">
            <v>#DIV/0!</v>
          </cell>
          <cell r="AE682">
            <v>0.71</v>
          </cell>
          <cell r="AF682">
            <v>94.97</v>
          </cell>
          <cell r="AG682">
            <v>0</v>
          </cell>
          <cell r="AH682" t="e">
            <v>#DIV/0!</v>
          </cell>
          <cell r="AI682" t="e">
            <v>#DIV/0!</v>
          </cell>
          <cell r="AJ682" t="e">
            <v>#DIV/0!</v>
          </cell>
          <cell r="AK682" t="e">
            <v>#DIV/0!</v>
          </cell>
          <cell r="AL682" t="e">
            <v>#DIV/0!</v>
          </cell>
          <cell r="AM682" t="e">
            <v>#DIV/0!</v>
          </cell>
          <cell r="AN682" t="e">
            <v>#DIV/0!</v>
          </cell>
          <cell r="AO682" t="e">
            <v>#REF!</v>
          </cell>
          <cell r="AP682" t="e">
            <v>#REF!</v>
          </cell>
          <cell r="AQ682" t="e">
            <v>#REF!</v>
          </cell>
          <cell r="AR682" t="e">
            <v>#REF!</v>
          </cell>
          <cell r="AS682" t="e">
            <v>#REF!</v>
          </cell>
          <cell r="AT682" t="e">
            <v>#REF!</v>
          </cell>
          <cell r="AU682" t="e">
            <v>#REF!</v>
          </cell>
          <cell r="AV682" t="e">
            <v>#REF!</v>
          </cell>
          <cell r="AW682" t="e">
            <v>#DIV/0!</v>
          </cell>
          <cell r="AX682" t="e">
            <v>#DIV/0!</v>
          </cell>
          <cell r="AY682" t="e">
            <v>#DIV/0!</v>
          </cell>
          <cell r="AZ682" t="e">
            <v>#DIV/0!</v>
          </cell>
          <cell r="BE682" t="e">
            <v>#DIV/0!</v>
          </cell>
          <cell r="BF682" t="e">
            <v>#DIV/0!</v>
          </cell>
        </row>
        <row r="683">
          <cell r="A683" t="str">
            <v>-0</v>
          </cell>
          <cell r="B683" t="str">
            <v xml:space="preserve">-0  , </v>
          </cell>
          <cell r="C683"/>
          <cell r="D683"/>
          <cell r="E683"/>
          <cell r="F683"/>
          <cell r="G683"/>
          <cell r="H683"/>
          <cell r="I683"/>
          <cell r="J683"/>
          <cell r="K683"/>
          <cell r="L683"/>
          <cell r="M683"/>
          <cell r="N683"/>
          <cell r="O683"/>
          <cell r="P683"/>
          <cell r="Q683"/>
          <cell r="R683"/>
          <cell r="S683"/>
          <cell r="T683"/>
          <cell r="U683"/>
          <cell r="V683"/>
          <cell r="W683"/>
          <cell r="X683">
            <v>0</v>
          </cell>
          <cell r="Y683">
            <v>0</v>
          </cell>
          <cell r="Z683">
            <v>0</v>
          </cell>
          <cell r="AA683" t="str">
            <v>,</v>
          </cell>
          <cell r="AB683" t="str">
            <v>,</v>
          </cell>
          <cell r="AC683" t="e">
            <v>#DIV/0!</v>
          </cell>
          <cell r="AD683" t="e">
            <v>#DIV/0!</v>
          </cell>
          <cell r="AE683">
            <v>0.71</v>
          </cell>
          <cell r="AF683">
            <v>94.97</v>
          </cell>
          <cell r="AG683">
            <v>0</v>
          </cell>
          <cell r="AH683" t="e">
            <v>#DIV/0!</v>
          </cell>
          <cell r="AI683" t="e">
            <v>#DIV/0!</v>
          </cell>
          <cell r="AJ683" t="e">
            <v>#DIV/0!</v>
          </cell>
          <cell r="AK683" t="e">
            <v>#DIV/0!</v>
          </cell>
          <cell r="AL683" t="e">
            <v>#DIV/0!</v>
          </cell>
          <cell r="AM683" t="e">
            <v>#DIV/0!</v>
          </cell>
          <cell r="AN683" t="e">
            <v>#DIV/0!</v>
          </cell>
          <cell r="AO683" t="e">
            <v>#REF!</v>
          </cell>
          <cell r="AP683" t="e">
            <v>#REF!</v>
          </cell>
          <cell r="AQ683" t="e">
            <v>#REF!</v>
          </cell>
          <cell r="AR683" t="e">
            <v>#REF!</v>
          </cell>
          <cell r="AS683" t="e">
            <v>#REF!</v>
          </cell>
          <cell r="AT683" t="e">
            <v>#REF!</v>
          </cell>
          <cell r="AU683" t="e">
            <v>#REF!</v>
          </cell>
          <cell r="AV683" t="e">
            <v>#REF!</v>
          </cell>
          <cell r="AW683" t="e">
            <v>#DIV/0!</v>
          </cell>
          <cell r="AX683" t="e">
            <v>#DIV/0!</v>
          </cell>
          <cell r="AY683" t="e">
            <v>#DIV/0!</v>
          </cell>
          <cell r="AZ683" t="e">
            <v>#DIV/0!</v>
          </cell>
          <cell r="BE683" t="e">
            <v>#DIV/0!</v>
          </cell>
          <cell r="BF683" t="e">
            <v>#DIV/0!</v>
          </cell>
        </row>
        <row r="684">
          <cell r="A684" t="str">
            <v>-0</v>
          </cell>
          <cell r="B684" t="str">
            <v xml:space="preserve">-0  , </v>
          </cell>
          <cell r="C684"/>
          <cell r="D684"/>
          <cell r="E684"/>
          <cell r="F684"/>
          <cell r="G684"/>
          <cell r="H684"/>
          <cell r="I684"/>
          <cell r="J684"/>
          <cell r="K684"/>
          <cell r="L684"/>
          <cell r="M684"/>
          <cell r="N684"/>
          <cell r="O684"/>
          <cell r="P684"/>
          <cell r="Q684"/>
          <cell r="R684"/>
          <cell r="S684"/>
          <cell r="T684"/>
          <cell r="U684"/>
          <cell r="V684"/>
          <cell r="W684"/>
          <cell r="X684">
            <v>0</v>
          </cell>
          <cell r="Y684">
            <v>0</v>
          </cell>
          <cell r="Z684">
            <v>0</v>
          </cell>
          <cell r="AA684" t="str">
            <v>,</v>
          </cell>
          <cell r="AB684" t="str">
            <v>,</v>
          </cell>
          <cell r="AC684" t="e">
            <v>#DIV/0!</v>
          </cell>
          <cell r="AD684" t="e">
            <v>#DIV/0!</v>
          </cell>
          <cell r="AE684">
            <v>0.71</v>
          </cell>
          <cell r="AF684">
            <v>94.97</v>
          </cell>
          <cell r="AG684">
            <v>0</v>
          </cell>
          <cell r="AH684" t="e">
            <v>#DIV/0!</v>
          </cell>
          <cell r="AI684" t="e">
            <v>#DIV/0!</v>
          </cell>
          <cell r="AJ684" t="e">
            <v>#DIV/0!</v>
          </cell>
          <cell r="AK684" t="e">
            <v>#DIV/0!</v>
          </cell>
          <cell r="AL684" t="e">
            <v>#DIV/0!</v>
          </cell>
          <cell r="AM684" t="e">
            <v>#DIV/0!</v>
          </cell>
          <cell r="AN684" t="e">
            <v>#DIV/0!</v>
          </cell>
          <cell r="AO684" t="e">
            <v>#REF!</v>
          </cell>
          <cell r="AP684" t="e">
            <v>#REF!</v>
          </cell>
          <cell r="AQ684" t="e">
            <v>#REF!</v>
          </cell>
          <cell r="AR684" t="e">
            <v>#REF!</v>
          </cell>
          <cell r="AS684" t="e">
            <v>#REF!</v>
          </cell>
          <cell r="AT684" t="e">
            <v>#REF!</v>
          </cell>
          <cell r="AU684" t="e">
            <v>#REF!</v>
          </cell>
          <cell r="AV684" t="e">
            <v>#REF!</v>
          </cell>
          <cell r="AW684" t="e">
            <v>#DIV/0!</v>
          </cell>
          <cell r="AX684" t="e">
            <v>#DIV/0!</v>
          </cell>
          <cell r="AY684" t="e">
            <v>#DIV/0!</v>
          </cell>
          <cell r="AZ684" t="e">
            <v>#DIV/0!</v>
          </cell>
          <cell r="BE684" t="e">
            <v>#DIV/0!</v>
          </cell>
          <cell r="BF684" t="e">
            <v>#DIV/0!</v>
          </cell>
        </row>
        <row r="685">
          <cell r="A685" t="str">
            <v>-0</v>
          </cell>
          <cell r="B685" t="str">
            <v xml:space="preserve">-0  , </v>
          </cell>
          <cell r="C685"/>
          <cell r="D685"/>
          <cell r="E685"/>
          <cell r="F685"/>
          <cell r="G685"/>
          <cell r="H685"/>
          <cell r="I685"/>
          <cell r="J685"/>
          <cell r="K685"/>
          <cell r="L685"/>
          <cell r="M685"/>
          <cell r="N685"/>
          <cell r="O685"/>
          <cell r="P685"/>
          <cell r="Q685"/>
          <cell r="R685"/>
          <cell r="S685"/>
          <cell r="T685"/>
          <cell r="U685"/>
          <cell r="V685"/>
          <cell r="W685"/>
          <cell r="X685">
            <v>0</v>
          </cell>
          <cell r="Y685">
            <v>0</v>
          </cell>
          <cell r="Z685">
            <v>0</v>
          </cell>
          <cell r="AA685" t="str">
            <v>,</v>
          </cell>
          <cell r="AB685" t="str">
            <v>,</v>
          </cell>
          <cell r="AC685" t="e">
            <v>#DIV/0!</v>
          </cell>
          <cell r="AD685" t="e">
            <v>#DIV/0!</v>
          </cell>
          <cell r="AE685">
            <v>0.71</v>
          </cell>
          <cell r="AF685">
            <v>94.97</v>
          </cell>
          <cell r="AG685">
            <v>0</v>
          </cell>
          <cell r="AH685" t="e">
            <v>#DIV/0!</v>
          </cell>
          <cell r="AI685" t="e">
            <v>#DIV/0!</v>
          </cell>
          <cell r="AJ685" t="e">
            <v>#DIV/0!</v>
          </cell>
          <cell r="AK685" t="e">
            <v>#DIV/0!</v>
          </cell>
          <cell r="AL685" t="e">
            <v>#DIV/0!</v>
          </cell>
          <cell r="AM685" t="e">
            <v>#DIV/0!</v>
          </cell>
          <cell r="AN685" t="e">
            <v>#DIV/0!</v>
          </cell>
          <cell r="AO685" t="e">
            <v>#REF!</v>
          </cell>
          <cell r="AP685" t="e">
            <v>#REF!</v>
          </cell>
          <cell r="AQ685" t="e">
            <v>#REF!</v>
          </cell>
          <cell r="AR685" t="e">
            <v>#REF!</v>
          </cell>
          <cell r="AS685" t="e">
            <v>#REF!</v>
          </cell>
          <cell r="AT685" t="e">
            <v>#REF!</v>
          </cell>
          <cell r="AU685" t="e">
            <v>#REF!</v>
          </cell>
          <cell r="AV685" t="e">
            <v>#REF!</v>
          </cell>
          <cell r="AW685" t="e">
            <v>#DIV/0!</v>
          </cell>
          <cell r="AX685" t="e">
            <v>#DIV/0!</v>
          </cell>
          <cell r="AY685" t="e">
            <v>#DIV/0!</v>
          </cell>
          <cell r="AZ685" t="e">
            <v>#DIV/0!</v>
          </cell>
          <cell r="BE685" t="e">
            <v>#DIV/0!</v>
          </cell>
          <cell r="BF685" t="e">
            <v>#DIV/0!</v>
          </cell>
        </row>
        <row r="686">
          <cell r="A686" t="str">
            <v>-0</v>
          </cell>
          <cell r="B686" t="str">
            <v xml:space="preserve">-0  , </v>
          </cell>
          <cell r="C686"/>
          <cell r="D686"/>
          <cell r="E686"/>
          <cell r="F686"/>
          <cell r="G686"/>
          <cell r="H686"/>
          <cell r="I686"/>
          <cell r="J686"/>
          <cell r="K686"/>
          <cell r="L686"/>
          <cell r="M686"/>
          <cell r="N686"/>
          <cell r="O686"/>
          <cell r="P686"/>
          <cell r="Q686"/>
          <cell r="R686"/>
          <cell r="S686"/>
          <cell r="T686"/>
          <cell r="U686"/>
          <cell r="V686"/>
          <cell r="W686"/>
          <cell r="X686">
            <v>0</v>
          </cell>
          <cell r="Y686">
            <v>0</v>
          </cell>
          <cell r="Z686">
            <v>0</v>
          </cell>
          <cell r="AA686" t="str">
            <v>,</v>
          </cell>
          <cell r="AB686" t="str">
            <v>,</v>
          </cell>
          <cell r="AC686" t="e">
            <v>#DIV/0!</v>
          </cell>
          <cell r="AD686" t="e">
            <v>#DIV/0!</v>
          </cell>
          <cell r="AE686">
            <v>0.71</v>
          </cell>
          <cell r="AF686">
            <v>94.97</v>
          </cell>
          <cell r="AG686">
            <v>0</v>
          </cell>
          <cell r="AH686" t="e">
            <v>#DIV/0!</v>
          </cell>
          <cell r="AI686" t="e">
            <v>#DIV/0!</v>
          </cell>
          <cell r="AJ686" t="e">
            <v>#DIV/0!</v>
          </cell>
          <cell r="AK686" t="e">
            <v>#DIV/0!</v>
          </cell>
          <cell r="AL686" t="e">
            <v>#DIV/0!</v>
          </cell>
          <cell r="AM686" t="e">
            <v>#DIV/0!</v>
          </cell>
          <cell r="AN686" t="e">
            <v>#DIV/0!</v>
          </cell>
          <cell r="AO686" t="e">
            <v>#REF!</v>
          </cell>
          <cell r="AP686" t="e">
            <v>#REF!</v>
          </cell>
          <cell r="AQ686" t="e">
            <v>#REF!</v>
          </cell>
          <cell r="AR686" t="e">
            <v>#REF!</v>
          </cell>
          <cell r="AS686" t="e">
            <v>#REF!</v>
          </cell>
          <cell r="AT686" t="e">
            <v>#REF!</v>
          </cell>
          <cell r="AU686" t="e">
            <v>#REF!</v>
          </cell>
          <cell r="AV686" t="e">
            <v>#REF!</v>
          </cell>
          <cell r="AW686" t="e">
            <v>#DIV/0!</v>
          </cell>
          <cell r="AX686" t="e">
            <v>#DIV/0!</v>
          </cell>
          <cell r="AY686" t="e">
            <v>#DIV/0!</v>
          </cell>
          <cell r="AZ686" t="e">
            <v>#DIV/0!</v>
          </cell>
          <cell r="BE686" t="e">
            <v>#DIV/0!</v>
          </cell>
          <cell r="BF686" t="e">
            <v>#DIV/0!</v>
          </cell>
        </row>
        <row r="687">
          <cell r="A687" t="str">
            <v>-0</v>
          </cell>
          <cell r="B687" t="str">
            <v xml:space="preserve">-0  , </v>
          </cell>
          <cell r="C687"/>
          <cell r="D687"/>
          <cell r="E687"/>
          <cell r="F687"/>
          <cell r="G687"/>
          <cell r="H687"/>
          <cell r="I687"/>
          <cell r="J687"/>
          <cell r="K687"/>
          <cell r="L687"/>
          <cell r="M687"/>
          <cell r="N687"/>
          <cell r="O687"/>
          <cell r="P687"/>
          <cell r="Q687"/>
          <cell r="R687"/>
          <cell r="S687"/>
          <cell r="T687"/>
          <cell r="U687"/>
          <cell r="V687"/>
          <cell r="W687"/>
          <cell r="X687">
            <v>0</v>
          </cell>
          <cell r="Y687">
            <v>0</v>
          </cell>
          <cell r="Z687">
            <v>0</v>
          </cell>
          <cell r="AA687" t="str">
            <v>,</v>
          </cell>
          <cell r="AB687" t="str">
            <v>,</v>
          </cell>
          <cell r="AC687" t="e">
            <v>#DIV/0!</v>
          </cell>
          <cell r="AD687" t="e">
            <v>#DIV/0!</v>
          </cell>
          <cell r="AE687">
            <v>0.71</v>
          </cell>
          <cell r="AF687">
            <v>94.97</v>
          </cell>
          <cell r="AG687">
            <v>0</v>
          </cell>
          <cell r="AH687" t="e">
            <v>#DIV/0!</v>
          </cell>
          <cell r="AI687" t="e">
            <v>#DIV/0!</v>
          </cell>
          <cell r="AJ687" t="e">
            <v>#DIV/0!</v>
          </cell>
          <cell r="AK687" t="e">
            <v>#DIV/0!</v>
          </cell>
          <cell r="AL687" t="e">
            <v>#DIV/0!</v>
          </cell>
          <cell r="AM687" t="e">
            <v>#DIV/0!</v>
          </cell>
          <cell r="AN687" t="e">
            <v>#DIV/0!</v>
          </cell>
          <cell r="AO687" t="e">
            <v>#REF!</v>
          </cell>
          <cell r="AP687" t="e">
            <v>#REF!</v>
          </cell>
          <cell r="AQ687" t="e">
            <v>#REF!</v>
          </cell>
          <cell r="AR687" t="e">
            <v>#REF!</v>
          </cell>
          <cell r="AS687" t="e">
            <v>#REF!</v>
          </cell>
          <cell r="AT687" t="e">
            <v>#REF!</v>
          </cell>
          <cell r="AU687" t="e">
            <v>#REF!</v>
          </cell>
          <cell r="AV687" t="e">
            <v>#REF!</v>
          </cell>
          <cell r="AW687" t="e">
            <v>#DIV/0!</v>
          </cell>
          <cell r="AX687" t="e">
            <v>#DIV/0!</v>
          </cell>
          <cell r="AY687" t="e">
            <v>#DIV/0!</v>
          </cell>
          <cell r="AZ687" t="e">
            <v>#DIV/0!</v>
          </cell>
          <cell r="BE687" t="e">
            <v>#DIV/0!</v>
          </cell>
          <cell r="BF687" t="e">
            <v>#DIV/0!</v>
          </cell>
        </row>
        <row r="688">
          <cell r="A688" t="str">
            <v>-0</v>
          </cell>
          <cell r="B688" t="str">
            <v xml:space="preserve">-0  , </v>
          </cell>
          <cell r="C688"/>
          <cell r="D688"/>
          <cell r="E688"/>
          <cell r="F688"/>
          <cell r="G688"/>
          <cell r="H688"/>
          <cell r="I688"/>
          <cell r="J688"/>
          <cell r="K688"/>
          <cell r="L688"/>
          <cell r="M688"/>
          <cell r="N688"/>
          <cell r="O688"/>
          <cell r="P688"/>
          <cell r="Q688"/>
          <cell r="R688"/>
          <cell r="S688"/>
          <cell r="T688"/>
          <cell r="U688"/>
          <cell r="V688"/>
          <cell r="W688"/>
          <cell r="X688">
            <v>0</v>
          </cell>
          <cell r="Y688">
            <v>0</v>
          </cell>
          <cell r="Z688">
            <v>0</v>
          </cell>
          <cell r="AA688" t="str">
            <v>,</v>
          </cell>
          <cell r="AB688" t="str">
            <v>,</v>
          </cell>
          <cell r="AC688" t="e">
            <v>#DIV/0!</v>
          </cell>
          <cell r="AD688" t="e">
            <v>#DIV/0!</v>
          </cell>
          <cell r="AE688">
            <v>0.71</v>
          </cell>
          <cell r="AF688">
            <v>94.97</v>
          </cell>
          <cell r="AG688">
            <v>0</v>
          </cell>
          <cell r="AH688" t="e">
            <v>#DIV/0!</v>
          </cell>
          <cell r="AI688" t="e">
            <v>#DIV/0!</v>
          </cell>
          <cell r="AJ688" t="e">
            <v>#DIV/0!</v>
          </cell>
          <cell r="AK688" t="e">
            <v>#DIV/0!</v>
          </cell>
          <cell r="AL688" t="e">
            <v>#DIV/0!</v>
          </cell>
          <cell r="AM688" t="e">
            <v>#DIV/0!</v>
          </cell>
          <cell r="AN688" t="e">
            <v>#DIV/0!</v>
          </cell>
          <cell r="AO688" t="e">
            <v>#REF!</v>
          </cell>
          <cell r="AP688" t="e">
            <v>#REF!</v>
          </cell>
          <cell r="AQ688" t="e">
            <v>#REF!</v>
          </cell>
          <cell r="AR688" t="e">
            <v>#REF!</v>
          </cell>
          <cell r="AS688" t="e">
            <v>#REF!</v>
          </cell>
          <cell r="AT688" t="e">
            <v>#REF!</v>
          </cell>
          <cell r="AU688" t="e">
            <v>#REF!</v>
          </cell>
          <cell r="AV688" t="e">
            <v>#REF!</v>
          </cell>
          <cell r="AW688" t="e">
            <v>#DIV/0!</v>
          </cell>
          <cell r="AX688" t="e">
            <v>#DIV/0!</v>
          </cell>
          <cell r="AY688" t="e">
            <v>#DIV/0!</v>
          </cell>
          <cell r="AZ688" t="e">
            <v>#DIV/0!</v>
          </cell>
          <cell r="BE688" t="e">
            <v>#DIV/0!</v>
          </cell>
          <cell r="BF688" t="e">
            <v>#DIV/0!</v>
          </cell>
        </row>
        <row r="689">
          <cell r="A689" t="str">
            <v>-0</v>
          </cell>
          <cell r="B689" t="str">
            <v xml:space="preserve">-0  , </v>
          </cell>
          <cell r="C689"/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/>
          <cell r="S689"/>
          <cell r="T689"/>
          <cell r="U689"/>
          <cell r="V689"/>
          <cell r="W689"/>
          <cell r="X689">
            <v>0</v>
          </cell>
          <cell r="Y689">
            <v>0</v>
          </cell>
          <cell r="Z689">
            <v>0</v>
          </cell>
          <cell r="AA689" t="str">
            <v>,</v>
          </cell>
          <cell r="AB689" t="str">
            <v>,</v>
          </cell>
          <cell r="AC689" t="e">
            <v>#DIV/0!</v>
          </cell>
          <cell r="AD689" t="e">
            <v>#DIV/0!</v>
          </cell>
          <cell r="AE689">
            <v>0.71</v>
          </cell>
          <cell r="AF689">
            <v>94.97</v>
          </cell>
          <cell r="AG689">
            <v>0</v>
          </cell>
          <cell r="AH689" t="e">
            <v>#DIV/0!</v>
          </cell>
          <cell r="AI689" t="e">
            <v>#DIV/0!</v>
          </cell>
          <cell r="AJ689" t="e">
            <v>#DIV/0!</v>
          </cell>
          <cell r="AK689" t="e">
            <v>#DIV/0!</v>
          </cell>
          <cell r="AL689" t="e">
            <v>#DIV/0!</v>
          </cell>
          <cell r="AM689" t="e">
            <v>#DIV/0!</v>
          </cell>
          <cell r="AN689" t="e">
            <v>#DIV/0!</v>
          </cell>
          <cell r="AO689" t="e">
            <v>#REF!</v>
          </cell>
          <cell r="AP689" t="e">
            <v>#REF!</v>
          </cell>
          <cell r="AQ689" t="e">
            <v>#REF!</v>
          </cell>
          <cell r="AR689" t="e">
            <v>#REF!</v>
          </cell>
          <cell r="AS689" t="e">
            <v>#REF!</v>
          </cell>
          <cell r="AT689" t="e">
            <v>#REF!</v>
          </cell>
          <cell r="AU689" t="e">
            <v>#REF!</v>
          </cell>
          <cell r="AV689" t="e">
            <v>#REF!</v>
          </cell>
          <cell r="AW689" t="e">
            <v>#DIV/0!</v>
          </cell>
          <cell r="AX689" t="e">
            <v>#DIV/0!</v>
          </cell>
          <cell r="AY689" t="e">
            <v>#DIV/0!</v>
          </cell>
          <cell r="AZ689" t="e">
            <v>#DIV/0!</v>
          </cell>
          <cell r="BE689" t="e">
            <v>#DIV/0!</v>
          </cell>
          <cell r="BF689" t="e">
            <v>#DIV/0!</v>
          </cell>
        </row>
        <row r="690">
          <cell r="A690" t="str">
            <v>-0</v>
          </cell>
          <cell r="B690" t="str">
            <v xml:space="preserve">-0  , </v>
          </cell>
          <cell r="C690"/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/>
          <cell r="S690"/>
          <cell r="T690"/>
          <cell r="U690"/>
          <cell r="V690"/>
          <cell r="W690"/>
          <cell r="X690">
            <v>0</v>
          </cell>
          <cell r="Y690">
            <v>0</v>
          </cell>
          <cell r="Z690">
            <v>0</v>
          </cell>
          <cell r="AA690" t="str">
            <v>,</v>
          </cell>
          <cell r="AB690" t="str">
            <v>,</v>
          </cell>
          <cell r="AC690" t="e">
            <v>#DIV/0!</v>
          </cell>
          <cell r="AD690" t="e">
            <v>#DIV/0!</v>
          </cell>
          <cell r="AE690">
            <v>0.71</v>
          </cell>
          <cell r="AF690">
            <v>94.97</v>
          </cell>
          <cell r="AG690">
            <v>0</v>
          </cell>
          <cell r="AH690" t="e">
            <v>#DIV/0!</v>
          </cell>
          <cell r="AI690" t="e">
            <v>#DIV/0!</v>
          </cell>
          <cell r="AJ690" t="e">
            <v>#DIV/0!</v>
          </cell>
          <cell r="AK690" t="e">
            <v>#DIV/0!</v>
          </cell>
          <cell r="AL690" t="e">
            <v>#DIV/0!</v>
          </cell>
          <cell r="AM690" t="e">
            <v>#DIV/0!</v>
          </cell>
          <cell r="AN690" t="e">
            <v>#DIV/0!</v>
          </cell>
          <cell r="AO690" t="e">
            <v>#REF!</v>
          </cell>
          <cell r="AP690" t="e">
            <v>#REF!</v>
          </cell>
          <cell r="AQ690" t="e">
            <v>#REF!</v>
          </cell>
          <cell r="AR690" t="e">
            <v>#REF!</v>
          </cell>
          <cell r="AS690" t="e">
            <v>#REF!</v>
          </cell>
          <cell r="AT690" t="e">
            <v>#REF!</v>
          </cell>
          <cell r="AU690" t="e">
            <v>#REF!</v>
          </cell>
          <cell r="AV690" t="e">
            <v>#REF!</v>
          </cell>
          <cell r="AW690" t="e">
            <v>#DIV/0!</v>
          </cell>
          <cell r="AX690" t="e">
            <v>#DIV/0!</v>
          </cell>
          <cell r="AY690" t="e">
            <v>#DIV/0!</v>
          </cell>
          <cell r="AZ690" t="e">
            <v>#DIV/0!</v>
          </cell>
          <cell r="BE690" t="e">
            <v>#DIV/0!</v>
          </cell>
          <cell r="BF690" t="e">
            <v>#DIV/0!</v>
          </cell>
        </row>
        <row r="691">
          <cell r="A691" t="str">
            <v>-0</v>
          </cell>
          <cell r="B691" t="str">
            <v xml:space="preserve">-0  , </v>
          </cell>
          <cell r="C691"/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/>
          <cell r="S691"/>
          <cell r="T691"/>
          <cell r="U691"/>
          <cell r="V691"/>
          <cell r="W691"/>
          <cell r="X691">
            <v>0</v>
          </cell>
          <cell r="Y691">
            <v>0</v>
          </cell>
          <cell r="Z691">
            <v>0</v>
          </cell>
          <cell r="AA691" t="str">
            <v>,</v>
          </cell>
          <cell r="AB691" t="str">
            <v>,</v>
          </cell>
          <cell r="AC691" t="e">
            <v>#DIV/0!</v>
          </cell>
          <cell r="AD691" t="e">
            <v>#DIV/0!</v>
          </cell>
          <cell r="AE691">
            <v>0.71</v>
          </cell>
          <cell r="AF691">
            <v>94.97</v>
          </cell>
          <cell r="AG691">
            <v>0</v>
          </cell>
          <cell r="AH691" t="e">
            <v>#DIV/0!</v>
          </cell>
          <cell r="AI691" t="e">
            <v>#DIV/0!</v>
          </cell>
          <cell r="AJ691" t="e">
            <v>#DIV/0!</v>
          </cell>
          <cell r="AK691" t="e">
            <v>#DIV/0!</v>
          </cell>
          <cell r="AL691" t="e">
            <v>#DIV/0!</v>
          </cell>
          <cell r="AM691" t="e">
            <v>#DIV/0!</v>
          </cell>
          <cell r="AN691" t="e">
            <v>#DIV/0!</v>
          </cell>
          <cell r="AO691" t="e">
            <v>#REF!</v>
          </cell>
          <cell r="AP691" t="e">
            <v>#REF!</v>
          </cell>
          <cell r="AQ691" t="e">
            <v>#REF!</v>
          </cell>
          <cell r="AR691" t="e">
            <v>#REF!</v>
          </cell>
          <cell r="AS691" t="e">
            <v>#REF!</v>
          </cell>
          <cell r="AT691" t="e">
            <v>#REF!</v>
          </cell>
          <cell r="AU691" t="e">
            <v>#REF!</v>
          </cell>
          <cell r="AV691" t="e">
            <v>#REF!</v>
          </cell>
          <cell r="AW691" t="e">
            <v>#DIV/0!</v>
          </cell>
          <cell r="AX691" t="e">
            <v>#DIV/0!</v>
          </cell>
          <cell r="AY691" t="e">
            <v>#DIV/0!</v>
          </cell>
          <cell r="AZ691" t="e">
            <v>#DIV/0!</v>
          </cell>
          <cell r="BE691" t="e">
            <v>#DIV/0!</v>
          </cell>
          <cell r="BF691" t="e">
            <v>#DIV/0!</v>
          </cell>
        </row>
        <row r="692">
          <cell r="A692" t="str">
            <v>-0</v>
          </cell>
          <cell r="B692" t="str">
            <v xml:space="preserve">-0  , </v>
          </cell>
          <cell r="C692"/>
          <cell r="D692"/>
          <cell r="E692"/>
          <cell r="F692"/>
          <cell r="G692"/>
          <cell r="H692"/>
          <cell r="I692"/>
          <cell r="J692"/>
          <cell r="K692"/>
          <cell r="L692"/>
          <cell r="M692"/>
          <cell r="N692"/>
          <cell r="O692"/>
          <cell r="P692"/>
          <cell r="Q692"/>
          <cell r="R692"/>
          <cell r="S692"/>
          <cell r="T692"/>
          <cell r="U692"/>
          <cell r="V692"/>
          <cell r="W692"/>
          <cell r="X692">
            <v>0</v>
          </cell>
          <cell r="Y692">
            <v>0</v>
          </cell>
          <cell r="Z692">
            <v>0</v>
          </cell>
          <cell r="AA692" t="str">
            <v>,</v>
          </cell>
          <cell r="AB692" t="str">
            <v>,</v>
          </cell>
          <cell r="AC692" t="e">
            <v>#DIV/0!</v>
          </cell>
          <cell r="AD692" t="e">
            <v>#DIV/0!</v>
          </cell>
          <cell r="AE692">
            <v>0.71</v>
          </cell>
          <cell r="AF692">
            <v>94.97</v>
          </cell>
          <cell r="AG692">
            <v>0</v>
          </cell>
          <cell r="AH692" t="e">
            <v>#DIV/0!</v>
          </cell>
          <cell r="AI692" t="e">
            <v>#DIV/0!</v>
          </cell>
          <cell r="AJ692" t="e">
            <v>#DIV/0!</v>
          </cell>
          <cell r="AK692" t="e">
            <v>#DIV/0!</v>
          </cell>
          <cell r="AL692" t="e">
            <v>#DIV/0!</v>
          </cell>
          <cell r="AM692" t="e">
            <v>#DIV/0!</v>
          </cell>
          <cell r="AN692" t="e">
            <v>#DIV/0!</v>
          </cell>
          <cell r="AO692" t="e">
            <v>#REF!</v>
          </cell>
          <cell r="AP692" t="e">
            <v>#REF!</v>
          </cell>
          <cell r="AQ692" t="e">
            <v>#REF!</v>
          </cell>
          <cell r="AR692" t="e">
            <v>#REF!</v>
          </cell>
          <cell r="AS692" t="e">
            <v>#REF!</v>
          </cell>
          <cell r="AT692" t="e">
            <v>#REF!</v>
          </cell>
          <cell r="AU692" t="e">
            <v>#REF!</v>
          </cell>
          <cell r="AV692" t="e">
            <v>#REF!</v>
          </cell>
          <cell r="AW692" t="e">
            <v>#DIV/0!</v>
          </cell>
          <cell r="AX692" t="e">
            <v>#DIV/0!</v>
          </cell>
          <cell r="AY692" t="e">
            <v>#DIV/0!</v>
          </cell>
          <cell r="AZ692" t="e">
            <v>#DIV/0!</v>
          </cell>
          <cell r="BE692" t="e">
            <v>#DIV/0!</v>
          </cell>
          <cell r="BF692" t="e">
            <v>#DIV/0!</v>
          </cell>
        </row>
        <row r="693">
          <cell r="A693" t="str">
            <v>-0</v>
          </cell>
          <cell r="B693" t="str">
            <v xml:space="preserve">-0  , </v>
          </cell>
          <cell r="C693"/>
          <cell r="D693"/>
          <cell r="E693"/>
          <cell r="F693"/>
          <cell r="G693"/>
          <cell r="H693"/>
          <cell r="I693"/>
          <cell r="J693"/>
          <cell r="K693"/>
          <cell r="L693"/>
          <cell r="M693"/>
          <cell r="N693"/>
          <cell r="O693"/>
          <cell r="P693"/>
          <cell r="Q693"/>
          <cell r="R693"/>
          <cell r="S693"/>
          <cell r="T693"/>
          <cell r="U693"/>
          <cell r="V693"/>
          <cell r="W693"/>
          <cell r="X693">
            <v>0</v>
          </cell>
          <cell r="Y693">
            <v>0</v>
          </cell>
          <cell r="Z693">
            <v>0</v>
          </cell>
          <cell r="AA693" t="str">
            <v>,</v>
          </cell>
          <cell r="AB693" t="str">
            <v>,</v>
          </cell>
          <cell r="AC693" t="e">
            <v>#DIV/0!</v>
          </cell>
          <cell r="AD693" t="e">
            <v>#DIV/0!</v>
          </cell>
          <cell r="AE693">
            <v>0.71</v>
          </cell>
          <cell r="AF693">
            <v>94.97</v>
          </cell>
          <cell r="AG693">
            <v>0</v>
          </cell>
          <cell r="AH693" t="e">
            <v>#DIV/0!</v>
          </cell>
          <cell r="AI693" t="e">
            <v>#DIV/0!</v>
          </cell>
          <cell r="AJ693" t="e">
            <v>#DIV/0!</v>
          </cell>
          <cell r="AK693" t="e">
            <v>#DIV/0!</v>
          </cell>
          <cell r="AL693" t="e">
            <v>#DIV/0!</v>
          </cell>
          <cell r="AM693" t="e">
            <v>#DIV/0!</v>
          </cell>
          <cell r="AN693" t="e">
            <v>#DIV/0!</v>
          </cell>
          <cell r="AO693" t="e">
            <v>#REF!</v>
          </cell>
          <cell r="AP693" t="e">
            <v>#REF!</v>
          </cell>
          <cell r="AQ693" t="e">
            <v>#REF!</v>
          </cell>
          <cell r="AR693" t="e">
            <v>#REF!</v>
          </cell>
          <cell r="AS693" t="e">
            <v>#REF!</v>
          </cell>
          <cell r="AT693" t="e">
            <v>#REF!</v>
          </cell>
          <cell r="AU693" t="e">
            <v>#REF!</v>
          </cell>
          <cell r="AV693" t="e">
            <v>#REF!</v>
          </cell>
          <cell r="AW693" t="e">
            <v>#DIV/0!</v>
          </cell>
          <cell r="AX693" t="e">
            <v>#DIV/0!</v>
          </cell>
          <cell r="AY693" t="e">
            <v>#DIV/0!</v>
          </cell>
          <cell r="AZ693" t="e">
            <v>#DIV/0!</v>
          </cell>
          <cell r="BE693" t="e">
            <v>#DIV/0!</v>
          </cell>
          <cell r="BF693" t="e">
            <v>#DIV/0!</v>
          </cell>
        </row>
        <row r="694">
          <cell r="A694" t="str">
            <v>-0</v>
          </cell>
          <cell r="B694" t="str">
            <v xml:space="preserve">-0  , </v>
          </cell>
          <cell r="C694"/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/>
          <cell r="S694"/>
          <cell r="T694"/>
          <cell r="U694"/>
          <cell r="V694"/>
          <cell r="W694"/>
          <cell r="X694">
            <v>0</v>
          </cell>
          <cell r="Y694">
            <v>0</v>
          </cell>
          <cell r="Z694">
            <v>0</v>
          </cell>
          <cell r="AA694" t="str">
            <v>,</v>
          </cell>
          <cell r="AB694" t="str">
            <v>,</v>
          </cell>
          <cell r="AC694" t="e">
            <v>#DIV/0!</v>
          </cell>
          <cell r="AD694" t="e">
            <v>#DIV/0!</v>
          </cell>
          <cell r="AE694">
            <v>0.71</v>
          </cell>
          <cell r="AF694">
            <v>94.97</v>
          </cell>
          <cell r="AG694">
            <v>0</v>
          </cell>
          <cell r="AH694" t="e">
            <v>#DIV/0!</v>
          </cell>
          <cell r="AI694" t="e">
            <v>#DIV/0!</v>
          </cell>
          <cell r="AJ694" t="e">
            <v>#DIV/0!</v>
          </cell>
          <cell r="AK694" t="e">
            <v>#DIV/0!</v>
          </cell>
          <cell r="AL694" t="e">
            <v>#DIV/0!</v>
          </cell>
          <cell r="AM694" t="e">
            <v>#DIV/0!</v>
          </cell>
          <cell r="AN694" t="e">
            <v>#DIV/0!</v>
          </cell>
          <cell r="AO694" t="e">
            <v>#REF!</v>
          </cell>
          <cell r="AP694" t="e">
            <v>#REF!</v>
          </cell>
          <cell r="AQ694" t="e">
            <v>#REF!</v>
          </cell>
          <cell r="AR694" t="e">
            <v>#REF!</v>
          </cell>
          <cell r="AS694" t="e">
            <v>#REF!</v>
          </cell>
          <cell r="AT694" t="e">
            <v>#REF!</v>
          </cell>
          <cell r="AU694" t="e">
            <v>#REF!</v>
          </cell>
          <cell r="AV694" t="e">
            <v>#REF!</v>
          </cell>
          <cell r="AW694" t="e">
            <v>#DIV/0!</v>
          </cell>
          <cell r="AX694" t="e">
            <v>#DIV/0!</v>
          </cell>
          <cell r="AY694" t="e">
            <v>#DIV/0!</v>
          </cell>
          <cell r="AZ694" t="e">
            <v>#DIV/0!</v>
          </cell>
          <cell r="BE694" t="e">
            <v>#DIV/0!</v>
          </cell>
          <cell r="BF694" t="e">
            <v>#DIV/0!</v>
          </cell>
        </row>
        <row r="695">
          <cell r="A695" t="str">
            <v>-0</v>
          </cell>
          <cell r="B695" t="str">
            <v xml:space="preserve">-0  , </v>
          </cell>
          <cell r="C695"/>
          <cell r="D695"/>
          <cell r="E695"/>
          <cell r="F695"/>
          <cell r="G695"/>
          <cell r="H695"/>
          <cell r="I695"/>
          <cell r="J695"/>
          <cell r="K695"/>
          <cell r="L695"/>
          <cell r="M695"/>
          <cell r="N695"/>
          <cell r="O695"/>
          <cell r="P695"/>
          <cell r="Q695"/>
          <cell r="R695"/>
          <cell r="S695"/>
          <cell r="T695"/>
          <cell r="U695"/>
          <cell r="V695"/>
          <cell r="W695"/>
          <cell r="X695">
            <v>0</v>
          </cell>
          <cell r="Y695">
            <v>0</v>
          </cell>
          <cell r="Z695">
            <v>0</v>
          </cell>
          <cell r="AA695" t="str">
            <v>,</v>
          </cell>
          <cell r="AB695" t="str">
            <v>,</v>
          </cell>
          <cell r="AC695" t="e">
            <v>#DIV/0!</v>
          </cell>
          <cell r="AD695" t="e">
            <v>#DIV/0!</v>
          </cell>
          <cell r="AE695">
            <v>0.71</v>
          </cell>
          <cell r="AF695">
            <v>94.97</v>
          </cell>
          <cell r="AG695">
            <v>0</v>
          </cell>
          <cell r="AH695" t="e">
            <v>#DIV/0!</v>
          </cell>
          <cell r="AI695" t="e">
            <v>#DIV/0!</v>
          </cell>
          <cell r="AJ695" t="e">
            <v>#DIV/0!</v>
          </cell>
          <cell r="AK695" t="e">
            <v>#DIV/0!</v>
          </cell>
          <cell r="AL695" t="e">
            <v>#DIV/0!</v>
          </cell>
          <cell r="AM695" t="e">
            <v>#DIV/0!</v>
          </cell>
          <cell r="AN695" t="e">
            <v>#DIV/0!</v>
          </cell>
          <cell r="AO695" t="e">
            <v>#REF!</v>
          </cell>
          <cell r="AP695" t="e">
            <v>#REF!</v>
          </cell>
          <cell r="AQ695" t="e">
            <v>#REF!</v>
          </cell>
          <cell r="AR695" t="e">
            <v>#REF!</v>
          </cell>
          <cell r="AS695" t="e">
            <v>#REF!</v>
          </cell>
          <cell r="AT695" t="e">
            <v>#REF!</v>
          </cell>
          <cell r="AU695" t="e">
            <v>#REF!</v>
          </cell>
          <cell r="AV695" t="e">
            <v>#REF!</v>
          </cell>
          <cell r="AW695" t="e">
            <v>#DIV/0!</v>
          </cell>
          <cell r="AX695" t="e">
            <v>#DIV/0!</v>
          </cell>
          <cell r="AY695" t="e">
            <v>#DIV/0!</v>
          </cell>
          <cell r="AZ695" t="e">
            <v>#DIV/0!</v>
          </cell>
          <cell r="BE695" t="e">
            <v>#DIV/0!</v>
          </cell>
          <cell r="BF695" t="e">
            <v>#DIV/0!</v>
          </cell>
        </row>
        <row r="696">
          <cell r="A696" t="str">
            <v>-0</v>
          </cell>
          <cell r="B696" t="str">
            <v xml:space="preserve">-0  , </v>
          </cell>
          <cell r="C696"/>
          <cell r="D696"/>
          <cell r="E696"/>
          <cell r="F696"/>
          <cell r="G696"/>
          <cell r="H696"/>
          <cell r="I696"/>
          <cell r="J696"/>
          <cell r="K696"/>
          <cell r="L696"/>
          <cell r="M696"/>
          <cell r="N696"/>
          <cell r="O696"/>
          <cell r="P696"/>
          <cell r="Q696"/>
          <cell r="R696"/>
          <cell r="S696"/>
          <cell r="T696"/>
          <cell r="U696"/>
          <cell r="V696"/>
          <cell r="W696"/>
          <cell r="X696">
            <v>0</v>
          </cell>
          <cell r="Y696">
            <v>0</v>
          </cell>
          <cell r="Z696">
            <v>0</v>
          </cell>
          <cell r="AA696" t="str">
            <v>,</v>
          </cell>
          <cell r="AB696" t="str">
            <v>,</v>
          </cell>
          <cell r="AC696" t="e">
            <v>#DIV/0!</v>
          </cell>
          <cell r="AD696" t="e">
            <v>#DIV/0!</v>
          </cell>
          <cell r="AE696">
            <v>0.71</v>
          </cell>
          <cell r="AF696">
            <v>94.97</v>
          </cell>
          <cell r="AG696">
            <v>0</v>
          </cell>
          <cell r="AH696" t="e">
            <v>#DIV/0!</v>
          </cell>
          <cell r="AI696" t="e">
            <v>#DIV/0!</v>
          </cell>
          <cell r="AJ696" t="e">
            <v>#DIV/0!</v>
          </cell>
          <cell r="AK696" t="e">
            <v>#DIV/0!</v>
          </cell>
          <cell r="AL696" t="e">
            <v>#DIV/0!</v>
          </cell>
          <cell r="AM696" t="e">
            <v>#DIV/0!</v>
          </cell>
          <cell r="AN696" t="e">
            <v>#DIV/0!</v>
          </cell>
          <cell r="AO696" t="e">
            <v>#REF!</v>
          </cell>
          <cell r="AP696" t="e">
            <v>#REF!</v>
          </cell>
          <cell r="AQ696" t="e">
            <v>#REF!</v>
          </cell>
          <cell r="AR696" t="e">
            <v>#REF!</v>
          </cell>
          <cell r="AS696" t="e">
            <v>#REF!</v>
          </cell>
          <cell r="AT696" t="e">
            <v>#REF!</v>
          </cell>
          <cell r="AU696" t="e">
            <v>#REF!</v>
          </cell>
          <cell r="AV696" t="e">
            <v>#REF!</v>
          </cell>
          <cell r="AW696" t="e">
            <v>#DIV/0!</v>
          </cell>
          <cell r="AX696" t="e">
            <v>#DIV/0!</v>
          </cell>
          <cell r="AY696" t="e">
            <v>#DIV/0!</v>
          </cell>
          <cell r="AZ696" t="e">
            <v>#DIV/0!</v>
          </cell>
          <cell r="BE696" t="e">
            <v>#DIV/0!</v>
          </cell>
          <cell r="BF696" t="e">
            <v>#DIV/0!</v>
          </cell>
        </row>
        <row r="697">
          <cell r="A697" t="str">
            <v>-0</v>
          </cell>
          <cell r="B697" t="str">
            <v xml:space="preserve">-0  , </v>
          </cell>
          <cell r="C697"/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/>
          <cell r="S697"/>
          <cell r="T697"/>
          <cell r="U697"/>
          <cell r="V697"/>
          <cell r="W697"/>
          <cell r="X697">
            <v>0</v>
          </cell>
          <cell r="Y697">
            <v>0</v>
          </cell>
          <cell r="Z697">
            <v>0</v>
          </cell>
          <cell r="AA697" t="str">
            <v>,</v>
          </cell>
          <cell r="AB697" t="str">
            <v>,</v>
          </cell>
          <cell r="AC697" t="e">
            <v>#DIV/0!</v>
          </cell>
          <cell r="AD697" t="e">
            <v>#DIV/0!</v>
          </cell>
          <cell r="AE697">
            <v>0.71</v>
          </cell>
          <cell r="AF697">
            <v>94.97</v>
          </cell>
          <cell r="AG697">
            <v>0</v>
          </cell>
          <cell r="AH697" t="e">
            <v>#DIV/0!</v>
          </cell>
          <cell r="AI697" t="e">
            <v>#DIV/0!</v>
          </cell>
          <cell r="AJ697" t="e">
            <v>#DIV/0!</v>
          </cell>
          <cell r="AK697" t="e">
            <v>#DIV/0!</v>
          </cell>
          <cell r="AL697" t="e">
            <v>#DIV/0!</v>
          </cell>
          <cell r="AM697" t="e">
            <v>#DIV/0!</v>
          </cell>
          <cell r="AN697" t="e">
            <v>#DIV/0!</v>
          </cell>
          <cell r="AO697" t="e">
            <v>#REF!</v>
          </cell>
          <cell r="AP697" t="e">
            <v>#REF!</v>
          </cell>
          <cell r="AQ697" t="e">
            <v>#REF!</v>
          </cell>
          <cell r="AR697" t="e">
            <v>#REF!</v>
          </cell>
          <cell r="AS697" t="e">
            <v>#REF!</v>
          </cell>
          <cell r="AT697" t="e">
            <v>#REF!</v>
          </cell>
          <cell r="AU697" t="e">
            <v>#REF!</v>
          </cell>
          <cell r="AV697" t="e">
            <v>#REF!</v>
          </cell>
          <cell r="AW697" t="e">
            <v>#DIV/0!</v>
          </cell>
          <cell r="AX697" t="e">
            <v>#DIV/0!</v>
          </cell>
          <cell r="AY697" t="e">
            <v>#DIV/0!</v>
          </cell>
          <cell r="AZ697" t="e">
            <v>#DIV/0!</v>
          </cell>
          <cell r="BE697" t="e">
            <v>#DIV/0!</v>
          </cell>
          <cell r="BF697" t="e">
            <v>#DIV/0!</v>
          </cell>
        </row>
        <row r="698">
          <cell r="A698" t="str">
            <v>-0</v>
          </cell>
          <cell r="B698" t="str">
            <v xml:space="preserve">-0  , </v>
          </cell>
          <cell r="C698"/>
          <cell r="D698"/>
          <cell r="E698"/>
          <cell r="F698"/>
          <cell r="G698"/>
          <cell r="H698"/>
          <cell r="I698"/>
          <cell r="J698"/>
          <cell r="K698"/>
          <cell r="L698"/>
          <cell r="M698"/>
          <cell r="N698"/>
          <cell r="O698"/>
          <cell r="P698"/>
          <cell r="Q698"/>
          <cell r="R698"/>
          <cell r="S698"/>
          <cell r="T698"/>
          <cell r="U698"/>
          <cell r="V698"/>
          <cell r="W698"/>
          <cell r="X698">
            <v>0</v>
          </cell>
          <cell r="Y698">
            <v>0</v>
          </cell>
          <cell r="Z698">
            <v>0</v>
          </cell>
          <cell r="AA698" t="str">
            <v>,</v>
          </cell>
          <cell r="AB698" t="str">
            <v>,</v>
          </cell>
          <cell r="AC698" t="e">
            <v>#DIV/0!</v>
          </cell>
          <cell r="AD698" t="e">
            <v>#DIV/0!</v>
          </cell>
          <cell r="AE698">
            <v>0.71</v>
          </cell>
          <cell r="AF698">
            <v>94.97</v>
          </cell>
          <cell r="AG698">
            <v>0</v>
          </cell>
          <cell r="AH698" t="e">
            <v>#DIV/0!</v>
          </cell>
          <cell r="AI698" t="e">
            <v>#DIV/0!</v>
          </cell>
          <cell r="AJ698" t="e">
            <v>#DIV/0!</v>
          </cell>
          <cell r="AK698" t="e">
            <v>#DIV/0!</v>
          </cell>
          <cell r="AL698" t="e">
            <v>#DIV/0!</v>
          </cell>
          <cell r="AM698" t="e">
            <v>#DIV/0!</v>
          </cell>
          <cell r="AN698" t="e">
            <v>#DIV/0!</v>
          </cell>
          <cell r="AO698" t="e">
            <v>#REF!</v>
          </cell>
          <cell r="AP698" t="e">
            <v>#REF!</v>
          </cell>
          <cell r="AQ698" t="e">
            <v>#REF!</v>
          </cell>
          <cell r="AR698" t="e">
            <v>#REF!</v>
          </cell>
          <cell r="AS698" t="e">
            <v>#REF!</v>
          </cell>
          <cell r="AT698" t="e">
            <v>#REF!</v>
          </cell>
          <cell r="AU698" t="e">
            <v>#REF!</v>
          </cell>
          <cell r="AV698" t="e">
            <v>#REF!</v>
          </cell>
          <cell r="AW698" t="e">
            <v>#DIV/0!</v>
          </cell>
          <cell r="AX698" t="e">
            <v>#DIV/0!</v>
          </cell>
          <cell r="AY698" t="e">
            <v>#DIV/0!</v>
          </cell>
          <cell r="AZ698" t="e">
            <v>#DIV/0!</v>
          </cell>
          <cell r="BE698" t="e">
            <v>#DIV/0!</v>
          </cell>
          <cell r="BF698" t="e">
            <v>#DIV/0!</v>
          </cell>
        </row>
        <row r="699">
          <cell r="A699" t="str">
            <v>-0</v>
          </cell>
          <cell r="B699" t="str">
            <v xml:space="preserve">-0  , </v>
          </cell>
          <cell r="C699"/>
          <cell r="D699"/>
          <cell r="E699"/>
          <cell r="F699"/>
          <cell r="G699"/>
          <cell r="H699"/>
          <cell r="I699"/>
          <cell r="J699"/>
          <cell r="K699"/>
          <cell r="L699"/>
          <cell r="M699"/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  <cell r="X699">
            <v>0</v>
          </cell>
          <cell r="Y699">
            <v>0</v>
          </cell>
          <cell r="Z699">
            <v>0</v>
          </cell>
          <cell r="AA699" t="str">
            <v>,</v>
          </cell>
          <cell r="AB699" t="str">
            <v>,</v>
          </cell>
          <cell r="AC699" t="e">
            <v>#DIV/0!</v>
          </cell>
          <cell r="AD699" t="e">
            <v>#DIV/0!</v>
          </cell>
          <cell r="AE699">
            <v>0.71</v>
          </cell>
          <cell r="AF699">
            <v>94.97</v>
          </cell>
          <cell r="AG699">
            <v>0</v>
          </cell>
          <cell r="AH699" t="e">
            <v>#DIV/0!</v>
          </cell>
          <cell r="AI699" t="e">
            <v>#DIV/0!</v>
          </cell>
          <cell r="AJ699" t="e">
            <v>#DIV/0!</v>
          </cell>
          <cell r="AK699" t="e">
            <v>#DIV/0!</v>
          </cell>
          <cell r="AL699" t="e">
            <v>#DIV/0!</v>
          </cell>
          <cell r="AM699" t="e">
            <v>#DIV/0!</v>
          </cell>
          <cell r="AN699" t="e">
            <v>#DIV/0!</v>
          </cell>
          <cell r="AO699" t="e">
            <v>#REF!</v>
          </cell>
          <cell r="AP699" t="e">
            <v>#REF!</v>
          </cell>
          <cell r="AQ699" t="e">
            <v>#REF!</v>
          </cell>
          <cell r="AR699" t="e">
            <v>#REF!</v>
          </cell>
          <cell r="AS699" t="e">
            <v>#REF!</v>
          </cell>
          <cell r="AT699" t="e">
            <v>#REF!</v>
          </cell>
          <cell r="AU699" t="e">
            <v>#REF!</v>
          </cell>
          <cell r="AV699" t="e">
            <v>#REF!</v>
          </cell>
          <cell r="AW699" t="e">
            <v>#DIV/0!</v>
          </cell>
          <cell r="AX699" t="e">
            <v>#DIV/0!</v>
          </cell>
          <cell r="AY699" t="e">
            <v>#DIV/0!</v>
          </cell>
          <cell r="AZ699" t="e">
            <v>#DIV/0!</v>
          </cell>
          <cell r="BE699" t="e">
            <v>#DIV/0!</v>
          </cell>
          <cell r="BF699" t="e">
            <v>#DIV/0!</v>
          </cell>
        </row>
        <row r="700">
          <cell r="A700" t="str">
            <v>-0</v>
          </cell>
          <cell r="B700" t="str">
            <v xml:space="preserve">-0  , </v>
          </cell>
          <cell r="C700"/>
          <cell r="D700"/>
          <cell r="E700"/>
          <cell r="F700"/>
          <cell r="G700"/>
          <cell r="H700"/>
          <cell r="I700"/>
          <cell r="J700"/>
          <cell r="K700"/>
          <cell r="L700"/>
          <cell r="M700"/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  <cell r="X700">
            <v>0</v>
          </cell>
          <cell r="Y700">
            <v>0</v>
          </cell>
          <cell r="Z700">
            <v>0</v>
          </cell>
          <cell r="AA700" t="str">
            <v>,</v>
          </cell>
          <cell r="AB700" t="str">
            <v>,</v>
          </cell>
          <cell r="AC700" t="e">
            <v>#DIV/0!</v>
          </cell>
          <cell r="AD700" t="e">
            <v>#DIV/0!</v>
          </cell>
          <cell r="AE700">
            <v>0.71</v>
          </cell>
          <cell r="AF700">
            <v>94.97</v>
          </cell>
          <cell r="AG700">
            <v>0</v>
          </cell>
          <cell r="AH700" t="e">
            <v>#DIV/0!</v>
          </cell>
          <cell r="AI700" t="e">
            <v>#DIV/0!</v>
          </cell>
          <cell r="AJ700" t="e">
            <v>#DIV/0!</v>
          </cell>
          <cell r="AK700" t="e">
            <v>#DIV/0!</v>
          </cell>
          <cell r="AL700" t="e">
            <v>#DIV/0!</v>
          </cell>
          <cell r="AM700" t="e">
            <v>#DIV/0!</v>
          </cell>
          <cell r="AN700" t="e">
            <v>#DIV/0!</v>
          </cell>
          <cell r="AO700" t="e">
            <v>#REF!</v>
          </cell>
          <cell r="AP700" t="e">
            <v>#REF!</v>
          </cell>
          <cell r="AQ700" t="e">
            <v>#REF!</v>
          </cell>
          <cell r="AR700" t="e">
            <v>#REF!</v>
          </cell>
          <cell r="AS700" t="e">
            <v>#REF!</v>
          </cell>
          <cell r="AT700" t="e">
            <v>#REF!</v>
          </cell>
          <cell r="AU700" t="e">
            <v>#REF!</v>
          </cell>
          <cell r="AV700" t="e">
            <v>#REF!</v>
          </cell>
          <cell r="AW700" t="e">
            <v>#DIV/0!</v>
          </cell>
          <cell r="AX700" t="e">
            <v>#DIV/0!</v>
          </cell>
          <cell r="AY700" t="e">
            <v>#DIV/0!</v>
          </cell>
          <cell r="AZ700" t="e">
            <v>#DIV/0!</v>
          </cell>
          <cell r="BE700" t="e">
            <v>#DIV/0!</v>
          </cell>
          <cell r="BF700" t="e">
            <v>#DIV/0!</v>
          </cell>
        </row>
        <row r="701">
          <cell r="A701" t="str">
            <v>-0</v>
          </cell>
          <cell r="B701" t="str">
            <v xml:space="preserve">-0  , </v>
          </cell>
          <cell r="C701"/>
          <cell r="D701"/>
          <cell r="E701"/>
          <cell r="F701"/>
          <cell r="G701"/>
          <cell r="H701"/>
          <cell r="I701"/>
          <cell r="J701"/>
          <cell r="K701"/>
          <cell r="L701"/>
          <cell r="M701"/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  <cell r="X701">
            <v>0</v>
          </cell>
          <cell r="Y701">
            <v>0</v>
          </cell>
          <cell r="Z701">
            <v>0</v>
          </cell>
          <cell r="AA701" t="str">
            <v>,</v>
          </cell>
          <cell r="AB701" t="str">
            <v>,</v>
          </cell>
          <cell r="AC701" t="e">
            <v>#DIV/0!</v>
          </cell>
          <cell r="AD701" t="e">
            <v>#DIV/0!</v>
          </cell>
          <cell r="AE701">
            <v>0.71</v>
          </cell>
          <cell r="AF701">
            <v>94.97</v>
          </cell>
          <cell r="AG701">
            <v>0</v>
          </cell>
          <cell r="AH701" t="e">
            <v>#DIV/0!</v>
          </cell>
          <cell r="AI701" t="e">
            <v>#DIV/0!</v>
          </cell>
          <cell r="AJ701" t="e">
            <v>#DIV/0!</v>
          </cell>
          <cell r="AK701" t="e">
            <v>#DIV/0!</v>
          </cell>
          <cell r="AL701" t="e">
            <v>#DIV/0!</v>
          </cell>
          <cell r="AM701" t="e">
            <v>#DIV/0!</v>
          </cell>
          <cell r="AN701" t="e">
            <v>#DIV/0!</v>
          </cell>
          <cell r="AO701" t="e">
            <v>#REF!</v>
          </cell>
          <cell r="AP701" t="e">
            <v>#REF!</v>
          </cell>
          <cell r="AQ701" t="e">
            <v>#REF!</v>
          </cell>
          <cell r="AR701" t="e">
            <v>#REF!</v>
          </cell>
          <cell r="AS701" t="e">
            <v>#REF!</v>
          </cell>
          <cell r="AT701" t="e">
            <v>#REF!</v>
          </cell>
          <cell r="AU701" t="e">
            <v>#REF!</v>
          </cell>
          <cell r="AV701" t="e">
            <v>#REF!</v>
          </cell>
          <cell r="AW701" t="e">
            <v>#DIV/0!</v>
          </cell>
          <cell r="AX701" t="e">
            <v>#DIV/0!</v>
          </cell>
          <cell r="AY701" t="e">
            <v>#DIV/0!</v>
          </cell>
          <cell r="AZ701" t="e">
            <v>#DIV/0!</v>
          </cell>
          <cell r="BE701" t="e">
            <v>#DIV/0!</v>
          </cell>
          <cell r="BF701" t="e">
            <v>#DIV/0!</v>
          </cell>
        </row>
        <row r="702">
          <cell r="A702" t="str">
            <v>-0</v>
          </cell>
          <cell r="B702" t="str">
            <v xml:space="preserve">-0  , </v>
          </cell>
          <cell r="C702"/>
          <cell r="D702"/>
          <cell r="E702"/>
          <cell r="F702"/>
          <cell r="G702"/>
          <cell r="H702"/>
          <cell r="I702"/>
          <cell r="J702"/>
          <cell r="K702"/>
          <cell r="L702"/>
          <cell r="M702"/>
          <cell r="N702"/>
          <cell r="O702"/>
          <cell r="P702"/>
          <cell r="Q702"/>
          <cell r="R702"/>
          <cell r="S702"/>
          <cell r="T702"/>
          <cell r="U702"/>
          <cell r="V702"/>
          <cell r="W702"/>
          <cell r="X702">
            <v>0</v>
          </cell>
          <cell r="Y702">
            <v>0</v>
          </cell>
          <cell r="Z702">
            <v>0</v>
          </cell>
          <cell r="AA702" t="str">
            <v>,</v>
          </cell>
          <cell r="AB702" t="str">
            <v>,</v>
          </cell>
          <cell r="AC702" t="e">
            <v>#DIV/0!</v>
          </cell>
          <cell r="AD702" t="e">
            <v>#DIV/0!</v>
          </cell>
          <cell r="AE702">
            <v>0.71</v>
          </cell>
          <cell r="AF702">
            <v>94.97</v>
          </cell>
          <cell r="AG702">
            <v>0</v>
          </cell>
          <cell r="AH702" t="e">
            <v>#DIV/0!</v>
          </cell>
          <cell r="AI702" t="e">
            <v>#DIV/0!</v>
          </cell>
          <cell r="AJ702" t="e">
            <v>#DIV/0!</v>
          </cell>
          <cell r="AK702" t="e">
            <v>#DIV/0!</v>
          </cell>
          <cell r="AL702" t="e">
            <v>#DIV/0!</v>
          </cell>
          <cell r="AM702" t="e">
            <v>#DIV/0!</v>
          </cell>
          <cell r="AN702" t="e">
            <v>#DIV/0!</v>
          </cell>
          <cell r="AO702" t="e">
            <v>#REF!</v>
          </cell>
          <cell r="AP702" t="e">
            <v>#REF!</v>
          </cell>
          <cell r="AQ702" t="e">
            <v>#REF!</v>
          </cell>
          <cell r="AR702" t="e">
            <v>#REF!</v>
          </cell>
          <cell r="AS702" t="e">
            <v>#REF!</v>
          </cell>
          <cell r="AT702" t="e">
            <v>#REF!</v>
          </cell>
          <cell r="AU702" t="e">
            <v>#REF!</v>
          </cell>
          <cell r="AV702" t="e">
            <v>#REF!</v>
          </cell>
          <cell r="AW702" t="e">
            <v>#DIV/0!</v>
          </cell>
          <cell r="AX702" t="e">
            <v>#DIV/0!</v>
          </cell>
          <cell r="AY702" t="e">
            <v>#DIV/0!</v>
          </cell>
          <cell r="AZ702" t="e">
            <v>#DIV/0!</v>
          </cell>
          <cell r="BE702" t="e">
            <v>#DIV/0!</v>
          </cell>
          <cell r="BF702" t="e">
            <v>#DIV/0!</v>
          </cell>
        </row>
        <row r="703">
          <cell r="A703" t="str">
            <v>-0</v>
          </cell>
          <cell r="B703" t="str">
            <v xml:space="preserve">-0  , </v>
          </cell>
          <cell r="C703"/>
          <cell r="D703"/>
          <cell r="E703"/>
          <cell r="F703"/>
          <cell r="G703"/>
          <cell r="H703"/>
          <cell r="I703"/>
          <cell r="J703"/>
          <cell r="K703"/>
          <cell r="L703"/>
          <cell r="M703"/>
          <cell r="N703"/>
          <cell r="O703"/>
          <cell r="P703"/>
          <cell r="Q703"/>
          <cell r="R703"/>
          <cell r="S703"/>
          <cell r="T703"/>
          <cell r="U703"/>
          <cell r="V703"/>
          <cell r="W703"/>
          <cell r="X703">
            <v>0</v>
          </cell>
          <cell r="Y703">
            <v>0</v>
          </cell>
          <cell r="Z703">
            <v>0</v>
          </cell>
          <cell r="AA703" t="str">
            <v>,</v>
          </cell>
          <cell r="AB703" t="str">
            <v>,</v>
          </cell>
          <cell r="AC703" t="e">
            <v>#DIV/0!</v>
          </cell>
          <cell r="AD703" t="e">
            <v>#DIV/0!</v>
          </cell>
          <cell r="AE703">
            <v>0.71</v>
          </cell>
          <cell r="AF703">
            <v>94.97</v>
          </cell>
          <cell r="AG703">
            <v>0</v>
          </cell>
          <cell r="AH703" t="e">
            <v>#DIV/0!</v>
          </cell>
          <cell r="AI703" t="e">
            <v>#DIV/0!</v>
          </cell>
          <cell r="AJ703" t="e">
            <v>#DIV/0!</v>
          </cell>
          <cell r="AK703" t="e">
            <v>#DIV/0!</v>
          </cell>
          <cell r="AL703" t="e">
            <v>#DIV/0!</v>
          </cell>
          <cell r="AM703" t="e">
            <v>#DIV/0!</v>
          </cell>
          <cell r="AN703" t="e">
            <v>#DIV/0!</v>
          </cell>
          <cell r="AO703" t="e">
            <v>#REF!</v>
          </cell>
          <cell r="AP703" t="e">
            <v>#REF!</v>
          </cell>
          <cell r="AQ703" t="e">
            <v>#REF!</v>
          </cell>
          <cell r="AR703" t="e">
            <v>#REF!</v>
          </cell>
          <cell r="AS703" t="e">
            <v>#REF!</v>
          </cell>
          <cell r="AT703" t="e">
            <v>#REF!</v>
          </cell>
          <cell r="AU703" t="e">
            <v>#REF!</v>
          </cell>
          <cell r="AV703" t="e">
            <v>#REF!</v>
          </cell>
          <cell r="AW703" t="e">
            <v>#DIV/0!</v>
          </cell>
          <cell r="AX703" t="e">
            <v>#DIV/0!</v>
          </cell>
          <cell r="AY703" t="e">
            <v>#DIV/0!</v>
          </cell>
          <cell r="AZ703" t="e">
            <v>#DIV/0!</v>
          </cell>
          <cell r="BE703" t="e">
            <v>#DIV/0!</v>
          </cell>
          <cell r="BF703" t="e">
            <v>#DIV/0!</v>
          </cell>
        </row>
        <row r="704">
          <cell r="A704" t="str">
            <v>-0</v>
          </cell>
          <cell r="B704" t="str">
            <v xml:space="preserve">-0  , </v>
          </cell>
          <cell r="C704"/>
          <cell r="D704"/>
          <cell r="E704"/>
          <cell r="F704"/>
          <cell r="G704"/>
          <cell r="H704"/>
          <cell r="I704"/>
          <cell r="J704"/>
          <cell r="K704"/>
          <cell r="L704"/>
          <cell r="M704"/>
          <cell r="N704"/>
          <cell r="O704"/>
          <cell r="P704"/>
          <cell r="Q704"/>
          <cell r="R704"/>
          <cell r="S704"/>
          <cell r="T704"/>
          <cell r="U704"/>
          <cell r="V704"/>
          <cell r="W704"/>
          <cell r="X704">
            <v>0</v>
          </cell>
          <cell r="Y704">
            <v>0</v>
          </cell>
          <cell r="Z704">
            <v>0</v>
          </cell>
          <cell r="AA704" t="str">
            <v>,</v>
          </cell>
          <cell r="AB704" t="str">
            <v>,</v>
          </cell>
          <cell r="AC704" t="e">
            <v>#DIV/0!</v>
          </cell>
          <cell r="AD704" t="e">
            <v>#DIV/0!</v>
          </cell>
          <cell r="AE704">
            <v>0.71</v>
          </cell>
          <cell r="AF704">
            <v>94.97</v>
          </cell>
          <cell r="AG704">
            <v>0</v>
          </cell>
          <cell r="AH704" t="e">
            <v>#DIV/0!</v>
          </cell>
          <cell r="AI704" t="e">
            <v>#DIV/0!</v>
          </cell>
          <cell r="AJ704" t="e">
            <v>#DIV/0!</v>
          </cell>
          <cell r="AK704" t="e">
            <v>#DIV/0!</v>
          </cell>
          <cell r="AL704" t="e">
            <v>#DIV/0!</v>
          </cell>
          <cell r="AM704" t="e">
            <v>#DIV/0!</v>
          </cell>
          <cell r="AN704" t="e">
            <v>#DIV/0!</v>
          </cell>
          <cell r="AO704" t="e">
            <v>#REF!</v>
          </cell>
          <cell r="AP704" t="e">
            <v>#REF!</v>
          </cell>
          <cell r="AQ704" t="e">
            <v>#REF!</v>
          </cell>
          <cell r="AR704" t="e">
            <v>#REF!</v>
          </cell>
          <cell r="AS704" t="e">
            <v>#REF!</v>
          </cell>
          <cell r="AT704" t="e">
            <v>#REF!</v>
          </cell>
          <cell r="AU704" t="e">
            <v>#REF!</v>
          </cell>
          <cell r="AV704" t="e">
            <v>#REF!</v>
          </cell>
          <cell r="AW704" t="e">
            <v>#DIV/0!</v>
          </cell>
          <cell r="AX704" t="e">
            <v>#DIV/0!</v>
          </cell>
          <cell r="AY704" t="e">
            <v>#DIV/0!</v>
          </cell>
          <cell r="AZ704" t="e">
            <v>#DIV/0!</v>
          </cell>
          <cell r="BE704" t="e">
            <v>#DIV/0!</v>
          </cell>
          <cell r="BF704" t="e">
            <v>#DIV/0!</v>
          </cell>
        </row>
        <row r="705">
          <cell r="A705" t="str">
            <v>-0</v>
          </cell>
          <cell r="B705" t="str">
            <v xml:space="preserve">-0  , </v>
          </cell>
          <cell r="C705"/>
          <cell r="D705"/>
          <cell r="E705"/>
          <cell r="F705"/>
          <cell r="G705"/>
          <cell r="H705"/>
          <cell r="I705"/>
          <cell r="J705"/>
          <cell r="K705"/>
          <cell r="L705"/>
          <cell r="M705"/>
          <cell r="N705"/>
          <cell r="O705"/>
          <cell r="P705"/>
          <cell r="Q705"/>
          <cell r="R705"/>
          <cell r="S705"/>
          <cell r="T705"/>
          <cell r="U705"/>
          <cell r="V705"/>
          <cell r="W705"/>
          <cell r="X705">
            <v>0</v>
          </cell>
          <cell r="Y705">
            <v>0</v>
          </cell>
          <cell r="Z705">
            <v>0</v>
          </cell>
          <cell r="AA705" t="str">
            <v>,</v>
          </cell>
          <cell r="AB705" t="str">
            <v>,</v>
          </cell>
          <cell r="AC705" t="e">
            <v>#DIV/0!</v>
          </cell>
          <cell r="AD705" t="e">
            <v>#DIV/0!</v>
          </cell>
          <cell r="AE705">
            <v>0.71</v>
          </cell>
          <cell r="AF705">
            <v>94.97</v>
          </cell>
          <cell r="AG705">
            <v>0</v>
          </cell>
          <cell r="AH705" t="e">
            <v>#DIV/0!</v>
          </cell>
          <cell r="AI705" t="e">
            <v>#DIV/0!</v>
          </cell>
          <cell r="AJ705" t="e">
            <v>#DIV/0!</v>
          </cell>
          <cell r="AK705" t="e">
            <v>#DIV/0!</v>
          </cell>
          <cell r="AL705" t="e">
            <v>#DIV/0!</v>
          </cell>
          <cell r="AM705" t="e">
            <v>#DIV/0!</v>
          </cell>
          <cell r="AN705" t="e">
            <v>#DIV/0!</v>
          </cell>
          <cell r="AO705" t="e">
            <v>#REF!</v>
          </cell>
          <cell r="AP705" t="e">
            <v>#REF!</v>
          </cell>
          <cell r="AQ705" t="e">
            <v>#REF!</v>
          </cell>
          <cell r="AR705" t="e">
            <v>#REF!</v>
          </cell>
          <cell r="AS705" t="e">
            <v>#REF!</v>
          </cell>
          <cell r="AT705" t="e">
            <v>#REF!</v>
          </cell>
          <cell r="AU705" t="e">
            <v>#REF!</v>
          </cell>
          <cell r="AV705" t="e">
            <v>#REF!</v>
          </cell>
          <cell r="AW705" t="e">
            <v>#DIV/0!</v>
          </cell>
          <cell r="AX705" t="e">
            <v>#DIV/0!</v>
          </cell>
          <cell r="AY705" t="e">
            <v>#DIV/0!</v>
          </cell>
          <cell r="AZ705" t="e">
            <v>#DIV/0!</v>
          </cell>
          <cell r="BE705" t="e">
            <v>#DIV/0!</v>
          </cell>
          <cell r="BF705" t="e">
            <v>#DIV/0!</v>
          </cell>
        </row>
        <row r="706">
          <cell r="A706" t="str">
            <v>-0</v>
          </cell>
          <cell r="B706" t="str">
            <v xml:space="preserve">-0  , </v>
          </cell>
          <cell r="C706"/>
          <cell r="D706"/>
          <cell r="E706"/>
          <cell r="F706"/>
          <cell r="G706"/>
          <cell r="H706"/>
          <cell r="I706"/>
          <cell r="J706"/>
          <cell r="K706"/>
          <cell r="L706"/>
          <cell r="M706"/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  <cell r="X706">
            <v>0</v>
          </cell>
          <cell r="Y706">
            <v>0</v>
          </cell>
          <cell r="Z706">
            <v>0</v>
          </cell>
          <cell r="AA706" t="str">
            <v>,</v>
          </cell>
          <cell r="AB706" t="str">
            <v>,</v>
          </cell>
          <cell r="AC706" t="e">
            <v>#DIV/0!</v>
          </cell>
          <cell r="AD706" t="e">
            <v>#DIV/0!</v>
          </cell>
          <cell r="AE706">
            <v>0.71</v>
          </cell>
          <cell r="AF706">
            <v>94.97</v>
          </cell>
          <cell r="AG706">
            <v>0</v>
          </cell>
          <cell r="AH706" t="e">
            <v>#DIV/0!</v>
          </cell>
          <cell r="AI706" t="e">
            <v>#DIV/0!</v>
          </cell>
          <cell r="AJ706" t="e">
            <v>#DIV/0!</v>
          </cell>
          <cell r="AK706" t="e">
            <v>#DIV/0!</v>
          </cell>
          <cell r="AL706" t="e">
            <v>#DIV/0!</v>
          </cell>
          <cell r="AM706" t="e">
            <v>#DIV/0!</v>
          </cell>
          <cell r="AN706" t="e">
            <v>#DIV/0!</v>
          </cell>
          <cell r="AO706" t="e">
            <v>#REF!</v>
          </cell>
          <cell r="AP706" t="e">
            <v>#REF!</v>
          </cell>
          <cell r="AQ706" t="e">
            <v>#REF!</v>
          </cell>
          <cell r="AR706" t="e">
            <v>#REF!</v>
          </cell>
          <cell r="AS706" t="e">
            <v>#REF!</v>
          </cell>
          <cell r="AT706" t="e">
            <v>#REF!</v>
          </cell>
          <cell r="AU706" t="e">
            <v>#REF!</v>
          </cell>
          <cell r="AV706" t="e">
            <v>#REF!</v>
          </cell>
          <cell r="AW706" t="e">
            <v>#DIV/0!</v>
          </cell>
          <cell r="AX706" t="e">
            <v>#DIV/0!</v>
          </cell>
          <cell r="AY706" t="e">
            <v>#DIV/0!</v>
          </cell>
          <cell r="AZ706" t="e">
            <v>#DIV/0!</v>
          </cell>
          <cell r="BE706" t="e">
            <v>#DIV/0!</v>
          </cell>
          <cell r="BF706" t="e">
            <v>#DIV/0!</v>
          </cell>
        </row>
        <row r="707">
          <cell r="A707" t="str">
            <v>-0</v>
          </cell>
          <cell r="B707" t="str">
            <v xml:space="preserve">-0  , </v>
          </cell>
          <cell r="C707"/>
          <cell r="D707"/>
          <cell r="E707"/>
          <cell r="F707"/>
          <cell r="G707"/>
          <cell r="H707"/>
          <cell r="I707"/>
          <cell r="J707"/>
          <cell r="K707"/>
          <cell r="L707"/>
          <cell r="M707"/>
          <cell r="N707"/>
          <cell r="O707"/>
          <cell r="P707"/>
          <cell r="Q707"/>
          <cell r="R707"/>
          <cell r="S707"/>
          <cell r="T707"/>
          <cell r="U707"/>
          <cell r="V707"/>
          <cell r="W707"/>
          <cell r="X707">
            <v>0</v>
          </cell>
          <cell r="Y707">
            <v>0</v>
          </cell>
          <cell r="Z707">
            <v>0</v>
          </cell>
          <cell r="AA707" t="str">
            <v>,</v>
          </cell>
          <cell r="AB707" t="str">
            <v>,</v>
          </cell>
          <cell r="AC707" t="e">
            <v>#DIV/0!</v>
          </cell>
          <cell r="AD707" t="e">
            <v>#DIV/0!</v>
          </cell>
          <cell r="AE707">
            <v>0.71</v>
          </cell>
          <cell r="AF707">
            <v>94.97</v>
          </cell>
          <cell r="AG707">
            <v>0</v>
          </cell>
          <cell r="AH707" t="e">
            <v>#DIV/0!</v>
          </cell>
          <cell r="AI707" t="e">
            <v>#DIV/0!</v>
          </cell>
          <cell r="AJ707" t="e">
            <v>#DIV/0!</v>
          </cell>
          <cell r="AK707" t="e">
            <v>#DIV/0!</v>
          </cell>
          <cell r="AL707" t="e">
            <v>#DIV/0!</v>
          </cell>
          <cell r="AM707" t="e">
            <v>#DIV/0!</v>
          </cell>
          <cell r="AN707" t="e">
            <v>#DIV/0!</v>
          </cell>
          <cell r="AO707" t="e">
            <v>#REF!</v>
          </cell>
          <cell r="AP707" t="e">
            <v>#REF!</v>
          </cell>
          <cell r="AQ707" t="e">
            <v>#REF!</v>
          </cell>
          <cell r="AR707" t="e">
            <v>#REF!</v>
          </cell>
          <cell r="AS707" t="e">
            <v>#REF!</v>
          </cell>
          <cell r="AT707" t="e">
            <v>#REF!</v>
          </cell>
          <cell r="AU707" t="e">
            <v>#REF!</v>
          </cell>
          <cell r="AV707" t="e">
            <v>#REF!</v>
          </cell>
          <cell r="AW707" t="e">
            <v>#DIV/0!</v>
          </cell>
          <cell r="AX707" t="e">
            <v>#DIV/0!</v>
          </cell>
          <cell r="AY707" t="e">
            <v>#DIV/0!</v>
          </cell>
          <cell r="AZ707" t="e">
            <v>#DIV/0!</v>
          </cell>
          <cell r="BE707" t="e">
            <v>#DIV/0!</v>
          </cell>
          <cell r="BF707" t="e">
            <v>#DIV/0!</v>
          </cell>
        </row>
        <row r="708">
          <cell r="A708" t="str">
            <v>-0</v>
          </cell>
          <cell r="B708" t="str">
            <v xml:space="preserve">-0  , </v>
          </cell>
          <cell r="C708"/>
          <cell r="D708"/>
          <cell r="E708"/>
          <cell r="F708"/>
          <cell r="G708"/>
          <cell r="H708"/>
          <cell r="I708"/>
          <cell r="J708"/>
          <cell r="K708"/>
          <cell r="L708"/>
          <cell r="M708"/>
          <cell r="N708"/>
          <cell r="O708"/>
          <cell r="P708"/>
          <cell r="Q708"/>
          <cell r="R708"/>
          <cell r="S708"/>
          <cell r="T708"/>
          <cell r="U708"/>
          <cell r="V708"/>
          <cell r="W708"/>
          <cell r="X708">
            <v>0</v>
          </cell>
          <cell r="Y708">
            <v>0</v>
          </cell>
          <cell r="Z708">
            <v>0</v>
          </cell>
          <cell r="AA708" t="str">
            <v>,</v>
          </cell>
          <cell r="AB708" t="str">
            <v>,</v>
          </cell>
          <cell r="AC708" t="e">
            <v>#DIV/0!</v>
          </cell>
          <cell r="AD708" t="e">
            <v>#DIV/0!</v>
          </cell>
          <cell r="AE708">
            <v>0.71</v>
          </cell>
          <cell r="AF708">
            <v>94.97</v>
          </cell>
          <cell r="AG708">
            <v>0</v>
          </cell>
          <cell r="AH708" t="e">
            <v>#DIV/0!</v>
          </cell>
          <cell r="AI708" t="e">
            <v>#DIV/0!</v>
          </cell>
          <cell r="AJ708" t="e">
            <v>#DIV/0!</v>
          </cell>
          <cell r="AK708" t="e">
            <v>#DIV/0!</v>
          </cell>
          <cell r="AL708" t="e">
            <v>#DIV/0!</v>
          </cell>
          <cell r="AM708" t="e">
            <v>#DIV/0!</v>
          </cell>
          <cell r="AN708" t="e">
            <v>#DIV/0!</v>
          </cell>
          <cell r="AO708" t="e">
            <v>#REF!</v>
          </cell>
          <cell r="AP708" t="e">
            <v>#REF!</v>
          </cell>
          <cell r="AQ708" t="e">
            <v>#REF!</v>
          </cell>
          <cell r="AR708" t="e">
            <v>#REF!</v>
          </cell>
          <cell r="AS708" t="e">
            <v>#REF!</v>
          </cell>
          <cell r="AT708" t="e">
            <v>#REF!</v>
          </cell>
          <cell r="AU708" t="e">
            <v>#REF!</v>
          </cell>
          <cell r="AV708" t="e">
            <v>#REF!</v>
          </cell>
          <cell r="AW708" t="e">
            <v>#DIV/0!</v>
          </cell>
          <cell r="AX708" t="e">
            <v>#DIV/0!</v>
          </cell>
          <cell r="AY708" t="e">
            <v>#DIV/0!</v>
          </cell>
          <cell r="AZ708" t="e">
            <v>#DIV/0!</v>
          </cell>
          <cell r="BE708" t="e">
            <v>#DIV/0!</v>
          </cell>
          <cell r="BF708" t="e">
            <v>#DIV/0!</v>
          </cell>
        </row>
        <row r="709">
          <cell r="A709" t="str">
            <v>-0</v>
          </cell>
          <cell r="B709" t="str">
            <v xml:space="preserve">-0  , </v>
          </cell>
          <cell r="C709"/>
          <cell r="D709"/>
          <cell r="E709"/>
          <cell r="F709"/>
          <cell r="G709"/>
          <cell r="H709"/>
          <cell r="I709"/>
          <cell r="J709"/>
          <cell r="K709"/>
          <cell r="L709"/>
          <cell r="M709"/>
          <cell r="N709"/>
          <cell r="O709"/>
          <cell r="P709"/>
          <cell r="Q709"/>
          <cell r="R709"/>
          <cell r="S709"/>
          <cell r="T709"/>
          <cell r="U709"/>
          <cell r="V709"/>
          <cell r="W709"/>
          <cell r="X709">
            <v>0</v>
          </cell>
          <cell r="Y709">
            <v>0</v>
          </cell>
          <cell r="Z709">
            <v>0</v>
          </cell>
          <cell r="AA709" t="str">
            <v>,</v>
          </cell>
          <cell r="AB709" t="str">
            <v>,</v>
          </cell>
          <cell r="AC709" t="e">
            <v>#DIV/0!</v>
          </cell>
          <cell r="AD709" t="e">
            <v>#DIV/0!</v>
          </cell>
          <cell r="AE709">
            <v>0.71</v>
          </cell>
          <cell r="AF709">
            <v>94.97</v>
          </cell>
          <cell r="AG709">
            <v>0</v>
          </cell>
          <cell r="AH709" t="e">
            <v>#DIV/0!</v>
          </cell>
          <cell r="AI709" t="e">
            <v>#DIV/0!</v>
          </cell>
          <cell r="AJ709" t="e">
            <v>#DIV/0!</v>
          </cell>
          <cell r="AK709" t="e">
            <v>#DIV/0!</v>
          </cell>
          <cell r="AL709" t="e">
            <v>#DIV/0!</v>
          </cell>
          <cell r="AM709" t="e">
            <v>#DIV/0!</v>
          </cell>
          <cell r="AN709" t="e">
            <v>#DIV/0!</v>
          </cell>
          <cell r="AO709" t="e">
            <v>#REF!</v>
          </cell>
          <cell r="AP709" t="e">
            <v>#REF!</v>
          </cell>
          <cell r="AQ709" t="e">
            <v>#REF!</v>
          </cell>
          <cell r="AR709" t="e">
            <v>#REF!</v>
          </cell>
          <cell r="AS709" t="e">
            <v>#REF!</v>
          </cell>
          <cell r="AT709" t="e">
            <v>#REF!</v>
          </cell>
          <cell r="AU709" t="e">
            <v>#REF!</v>
          </cell>
          <cell r="AV709" t="e">
            <v>#REF!</v>
          </cell>
          <cell r="AW709" t="e">
            <v>#DIV/0!</v>
          </cell>
          <cell r="AX709" t="e">
            <v>#DIV/0!</v>
          </cell>
          <cell r="AY709" t="e">
            <v>#DIV/0!</v>
          </cell>
          <cell r="AZ709" t="e">
            <v>#DIV/0!</v>
          </cell>
          <cell r="BE709" t="e">
            <v>#DIV/0!</v>
          </cell>
          <cell r="BF709" t="e">
            <v>#DIV/0!</v>
          </cell>
        </row>
        <row r="710">
          <cell r="A710" t="str">
            <v>-0</v>
          </cell>
          <cell r="B710" t="str">
            <v xml:space="preserve">-0  , </v>
          </cell>
          <cell r="C710"/>
          <cell r="D710"/>
          <cell r="E710"/>
          <cell r="F710"/>
          <cell r="G710"/>
          <cell r="H710"/>
          <cell r="I710"/>
          <cell r="J710"/>
          <cell r="K710"/>
          <cell r="L710"/>
          <cell r="M710"/>
          <cell r="N710"/>
          <cell r="O710"/>
          <cell r="P710"/>
          <cell r="Q710"/>
          <cell r="R710"/>
          <cell r="S710"/>
          <cell r="T710"/>
          <cell r="U710"/>
          <cell r="V710"/>
          <cell r="W710"/>
          <cell r="X710">
            <v>0</v>
          </cell>
          <cell r="Y710">
            <v>0</v>
          </cell>
          <cell r="Z710">
            <v>0</v>
          </cell>
          <cell r="AA710" t="str">
            <v>,</v>
          </cell>
          <cell r="AB710" t="str">
            <v>,</v>
          </cell>
          <cell r="AC710" t="e">
            <v>#DIV/0!</v>
          </cell>
          <cell r="AD710" t="e">
            <v>#DIV/0!</v>
          </cell>
          <cell r="AE710">
            <v>0.71</v>
          </cell>
          <cell r="AF710">
            <v>94.97</v>
          </cell>
          <cell r="AG710">
            <v>0</v>
          </cell>
          <cell r="AH710" t="e">
            <v>#DIV/0!</v>
          </cell>
          <cell r="AI710" t="e">
            <v>#DIV/0!</v>
          </cell>
          <cell r="AJ710" t="e">
            <v>#DIV/0!</v>
          </cell>
          <cell r="AK710" t="e">
            <v>#DIV/0!</v>
          </cell>
          <cell r="AL710" t="e">
            <v>#DIV/0!</v>
          </cell>
          <cell r="AM710" t="e">
            <v>#DIV/0!</v>
          </cell>
          <cell r="AN710" t="e">
            <v>#DIV/0!</v>
          </cell>
          <cell r="AO710" t="e">
            <v>#REF!</v>
          </cell>
          <cell r="AP710" t="e">
            <v>#REF!</v>
          </cell>
          <cell r="AQ710" t="e">
            <v>#REF!</v>
          </cell>
          <cell r="AR710" t="e">
            <v>#REF!</v>
          </cell>
          <cell r="AS710" t="e">
            <v>#REF!</v>
          </cell>
          <cell r="AT710" t="e">
            <v>#REF!</v>
          </cell>
          <cell r="AU710" t="e">
            <v>#REF!</v>
          </cell>
          <cell r="AV710" t="e">
            <v>#REF!</v>
          </cell>
          <cell r="AW710" t="e">
            <v>#DIV/0!</v>
          </cell>
          <cell r="AX710" t="e">
            <v>#DIV/0!</v>
          </cell>
          <cell r="AY710" t="e">
            <v>#DIV/0!</v>
          </cell>
          <cell r="AZ710" t="e">
            <v>#DIV/0!</v>
          </cell>
          <cell r="BE710" t="e">
            <v>#DIV/0!</v>
          </cell>
          <cell r="BF710" t="e">
            <v>#DIV/0!</v>
          </cell>
        </row>
        <row r="711">
          <cell r="A711" t="str">
            <v>-0</v>
          </cell>
          <cell r="B711" t="str">
            <v xml:space="preserve">-0  , </v>
          </cell>
          <cell r="C711"/>
          <cell r="D711"/>
          <cell r="E711"/>
          <cell r="F711"/>
          <cell r="G711"/>
          <cell r="H711"/>
          <cell r="I711"/>
          <cell r="J711"/>
          <cell r="K711"/>
          <cell r="L711"/>
          <cell r="M711"/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  <cell r="X711">
            <v>0</v>
          </cell>
          <cell r="Y711">
            <v>0</v>
          </cell>
          <cell r="Z711">
            <v>0</v>
          </cell>
          <cell r="AA711" t="str">
            <v>,</v>
          </cell>
          <cell r="AB711" t="str">
            <v>,</v>
          </cell>
          <cell r="AC711" t="e">
            <v>#DIV/0!</v>
          </cell>
          <cell r="AD711" t="e">
            <v>#DIV/0!</v>
          </cell>
          <cell r="AE711">
            <v>0.71</v>
          </cell>
          <cell r="AF711">
            <v>94.97</v>
          </cell>
          <cell r="AG711">
            <v>0</v>
          </cell>
          <cell r="AH711" t="e">
            <v>#DIV/0!</v>
          </cell>
          <cell r="AI711" t="e">
            <v>#DIV/0!</v>
          </cell>
          <cell r="AJ711" t="e">
            <v>#DIV/0!</v>
          </cell>
          <cell r="AK711" t="e">
            <v>#DIV/0!</v>
          </cell>
          <cell r="AL711" t="e">
            <v>#DIV/0!</v>
          </cell>
          <cell r="AM711" t="e">
            <v>#DIV/0!</v>
          </cell>
          <cell r="AN711" t="e">
            <v>#DIV/0!</v>
          </cell>
          <cell r="AO711" t="e">
            <v>#REF!</v>
          </cell>
          <cell r="AP711" t="e">
            <v>#REF!</v>
          </cell>
          <cell r="AQ711" t="e">
            <v>#REF!</v>
          </cell>
          <cell r="AR711" t="e">
            <v>#REF!</v>
          </cell>
          <cell r="AS711" t="e">
            <v>#REF!</v>
          </cell>
          <cell r="AT711" t="e">
            <v>#REF!</v>
          </cell>
          <cell r="AU711" t="e">
            <v>#REF!</v>
          </cell>
          <cell r="AV711" t="e">
            <v>#REF!</v>
          </cell>
          <cell r="AW711" t="e">
            <v>#DIV/0!</v>
          </cell>
          <cell r="AX711" t="e">
            <v>#DIV/0!</v>
          </cell>
          <cell r="AY711" t="e">
            <v>#DIV/0!</v>
          </cell>
          <cell r="AZ711" t="e">
            <v>#DIV/0!</v>
          </cell>
          <cell r="BE711" t="e">
            <v>#DIV/0!</v>
          </cell>
          <cell r="BF711" t="e">
            <v>#DIV/0!</v>
          </cell>
        </row>
        <row r="712">
          <cell r="A712" t="str">
            <v>-0</v>
          </cell>
          <cell r="B712" t="str">
            <v xml:space="preserve">-0  , </v>
          </cell>
          <cell r="C712"/>
          <cell r="D712"/>
          <cell r="E712"/>
          <cell r="F712"/>
          <cell r="G712"/>
          <cell r="H712"/>
          <cell r="I712"/>
          <cell r="J712"/>
          <cell r="K712"/>
          <cell r="L712"/>
          <cell r="M712"/>
          <cell r="N712"/>
          <cell r="O712"/>
          <cell r="P712"/>
          <cell r="Q712"/>
          <cell r="R712"/>
          <cell r="S712"/>
          <cell r="T712"/>
          <cell r="U712"/>
          <cell r="V712"/>
          <cell r="W712"/>
          <cell r="X712">
            <v>0</v>
          </cell>
          <cell r="Y712">
            <v>0</v>
          </cell>
          <cell r="Z712">
            <v>0</v>
          </cell>
          <cell r="AA712" t="str">
            <v>,</v>
          </cell>
          <cell r="AB712" t="str">
            <v>,</v>
          </cell>
          <cell r="AC712" t="e">
            <v>#DIV/0!</v>
          </cell>
          <cell r="AD712" t="e">
            <v>#DIV/0!</v>
          </cell>
          <cell r="AE712">
            <v>0.71</v>
          </cell>
          <cell r="AF712">
            <v>94.97</v>
          </cell>
          <cell r="AG712">
            <v>0</v>
          </cell>
          <cell r="AH712" t="e">
            <v>#DIV/0!</v>
          </cell>
          <cell r="AI712" t="e">
            <v>#DIV/0!</v>
          </cell>
          <cell r="AJ712" t="e">
            <v>#DIV/0!</v>
          </cell>
          <cell r="AK712" t="e">
            <v>#DIV/0!</v>
          </cell>
          <cell r="AL712" t="e">
            <v>#DIV/0!</v>
          </cell>
          <cell r="AM712" t="e">
            <v>#DIV/0!</v>
          </cell>
          <cell r="AN712" t="e">
            <v>#DIV/0!</v>
          </cell>
          <cell r="AO712" t="e">
            <v>#REF!</v>
          </cell>
          <cell r="AP712" t="e">
            <v>#REF!</v>
          </cell>
          <cell r="AQ712" t="e">
            <v>#REF!</v>
          </cell>
          <cell r="AR712" t="e">
            <v>#REF!</v>
          </cell>
          <cell r="AS712" t="e">
            <v>#REF!</v>
          </cell>
          <cell r="AT712" t="e">
            <v>#REF!</v>
          </cell>
          <cell r="AU712" t="e">
            <v>#REF!</v>
          </cell>
          <cell r="AV712" t="e">
            <v>#REF!</v>
          </cell>
          <cell r="AW712" t="e">
            <v>#DIV/0!</v>
          </cell>
          <cell r="AX712" t="e">
            <v>#DIV/0!</v>
          </cell>
          <cell r="AY712" t="e">
            <v>#DIV/0!</v>
          </cell>
          <cell r="AZ712" t="e">
            <v>#DIV/0!</v>
          </cell>
          <cell r="BE712" t="e">
            <v>#DIV/0!</v>
          </cell>
          <cell r="BF712" t="e">
            <v>#DIV/0!</v>
          </cell>
        </row>
        <row r="713">
          <cell r="A713" t="str">
            <v>-0</v>
          </cell>
          <cell r="B713" t="str">
            <v xml:space="preserve">-0  , </v>
          </cell>
          <cell r="C713"/>
          <cell r="D713"/>
          <cell r="E713"/>
          <cell r="F713"/>
          <cell r="G713"/>
          <cell r="H713"/>
          <cell r="I713"/>
          <cell r="J713"/>
          <cell r="K713"/>
          <cell r="L713"/>
          <cell r="M713"/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  <cell r="X713">
            <v>0</v>
          </cell>
          <cell r="Y713">
            <v>0</v>
          </cell>
          <cell r="Z713">
            <v>0</v>
          </cell>
          <cell r="AA713" t="str">
            <v>,</v>
          </cell>
          <cell r="AB713" t="str">
            <v>,</v>
          </cell>
          <cell r="AC713" t="e">
            <v>#DIV/0!</v>
          </cell>
          <cell r="AD713" t="e">
            <v>#DIV/0!</v>
          </cell>
          <cell r="AE713">
            <v>0.71</v>
          </cell>
          <cell r="AF713">
            <v>94.97</v>
          </cell>
          <cell r="AG713">
            <v>0</v>
          </cell>
          <cell r="AH713" t="e">
            <v>#DIV/0!</v>
          </cell>
          <cell r="AI713" t="e">
            <v>#DIV/0!</v>
          </cell>
          <cell r="AJ713" t="e">
            <v>#DIV/0!</v>
          </cell>
          <cell r="AK713" t="e">
            <v>#DIV/0!</v>
          </cell>
          <cell r="AL713" t="e">
            <v>#DIV/0!</v>
          </cell>
          <cell r="AM713" t="e">
            <v>#DIV/0!</v>
          </cell>
          <cell r="AN713" t="e">
            <v>#DIV/0!</v>
          </cell>
          <cell r="AO713" t="e">
            <v>#REF!</v>
          </cell>
          <cell r="AP713" t="e">
            <v>#REF!</v>
          </cell>
          <cell r="AQ713" t="e">
            <v>#REF!</v>
          </cell>
          <cell r="AR713" t="e">
            <v>#REF!</v>
          </cell>
          <cell r="AS713" t="e">
            <v>#REF!</v>
          </cell>
          <cell r="AT713" t="e">
            <v>#REF!</v>
          </cell>
          <cell r="AU713" t="e">
            <v>#REF!</v>
          </cell>
          <cell r="AV713" t="e">
            <v>#REF!</v>
          </cell>
          <cell r="AW713" t="e">
            <v>#DIV/0!</v>
          </cell>
          <cell r="AX713" t="e">
            <v>#DIV/0!</v>
          </cell>
          <cell r="AY713" t="e">
            <v>#DIV/0!</v>
          </cell>
          <cell r="AZ713" t="e">
            <v>#DIV/0!</v>
          </cell>
          <cell r="BE713" t="e">
            <v>#DIV/0!</v>
          </cell>
          <cell r="BF713" t="e">
            <v>#DIV/0!</v>
          </cell>
        </row>
        <row r="714">
          <cell r="A714" t="str">
            <v>-0</v>
          </cell>
          <cell r="B714" t="str">
            <v xml:space="preserve">-0  , </v>
          </cell>
          <cell r="C714"/>
          <cell r="D714"/>
          <cell r="E714"/>
          <cell r="F714"/>
          <cell r="G714"/>
          <cell r="H714"/>
          <cell r="I714"/>
          <cell r="J714"/>
          <cell r="K714"/>
          <cell r="L714"/>
          <cell r="M714"/>
          <cell r="N714"/>
          <cell r="O714"/>
          <cell r="P714"/>
          <cell r="Q714"/>
          <cell r="R714"/>
          <cell r="S714"/>
          <cell r="T714"/>
          <cell r="U714"/>
          <cell r="V714"/>
          <cell r="W714"/>
          <cell r="X714">
            <v>0</v>
          </cell>
          <cell r="Y714">
            <v>0</v>
          </cell>
          <cell r="Z714">
            <v>0</v>
          </cell>
          <cell r="AA714" t="str">
            <v>,</v>
          </cell>
          <cell r="AB714" t="str">
            <v>,</v>
          </cell>
          <cell r="AC714" t="e">
            <v>#DIV/0!</v>
          </cell>
          <cell r="AD714" t="e">
            <v>#DIV/0!</v>
          </cell>
          <cell r="AE714">
            <v>0.71</v>
          </cell>
          <cell r="AF714">
            <v>94.97</v>
          </cell>
          <cell r="AG714">
            <v>0</v>
          </cell>
          <cell r="AH714" t="e">
            <v>#DIV/0!</v>
          </cell>
          <cell r="AI714" t="e">
            <v>#DIV/0!</v>
          </cell>
          <cell r="AJ714" t="e">
            <v>#DIV/0!</v>
          </cell>
          <cell r="AK714" t="e">
            <v>#DIV/0!</v>
          </cell>
          <cell r="AL714" t="e">
            <v>#DIV/0!</v>
          </cell>
          <cell r="AM714" t="e">
            <v>#DIV/0!</v>
          </cell>
          <cell r="AN714" t="e">
            <v>#DIV/0!</v>
          </cell>
          <cell r="AO714" t="e">
            <v>#REF!</v>
          </cell>
          <cell r="AP714" t="e">
            <v>#REF!</v>
          </cell>
          <cell r="AQ714" t="e">
            <v>#REF!</v>
          </cell>
          <cell r="AR714" t="e">
            <v>#REF!</v>
          </cell>
          <cell r="AS714" t="e">
            <v>#REF!</v>
          </cell>
          <cell r="AT714" t="e">
            <v>#REF!</v>
          </cell>
          <cell r="AU714" t="e">
            <v>#REF!</v>
          </cell>
          <cell r="AV714" t="e">
            <v>#REF!</v>
          </cell>
          <cell r="AW714" t="e">
            <v>#DIV/0!</v>
          </cell>
          <cell r="AX714" t="e">
            <v>#DIV/0!</v>
          </cell>
          <cell r="AY714" t="e">
            <v>#DIV/0!</v>
          </cell>
          <cell r="AZ714" t="e">
            <v>#DIV/0!</v>
          </cell>
          <cell r="BE714" t="e">
            <v>#DIV/0!</v>
          </cell>
          <cell r="BF714" t="e">
            <v>#DIV/0!</v>
          </cell>
        </row>
        <row r="715">
          <cell r="A715" t="str">
            <v>-0</v>
          </cell>
          <cell r="B715" t="str">
            <v xml:space="preserve">-0  , </v>
          </cell>
          <cell r="C715"/>
          <cell r="D715"/>
          <cell r="E715"/>
          <cell r="F715"/>
          <cell r="G715"/>
          <cell r="H715"/>
          <cell r="I715"/>
          <cell r="J715"/>
          <cell r="K715"/>
          <cell r="L715"/>
          <cell r="M715"/>
          <cell r="N715"/>
          <cell r="O715"/>
          <cell r="P715"/>
          <cell r="Q715"/>
          <cell r="R715"/>
          <cell r="S715"/>
          <cell r="T715"/>
          <cell r="U715"/>
          <cell r="V715"/>
          <cell r="W715"/>
          <cell r="X715">
            <v>0</v>
          </cell>
          <cell r="Y715">
            <v>0</v>
          </cell>
          <cell r="Z715">
            <v>0</v>
          </cell>
          <cell r="AA715" t="str">
            <v>,</v>
          </cell>
          <cell r="AB715" t="str">
            <v>,</v>
          </cell>
          <cell r="AC715" t="e">
            <v>#DIV/0!</v>
          </cell>
          <cell r="AD715" t="e">
            <v>#DIV/0!</v>
          </cell>
          <cell r="AE715">
            <v>0.71</v>
          </cell>
          <cell r="AF715">
            <v>94.97</v>
          </cell>
          <cell r="AG715">
            <v>0</v>
          </cell>
          <cell r="AH715" t="e">
            <v>#DIV/0!</v>
          </cell>
          <cell r="AI715" t="e">
            <v>#DIV/0!</v>
          </cell>
          <cell r="AJ715" t="e">
            <v>#DIV/0!</v>
          </cell>
          <cell r="AK715" t="e">
            <v>#DIV/0!</v>
          </cell>
          <cell r="AL715" t="e">
            <v>#DIV/0!</v>
          </cell>
          <cell r="AM715" t="e">
            <v>#DIV/0!</v>
          </cell>
          <cell r="AN715" t="e">
            <v>#DIV/0!</v>
          </cell>
          <cell r="AO715" t="e">
            <v>#REF!</v>
          </cell>
          <cell r="AP715" t="e">
            <v>#REF!</v>
          </cell>
          <cell r="AQ715" t="e">
            <v>#REF!</v>
          </cell>
          <cell r="AR715" t="e">
            <v>#REF!</v>
          </cell>
          <cell r="AS715" t="e">
            <v>#REF!</v>
          </cell>
          <cell r="AT715" t="e">
            <v>#REF!</v>
          </cell>
          <cell r="AU715" t="e">
            <v>#REF!</v>
          </cell>
          <cell r="AV715" t="e">
            <v>#REF!</v>
          </cell>
          <cell r="AW715" t="e">
            <v>#DIV/0!</v>
          </cell>
          <cell r="AX715" t="e">
            <v>#DIV/0!</v>
          </cell>
          <cell r="AY715" t="e">
            <v>#DIV/0!</v>
          </cell>
          <cell r="AZ715" t="e">
            <v>#DIV/0!</v>
          </cell>
          <cell r="BE715" t="e">
            <v>#DIV/0!</v>
          </cell>
          <cell r="BF715" t="e">
            <v>#DIV/0!</v>
          </cell>
        </row>
        <row r="716">
          <cell r="A716" t="str">
            <v>-0</v>
          </cell>
          <cell r="B716" t="str">
            <v xml:space="preserve">-0  , </v>
          </cell>
          <cell r="C716"/>
          <cell r="D716"/>
          <cell r="E716"/>
          <cell r="F716"/>
          <cell r="G716"/>
          <cell r="H716"/>
          <cell r="I716"/>
          <cell r="J716"/>
          <cell r="K716"/>
          <cell r="L716"/>
          <cell r="M716"/>
          <cell r="N716"/>
          <cell r="O716"/>
          <cell r="P716"/>
          <cell r="Q716"/>
          <cell r="R716"/>
          <cell r="S716"/>
          <cell r="T716"/>
          <cell r="U716"/>
          <cell r="V716"/>
          <cell r="W716"/>
          <cell r="X716">
            <v>0</v>
          </cell>
          <cell r="Y716">
            <v>0</v>
          </cell>
          <cell r="Z716">
            <v>0</v>
          </cell>
          <cell r="AA716" t="str">
            <v>,</v>
          </cell>
          <cell r="AB716" t="str">
            <v>,</v>
          </cell>
          <cell r="AC716" t="e">
            <v>#DIV/0!</v>
          </cell>
          <cell r="AD716" t="e">
            <v>#DIV/0!</v>
          </cell>
          <cell r="AE716">
            <v>0.71</v>
          </cell>
          <cell r="AF716">
            <v>94.97</v>
          </cell>
          <cell r="AG716">
            <v>0</v>
          </cell>
          <cell r="AH716" t="e">
            <v>#DIV/0!</v>
          </cell>
          <cell r="AI716" t="e">
            <v>#DIV/0!</v>
          </cell>
          <cell r="AJ716" t="e">
            <v>#DIV/0!</v>
          </cell>
          <cell r="AK716" t="e">
            <v>#DIV/0!</v>
          </cell>
          <cell r="AL716" t="e">
            <v>#DIV/0!</v>
          </cell>
          <cell r="AM716" t="e">
            <v>#DIV/0!</v>
          </cell>
          <cell r="AN716" t="e">
            <v>#DIV/0!</v>
          </cell>
          <cell r="AO716" t="e">
            <v>#REF!</v>
          </cell>
          <cell r="AP716" t="e">
            <v>#REF!</v>
          </cell>
          <cell r="AQ716" t="e">
            <v>#REF!</v>
          </cell>
          <cell r="AR716" t="e">
            <v>#REF!</v>
          </cell>
          <cell r="AS716" t="e">
            <v>#REF!</v>
          </cell>
          <cell r="AT716" t="e">
            <v>#REF!</v>
          </cell>
          <cell r="AU716" t="e">
            <v>#REF!</v>
          </cell>
          <cell r="AV716" t="e">
            <v>#REF!</v>
          </cell>
          <cell r="AW716" t="e">
            <v>#DIV/0!</v>
          </cell>
          <cell r="AX716" t="e">
            <v>#DIV/0!</v>
          </cell>
          <cell r="AY716" t="e">
            <v>#DIV/0!</v>
          </cell>
          <cell r="AZ716" t="e">
            <v>#DIV/0!</v>
          </cell>
          <cell r="BE716" t="e">
            <v>#DIV/0!</v>
          </cell>
          <cell r="BF716" t="e">
            <v>#DIV/0!</v>
          </cell>
        </row>
        <row r="717">
          <cell r="A717" t="str">
            <v>-0</v>
          </cell>
          <cell r="B717" t="str">
            <v xml:space="preserve">-0  , </v>
          </cell>
          <cell r="C717"/>
          <cell r="D717"/>
          <cell r="E717"/>
          <cell r="F717"/>
          <cell r="G717"/>
          <cell r="H717"/>
          <cell r="I717"/>
          <cell r="J717"/>
          <cell r="K717"/>
          <cell r="L717"/>
          <cell r="M717"/>
          <cell r="N717"/>
          <cell r="O717"/>
          <cell r="P717"/>
          <cell r="Q717"/>
          <cell r="R717"/>
          <cell r="S717"/>
          <cell r="T717"/>
          <cell r="U717"/>
          <cell r="V717"/>
          <cell r="W717"/>
          <cell r="X717">
            <v>0</v>
          </cell>
          <cell r="Y717">
            <v>0</v>
          </cell>
          <cell r="Z717">
            <v>0</v>
          </cell>
          <cell r="AA717" t="str">
            <v>,</v>
          </cell>
          <cell r="AB717" t="str">
            <v>,</v>
          </cell>
          <cell r="AC717" t="e">
            <v>#DIV/0!</v>
          </cell>
          <cell r="AD717" t="e">
            <v>#DIV/0!</v>
          </cell>
          <cell r="AE717">
            <v>0.71</v>
          </cell>
          <cell r="AF717">
            <v>94.97</v>
          </cell>
          <cell r="AG717">
            <v>0</v>
          </cell>
          <cell r="AH717" t="e">
            <v>#DIV/0!</v>
          </cell>
          <cell r="AI717" t="e">
            <v>#DIV/0!</v>
          </cell>
          <cell r="AJ717" t="e">
            <v>#DIV/0!</v>
          </cell>
          <cell r="AK717" t="e">
            <v>#DIV/0!</v>
          </cell>
          <cell r="AL717" t="e">
            <v>#DIV/0!</v>
          </cell>
          <cell r="AM717" t="e">
            <v>#DIV/0!</v>
          </cell>
          <cell r="AN717" t="e">
            <v>#DIV/0!</v>
          </cell>
          <cell r="AO717" t="e">
            <v>#REF!</v>
          </cell>
          <cell r="AP717" t="e">
            <v>#REF!</v>
          </cell>
          <cell r="AQ717" t="e">
            <v>#REF!</v>
          </cell>
          <cell r="AR717" t="e">
            <v>#REF!</v>
          </cell>
          <cell r="AS717" t="e">
            <v>#REF!</v>
          </cell>
          <cell r="AT717" t="e">
            <v>#REF!</v>
          </cell>
          <cell r="AU717" t="e">
            <v>#REF!</v>
          </cell>
          <cell r="AV717" t="e">
            <v>#REF!</v>
          </cell>
          <cell r="AW717" t="e">
            <v>#DIV/0!</v>
          </cell>
          <cell r="AX717" t="e">
            <v>#DIV/0!</v>
          </cell>
          <cell r="AY717" t="e">
            <v>#DIV/0!</v>
          </cell>
          <cell r="AZ717" t="e">
            <v>#DIV/0!</v>
          </cell>
          <cell r="BE717" t="e">
            <v>#DIV/0!</v>
          </cell>
          <cell r="BF717" t="e">
            <v>#DIV/0!</v>
          </cell>
        </row>
        <row r="718">
          <cell r="A718" t="str">
            <v>-0</v>
          </cell>
          <cell r="B718" t="str">
            <v xml:space="preserve">-0  , </v>
          </cell>
          <cell r="C718"/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/>
          <cell r="S718"/>
          <cell r="T718"/>
          <cell r="U718"/>
          <cell r="V718"/>
          <cell r="W718"/>
          <cell r="X718">
            <v>0</v>
          </cell>
          <cell r="Y718">
            <v>0</v>
          </cell>
          <cell r="Z718">
            <v>0</v>
          </cell>
          <cell r="AA718" t="str">
            <v>,</v>
          </cell>
          <cell r="AB718" t="str">
            <v>,</v>
          </cell>
          <cell r="AC718" t="e">
            <v>#DIV/0!</v>
          </cell>
          <cell r="AD718" t="e">
            <v>#DIV/0!</v>
          </cell>
          <cell r="AE718">
            <v>0.71</v>
          </cell>
          <cell r="AF718">
            <v>94.97</v>
          </cell>
          <cell r="AG718">
            <v>0</v>
          </cell>
          <cell r="AH718" t="e">
            <v>#DIV/0!</v>
          </cell>
          <cell r="AI718" t="e">
            <v>#DIV/0!</v>
          </cell>
          <cell r="AJ718" t="e">
            <v>#DIV/0!</v>
          </cell>
          <cell r="AK718" t="e">
            <v>#DIV/0!</v>
          </cell>
          <cell r="AL718" t="e">
            <v>#DIV/0!</v>
          </cell>
          <cell r="AM718" t="e">
            <v>#DIV/0!</v>
          </cell>
          <cell r="AN718" t="e">
            <v>#DIV/0!</v>
          </cell>
          <cell r="AO718" t="e">
            <v>#REF!</v>
          </cell>
          <cell r="AP718" t="e">
            <v>#REF!</v>
          </cell>
          <cell r="AQ718" t="e">
            <v>#REF!</v>
          </cell>
          <cell r="AR718" t="e">
            <v>#REF!</v>
          </cell>
          <cell r="AS718" t="e">
            <v>#REF!</v>
          </cell>
          <cell r="AT718" t="e">
            <v>#REF!</v>
          </cell>
          <cell r="AU718" t="e">
            <v>#REF!</v>
          </cell>
          <cell r="AV718" t="e">
            <v>#REF!</v>
          </cell>
          <cell r="AW718" t="e">
            <v>#DIV/0!</v>
          </cell>
          <cell r="AX718" t="e">
            <v>#DIV/0!</v>
          </cell>
          <cell r="AY718" t="e">
            <v>#DIV/0!</v>
          </cell>
          <cell r="AZ718" t="e">
            <v>#DIV/0!</v>
          </cell>
          <cell r="BE718" t="e">
            <v>#DIV/0!</v>
          </cell>
          <cell r="BF718" t="e">
            <v>#DIV/0!</v>
          </cell>
        </row>
        <row r="719">
          <cell r="A719" t="str">
            <v>-0</v>
          </cell>
          <cell r="B719" t="str">
            <v xml:space="preserve">-0  , </v>
          </cell>
          <cell r="C719"/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  <cell r="X719">
            <v>0</v>
          </cell>
          <cell r="Y719">
            <v>0</v>
          </cell>
          <cell r="Z719">
            <v>0</v>
          </cell>
          <cell r="AA719" t="str">
            <v>,</v>
          </cell>
          <cell r="AB719" t="str">
            <v>,</v>
          </cell>
          <cell r="AC719" t="e">
            <v>#DIV/0!</v>
          </cell>
          <cell r="AD719" t="e">
            <v>#DIV/0!</v>
          </cell>
          <cell r="AE719">
            <v>0.71</v>
          </cell>
          <cell r="AF719">
            <v>94.97</v>
          </cell>
          <cell r="AG719">
            <v>0</v>
          </cell>
          <cell r="AH719" t="e">
            <v>#DIV/0!</v>
          </cell>
          <cell r="AI719" t="e">
            <v>#DIV/0!</v>
          </cell>
          <cell r="AJ719" t="e">
            <v>#DIV/0!</v>
          </cell>
          <cell r="AK719" t="e">
            <v>#DIV/0!</v>
          </cell>
          <cell r="AL719" t="e">
            <v>#DIV/0!</v>
          </cell>
          <cell r="AM719" t="e">
            <v>#DIV/0!</v>
          </cell>
          <cell r="AN719" t="e">
            <v>#DIV/0!</v>
          </cell>
          <cell r="AO719" t="e">
            <v>#REF!</v>
          </cell>
          <cell r="AP719" t="e">
            <v>#REF!</v>
          </cell>
          <cell r="AQ719" t="e">
            <v>#REF!</v>
          </cell>
          <cell r="AR719" t="e">
            <v>#REF!</v>
          </cell>
          <cell r="AS719" t="e">
            <v>#REF!</v>
          </cell>
          <cell r="AT719" t="e">
            <v>#REF!</v>
          </cell>
          <cell r="AU719" t="e">
            <v>#REF!</v>
          </cell>
          <cell r="AV719" t="e">
            <v>#REF!</v>
          </cell>
          <cell r="AW719" t="e">
            <v>#DIV/0!</v>
          </cell>
          <cell r="AX719" t="e">
            <v>#DIV/0!</v>
          </cell>
          <cell r="AY719" t="e">
            <v>#DIV/0!</v>
          </cell>
          <cell r="AZ719" t="e">
            <v>#DIV/0!</v>
          </cell>
          <cell r="BE719" t="e">
            <v>#DIV/0!</v>
          </cell>
          <cell r="BF719" t="e">
            <v>#DIV/0!</v>
          </cell>
        </row>
        <row r="720">
          <cell r="A720" t="str">
            <v>-0</v>
          </cell>
          <cell r="B720" t="str">
            <v xml:space="preserve">-0  , </v>
          </cell>
          <cell r="C720"/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/>
          <cell r="S720"/>
          <cell r="T720"/>
          <cell r="U720"/>
          <cell r="V720"/>
          <cell r="W720"/>
          <cell r="X720">
            <v>0</v>
          </cell>
          <cell r="Y720">
            <v>0</v>
          </cell>
          <cell r="Z720">
            <v>0</v>
          </cell>
          <cell r="AA720" t="str">
            <v>,</v>
          </cell>
          <cell r="AB720" t="str">
            <v>,</v>
          </cell>
          <cell r="AC720" t="e">
            <v>#DIV/0!</v>
          </cell>
          <cell r="AD720" t="e">
            <v>#DIV/0!</v>
          </cell>
          <cell r="AE720">
            <v>0.71</v>
          </cell>
          <cell r="AF720">
            <v>94.97</v>
          </cell>
          <cell r="AG720">
            <v>0</v>
          </cell>
          <cell r="AH720" t="e">
            <v>#DIV/0!</v>
          </cell>
          <cell r="AI720" t="e">
            <v>#DIV/0!</v>
          </cell>
          <cell r="AJ720" t="e">
            <v>#DIV/0!</v>
          </cell>
          <cell r="AK720" t="e">
            <v>#DIV/0!</v>
          </cell>
          <cell r="AL720" t="e">
            <v>#DIV/0!</v>
          </cell>
          <cell r="AM720" t="e">
            <v>#DIV/0!</v>
          </cell>
          <cell r="AN720" t="e">
            <v>#DIV/0!</v>
          </cell>
          <cell r="AO720" t="e">
            <v>#REF!</v>
          </cell>
          <cell r="AP720" t="e">
            <v>#REF!</v>
          </cell>
          <cell r="AQ720" t="e">
            <v>#REF!</v>
          </cell>
          <cell r="AR720" t="e">
            <v>#REF!</v>
          </cell>
          <cell r="AS720" t="e">
            <v>#REF!</v>
          </cell>
          <cell r="AT720" t="e">
            <v>#REF!</v>
          </cell>
          <cell r="AU720" t="e">
            <v>#REF!</v>
          </cell>
          <cell r="AV720" t="e">
            <v>#REF!</v>
          </cell>
          <cell r="AW720" t="e">
            <v>#DIV/0!</v>
          </cell>
          <cell r="AX720" t="e">
            <v>#DIV/0!</v>
          </cell>
          <cell r="AY720" t="e">
            <v>#DIV/0!</v>
          </cell>
          <cell r="AZ720" t="e">
            <v>#DIV/0!</v>
          </cell>
          <cell r="BE720" t="e">
            <v>#DIV/0!</v>
          </cell>
          <cell r="BF720" t="e">
            <v>#DIV/0!</v>
          </cell>
        </row>
        <row r="721">
          <cell r="A721" t="str">
            <v>-0</v>
          </cell>
          <cell r="B721" t="str">
            <v xml:space="preserve">-0  , </v>
          </cell>
          <cell r="C721"/>
          <cell r="D721"/>
          <cell r="E721"/>
          <cell r="F721"/>
          <cell r="G721"/>
          <cell r="H721"/>
          <cell r="I721"/>
          <cell r="J721"/>
          <cell r="K721"/>
          <cell r="L721"/>
          <cell r="M721"/>
          <cell r="N721"/>
          <cell r="O721"/>
          <cell r="P721"/>
          <cell r="Q721"/>
          <cell r="R721"/>
          <cell r="S721"/>
          <cell r="T721"/>
          <cell r="U721"/>
          <cell r="V721"/>
          <cell r="W721"/>
          <cell r="X721">
            <v>0</v>
          </cell>
          <cell r="Y721">
            <v>0</v>
          </cell>
          <cell r="Z721">
            <v>0</v>
          </cell>
          <cell r="AA721" t="str">
            <v>,</v>
          </cell>
          <cell r="AB721" t="str">
            <v>,</v>
          </cell>
          <cell r="AC721" t="e">
            <v>#DIV/0!</v>
          </cell>
          <cell r="AD721" t="e">
            <v>#DIV/0!</v>
          </cell>
          <cell r="AE721">
            <v>0.71</v>
          </cell>
          <cell r="AF721">
            <v>94.97</v>
          </cell>
          <cell r="AG721">
            <v>0</v>
          </cell>
          <cell r="AH721" t="e">
            <v>#DIV/0!</v>
          </cell>
          <cell r="AI721" t="e">
            <v>#DIV/0!</v>
          </cell>
          <cell r="AJ721" t="e">
            <v>#DIV/0!</v>
          </cell>
          <cell r="AK721" t="e">
            <v>#DIV/0!</v>
          </cell>
          <cell r="AL721" t="e">
            <v>#DIV/0!</v>
          </cell>
          <cell r="AM721" t="e">
            <v>#DIV/0!</v>
          </cell>
          <cell r="AN721" t="e">
            <v>#DIV/0!</v>
          </cell>
          <cell r="AO721" t="e">
            <v>#REF!</v>
          </cell>
          <cell r="AP721" t="e">
            <v>#REF!</v>
          </cell>
          <cell r="AQ721" t="e">
            <v>#REF!</v>
          </cell>
          <cell r="AR721" t="e">
            <v>#REF!</v>
          </cell>
          <cell r="AS721" t="e">
            <v>#REF!</v>
          </cell>
          <cell r="AT721" t="e">
            <v>#REF!</v>
          </cell>
          <cell r="AU721" t="e">
            <v>#REF!</v>
          </cell>
          <cell r="AV721" t="e">
            <v>#REF!</v>
          </cell>
          <cell r="AW721" t="e">
            <v>#DIV/0!</v>
          </cell>
          <cell r="AX721" t="e">
            <v>#DIV/0!</v>
          </cell>
          <cell r="AY721" t="e">
            <v>#DIV/0!</v>
          </cell>
          <cell r="AZ721" t="e">
            <v>#DIV/0!</v>
          </cell>
          <cell r="BE721" t="e">
            <v>#DIV/0!</v>
          </cell>
          <cell r="BF721" t="e">
            <v>#DIV/0!</v>
          </cell>
        </row>
        <row r="722">
          <cell r="A722" t="str">
            <v>-0</v>
          </cell>
          <cell r="B722" t="str">
            <v xml:space="preserve">-0  , </v>
          </cell>
          <cell r="C722"/>
          <cell r="D722"/>
          <cell r="E722"/>
          <cell r="F722"/>
          <cell r="G722"/>
          <cell r="H722"/>
          <cell r="I722"/>
          <cell r="J722"/>
          <cell r="K722"/>
          <cell r="L722"/>
          <cell r="M722"/>
          <cell r="N722"/>
          <cell r="O722"/>
          <cell r="P722"/>
          <cell r="Q722"/>
          <cell r="R722"/>
          <cell r="S722"/>
          <cell r="T722"/>
          <cell r="U722"/>
          <cell r="V722"/>
          <cell r="W722"/>
          <cell r="X722">
            <v>0</v>
          </cell>
          <cell r="Y722">
            <v>0</v>
          </cell>
          <cell r="Z722">
            <v>0</v>
          </cell>
          <cell r="AA722" t="str">
            <v>,</v>
          </cell>
          <cell r="AB722" t="str">
            <v>,</v>
          </cell>
          <cell r="AC722" t="e">
            <v>#DIV/0!</v>
          </cell>
          <cell r="AD722" t="e">
            <v>#DIV/0!</v>
          </cell>
          <cell r="AE722">
            <v>0.71</v>
          </cell>
          <cell r="AF722">
            <v>94.97</v>
          </cell>
          <cell r="AG722">
            <v>0</v>
          </cell>
          <cell r="AH722" t="e">
            <v>#DIV/0!</v>
          </cell>
          <cell r="AI722" t="e">
            <v>#DIV/0!</v>
          </cell>
          <cell r="AJ722" t="e">
            <v>#DIV/0!</v>
          </cell>
          <cell r="AK722" t="e">
            <v>#DIV/0!</v>
          </cell>
          <cell r="AL722" t="e">
            <v>#DIV/0!</v>
          </cell>
          <cell r="AM722" t="e">
            <v>#DIV/0!</v>
          </cell>
          <cell r="AN722" t="e">
            <v>#DIV/0!</v>
          </cell>
          <cell r="AO722" t="e">
            <v>#REF!</v>
          </cell>
          <cell r="AP722" t="e">
            <v>#REF!</v>
          </cell>
          <cell r="AQ722" t="e">
            <v>#REF!</v>
          </cell>
          <cell r="AR722" t="e">
            <v>#REF!</v>
          </cell>
          <cell r="AS722" t="e">
            <v>#REF!</v>
          </cell>
          <cell r="AT722" t="e">
            <v>#REF!</v>
          </cell>
          <cell r="AU722" t="e">
            <v>#REF!</v>
          </cell>
          <cell r="AV722" t="e">
            <v>#REF!</v>
          </cell>
          <cell r="AW722" t="e">
            <v>#DIV/0!</v>
          </cell>
          <cell r="AX722" t="e">
            <v>#DIV/0!</v>
          </cell>
          <cell r="AY722" t="e">
            <v>#DIV/0!</v>
          </cell>
          <cell r="AZ722" t="e">
            <v>#DIV/0!</v>
          </cell>
          <cell r="BE722" t="e">
            <v>#DIV/0!</v>
          </cell>
          <cell r="BF722" t="e">
            <v>#DIV/0!</v>
          </cell>
        </row>
        <row r="723">
          <cell r="A723" t="str">
            <v>-0</v>
          </cell>
          <cell r="B723" t="str">
            <v xml:space="preserve">-0  , </v>
          </cell>
          <cell r="C723"/>
          <cell r="D723"/>
          <cell r="E723"/>
          <cell r="F723"/>
          <cell r="G723"/>
          <cell r="H723"/>
          <cell r="I723"/>
          <cell r="J723"/>
          <cell r="K723"/>
          <cell r="L723"/>
          <cell r="M723"/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  <cell r="X723">
            <v>0</v>
          </cell>
          <cell r="Y723">
            <v>0</v>
          </cell>
          <cell r="Z723">
            <v>0</v>
          </cell>
          <cell r="AA723" t="str">
            <v>,</v>
          </cell>
          <cell r="AB723" t="str">
            <v>,</v>
          </cell>
          <cell r="AC723" t="e">
            <v>#DIV/0!</v>
          </cell>
          <cell r="AD723" t="e">
            <v>#DIV/0!</v>
          </cell>
          <cell r="AE723">
            <v>0.71</v>
          </cell>
          <cell r="AF723">
            <v>94.97</v>
          </cell>
          <cell r="AG723">
            <v>0</v>
          </cell>
          <cell r="AH723" t="e">
            <v>#DIV/0!</v>
          </cell>
          <cell r="AI723" t="e">
            <v>#DIV/0!</v>
          </cell>
          <cell r="AJ723" t="e">
            <v>#DIV/0!</v>
          </cell>
          <cell r="AK723" t="e">
            <v>#DIV/0!</v>
          </cell>
          <cell r="AL723" t="e">
            <v>#DIV/0!</v>
          </cell>
          <cell r="AM723" t="e">
            <v>#DIV/0!</v>
          </cell>
          <cell r="AN723" t="e">
            <v>#DIV/0!</v>
          </cell>
          <cell r="AO723" t="e">
            <v>#REF!</v>
          </cell>
          <cell r="AP723" t="e">
            <v>#REF!</v>
          </cell>
          <cell r="AQ723" t="e">
            <v>#REF!</v>
          </cell>
          <cell r="AR723" t="e">
            <v>#REF!</v>
          </cell>
          <cell r="AS723" t="e">
            <v>#REF!</v>
          </cell>
          <cell r="AT723" t="e">
            <v>#REF!</v>
          </cell>
          <cell r="AU723" t="e">
            <v>#REF!</v>
          </cell>
          <cell r="AV723" t="e">
            <v>#REF!</v>
          </cell>
          <cell r="AW723" t="e">
            <v>#DIV/0!</v>
          </cell>
          <cell r="AX723" t="e">
            <v>#DIV/0!</v>
          </cell>
          <cell r="AY723" t="e">
            <v>#DIV/0!</v>
          </cell>
          <cell r="AZ723" t="e">
            <v>#DIV/0!</v>
          </cell>
          <cell r="BE723" t="e">
            <v>#DIV/0!</v>
          </cell>
          <cell r="BF723" t="e">
            <v>#DIV/0!</v>
          </cell>
        </row>
        <row r="724">
          <cell r="A724" t="str">
            <v>-0</v>
          </cell>
          <cell r="B724" t="str">
            <v xml:space="preserve">-0  , </v>
          </cell>
          <cell r="C724"/>
          <cell r="D724"/>
          <cell r="E724"/>
          <cell r="F724"/>
          <cell r="G724"/>
          <cell r="H724"/>
          <cell r="I724"/>
          <cell r="J724"/>
          <cell r="K724"/>
          <cell r="L724"/>
          <cell r="M724"/>
          <cell r="N724"/>
          <cell r="O724"/>
          <cell r="P724"/>
          <cell r="Q724"/>
          <cell r="R724"/>
          <cell r="S724"/>
          <cell r="T724"/>
          <cell r="U724"/>
          <cell r="V724"/>
          <cell r="W724"/>
          <cell r="X724">
            <v>0</v>
          </cell>
          <cell r="Y724">
            <v>0</v>
          </cell>
          <cell r="Z724">
            <v>0</v>
          </cell>
          <cell r="AA724" t="str">
            <v>,</v>
          </cell>
          <cell r="AB724" t="str">
            <v>,</v>
          </cell>
          <cell r="AC724" t="e">
            <v>#DIV/0!</v>
          </cell>
          <cell r="AD724" t="e">
            <v>#DIV/0!</v>
          </cell>
          <cell r="AE724">
            <v>0.71</v>
          </cell>
          <cell r="AF724">
            <v>94.97</v>
          </cell>
          <cell r="AG724">
            <v>0</v>
          </cell>
          <cell r="AH724" t="e">
            <v>#DIV/0!</v>
          </cell>
          <cell r="AI724" t="e">
            <v>#DIV/0!</v>
          </cell>
          <cell r="AJ724" t="e">
            <v>#DIV/0!</v>
          </cell>
          <cell r="AK724" t="e">
            <v>#DIV/0!</v>
          </cell>
          <cell r="AL724" t="e">
            <v>#DIV/0!</v>
          </cell>
          <cell r="AM724" t="e">
            <v>#DIV/0!</v>
          </cell>
          <cell r="AN724" t="e">
            <v>#DIV/0!</v>
          </cell>
          <cell r="AO724" t="e">
            <v>#REF!</v>
          </cell>
          <cell r="AP724" t="e">
            <v>#REF!</v>
          </cell>
          <cell r="AQ724" t="e">
            <v>#REF!</v>
          </cell>
          <cell r="AR724" t="e">
            <v>#REF!</v>
          </cell>
          <cell r="AS724" t="e">
            <v>#REF!</v>
          </cell>
          <cell r="AT724" t="e">
            <v>#REF!</v>
          </cell>
          <cell r="AU724" t="e">
            <v>#REF!</v>
          </cell>
          <cell r="AV724" t="e">
            <v>#REF!</v>
          </cell>
          <cell r="AW724" t="e">
            <v>#DIV/0!</v>
          </cell>
          <cell r="AX724" t="e">
            <v>#DIV/0!</v>
          </cell>
          <cell r="AY724" t="e">
            <v>#DIV/0!</v>
          </cell>
          <cell r="AZ724" t="e">
            <v>#DIV/0!</v>
          </cell>
          <cell r="BE724" t="e">
            <v>#DIV/0!</v>
          </cell>
          <cell r="BF724" t="e">
            <v>#DIV/0!</v>
          </cell>
        </row>
        <row r="725">
          <cell r="A725" t="str">
            <v>-0</v>
          </cell>
          <cell r="B725" t="str">
            <v xml:space="preserve">-0  , </v>
          </cell>
          <cell r="C725"/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/>
          <cell r="S725"/>
          <cell r="T725"/>
          <cell r="U725"/>
          <cell r="V725"/>
          <cell r="W725"/>
          <cell r="X725">
            <v>0</v>
          </cell>
          <cell r="Y725">
            <v>0</v>
          </cell>
          <cell r="Z725">
            <v>0</v>
          </cell>
          <cell r="AA725" t="str">
            <v>,</v>
          </cell>
          <cell r="AB725" t="str">
            <v>,</v>
          </cell>
          <cell r="AC725" t="e">
            <v>#DIV/0!</v>
          </cell>
          <cell r="AD725" t="e">
            <v>#DIV/0!</v>
          </cell>
          <cell r="AE725">
            <v>0.71</v>
          </cell>
          <cell r="AF725">
            <v>94.97</v>
          </cell>
          <cell r="AG725">
            <v>0</v>
          </cell>
          <cell r="AH725" t="e">
            <v>#DIV/0!</v>
          </cell>
          <cell r="AI725" t="e">
            <v>#DIV/0!</v>
          </cell>
          <cell r="AJ725" t="e">
            <v>#DIV/0!</v>
          </cell>
          <cell r="AK725" t="e">
            <v>#DIV/0!</v>
          </cell>
          <cell r="AL725" t="e">
            <v>#DIV/0!</v>
          </cell>
          <cell r="AM725" t="e">
            <v>#DIV/0!</v>
          </cell>
          <cell r="AN725" t="e">
            <v>#DIV/0!</v>
          </cell>
          <cell r="AO725" t="e">
            <v>#REF!</v>
          </cell>
          <cell r="AP725" t="e">
            <v>#REF!</v>
          </cell>
          <cell r="AQ725" t="e">
            <v>#REF!</v>
          </cell>
          <cell r="AR725" t="e">
            <v>#REF!</v>
          </cell>
          <cell r="AS725" t="e">
            <v>#REF!</v>
          </cell>
          <cell r="AT725" t="e">
            <v>#REF!</v>
          </cell>
          <cell r="AU725" t="e">
            <v>#REF!</v>
          </cell>
          <cell r="AV725" t="e">
            <v>#REF!</v>
          </cell>
          <cell r="AW725" t="e">
            <v>#DIV/0!</v>
          </cell>
          <cell r="AX725" t="e">
            <v>#DIV/0!</v>
          </cell>
          <cell r="AY725" t="e">
            <v>#DIV/0!</v>
          </cell>
          <cell r="AZ725" t="e">
            <v>#DIV/0!</v>
          </cell>
          <cell r="BE725" t="e">
            <v>#DIV/0!</v>
          </cell>
          <cell r="BF725" t="e">
            <v>#DIV/0!</v>
          </cell>
        </row>
        <row r="726">
          <cell r="A726" t="str">
            <v>-0</v>
          </cell>
          <cell r="B726" t="str">
            <v xml:space="preserve">-0  , </v>
          </cell>
          <cell r="C726"/>
          <cell r="D726"/>
          <cell r="E726"/>
          <cell r="F726"/>
          <cell r="G726"/>
          <cell r="H726"/>
          <cell r="I726"/>
          <cell r="J726"/>
          <cell r="K726"/>
          <cell r="L726"/>
          <cell r="M726"/>
          <cell r="N726"/>
          <cell r="O726"/>
          <cell r="P726"/>
          <cell r="Q726"/>
          <cell r="R726"/>
          <cell r="S726"/>
          <cell r="T726"/>
          <cell r="U726"/>
          <cell r="V726"/>
          <cell r="W726"/>
          <cell r="X726">
            <v>0</v>
          </cell>
          <cell r="Y726">
            <v>0</v>
          </cell>
          <cell r="Z726">
            <v>0</v>
          </cell>
          <cell r="AA726" t="str">
            <v>,</v>
          </cell>
          <cell r="AB726" t="str">
            <v>,</v>
          </cell>
          <cell r="AC726" t="e">
            <v>#DIV/0!</v>
          </cell>
          <cell r="AD726" t="e">
            <v>#DIV/0!</v>
          </cell>
          <cell r="AE726">
            <v>0.71</v>
          </cell>
          <cell r="AF726">
            <v>94.97</v>
          </cell>
          <cell r="AG726">
            <v>0</v>
          </cell>
          <cell r="AH726" t="e">
            <v>#DIV/0!</v>
          </cell>
          <cell r="AI726" t="e">
            <v>#DIV/0!</v>
          </cell>
          <cell r="AJ726" t="e">
            <v>#DIV/0!</v>
          </cell>
          <cell r="AK726" t="e">
            <v>#DIV/0!</v>
          </cell>
          <cell r="AL726" t="e">
            <v>#DIV/0!</v>
          </cell>
          <cell r="AM726" t="e">
            <v>#DIV/0!</v>
          </cell>
          <cell r="AN726" t="e">
            <v>#DIV/0!</v>
          </cell>
          <cell r="AO726" t="e">
            <v>#REF!</v>
          </cell>
          <cell r="AP726" t="e">
            <v>#REF!</v>
          </cell>
          <cell r="AQ726" t="e">
            <v>#REF!</v>
          </cell>
          <cell r="AR726" t="e">
            <v>#REF!</v>
          </cell>
          <cell r="AS726" t="e">
            <v>#REF!</v>
          </cell>
          <cell r="AT726" t="e">
            <v>#REF!</v>
          </cell>
          <cell r="AU726" t="e">
            <v>#REF!</v>
          </cell>
          <cell r="AV726" t="e">
            <v>#REF!</v>
          </cell>
          <cell r="AW726" t="e">
            <v>#DIV/0!</v>
          </cell>
          <cell r="AX726" t="e">
            <v>#DIV/0!</v>
          </cell>
          <cell r="AY726" t="e">
            <v>#DIV/0!</v>
          </cell>
          <cell r="AZ726" t="e">
            <v>#DIV/0!</v>
          </cell>
          <cell r="BE726" t="e">
            <v>#DIV/0!</v>
          </cell>
          <cell r="BF726" t="e">
            <v>#DIV/0!</v>
          </cell>
        </row>
        <row r="727">
          <cell r="A727" t="str">
            <v>-0</v>
          </cell>
          <cell r="B727" t="str">
            <v xml:space="preserve">-0  , </v>
          </cell>
          <cell r="C727"/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  <cell r="X727">
            <v>0</v>
          </cell>
          <cell r="Y727">
            <v>0</v>
          </cell>
          <cell r="Z727">
            <v>0</v>
          </cell>
          <cell r="AA727" t="str">
            <v>,</v>
          </cell>
          <cell r="AB727" t="str">
            <v>,</v>
          </cell>
          <cell r="AC727" t="e">
            <v>#DIV/0!</v>
          </cell>
          <cell r="AD727" t="e">
            <v>#DIV/0!</v>
          </cell>
          <cell r="AE727">
            <v>0.71</v>
          </cell>
          <cell r="AF727">
            <v>94.97</v>
          </cell>
          <cell r="AG727">
            <v>0</v>
          </cell>
          <cell r="AH727" t="e">
            <v>#DIV/0!</v>
          </cell>
          <cell r="AI727" t="e">
            <v>#DIV/0!</v>
          </cell>
          <cell r="AJ727" t="e">
            <v>#DIV/0!</v>
          </cell>
          <cell r="AK727" t="e">
            <v>#DIV/0!</v>
          </cell>
          <cell r="AL727" t="e">
            <v>#DIV/0!</v>
          </cell>
          <cell r="AM727" t="e">
            <v>#DIV/0!</v>
          </cell>
          <cell r="AN727" t="e">
            <v>#DIV/0!</v>
          </cell>
          <cell r="AO727" t="e">
            <v>#REF!</v>
          </cell>
          <cell r="AP727" t="e">
            <v>#REF!</v>
          </cell>
          <cell r="AQ727" t="e">
            <v>#REF!</v>
          </cell>
          <cell r="AR727" t="e">
            <v>#REF!</v>
          </cell>
          <cell r="AS727" t="e">
            <v>#REF!</v>
          </cell>
          <cell r="AT727" t="e">
            <v>#REF!</v>
          </cell>
          <cell r="AU727" t="e">
            <v>#REF!</v>
          </cell>
          <cell r="AV727" t="e">
            <v>#REF!</v>
          </cell>
          <cell r="AW727" t="e">
            <v>#DIV/0!</v>
          </cell>
          <cell r="AX727" t="e">
            <v>#DIV/0!</v>
          </cell>
          <cell r="AY727" t="e">
            <v>#DIV/0!</v>
          </cell>
          <cell r="AZ727" t="e">
            <v>#DIV/0!</v>
          </cell>
          <cell r="BE727" t="e">
            <v>#DIV/0!</v>
          </cell>
          <cell r="BF727" t="e">
            <v>#DIV/0!</v>
          </cell>
        </row>
        <row r="728">
          <cell r="A728" t="str">
            <v>-0</v>
          </cell>
          <cell r="B728" t="str">
            <v xml:space="preserve">-0  , </v>
          </cell>
          <cell r="C728"/>
          <cell r="D728"/>
          <cell r="E728"/>
          <cell r="F728"/>
          <cell r="G728"/>
          <cell r="H728"/>
          <cell r="I728"/>
          <cell r="J728"/>
          <cell r="K728"/>
          <cell r="L728"/>
          <cell r="M728"/>
          <cell r="N728"/>
          <cell r="O728"/>
          <cell r="P728"/>
          <cell r="Q728"/>
          <cell r="R728"/>
          <cell r="S728"/>
          <cell r="T728"/>
          <cell r="U728"/>
          <cell r="V728"/>
          <cell r="W728"/>
          <cell r="X728">
            <v>0</v>
          </cell>
          <cell r="Y728">
            <v>0</v>
          </cell>
          <cell r="Z728">
            <v>0</v>
          </cell>
          <cell r="AA728" t="str">
            <v>,</v>
          </cell>
          <cell r="AB728" t="str">
            <v>,</v>
          </cell>
          <cell r="AC728" t="e">
            <v>#DIV/0!</v>
          </cell>
          <cell r="AD728" t="e">
            <v>#DIV/0!</v>
          </cell>
          <cell r="AE728">
            <v>0.71</v>
          </cell>
          <cell r="AF728">
            <v>94.97</v>
          </cell>
          <cell r="AG728">
            <v>0</v>
          </cell>
          <cell r="AH728" t="e">
            <v>#DIV/0!</v>
          </cell>
          <cell r="AI728" t="e">
            <v>#DIV/0!</v>
          </cell>
          <cell r="AJ728" t="e">
            <v>#DIV/0!</v>
          </cell>
          <cell r="AK728" t="e">
            <v>#DIV/0!</v>
          </cell>
          <cell r="AL728" t="e">
            <v>#DIV/0!</v>
          </cell>
          <cell r="AM728" t="e">
            <v>#DIV/0!</v>
          </cell>
          <cell r="AN728" t="e">
            <v>#DIV/0!</v>
          </cell>
          <cell r="AO728" t="e">
            <v>#REF!</v>
          </cell>
          <cell r="AP728" t="e">
            <v>#REF!</v>
          </cell>
          <cell r="AQ728" t="e">
            <v>#REF!</v>
          </cell>
          <cell r="AR728" t="e">
            <v>#REF!</v>
          </cell>
          <cell r="AS728" t="e">
            <v>#REF!</v>
          </cell>
          <cell r="AT728" t="e">
            <v>#REF!</v>
          </cell>
          <cell r="AU728" t="e">
            <v>#REF!</v>
          </cell>
          <cell r="AV728" t="e">
            <v>#REF!</v>
          </cell>
          <cell r="AW728" t="e">
            <v>#DIV/0!</v>
          </cell>
          <cell r="AX728" t="e">
            <v>#DIV/0!</v>
          </cell>
          <cell r="AY728" t="e">
            <v>#DIV/0!</v>
          </cell>
          <cell r="AZ728" t="e">
            <v>#DIV/0!</v>
          </cell>
          <cell r="BE728" t="e">
            <v>#DIV/0!</v>
          </cell>
          <cell r="BF728" t="e">
            <v>#DIV/0!</v>
          </cell>
        </row>
        <row r="729">
          <cell r="A729" t="str">
            <v>-0</v>
          </cell>
          <cell r="B729" t="str">
            <v xml:space="preserve">-0  , </v>
          </cell>
          <cell r="C729"/>
          <cell r="D729"/>
          <cell r="E729"/>
          <cell r="F729"/>
          <cell r="G729"/>
          <cell r="H729"/>
          <cell r="I729"/>
          <cell r="J729"/>
          <cell r="K729"/>
          <cell r="L729"/>
          <cell r="M729"/>
          <cell r="N729"/>
          <cell r="O729"/>
          <cell r="P729"/>
          <cell r="Q729"/>
          <cell r="R729"/>
          <cell r="S729"/>
          <cell r="T729"/>
          <cell r="U729"/>
          <cell r="V729"/>
          <cell r="W729"/>
          <cell r="X729">
            <v>0</v>
          </cell>
          <cell r="Y729">
            <v>0</v>
          </cell>
          <cell r="Z729">
            <v>0</v>
          </cell>
          <cell r="AA729" t="str">
            <v>,</v>
          </cell>
          <cell r="AB729" t="str">
            <v>,</v>
          </cell>
          <cell r="AC729" t="e">
            <v>#DIV/0!</v>
          </cell>
          <cell r="AD729" t="e">
            <v>#DIV/0!</v>
          </cell>
          <cell r="AE729">
            <v>0.71</v>
          </cell>
          <cell r="AF729">
            <v>94.97</v>
          </cell>
          <cell r="AG729">
            <v>0</v>
          </cell>
          <cell r="AH729" t="e">
            <v>#DIV/0!</v>
          </cell>
          <cell r="AI729" t="e">
            <v>#DIV/0!</v>
          </cell>
          <cell r="AJ729" t="e">
            <v>#DIV/0!</v>
          </cell>
          <cell r="AK729" t="e">
            <v>#DIV/0!</v>
          </cell>
          <cell r="AL729" t="e">
            <v>#DIV/0!</v>
          </cell>
          <cell r="AM729" t="e">
            <v>#DIV/0!</v>
          </cell>
          <cell r="AN729" t="e">
            <v>#DIV/0!</v>
          </cell>
          <cell r="AO729" t="e">
            <v>#REF!</v>
          </cell>
          <cell r="AP729" t="e">
            <v>#REF!</v>
          </cell>
          <cell r="AQ729" t="e">
            <v>#REF!</v>
          </cell>
          <cell r="AR729" t="e">
            <v>#REF!</v>
          </cell>
          <cell r="AS729" t="e">
            <v>#REF!</v>
          </cell>
          <cell r="AT729" t="e">
            <v>#REF!</v>
          </cell>
          <cell r="AU729" t="e">
            <v>#REF!</v>
          </cell>
          <cell r="AV729" t="e">
            <v>#REF!</v>
          </cell>
          <cell r="AW729" t="e">
            <v>#DIV/0!</v>
          </cell>
          <cell r="AX729" t="e">
            <v>#DIV/0!</v>
          </cell>
          <cell r="AY729" t="e">
            <v>#DIV/0!</v>
          </cell>
          <cell r="AZ729" t="e">
            <v>#DIV/0!</v>
          </cell>
          <cell r="BE729" t="e">
            <v>#DIV/0!</v>
          </cell>
          <cell r="BF729" t="e">
            <v>#DIV/0!</v>
          </cell>
        </row>
        <row r="730">
          <cell r="A730" t="str">
            <v>-0</v>
          </cell>
          <cell r="B730" t="str">
            <v xml:space="preserve">-0  , </v>
          </cell>
          <cell r="C730"/>
          <cell r="D730"/>
          <cell r="E730"/>
          <cell r="F730"/>
          <cell r="G730"/>
          <cell r="H730"/>
          <cell r="I730"/>
          <cell r="J730"/>
          <cell r="K730"/>
          <cell r="L730"/>
          <cell r="M730"/>
          <cell r="N730"/>
          <cell r="O730"/>
          <cell r="P730"/>
          <cell r="Q730"/>
          <cell r="R730"/>
          <cell r="S730"/>
          <cell r="T730"/>
          <cell r="U730"/>
          <cell r="V730"/>
          <cell r="W730"/>
          <cell r="X730">
            <v>0</v>
          </cell>
          <cell r="Y730">
            <v>0</v>
          </cell>
          <cell r="Z730">
            <v>0</v>
          </cell>
          <cell r="AA730" t="str">
            <v>,</v>
          </cell>
          <cell r="AB730" t="str">
            <v>,</v>
          </cell>
          <cell r="AC730" t="e">
            <v>#DIV/0!</v>
          </cell>
          <cell r="AD730" t="e">
            <v>#DIV/0!</v>
          </cell>
          <cell r="AE730">
            <v>0.71</v>
          </cell>
          <cell r="AF730">
            <v>94.97</v>
          </cell>
          <cell r="AG730">
            <v>0</v>
          </cell>
          <cell r="AH730" t="e">
            <v>#DIV/0!</v>
          </cell>
          <cell r="AI730" t="e">
            <v>#DIV/0!</v>
          </cell>
          <cell r="AJ730" t="e">
            <v>#DIV/0!</v>
          </cell>
          <cell r="AK730" t="e">
            <v>#DIV/0!</v>
          </cell>
          <cell r="AL730" t="e">
            <v>#DIV/0!</v>
          </cell>
          <cell r="AM730" t="e">
            <v>#DIV/0!</v>
          </cell>
          <cell r="AN730" t="e">
            <v>#DIV/0!</v>
          </cell>
          <cell r="AO730" t="e">
            <v>#REF!</v>
          </cell>
          <cell r="AP730" t="e">
            <v>#REF!</v>
          </cell>
          <cell r="AQ730" t="e">
            <v>#REF!</v>
          </cell>
          <cell r="AR730" t="e">
            <v>#REF!</v>
          </cell>
          <cell r="AS730" t="e">
            <v>#REF!</v>
          </cell>
          <cell r="AT730" t="e">
            <v>#REF!</v>
          </cell>
          <cell r="AU730" t="e">
            <v>#REF!</v>
          </cell>
          <cell r="AV730" t="e">
            <v>#REF!</v>
          </cell>
          <cell r="AW730" t="e">
            <v>#DIV/0!</v>
          </cell>
          <cell r="AX730" t="e">
            <v>#DIV/0!</v>
          </cell>
          <cell r="AY730" t="e">
            <v>#DIV/0!</v>
          </cell>
          <cell r="AZ730" t="e">
            <v>#DIV/0!</v>
          </cell>
          <cell r="BE730" t="e">
            <v>#DIV/0!</v>
          </cell>
          <cell r="BF730" t="e">
            <v>#DIV/0!</v>
          </cell>
        </row>
        <row r="731">
          <cell r="A731" t="str">
            <v>-0</v>
          </cell>
          <cell r="B731" t="str">
            <v xml:space="preserve">-0  , </v>
          </cell>
          <cell r="C731"/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  <cell r="X731">
            <v>0</v>
          </cell>
          <cell r="Y731">
            <v>0</v>
          </cell>
          <cell r="Z731">
            <v>0</v>
          </cell>
          <cell r="AA731" t="str">
            <v>,</v>
          </cell>
          <cell r="AB731" t="str">
            <v>,</v>
          </cell>
          <cell r="AC731" t="e">
            <v>#DIV/0!</v>
          </cell>
          <cell r="AD731" t="e">
            <v>#DIV/0!</v>
          </cell>
          <cell r="AE731">
            <v>0.71</v>
          </cell>
          <cell r="AF731">
            <v>94.97</v>
          </cell>
          <cell r="AG731">
            <v>0</v>
          </cell>
          <cell r="AH731" t="e">
            <v>#DIV/0!</v>
          </cell>
          <cell r="AI731" t="e">
            <v>#DIV/0!</v>
          </cell>
          <cell r="AJ731" t="e">
            <v>#DIV/0!</v>
          </cell>
          <cell r="AK731" t="e">
            <v>#DIV/0!</v>
          </cell>
          <cell r="AL731" t="e">
            <v>#DIV/0!</v>
          </cell>
          <cell r="AM731" t="e">
            <v>#DIV/0!</v>
          </cell>
          <cell r="AN731" t="e">
            <v>#DIV/0!</v>
          </cell>
          <cell r="AO731" t="e">
            <v>#REF!</v>
          </cell>
          <cell r="AP731" t="e">
            <v>#REF!</v>
          </cell>
          <cell r="AQ731" t="e">
            <v>#REF!</v>
          </cell>
          <cell r="AR731" t="e">
            <v>#REF!</v>
          </cell>
          <cell r="AS731" t="e">
            <v>#REF!</v>
          </cell>
          <cell r="AT731" t="e">
            <v>#REF!</v>
          </cell>
          <cell r="AU731" t="e">
            <v>#REF!</v>
          </cell>
          <cell r="AV731" t="e">
            <v>#REF!</v>
          </cell>
          <cell r="AW731" t="e">
            <v>#DIV/0!</v>
          </cell>
          <cell r="AX731" t="e">
            <v>#DIV/0!</v>
          </cell>
          <cell r="AY731" t="e">
            <v>#DIV/0!</v>
          </cell>
          <cell r="AZ731" t="e">
            <v>#DIV/0!</v>
          </cell>
          <cell r="BE731" t="e">
            <v>#DIV/0!</v>
          </cell>
          <cell r="BF731" t="e">
            <v>#DIV/0!</v>
          </cell>
        </row>
        <row r="732">
          <cell r="A732" t="str">
            <v>-0</v>
          </cell>
          <cell r="B732" t="str">
            <v xml:space="preserve">-0  , </v>
          </cell>
          <cell r="C732"/>
          <cell r="D732"/>
          <cell r="E732"/>
          <cell r="F732"/>
          <cell r="G732"/>
          <cell r="H732"/>
          <cell r="I732"/>
          <cell r="J732"/>
          <cell r="K732"/>
          <cell r="L732"/>
          <cell r="M732"/>
          <cell r="N732"/>
          <cell r="O732"/>
          <cell r="P732"/>
          <cell r="Q732"/>
          <cell r="R732"/>
          <cell r="S732"/>
          <cell r="T732"/>
          <cell r="U732"/>
          <cell r="V732"/>
          <cell r="W732"/>
          <cell r="X732">
            <v>0</v>
          </cell>
          <cell r="Y732">
            <v>0</v>
          </cell>
          <cell r="Z732">
            <v>0</v>
          </cell>
          <cell r="AA732" t="str">
            <v>,</v>
          </cell>
          <cell r="AB732" t="str">
            <v>,</v>
          </cell>
          <cell r="AC732" t="e">
            <v>#DIV/0!</v>
          </cell>
          <cell r="AD732" t="e">
            <v>#DIV/0!</v>
          </cell>
          <cell r="AE732">
            <v>0.71</v>
          </cell>
          <cell r="AF732">
            <v>94.97</v>
          </cell>
          <cell r="AG732">
            <v>0</v>
          </cell>
          <cell r="AH732" t="e">
            <v>#DIV/0!</v>
          </cell>
          <cell r="AI732" t="e">
            <v>#DIV/0!</v>
          </cell>
          <cell r="AJ732" t="e">
            <v>#DIV/0!</v>
          </cell>
          <cell r="AK732" t="e">
            <v>#DIV/0!</v>
          </cell>
          <cell r="AL732" t="e">
            <v>#DIV/0!</v>
          </cell>
          <cell r="AM732" t="e">
            <v>#DIV/0!</v>
          </cell>
          <cell r="AN732" t="e">
            <v>#DIV/0!</v>
          </cell>
          <cell r="AO732" t="e">
            <v>#REF!</v>
          </cell>
          <cell r="AP732" t="e">
            <v>#REF!</v>
          </cell>
          <cell r="AQ732" t="e">
            <v>#REF!</v>
          </cell>
          <cell r="AR732" t="e">
            <v>#REF!</v>
          </cell>
          <cell r="AS732" t="e">
            <v>#REF!</v>
          </cell>
          <cell r="AT732" t="e">
            <v>#REF!</v>
          </cell>
          <cell r="AU732" t="e">
            <v>#REF!</v>
          </cell>
          <cell r="AV732" t="e">
            <v>#REF!</v>
          </cell>
          <cell r="AW732" t="e">
            <v>#DIV/0!</v>
          </cell>
          <cell r="AX732" t="e">
            <v>#DIV/0!</v>
          </cell>
          <cell r="AY732" t="e">
            <v>#DIV/0!</v>
          </cell>
          <cell r="AZ732" t="e">
            <v>#DIV/0!</v>
          </cell>
          <cell r="BE732" t="e">
            <v>#DIV/0!</v>
          </cell>
          <cell r="BF732" t="e">
            <v>#DIV/0!</v>
          </cell>
        </row>
        <row r="733">
          <cell r="A733" t="str">
            <v>-0</v>
          </cell>
          <cell r="B733" t="str">
            <v xml:space="preserve">-0  , </v>
          </cell>
          <cell r="C733"/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  <cell r="X733">
            <v>0</v>
          </cell>
          <cell r="Y733">
            <v>0</v>
          </cell>
          <cell r="Z733">
            <v>0</v>
          </cell>
          <cell r="AA733" t="str">
            <v>,</v>
          </cell>
          <cell r="AB733" t="str">
            <v>,</v>
          </cell>
          <cell r="AC733" t="e">
            <v>#DIV/0!</v>
          </cell>
          <cell r="AD733" t="e">
            <v>#DIV/0!</v>
          </cell>
          <cell r="AE733">
            <v>0.71</v>
          </cell>
          <cell r="AF733">
            <v>94.97</v>
          </cell>
          <cell r="AG733">
            <v>0</v>
          </cell>
          <cell r="AH733" t="e">
            <v>#DIV/0!</v>
          </cell>
          <cell r="AI733" t="e">
            <v>#DIV/0!</v>
          </cell>
          <cell r="AJ733" t="e">
            <v>#DIV/0!</v>
          </cell>
          <cell r="AK733" t="e">
            <v>#DIV/0!</v>
          </cell>
          <cell r="AL733" t="e">
            <v>#DIV/0!</v>
          </cell>
          <cell r="AM733" t="e">
            <v>#DIV/0!</v>
          </cell>
          <cell r="AN733" t="e">
            <v>#DIV/0!</v>
          </cell>
          <cell r="AO733" t="e">
            <v>#REF!</v>
          </cell>
          <cell r="AP733" t="e">
            <v>#REF!</v>
          </cell>
          <cell r="AQ733" t="e">
            <v>#REF!</v>
          </cell>
          <cell r="AR733" t="e">
            <v>#REF!</v>
          </cell>
          <cell r="AS733" t="e">
            <v>#REF!</v>
          </cell>
          <cell r="AT733" t="e">
            <v>#REF!</v>
          </cell>
          <cell r="AU733" t="e">
            <v>#REF!</v>
          </cell>
          <cell r="AV733" t="e">
            <v>#REF!</v>
          </cell>
          <cell r="AW733" t="e">
            <v>#DIV/0!</v>
          </cell>
          <cell r="AX733" t="e">
            <v>#DIV/0!</v>
          </cell>
          <cell r="AY733" t="e">
            <v>#DIV/0!</v>
          </cell>
          <cell r="AZ733" t="e">
            <v>#DIV/0!</v>
          </cell>
          <cell r="BE733" t="e">
            <v>#DIV/0!</v>
          </cell>
          <cell r="BF733" t="e">
            <v>#DIV/0!</v>
          </cell>
        </row>
        <row r="734">
          <cell r="A734" t="str">
            <v>-0</v>
          </cell>
          <cell r="B734" t="str">
            <v xml:space="preserve">-0  , </v>
          </cell>
          <cell r="C734"/>
          <cell r="D734"/>
          <cell r="E734"/>
          <cell r="F734"/>
          <cell r="G734"/>
          <cell r="H734"/>
          <cell r="I734"/>
          <cell r="J734"/>
          <cell r="K734"/>
          <cell r="L734"/>
          <cell r="M734"/>
          <cell r="N734"/>
          <cell r="O734"/>
          <cell r="P734"/>
          <cell r="Q734"/>
          <cell r="R734"/>
          <cell r="S734"/>
          <cell r="T734"/>
          <cell r="U734"/>
          <cell r="V734"/>
          <cell r="W734"/>
          <cell r="X734">
            <v>0</v>
          </cell>
          <cell r="Y734">
            <v>0</v>
          </cell>
          <cell r="Z734">
            <v>0</v>
          </cell>
          <cell r="AA734" t="str">
            <v>,</v>
          </cell>
          <cell r="AB734" t="str">
            <v>,</v>
          </cell>
          <cell r="AC734" t="e">
            <v>#DIV/0!</v>
          </cell>
          <cell r="AD734" t="e">
            <v>#DIV/0!</v>
          </cell>
          <cell r="AE734">
            <v>0.71</v>
          </cell>
          <cell r="AF734">
            <v>94.97</v>
          </cell>
          <cell r="AG734">
            <v>0</v>
          </cell>
          <cell r="AH734" t="e">
            <v>#DIV/0!</v>
          </cell>
          <cell r="AI734" t="e">
            <v>#DIV/0!</v>
          </cell>
          <cell r="AJ734" t="e">
            <v>#DIV/0!</v>
          </cell>
          <cell r="AK734" t="e">
            <v>#DIV/0!</v>
          </cell>
          <cell r="AL734" t="e">
            <v>#DIV/0!</v>
          </cell>
          <cell r="AM734" t="e">
            <v>#DIV/0!</v>
          </cell>
          <cell r="AN734" t="e">
            <v>#DIV/0!</v>
          </cell>
          <cell r="AO734" t="e">
            <v>#REF!</v>
          </cell>
          <cell r="AP734" t="e">
            <v>#REF!</v>
          </cell>
          <cell r="AQ734" t="e">
            <v>#REF!</v>
          </cell>
          <cell r="AR734" t="e">
            <v>#REF!</v>
          </cell>
          <cell r="AS734" t="e">
            <v>#REF!</v>
          </cell>
          <cell r="AT734" t="e">
            <v>#REF!</v>
          </cell>
          <cell r="AU734" t="e">
            <v>#REF!</v>
          </cell>
          <cell r="AV734" t="e">
            <v>#REF!</v>
          </cell>
          <cell r="AW734" t="e">
            <v>#DIV/0!</v>
          </cell>
          <cell r="AX734" t="e">
            <v>#DIV/0!</v>
          </cell>
          <cell r="AY734" t="e">
            <v>#DIV/0!</v>
          </cell>
          <cell r="AZ734" t="e">
            <v>#DIV/0!</v>
          </cell>
          <cell r="BE734" t="e">
            <v>#DIV/0!</v>
          </cell>
          <cell r="BF734" t="e">
            <v>#DIV/0!</v>
          </cell>
        </row>
        <row r="735">
          <cell r="A735" t="str">
            <v>-0</v>
          </cell>
          <cell r="B735" t="str">
            <v xml:space="preserve">-0  , </v>
          </cell>
          <cell r="C735"/>
          <cell r="D735"/>
          <cell r="E735"/>
          <cell r="F735"/>
          <cell r="G735"/>
          <cell r="H735"/>
          <cell r="I735"/>
          <cell r="J735"/>
          <cell r="K735"/>
          <cell r="L735"/>
          <cell r="M735"/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  <cell r="X735">
            <v>0</v>
          </cell>
          <cell r="Y735">
            <v>0</v>
          </cell>
          <cell r="Z735">
            <v>0</v>
          </cell>
          <cell r="AA735" t="str">
            <v>,</v>
          </cell>
          <cell r="AB735" t="str">
            <v>,</v>
          </cell>
          <cell r="AC735" t="e">
            <v>#DIV/0!</v>
          </cell>
          <cell r="AD735" t="e">
            <v>#DIV/0!</v>
          </cell>
          <cell r="AE735">
            <v>0.71</v>
          </cell>
          <cell r="AF735">
            <v>94.97</v>
          </cell>
          <cell r="AG735">
            <v>0</v>
          </cell>
          <cell r="AH735" t="e">
            <v>#DIV/0!</v>
          </cell>
          <cell r="AI735" t="e">
            <v>#DIV/0!</v>
          </cell>
          <cell r="AJ735" t="e">
            <v>#DIV/0!</v>
          </cell>
          <cell r="AK735" t="e">
            <v>#DIV/0!</v>
          </cell>
          <cell r="AL735" t="e">
            <v>#DIV/0!</v>
          </cell>
          <cell r="AM735" t="e">
            <v>#DIV/0!</v>
          </cell>
          <cell r="AN735" t="e">
            <v>#DIV/0!</v>
          </cell>
          <cell r="AO735" t="e">
            <v>#REF!</v>
          </cell>
          <cell r="AP735" t="e">
            <v>#REF!</v>
          </cell>
          <cell r="AQ735" t="e">
            <v>#REF!</v>
          </cell>
          <cell r="AR735" t="e">
            <v>#REF!</v>
          </cell>
          <cell r="AS735" t="e">
            <v>#REF!</v>
          </cell>
          <cell r="AT735" t="e">
            <v>#REF!</v>
          </cell>
          <cell r="AU735" t="e">
            <v>#REF!</v>
          </cell>
          <cell r="AV735" t="e">
            <v>#REF!</v>
          </cell>
          <cell r="AW735" t="e">
            <v>#DIV/0!</v>
          </cell>
          <cell r="AX735" t="e">
            <v>#DIV/0!</v>
          </cell>
          <cell r="AY735" t="e">
            <v>#DIV/0!</v>
          </cell>
          <cell r="AZ735" t="e">
            <v>#DIV/0!</v>
          </cell>
          <cell r="BE735" t="e">
            <v>#DIV/0!</v>
          </cell>
          <cell r="BF735" t="e">
            <v>#DIV/0!</v>
          </cell>
        </row>
        <row r="736">
          <cell r="A736" t="str">
            <v>-0</v>
          </cell>
          <cell r="B736" t="str">
            <v xml:space="preserve">-0  , </v>
          </cell>
          <cell r="C736"/>
          <cell r="D736"/>
          <cell r="E736"/>
          <cell r="F736"/>
          <cell r="G736"/>
          <cell r="H736"/>
          <cell r="I736"/>
          <cell r="J736"/>
          <cell r="K736"/>
          <cell r="L736"/>
          <cell r="M736"/>
          <cell r="N736"/>
          <cell r="O736"/>
          <cell r="P736"/>
          <cell r="Q736"/>
          <cell r="R736"/>
          <cell r="S736"/>
          <cell r="T736"/>
          <cell r="U736"/>
          <cell r="V736"/>
          <cell r="W736"/>
          <cell r="X736">
            <v>0</v>
          </cell>
          <cell r="Y736">
            <v>0</v>
          </cell>
          <cell r="Z736">
            <v>0</v>
          </cell>
          <cell r="AA736" t="str">
            <v>,</v>
          </cell>
          <cell r="AB736" t="str">
            <v>,</v>
          </cell>
          <cell r="AC736" t="e">
            <v>#DIV/0!</v>
          </cell>
          <cell r="AD736" t="e">
            <v>#DIV/0!</v>
          </cell>
          <cell r="AE736">
            <v>0.71</v>
          </cell>
          <cell r="AF736">
            <v>94.97</v>
          </cell>
          <cell r="AG736">
            <v>0</v>
          </cell>
          <cell r="AH736" t="e">
            <v>#DIV/0!</v>
          </cell>
          <cell r="AI736" t="e">
            <v>#DIV/0!</v>
          </cell>
          <cell r="AJ736" t="e">
            <v>#DIV/0!</v>
          </cell>
          <cell r="AK736" t="e">
            <v>#DIV/0!</v>
          </cell>
          <cell r="AL736" t="e">
            <v>#DIV/0!</v>
          </cell>
          <cell r="AM736" t="e">
            <v>#DIV/0!</v>
          </cell>
          <cell r="AN736" t="e">
            <v>#DIV/0!</v>
          </cell>
          <cell r="AO736" t="e">
            <v>#REF!</v>
          </cell>
          <cell r="AP736" t="e">
            <v>#REF!</v>
          </cell>
          <cell r="AQ736" t="e">
            <v>#REF!</v>
          </cell>
          <cell r="AR736" t="e">
            <v>#REF!</v>
          </cell>
          <cell r="AS736" t="e">
            <v>#REF!</v>
          </cell>
          <cell r="AT736" t="e">
            <v>#REF!</v>
          </cell>
          <cell r="AU736" t="e">
            <v>#REF!</v>
          </cell>
          <cell r="AV736" t="e">
            <v>#REF!</v>
          </cell>
          <cell r="AW736" t="e">
            <v>#DIV/0!</v>
          </cell>
          <cell r="AX736" t="e">
            <v>#DIV/0!</v>
          </cell>
          <cell r="AY736" t="e">
            <v>#DIV/0!</v>
          </cell>
          <cell r="AZ736" t="e">
            <v>#DIV/0!</v>
          </cell>
          <cell r="BE736" t="e">
            <v>#DIV/0!</v>
          </cell>
          <cell r="BF736" t="e">
            <v>#DIV/0!</v>
          </cell>
        </row>
        <row r="737">
          <cell r="A737" t="str">
            <v>-0</v>
          </cell>
          <cell r="B737" t="str">
            <v xml:space="preserve">-0  , </v>
          </cell>
          <cell r="C737"/>
          <cell r="D737"/>
          <cell r="E737"/>
          <cell r="F737"/>
          <cell r="G737"/>
          <cell r="H737"/>
          <cell r="I737"/>
          <cell r="J737"/>
          <cell r="K737"/>
          <cell r="L737"/>
          <cell r="M737"/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  <cell r="X737">
            <v>0</v>
          </cell>
          <cell r="Y737">
            <v>0</v>
          </cell>
          <cell r="Z737">
            <v>0</v>
          </cell>
          <cell r="AA737" t="str">
            <v>,</v>
          </cell>
          <cell r="AB737" t="str">
            <v>,</v>
          </cell>
          <cell r="AC737" t="e">
            <v>#DIV/0!</v>
          </cell>
          <cell r="AD737" t="e">
            <v>#DIV/0!</v>
          </cell>
          <cell r="AE737">
            <v>0.71</v>
          </cell>
          <cell r="AF737">
            <v>94.97</v>
          </cell>
          <cell r="AG737">
            <v>0</v>
          </cell>
          <cell r="AH737" t="e">
            <v>#DIV/0!</v>
          </cell>
          <cell r="AI737" t="e">
            <v>#DIV/0!</v>
          </cell>
          <cell r="AJ737" t="e">
            <v>#DIV/0!</v>
          </cell>
          <cell r="AK737" t="e">
            <v>#DIV/0!</v>
          </cell>
          <cell r="AL737" t="e">
            <v>#DIV/0!</v>
          </cell>
          <cell r="AM737" t="e">
            <v>#DIV/0!</v>
          </cell>
          <cell r="AN737" t="e">
            <v>#DIV/0!</v>
          </cell>
          <cell r="AO737" t="e">
            <v>#REF!</v>
          </cell>
          <cell r="AP737" t="e">
            <v>#REF!</v>
          </cell>
          <cell r="AQ737" t="e">
            <v>#REF!</v>
          </cell>
          <cell r="AR737" t="e">
            <v>#REF!</v>
          </cell>
          <cell r="AS737" t="e">
            <v>#REF!</v>
          </cell>
          <cell r="AT737" t="e">
            <v>#REF!</v>
          </cell>
          <cell r="AU737" t="e">
            <v>#REF!</v>
          </cell>
          <cell r="AV737" t="e">
            <v>#REF!</v>
          </cell>
          <cell r="AW737" t="e">
            <v>#DIV/0!</v>
          </cell>
          <cell r="AX737" t="e">
            <v>#DIV/0!</v>
          </cell>
          <cell r="AY737" t="e">
            <v>#DIV/0!</v>
          </cell>
          <cell r="AZ737" t="e">
            <v>#DIV/0!</v>
          </cell>
          <cell r="BE737" t="e">
            <v>#DIV/0!</v>
          </cell>
          <cell r="BF737" t="e">
            <v>#DIV/0!</v>
          </cell>
        </row>
        <row r="738">
          <cell r="A738" t="str">
            <v>-0</v>
          </cell>
          <cell r="B738" t="str">
            <v xml:space="preserve">-0  , </v>
          </cell>
          <cell r="C738"/>
          <cell r="D738"/>
          <cell r="E738"/>
          <cell r="F738"/>
          <cell r="G738"/>
          <cell r="H738"/>
          <cell r="I738"/>
          <cell r="J738"/>
          <cell r="K738"/>
          <cell r="L738"/>
          <cell r="M738"/>
          <cell r="N738"/>
          <cell r="O738"/>
          <cell r="P738"/>
          <cell r="Q738"/>
          <cell r="R738"/>
          <cell r="S738"/>
          <cell r="T738"/>
          <cell r="U738"/>
          <cell r="V738"/>
          <cell r="W738"/>
          <cell r="X738">
            <v>0</v>
          </cell>
          <cell r="Y738">
            <v>0</v>
          </cell>
          <cell r="Z738">
            <v>0</v>
          </cell>
          <cell r="AA738" t="str">
            <v>,</v>
          </cell>
          <cell r="AB738" t="str">
            <v>,</v>
          </cell>
          <cell r="AC738" t="e">
            <v>#DIV/0!</v>
          </cell>
          <cell r="AD738" t="e">
            <v>#DIV/0!</v>
          </cell>
          <cell r="AE738">
            <v>0.71</v>
          </cell>
          <cell r="AF738">
            <v>94.97</v>
          </cell>
          <cell r="AG738">
            <v>0</v>
          </cell>
          <cell r="AH738" t="e">
            <v>#DIV/0!</v>
          </cell>
          <cell r="AI738" t="e">
            <v>#DIV/0!</v>
          </cell>
          <cell r="AJ738" t="e">
            <v>#DIV/0!</v>
          </cell>
          <cell r="AK738" t="e">
            <v>#DIV/0!</v>
          </cell>
          <cell r="AL738" t="e">
            <v>#DIV/0!</v>
          </cell>
          <cell r="AM738" t="e">
            <v>#DIV/0!</v>
          </cell>
          <cell r="AN738" t="e">
            <v>#DIV/0!</v>
          </cell>
          <cell r="AO738" t="e">
            <v>#REF!</v>
          </cell>
          <cell r="AP738" t="e">
            <v>#REF!</v>
          </cell>
          <cell r="AQ738" t="e">
            <v>#REF!</v>
          </cell>
          <cell r="AR738" t="e">
            <v>#REF!</v>
          </cell>
          <cell r="AS738" t="e">
            <v>#REF!</v>
          </cell>
          <cell r="AT738" t="e">
            <v>#REF!</v>
          </cell>
          <cell r="AU738" t="e">
            <v>#REF!</v>
          </cell>
          <cell r="AV738" t="e">
            <v>#REF!</v>
          </cell>
          <cell r="AW738" t="e">
            <v>#DIV/0!</v>
          </cell>
          <cell r="AX738" t="e">
            <v>#DIV/0!</v>
          </cell>
          <cell r="AY738" t="e">
            <v>#DIV/0!</v>
          </cell>
          <cell r="AZ738" t="e">
            <v>#DIV/0!</v>
          </cell>
          <cell r="BE738" t="e">
            <v>#DIV/0!</v>
          </cell>
          <cell r="BF738" t="e">
            <v>#DIV/0!</v>
          </cell>
        </row>
        <row r="739">
          <cell r="A739" t="str">
            <v>-0</v>
          </cell>
          <cell r="B739" t="str">
            <v xml:space="preserve">-0  , </v>
          </cell>
          <cell r="C739"/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/>
          <cell r="S739"/>
          <cell r="T739"/>
          <cell r="U739"/>
          <cell r="V739"/>
          <cell r="W739"/>
          <cell r="X739">
            <v>0</v>
          </cell>
          <cell r="Y739">
            <v>0</v>
          </cell>
          <cell r="Z739">
            <v>0</v>
          </cell>
          <cell r="AA739" t="str">
            <v>,</v>
          </cell>
          <cell r="AB739" t="str">
            <v>,</v>
          </cell>
          <cell r="AC739" t="e">
            <v>#DIV/0!</v>
          </cell>
          <cell r="AD739" t="e">
            <v>#DIV/0!</v>
          </cell>
          <cell r="AE739">
            <v>0.71</v>
          </cell>
          <cell r="AF739">
            <v>94.97</v>
          </cell>
          <cell r="AG739">
            <v>0</v>
          </cell>
          <cell r="AH739" t="e">
            <v>#DIV/0!</v>
          </cell>
          <cell r="AI739" t="e">
            <v>#DIV/0!</v>
          </cell>
          <cell r="AJ739" t="e">
            <v>#DIV/0!</v>
          </cell>
          <cell r="AK739" t="e">
            <v>#DIV/0!</v>
          </cell>
          <cell r="AL739" t="e">
            <v>#DIV/0!</v>
          </cell>
          <cell r="AM739" t="e">
            <v>#DIV/0!</v>
          </cell>
          <cell r="AN739" t="e">
            <v>#DIV/0!</v>
          </cell>
          <cell r="AO739" t="e">
            <v>#REF!</v>
          </cell>
          <cell r="AP739" t="e">
            <v>#REF!</v>
          </cell>
          <cell r="AQ739" t="e">
            <v>#REF!</v>
          </cell>
          <cell r="AR739" t="e">
            <v>#REF!</v>
          </cell>
          <cell r="AS739" t="e">
            <v>#REF!</v>
          </cell>
          <cell r="AT739" t="e">
            <v>#REF!</v>
          </cell>
          <cell r="AU739" t="e">
            <v>#REF!</v>
          </cell>
          <cell r="AV739" t="e">
            <v>#REF!</v>
          </cell>
          <cell r="AW739" t="e">
            <v>#DIV/0!</v>
          </cell>
          <cell r="AX739" t="e">
            <v>#DIV/0!</v>
          </cell>
          <cell r="AY739" t="e">
            <v>#DIV/0!</v>
          </cell>
          <cell r="AZ739" t="e">
            <v>#DIV/0!</v>
          </cell>
          <cell r="BE739" t="e">
            <v>#DIV/0!</v>
          </cell>
          <cell r="BF739" t="e">
            <v>#DIV/0!</v>
          </cell>
        </row>
        <row r="740">
          <cell r="A740" t="str">
            <v>-0</v>
          </cell>
          <cell r="B740" t="str">
            <v xml:space="preserve">-0  , </v>
          </cell>
          <cell r="C740"/>
          <cell r="D740"/>
          <cell r="E740"/>
          <cell r="F740"/>
          <cell r="G740"/>
          <cell r="H740"/>
          <cell r="I740"/>
          <cell r="J740"/>
          <cell r="K740"/>
          <cell r="L740"/>
          <cell r="M740"/>
          <cell r="N740"/>
          <cell r="O740"/>
          <cell r="P740"/>
          <cell r="Q740"/>
          <cell r="R740"/>
          <cell r="S740"/>
          <cell r="T740"/>
          <cell r="U740"/>
          <cell r="V740"/>
          <cell r="W740"/>
          <cell r="X740">
            <v>0</v>
          </cell>
          <cell r="Y740">
            <v>0</v>
          </cell>
          <cell r="Z740">
            <v>0</v>
          </cell>
          <cell r="AA740" t="str">
            <v>,</v>
          </cell>
          <cell r="AB740" t="str">
            <v>,</v>
          </cell>
          <cell r="AC740" t="e">
            <v>#DIV/0!</v>
          </cell>
          <cell r="AD740" t="e">
            <v>#DIV/0!</v>
          </cell>
          <cell r="AE740">
            <v>0.71</v>
          </cell>
          <cell r="AF740">
            <v>94.97</v>
          </cell>
          <cell r="AG740">
            <v>0</v>
          </cell>
          <cell r="AH740" t="e">
            <v>#DIV/0!</v>
          </cell>
          <cell r="AI740" t="e">
            <v>#DIV/0!</v>
          </cell>
          <cell r="AJ740" t="e">
            <v>#DIV/0!</v>
          </cell>
          <cell r="AK740" t="e">
            <v>#DIV/0!</v>
          </cell>
          <cell r="AL740" t="e">
            <v>#DIV/0!</v>
          </cell>
          <cell r="AM740" t="e">
            <v>#DIV/0!</v>
          </cell>
          <cell r="AN740" t="e">
            <v>#DIV/0!</v>
          </cell>
          <cell r="AO740" t="e">
            <v>#REF!</v>
          </cell>
          <cell r="AP740" t="e">
            <v>#REF!</v>
          </cell>
          <cell r="AQ740" t="e">
            <v>#REF!</v>
          </cell>
          <cell r="AR740" t="e">
            <v>#REF!</v>
          </cell>
          <cell r="AS740" t="e">
            <v>#REF!</v>
          </cell>
          <cell r="AT740" t="e">
            <v>#REF!</v>
          </cell>
          <cell r="AU740" t="e">
            <v>#REF!</v>
          </cell>
          <cell r="AV740" t="e">
            <v>#REF!</v>
          </cell>
          <cell r="AW740" t="e">
            <v>#DIV/0!</v>
          </cell>
          <cell r="AX740" t="e">
            <v>#DIV/0!</v>
          </cell>
          <cell r="AY740" t="e">
            <v>#DIV/0!</v>
          </cell>
          <cell r="AZ740" t="e">
            <v>#DIV/0!</v>
          </cell>
          <cell r="BE740" t="e">
            <v>#DIV/0!</v>
          </cell>
          <cell r="BF740" t="e">
            <v>#DIV/0!</v>
          </cell>
        </row>
        <row r="741">
          <cell r="A741" t="str">
            <v>-0</v>
          </cell>
          <cell r="B741" t="str">
            <v xml:space="preserve">-0  , </v>
          </cell>
          <cell r="C741"/>
          <cell r="D741"/>
          <cell r="E741"/>
          <cell r="F741"/>
          <cell r="G741"/>
          <cell r="H741"/>
          <cell r="I741"/>
          <cell r="J741"/>
          <cell r="K741"/>
          <cell r="L741"/>
          <cell r="M741"/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  <cell r="X741">
            <v>0</v>
          </cell>
          <cell r="Y741">
            <v>0</v>
          </cell>
          <cell r="Z741">
            <v>0</v>
          </cell>
          <cell r="AA741" t="str">
            <v>,</v>
          </cell>
          <cell r="AB741" t="str">
            <v>,</v>
          </cell>
          <cell r="AC741" t="e">
            <v>#DIV/0!</v>
          </cell>
          <cell r="AD741" t="e">
            <v>#DIV/0!</v>
          </cell>
          <cell r="AE741">
            <v>0.71</v>
          </cell>
          <cell r="AF741">
            <v>94.97</v>
          </cell>
          <cell r="AG741">
            <v>0</v>
          </cell>
          <cell r="AH741" t="e">
            <v>#DIV/0!</v>
          </cell>
          <cell r="AI741" t="e">
            <v>#DIV/0!</v>
          </cell>
          <cell r="AJ741" t="e">
            <v>#DIV/0!</v>
          </cell>
          <cell r="AK741" t="e">
            <v>#DIV/0!</v>
          </cell>
          <cell r="AL741" t="e">
            <v>#DIV/0!</v>
          </cell>
          <cell r="AM741" t="e">
            <v>#DIV/0!</v>
          </cell>
          <cell r="AN741" t="e">
            <v>#DIV/0!</v>
          </cell>
          <cell r="AO741" t="e">
            <v>#REF!</v>
          </cell>
          <cell r="AP741" t="e">
            <v>#REF!</v>
          </cell>
          <cell r="AQ741" t="e">
            <v>#REF!</v>
          </cell>
          <cell r="AR741" t="e">
            <v>#REF!</v>
          </cell>
          <cell r="AS741" t="e">
            <v>#REF!</v>
          </cell>
          <cell r="AT741" t="e">
            <v>#REF!</v>
          </cell>
          <cell r="AU741" t="e">
            <v>#REF!</v>
          </cell>
          <cell r="AV741" t="e">
            <v>#REF!</v>
          </cell>
          <cell r="AW741" t="e">
            <v>#DIV/0!</v>
          </cell>
          <cell r="AX741" t="e">
            <v>#DIV/0!</v>
          </cell>
          <cell r="AY741" t="e">
            <v>#DIV/0!</v>
          </cell>
          <cell r="AZ741" t="e">
            <v>#DIV/0!</v>
          </cell>
          <cell r="BE741" t="e">
            <v>#DIV/0!</v>
          </cell>
          <cell r="BF741" t="e">
            <v>#DIV/0!</v>
          </cell>
        </row>
        <row r="742">
          <cell r="A742" t="str">
            <v>-0</v>
          </cell>
          <cell r="B742" t="str">
            <v xml:space="preserve">-0  , </v>
          </cell>
          <cell r="C742"/>
          <cell r="D742"/>
          <cell r="E742"/>
          <cell r="F742"/>
          <cell r="G742"/>
          <cell r="H742"/>
          <cell r="I742"/>
          <cell r="J742"/>
          <cell r="K742"/>
          <cell r="L742"/>
          <cell r="M742"/>
          <cell r="N742"/>
          <cell r="O742"/>
          <cell r="P742"/>
          <cell r="Q742"/>
          <cell r="R742"/>
          <cell r="S742"/>
          <cell r="T742"/>
          <cell r="U742"/>
          <cell r="V742"/>
          <cell r="W742"/>
          <cell r="X742">
            <v>0</v>
          </cell>
          <cell r="Y742">
            <v>0</v>
          </cell>
          <cell r="Z742">
            <v>0</v>
          </cell>
          <cell r="AA742" t="str">
            <v>,</v>
          </cell>
          <cell r="AB742" t="str">
            <v>,</v>
          </cell>
          <cell r="AC742" t="e">
            <v>#DIV/0!</v>
          </cell>
          <cell r="AD742" t="e">
            <v>#DIV/0!</v>
          </cell>
          <cell r="AE742">
            <v>0.71</v>
          </cell>
          <cell r="AF742">
            <v>94.97</v>
          </cell>
          <cell r="AG742">
            <v>0</v>
          </cell>
          <cell r="AH742" t="e">
            <v>#DIV/0!</v>
          </cell>
          <cell r="AI742" t="e">
            <v>#DIV/0!</v>
          </cell>
          <cell r="AJ742" t="e">
            <v>#DIV/0!</v>
          </cell>
          <cell r="AK742" t="e">
            <v>#DIV/0!</v>
          </cell>
          <cell r="AL742" t="e">
            <v>#DIV/0!</v>
          </cell>
          <cell r="AM742" t="e">
            <v>#DIV/0!</v>
          </cell>
          <cell r="AN742" t="e">
            <v>#DIV/0!</v>
          </cell>
          <cell r="AO742" t="e">
            <v>#REF!</v>
          </cell>
          <cell r="AP742" t="e">
            <v>#REF!</v>
          </cell>
          <cell r="AQ742" t="e">
            <v>#REF!</v>
          </cell>
          <cell r="AR742" t="e">
            <v>#REF!</v>
          </cell>
          <cell r="AS742" t="e">
            <v>#REF!</v>
          </cell>
          <cell r="AT742" t="e">
            <v>#REF!</v>
          </cell>
          <cell r="AU742" t="e">
            <v>#REF!</v>
          </cell>
          <cell r="AV742" t="e">
            <v>#REF!</v>
          </cell>
          <cell r="AW742" t="e">
            <v>#DIV/0!</v>
          </cell>
          <cell r="AX742" t="e">
            <v>#DIV/0!</v>
          </cell>
          <cell r="AY742" t="e">
            <v>#DIV/0!</v>
          </cell>
          <cell r="AZ742" t="e">
            <v>#DIV/0!</v>
          </cell>
          <cell r="BE742" t="e">
            <v>#DIV/0!</v>
          </cell>
          <cell r="BF742" t="e">
            <v>#DIV/0!</v>
          </cell>
        </row>
        <row r="743">
          <cell r="A743" t="str">
            <v>-0</v>
          </cell>
          <cell r="B743" t="str">
            <v xml:space="preserve">-0  , </v>
          </cell>
          <cell r="C743"/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  <cell r="X743">
            <v>0</v>
          </cell>
          <cell r="Y743">
            <v>0</v>
          </cell>
          <cell r="Z743">
            <v>0</v>
          </cell>
          <cell r="AA743" t="str">
            <v>,</v>
          </cell>
          <cell r="AB743" t="str">
            <v>,</v>
          </cell>
          <cell r="AC743" t="e">
            <v>#DIV/0!</v>
          </cell>
          <cell r="AD743" t="e">
            <v>#DIV/0!</v>
          </cell>
          <cell r="AE743">
            <v>0.71</v>
          </cell>
          <cell r="AF743">
            <v>94.97</v>
          </cell>
          <cell r="AG743">
            <v>0</v>
          </cell>
          <cell r="AH743" t="e">
            <v>#DIV/0!</v>
          </cell>
          <cell r="AI743" t="e">
            <v>#DIV/0!</v>
          </cell>
          <cell r="AJ743" t="e">
            <v>#DIV/0!</v>
          </cell>
          <cell r="AK743" t="e">
            <v>#DIV/0!</v>
          </cell>
          <cell r="AL743" t="e">
            <v>#DIV/0!</v>
          </cell>
          <cell r="AM743" t="e">
            <v>#DIV/0!</v>
          </cell>
          <cell r="AN743" t="e">
            <v>#DIV/0!</v>
          </cell>
          <cell r="AO743" t="e">
            <v>#REF!</v>
          </cell>
          <cell r="AP743" t="e">
            <v>#REF!</v>
          </cell>
          <cell r="AQ743" t="e">
            <v>#REF!</v>
          </cell>
          <cell r="AR743" t="e">
            <v>#REF!</v>
          </cell>
          <cell r="AS743" t="e">
            <v>#REF!</v>
          </cell>
          <cell r="AT743" t="e">
            <v>#REF!</v>
          </cell>
          <cell r="AU743" t="e">
            <v>#REF!</v>
          </cell>
          <cell r="AV743" t="e">
            <v>#REF!</v>
          </cell>
          <cell r="AW743" t="e">
            <v>#DIV/0!</v>
          </cell>
          <cell r="AX743" t="e">
            <v>#DIV/0!</v>
          </cell>
          <cell r="AY743" t="e">
            <v>#DIV/0!</v>
          </cell>
          <cell r="AZ743" t="e">
            <v>#DIV/0!</v>
          </cell>
          <cell r="BE743" t="e">
            <v>#DIV/0!</v>
          </cell>
          <cell r="BF743" t="e">
            <v>#DIV/0!</v>
          </cell>
        </row>
        <row r="744">
          <cell r="A744" t="str">
            <v>-0</v>
          </cell>
          <cell r="B744" t="str">
            <v xml:space="preserve">-0  , </v>
          </cell>
          <cell r="C744"/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/>
          <cell r="S744"/>
          <cell r="T744"/>
          <cell r="U744"/>
          <cell r="V744"/>
          <cell r="W744"/>
          <cell r="X744">
            <v>0</v>
          </cell>
          <cell r="Y744">
            <v>0</v>
          </cell>
          <cell r="Z744">
            <v>0</v>
          </cell>
          <cell r="AA744" t="str">
            <v>,</v>
          </cell>
          <cell r="AB744" t="str">
            <v>,</v>
          </cell>
          <cell r="AC744" t="e">
            <v>#DIV/0!</v>
          </cell>
          <cell r="AD744" t="e">
            <v>#DIV/0!</v>
          </cell>
          <cell r="AE744">
            <v>0.71</v>
          </cell>
          <cell r="AF744">
            <v>94.97</v>
          </cell>
          <cell r="AG744">
            <v>0</v>
          </cell>
          <cell r="AH744" t="e">
            <v>#DIV/0!</v>
          </cell>
          <cell r="AI744" t="e">
            <v>#DIV/0!</v>
          </cell>
          <cell r="AJ744" t="e">
            <v>#DIV/0!</v>
          </cell>
          <cell r="AK744" t="e">
            <v>#DIV/0!</v>
          </cell>
          <cell r="AL744" t="e">
            <v>#DIV/0!</v>
          </cell>
          <cell r="AM744" t="e">
            <v>#DIV/0!</v>
          </cell>
          <cell r="AN744" t="e">
            <v>#DIV/0!</v>
          </cell>
          <cell r="AO744" t="e">
            <v>#REF!</v>
          </cell>
          <cell r="AP744" t="e">
            <v>#REF!</v>
          </cell>
          <cell r="AQ744" t="e">
            <v>#REF!</v>
          </cell>
          <cell r="AR744" t="e">
            <v>#REF!</v>
          </cell>
          <cell r="AS744" t="e">
            <v>#REF!</v>
          </cell>
          <cell r="AT744" t="e">
            <v>#REF!</v>
          </cell>
          <cell r="AU744" t="e">
            <v>#REF!</v>
          </cell>
          <cell r="AV744" t="e">
            <v>#REF!</v>
          </cell>
          <cell r="AW744" t="e">
            <v>#DIV/0!</v>
          </cell>
          <cell r="AX744" t="e">
            <v>#DIV/0!</v>
          </cell>
          <cell r="AY744" t="e">
            <v>#DIV/0!</v>
          </cell>
          <cell r="AZ744" t="e">
            <v>#DIV/0!</v>
          </cell>
          <cell r="BE744" t="e">
            <v>#DIV/0!</v>
          </cell>
          <cell r="BF744" t="e">
            <v>#DIV/0!</v>
          </cell>
        </row>
        <row r="745">
          <cell r="A745" t="str">
            <v>-0</v>
          </cell>
          <cell r="B745" t="str">
            <v xml:space="preserve">-0  , </v>
          </cell>
          <cell r="C745"/>
          <cell r="D745"/>
          <cell r="E745"/>
          <cell r="F745"/>
          <cell r="G745"/>
          <cell r="H745"/>
          <cell r="I745"/>
          <cell r="J745"/>
          <cell r="K745"/>
          <cell r="L745"/>
          <cell r="M745"/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  <cell r="X745">
            <v>0</v>
          </cell>
          <cell r="Y745">
            <v>0</v>
          </cell>
          <cell r="Z745">
            <v>0</v>
          </cell>
          <cell r="AA745" t="str">
            <v>,</v>
          </cell>
          <cell r="AB745" t="str">
            <v>,</v>
          </cell>
          <cell r="AC745" t="e">
            <v>#DIV/0!</v>
          </cell>
          <cell r="AD745" t="e">
            <v>#DIV/0!</v>
          </cell>
          <cell r="AE745">
            <v>0.71</v>
          </cell>
          <cell r="AF745">
            <v>94.97</v>
          </cell>
          <cell r="AG745">
            <v>0</v>
          </cell>
          <cell r="AH745" t="e">
            <v>#DIV/0!</v>
          </cell>
          <cell r="AI745" t="e">
            <v>#DIV/0!</v>
          </cell>
          <cell r="AJ745" t="e">
            <v>#DIV/0!</v>
          </cell>
          <cell r="AK745" t="e">
            <v>#DIV/0!</v>
          </cell>
          <cell r="AL745" t="e">
            <v>#DIV/0!</v>
          </cell>
          <cell r="AM745" t="e">
            <v>#DIV/0!</v>
          </cell>
          <cell r="AN745" t="e">
            <v>#DIV/0!</v>
          </cell>
          <cell r="AO745" t="e">
            <v>#REF!</v>
          </cell>
          <cell r="AP745" t="e">
            <v>#REF!</v>
          </cell>
          <cell r="AQ745" t="e">
            <v>#REF!</v>
          </cell>
          <cell r="AR745" t="e">
            <v>#REF!</v>
          </cell>
          <cell r="AS745" t="e">
            <v>#REF!</v>
          </cell>
          <cell r="AT745" t="e">
            <v>#REF!</v>
          </cell>
          <cell r="AU745" t="e">
            <v>#REF!</v>
          </cell>
          <cell r="AV745" t="e">
            <v>#REF!</v>
          </cell>
          <cell r="AW745" t="e">
            <v>#DIV/0!</v>
          </cell>
          <cell r="AX745" t="e">
            <v>#DIV/0!</v>
          </cell>
          <cell r="AY745" t="e">
            <v>#DIV/0!</v>
          </cell>
          <cell r="AZ745" t="e">
            <v>#DIV/0!</v>
          </cell>
          <cell r="BE745" t="e">
            <v>#DIV/0!</v>
          </cell>
          <cell r="BF745" t="e">
            <v>#DIV/0!</v>
          </cell>
        </row>
        <row r="746">
          <cell r="A746" t="str">
            <v>-0</v>
          </cell>
          <cell r="B746" t="str">
            <v xml:space="preserve">-0  , </v>
          </cell>
          <cell r="C746"/>
          <cell r="D746"/>
          <cell r="E746"/>
          <cell r="F746"/>
          <cell r="G746"/>
          <cell r="H746"/>
          <cell r="I746"/>
          <cell r="J746"/>
          <cell r="K746"/>
          <cell r="L746"/>
          <cell r="M746"/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  <cell r="X746">
            <v>0</v>
          </cell>
          <cell r="Y746">
            <v>0</v>
          </cell>
          <cell r="Z746">
            <v>0</v>
          </cell>
          <cell r="AA746" t="str">
            <v>,</v>
          </cell>
          <cell r="AB746" t="str">
            <v>,</v>
          </cell>
          <cell r="AC746" t="e">
            <v>#DIV/0!</v>
          </cell>
          <cell r="AD746" t="e">
            <v>#DIV/0!</v>
          </cell>
          <cell r="AE746">
            <v>0.71</v>
          </cell>
          <cell r="AF746">
            <v>94.97</v>
          </cell>
          <cell r="AG746">
            <v>0</v>
          </cell>
          <cell r="AH746" t="e">
            <v>#DIV/0!</v>
          </cell>
          <cell r="AI746" t="e">
            <v>#DIV/0!</v>
          </cell>
          <cell r="AJ746" t="e">
            <v>#DIV/0!</v>
          </cell>
          <cell r="AK746" t="e">
            <v>#DIV/0!</v>
          </cell>
          <cell r="AL746" t="e">
            <v>#DIV/0!</v>
          </cell>
          <cell r="AM746" t="e">
            <v>#DIV/0!</v>
          </cell>
          <cell r="AN746" t="e">
            <v>#DIV/0!</v>
          </cell>
          <cell r="AO746" t="e">
            <v>#REF!</v>
          </cell>
          <cell r="AP746" t="e">
            <v>#REF!</v>
          </cell>
          <cell r="AQ746" t="e">
            <v>#REF!</v>
          </cell>
          <cell r="AR746" t="e">
            <v>#REF!</v>
          </cell>
          <cell r="AS746" t="e">
            <v>#REF!</v>
          </cell>
          <cell r="AT746" t="e">
            <v>#REF!</v>
          </cell>
          <cell r="AU746" t="e">
            <v>#REF!</v>
          </cell>
          <cell r="AV746" t="e">
            <v>#REF!</v>
          </cell>
          <cell r="AW746" t="e">
            <v>#DIV/0!</v>
          </cell>
          <cell r="AX746" t="e">
            <v>#DIV/0!</v>
          </cell>
          <cell r="AY746" t="e">
            <v>#DIV/0!</v>
          </cell>
          <cell r="AZ746" t="e">
            <v>#DIV/0!</v>
          </cell>
          <cell r="BE746" t="e">
            <v>#DIV/0!</v>
          </cell>
          <cell r="BF746" t="e">
            <v>#DIV/0!</v>
          </cell>
        </row>
        <row r="747">
          <cell r="A747" t="str">
            <v>-0</v>
          </cell>
          <cell r="B747" t="str">
            <v xml:space="preserve">-0  , </v>
          </cell>
          <cell r="C747"/>
          <cell r="D747"/>
          <cell r="E747"/>
          <cell r="F747"/>
          <cell r="G747"/>
          <cell r="H747"/>
          <cell r="I747"/>
          <cell r="J747"/>
          <cell r="K747"/>
          <cell r="L747"/>
          <cell r="M747"/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  <cell r="X747">
            <v>0</v>
          </cell>
          <cell r="Y747">
            <v>0</v>
          </cell>
          <cell r="Z747">
            <v>0</v>
          </cell>
          <cell r="AA747" t="str">
            <v>,</v>
          </cell>
          <cell r="AB747" t="str">
            <v>,</v>
          </cell>
          <cell r="AC747" t="e">
            <v>#DIV/0!</v>
          </cell>
          <cell r="AD747" t="e">
            <v>#DIV/0!</v>
          </cell>
          <cell r="AE747">
            <v>0.71</v>
          </cell>
          <cell r="AF747">
            <v>94.97</v>
          </cell>
          <cell r="AG747">
            <v>0</v>
          </cell>
          <cell r="AH747" t="e">
            <v>#DIV/0!</v>
          </cell>
          <cell r="AI747" t="e">
            <v>#DIV/0!</v>
          </cell>
          <cell r="AJ747" t="e">
            <v>#DIV/0!</v>
          </cell>
          <cell r="AK747" t="e">
            <v>#DIV/0!</v>
          </cell>
          <cell r="AL747" t="e">
            <v>#DIV/0!</v>
          </cell>
          <cell r="AM747" t="e">
            <v>#DIV/0!</v>
          </cell>
          <cell r="AN747" t="e">
            <v>#DIV/0!</v>
          </cell>
          <cell r="AO747" t="e">
            <v>#REF!</v>
          </cell>
          <cell r="AP747" t="e">
            <v>#REF!</v>
          </cell>
          <cell r="AQ747" t="e">
            <v>#REF!</v>
          </cell>
          <cell r="AR747" t="e">
            <v>#REF!</v>
          </cell>
          <cell r="AS747" t="e">
            <v>#REF!</v>
          </cell>
          <cell r="AT747" t="e">
            <v>#REF!</v>
          </cell>
          <cell r="AU747" t="e">
            <v>#REF!</v>
          </cell>
          <cell r="AV747" t="e">
            <v>#REF!</v>
          </cell>
          <cell r="AW747" t="e">
            <v>#DIV/0!</v>
          </cell>
          <cell r="AX747" t="e">
            <v>#DIV/0!</v>
          </cell>
          <cell r="AY747" t="e">
            <v>#DIV/0!</v>
          </cell>
          <cell r="AZ747" t="e">
            <v>#DIV/0!</v>
          </cell>
          <cell r="BE747" t="e">
            <v>#DIV/0!</v>
          </cell>
          <cell r="BF747" t="e">
            <v>#DIV/0!</v>
          </cell>
        </row>
        <row r="748">
          <cell r="A748" t="str">
            <v>-0</v>
          </cell>
          <cell r="B748" t="str">
            <v xml:space="preserve">-0  , </v>
          </cell>
          <cell r="C748"/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  <cell r="X748">
            <v>0</v>
          </cell>
          <cell r="Y748">
            <v>0</v>
          </cell>
          <cell r="Z748">
            <v>0</v>
          </cell>
          <cell r="AA748" t="str">
            <v>,</v>
          </cell>
          <cell r="AB748" t="str">
            <v>,</v>
          </cell>
          <cell r="AC748" t="e">
            <v>#DIV/0!</v>
          </cell>
          <cell r="AD748" t="e">
            <v>#DIV/0!</v>
          </cell>
          <cell r="AE748">
            <v>0.71</v>
          </cell>
          <cell r="AF748">
            <v>94.97</v>
          </cell>
          <cell r="AG748">
            <v>0</v>
          </cell>
          <cell r="AH748" t="e">
            <v>#DIV/0!</v>
          </cell>
          <cell r="AI748" t="e">
            <v>#DIV/0!</v>
          </cell>
          <cell r="AJ748" t="e">
            <v>#DIV/0!</v>
          </cell>
          <cell r="AK748" t="e">
            <v>#DIV/0!</v>
          </cell>
          <cell r="AL748" t="e">
            <v>#DIV/0!</v>
          </cell>
          <cell r="AM748" t="e">
            <v>#DIV/0!</v>
          </cell>
          <cell r="AN748" t="e">
            <v>#DIV/0!</v>
          </cell>
          <cell r="AO748" t="e">
            <v>#REF!</v>
          </cell>
          <cell r="AP748" t="e">
            <v>#REF!</v>
          </cell>
          <cell r="AQ748" t="e">
            <v>#REF!</v>
          </cell>
          <cell r="AR748" t="e">
            <v>#REF!</v>
          </cell>
          <cell r="AS748" t="e">
            <v>#REF!</v>
          </cell>
          <cell r="AT748" t="e">
            <v>#REF!</v>
          </cell>
          <cell r="AU748" t="e">
            <v>#REF!</v>
          </cell>
          <cell r="AV748" t="e">
            <v>#REF!</v>
          </cell>
          <cell r="AW748" t="e">
            <v>#DIV/0!</v>
          </cell>
          <cell r="AX748" t="e">
            <v>#DIV/0!</v>
          </cell>
          <cell r="AY748" t="e">
            <v>#DIV/0!</v>
          </cell>
          <cell r="AZ748" t="e">
            <v>#DIV/0!</v>
          </cell>
          <cell r="BE748" t="e">
            <v>#DIV/0!</v>
          </cell>
          <cell r="BF748" t="e">
            <v>#DIV/0!</v>
          </cell>
        </row>
        <row r="749">
          <cell r="A749" t="str">
            <v>-0</v>
          </cell>
          <cell r="B749" t="str">
            <v xml:space="preserve">-0  , </v>
          </cell>
          <cell r="C749"/>
          <cell r="D749"/>
          <cell r="E749"/>
          <cell r="F749"/>
          <cell r="G749"/>
          <cell r="H749"/>
          <cell r="I749"/>
          <cell r="J749"/>
          <cell r="K749"/>
          <cell r="L749"/>
          <cell r="M749"/>
          <cell r="N749"/>
          <cell r="O749"/>
          <cell r="P749"/>
          <cell r="Q749"/>
          <cell r="R749"/>
          <cell r="S749"/>
          <cell r="T749"/>
          <cell r="U749"/>
          <cell r="V749"/>
          <cell r="W749"/>
          <cell r="X749">
            <v>0</v>
          </cell>
          <cell r="Y749">
            <v>0</v>
          </cell>
          <cell r="Z749">
            <v>0</v>
          </cell>
          <cell r="AA749" t="str">
            <v>,</v>
          </cell>
          <cell r="AB749" t="str">
            <v>,</v>
          </cell>
          <cell r="AC749" t="e">
            <v>#DIV/0!</v>
          </cell>
          <cell r="AD749" t="e">
            <v>#DIV/0!</v>
          </cell>
          <cell r="AE749">
            <v>0.71</v>
          </cell>
          <cell r="AF749">
            <v>94.97</v>
          </cell>
          <cell r="AG749">
            <v>0</v>
          </cell>
          <cell r="AH749" t="e">
            <v>#DIV/0!</v>
          </cell>
          <cell r="AI749" t="e">
            <v>#DIV/0!</v>
          </cell>
          <cell r="AJ749" t="e">
            <v>#DIV/0!</v>
          </cell>
          <cell r="AK749" t="e">
            <v>#DIV/0!</v>
          </cell>
          <cell r="AL749" t="e">
            <v>#DIV/0!</v>
          </cell>
          <cell r="AM749" t="e">
            <v>#DIV/0!</v>
          </cell>
          <cell r="AN749" t="e">
            <v>#DIV/0!</v>
          </cell>
          <cell r="AO749" t="e">
            <v>#REF!</v>
          </cell>
          <cell r="AP749" t="e">
            <v>#REF!</v>
          </cell>
          <cell r="AQ749" t="e">
            <v>#REF!</v>
          </cell>
          <cell r="AR749" t="e">
            <v>#REF!</v>
          </cell>
          <cell r="AS749" t="e">
            <v>#REF!</v>
          </cell>
          <cell r="AT749" t="e">
            <v>#REF!</v>
          </cell>
          <cell r="AU749" t="e">
            <v>#REF!</v>
          </cell>
          <cell r="AV749" t="e">
            <v>#REF!</v>
          </cell>
          <cell r="AW749" t="e">
            <v>#DIV/0!</v>
          </cell>
          <cell r="AX749" t="e">
            <v>#DIV/0!</v>
          </cell>
          <cell r="AY749" t="e">
            <v>#DIV/0!</v>
          </cell>
          <cell r="AZ749" t="e">
            <v>#DIV/0!</v>
          </cell>
          <cell r="BE749" t="e">
            <v>#DIV/0!</v>
          </cell>
          <cell r="BF749" t="e">
            <v>#DIV/0!</v>
          </cell>
        </row>
        <row r="750">
          <cell r="A750" t="str">
            <v>-0</v>
          </cell>
          <cell r="B750" t="str">
            <v xml:space="preserve">-0  , </v>
          </cell>
          <cell r="C750"/>
          <cell r="D750"/>
          <cell r="E750"/>
          <cell r="F750"/>
          <cell r="G750"/>
          <cell r="H750"/>
          <cell r="I750"/>
          <cell r="J750"/>
          <cell r="K750"/>
          <cell r="L750"/>
          <cell r="M750"/>
          <cell r="N750"/>
          <cell r="O750"/>
          <cell r="P750"/>
          <cell r="Q750"/>
          <cell r="R750"/>
          <cell r="S750"/>
          <cell r="T750"/>
          <cell r="U750"/>
          <cell r="V750"/>
          <cell r="W750"/>
          <cell r="X750">
            <v>0</v>
          </cell>
          <cell r="Y750">
            <v>0</v>
          </cell>
          <cell r="Z750">
            <v>0</v>
          </cell>
          <cell r="AA750" t="str">
            <v>,</v>
          </cell>
          <cell r="AB750" t="str">
            <v>,</v>
          </cell>
          <cell r="AC750" t="e">
            <v>#DIV/0!</v>
          </cell>
          <cell r="AD750" t="e">
            <v>#DIV/0!</v>
          </cell>
          <cell r="AE750">
            <v>0.71</v>
          </cell>
          <cell r="AF750">
            <v>94.97</v>
          </cell>
          <cell r="AG750">
            <v>0</v>
          </cell>
          <cell r="AH750" t="e">
            <v>#DIV/0!</v>
          </cell>
          <cell r="AI750" t="e">
            <v>#DIV/0!</v>
          </cell>
          <cell r="AJ750" t="e">
            <v>#DIV/0!</v>
          </cell>
          <cell r="AK750" t="e">
            <v>#DIV/0!</v>
          </cell>
          <cell r="AL750" t="e">
            <v>#DIV/0!</v>
          </cell>
          <cell r="AM750" t="e">
            <v>#DIV/0!</v>
          </cell>
          <cell r="AN750" t="e">
            <v>#DIV/0!</v>
          </cell>
          <cell r="AO750" t="e">
            <v>#REF!</v>
          </cell>
          <cell r="AP750" t="e">
            <v>#REF!</v>
          </cell>
          <cell r="AQ750" t="e">
            <v>#REF!</v>
          </cell>
          <cell r="AR750" t="e">
            <v>#REF!</v>
          </cell>
          <cell r="AS750" t="e">
            <v>#REF!</v>
          </cell>
          <cell r="AT750" t="e">
            <v>#REF!</v>
          </cell>
          <cell r="AU750" t="e">
            <v>#REF!</v>
          </cell>
          <cell r="AV750" t="e">
            <v>#REF!</v>
          </cell>
          <cell r="AW750" t="e">
            <v>#DIV/0!</v>
          </cell>
          <cell r="AX750" t="e">
            <v>#DIV/0!</v>
          </cell>
          <cell r="AY750" t="e">
            <v>#DIV/0!</v>
          </cell>
          <cell r="AZ750" t="e">
            <v>#DIV/0!</v>
          </cell>
          <cell r="BE750" t="e">
            <v>#DIV/0!</v>
          </cell>
          <cell r="BF750" t="e">
            <v>#DIV/0!</v>
          </cell>
        </row>
        <row r="751">
          <cell r="A751" t="str">
            <v>-0</v>
          </cell>
          <cell r="B751" t="str">
            <v xml:space="preserve">-0  , </v>
          </cell>
          <cell r="C751"/>
          <cell r="D751"/>
          <cell r="E751"/>
          <cell r="F751"/>
          <cell r="G751"/>
          <cell r="H751"/>
          <cell r="I751"/>
          <cell r="J751"/>
          <cell r="K751"/>
          <cell r="L751"/>
          <cell r="M751"/>
          <cell r="N751"/>
          <cell r="O751"/>
          <cell r="P751"/>
          <cell r="Q751"/>
          <cell r="R751"/>
          <cell r="S751"/>
          <cell r="T751"/>
          <cell r="U751"/>
          <cell r="V751"/>
          <cell r="W751"/>
          <cell r="X751">
            <v>0</v>
          </cell>
          <cell r="Y751">
            <v>0</v>
          </cell>
          <cell r="Z751">
            <v>0</v>
          </cell>
          <cell r="AA751" t="str">
            <v>,</v>
          </cell>
          <cell r="AB751" t="str">
            <v>,</v>
          </cell>
          <cell r="AC751" t="e">
            <v>#DIV/0!</v>
          </cell>
          <cell r="AD751" t="e">
            <v>#DIV/0!</v>
          </cell>
          <cell r="AE751">
            <v>0.71</v>
          </cell>
          <cell r="AF751">
            <v>94.97</v>
          </cell>
          <cell r="AG751">
            <v>0</v>
          </cell>
          <cell r="AH751" t="e">
            <v>#DIV/0!</v>
          </cell>
          <cell r="AI751" t="e">
            <v>#DIV/0!</v>
          </cell>
          <cell r="AJ751" t="e">
            <v>#DIV/0!</v>
          </cell>
          <cell r="AK751" t="e">
            <v>#DIV/0!</v>
          </cell>
          <cell r="AL751" t="e">
            <v>#DIV/0!</v>
          </cell>
          <cell r="AM751" t="e">
            <v>#DIV/0!</v>
          </cell>
          <cell r="AN751" t="e">
            <v>#DIV/0!</v>
          </cell>
          <cell r="AO751" t="e">
            <v>#REF!</v>
          </cell>
          <cell r="AP751" t="e">
            <v>#REF!</v>
          </cell>
          <cell r="AQ751" t="e">
            <v>#REF!</v>
          </cell>
          <cell r="AR751" t="e">
            <v>#REF!</v>
          </cell>
          <cell r="AS751" t="e">
            <v>#REF!</v>
          </cell>
          <cell r="AT751" t="e">
            <v>#REF!</v>
          </cell>
          <cell r="AU751" t="e">
            <v>#REF!</v>
          </cell>
          <cell r="AV751" t="e">
            <v>#REF!</v>
          </cell>
          <cell r="AW751" t="e">
            <v>#DIV/0!</v>
          </cell>
          <cell r="AX751" t="e">
            <v>#DIV/0!</v>
          </cell>
          <cell r="AY751" t="e">
            <v>#DIV/0!</v>
          </cell>
          <cell r="AZ751" t="e">
            <v>#DIV/0!</v>
          </cell>
          <cell r="BE751" t="e">
            <v>#DIV/0!</v>
          </cell>
          <cell r="BF751" t="e">
            <v>#DIV/0!</v>
          </cell>
        </row>
        <row r="752">
          <cell r="A752" t="str">
            <v>-0</v>
          </cell>
          <cell r="B752" t="str">
            <v xml:space="preserve">-0  , </v>
          </cell>
          <cell r="C752"/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/>
          <cell r="S752"/>
          <cell r="T752"/>
          <cell r="U752"/>
          <cell r="V752"/>
          <cell r="W752"/>
          <cell r="X752">
            <v>0</v>
          </cell>
          <cell r="Y752">
            <v>0</v>
          </cell>
          <cell r="Z752">
            <v>0</v>
          </cell>
          <cell r="AA752" t="str">
            <v>,</v>
          </cell>
          <cell r="AB752" t="str">
            <v>,</v>
          </cell>
          <cell r="AC752" t="e">
            <v>#DIV/0!</v>
          </cell>
          <cell r="AD752" t="e">
            <v>#DIV/0!</v>
          </cell>
          <cell r="AE752">
            <v>0.71</v>
          </cell>
          <cell r="AF752">
            <v>94.97</v>
          </cell>
          <cell r="AG752">
            <v>0</v>
          </cell>
          <cell r="AH752" t="e">
            <v>#DIV/0!</v>
          </cell>
          <cell r="AI752" t="e">
            <v>#DIV/0!</v>
          </cell>
          <cell r="AJ752" t="e">
            <v>#DIV/0!</v>
          </cell>
          <cell r="AK752" t="e">
            <v>#DIV/0!</v>
          </cell>
          <cell r="AL752" t="e">
            <v>#DIV/0!</v>
          </cell>
          <cell r="AM752" t="e">
            <v>#DIV/0!</v>
          </cell>
          <cell r="AN752" t="e">
            <v>#DIV/0!</v>
          </cell>
          <cell r="AO752" t="e">
            <v>#REF!</v>
          </cell>
          <cell r="AP752" t="e">
            <v>#REF!</v>
          </cell>
          <cell r="AQ752" t="e">
            <v>#REF!</v>
          </cell>
          <cell r="AR752" t="e">
            <v>#REF!</v>
          </cell>
          <cell r="AS752" t="e">
            <v>#REF!</v>
          </cell>
          <cell r="AT752" t="e">
            <v>#REF!</v>
          </cell>
          <cell r="AU752" t="e">
            <v>#REF!</v>
          </cell>
          <cell r="AV752" t="e">
            <v>#REF!</v>
          </cell>
          <cell r="AW752" t="e">
            <v>#DIV/0!</v>
          </cell>
          <cell r="AX752" t="e">
            <v>#DIV/0!</v>
          </cell>
          <cell r="AY752" t="e">
            <v>#DIV/0!</v>
          </cell>
          <cell r="AZ752" t="e">
            <v>#DIV/0!</v>
          </cell>
          <cell r="BE752" t="e">
            <v>#DIV/0!</v>
          </cell>
          <cell r="BF752" t="e">
            <v>#DIV/0!</v>
          </cell>
        </row>
        <row r="753">
          <cell r="A753" t="str">
            <v>-0</v>
          </cell>
          <cell r="B753" t="str">
            <v xml:space="preserve">-0  , </v>
          </cell>
          <cell r="C753"/>
          <cell r="D753"/>
          <cell r="E753"/>
          <cell r="F753"/>
          <cell r="G753"/>
          <cell r="H753"/>
          <cell r="I753"/>
          <cell r="J753"/>
          <cell r="K753"/>
          <cell r="L753"/>
          <cell r="M753"/>
          <cell r="N753"/>
          <cell r="O753"/>
          <cell r="P753"/>
          <cell r="Q753"/>
          <cell r="R753"/>
          <cell r="S753"/>
          <cell r="T753"/>
          <cell r="U753"/>
          <cell r="V753"/>
          <cell r="W753"/>
          <cell r="X753">
            <v>0</v>
          </cell>
          <cell r="Y753">
            <v>0</v>
          </cell>
          <cell r="Z753">
            <v>0</v>
          </cell>
          <cell r="AA753" t="str">
            <v>,</v>
          </cell>
          <cell r="AB753" t="str">
            <v>,</v>
          </cell>
          <cell r="AC753" t="e">
            <v>#DIV/0!</v>
          </cell>
          <cell r="AD753" t="e">
            <v>#DIV/0!</v>
          </cell>
          <cell r="AE753">
            <v>0.71</v>
          </cell>
          <cell r="AF753">
            <v>94.97</v>
          </cell>
          <cell r="AG753">
            <v>0</v>
          </cell>
          <cell r="AH753" t="e">
            <v>#DIV/0!</v>
          </cell>
          <cell r="AI753" t="e">
            <v>#DIV/0!</v>
          </cell>
          <cell r="AJ753" t="e">
            <v>#DIV/0!</v>
          </cell>
          <cell r="AK753" t="e">
            <v>#DIV/0!</v>
          </cell>
          <cell r="AL753" t="e">
            <v>#DIV/0!</v>
          </cell>
          <cell r="AM753" t="e">
            <v>#DIV/0!</v>
          </cell>
          <cell r="AN753" t="e">
            <v>#DIV/0!</v>
          </cell>
          <cell r="AO753" t="e">
            <v>#REF!</v>
          </cell>
          <cell r="AP753" t="e">
            <v>#REF!</v>
          </cell>
          <cell r="AQ753" t="e">
            <v>#REF!</v>
          </cell>
          <cell r="AR753" t="e">
            <v>#REF!</v>
          </cell>
          <cell r="AS753" t="e">
            <v>#REF!</v>
          </cell>
          <cell r="AT753" t="e">
            <v>#REF!</v>
          </cell>
          <cell r="AU753" t="e">
            <v>#REF!</v>
          </cell>
          <cell r="AV753" t="e">
            <v>#REF!</v>
          </cell>
          <cell r="AW753" t="e">
            <v>#DIV/0!</v>
          </cell>
          <cell r="AX753" t="e">
            <v>#DIV/0!</v>
          </cell>
          <cell r="AY753" t="e">
            <v>#DIV/0!</v>
          </cell>
          <cell r="AZ753" t="e">
            <v>#DIV/0!</v>
          </cell>
          <cell r="BE753" t="e">
            <v>#DIV/0!</v>
          </cell>
          <cell r="BF753" t="e">
            <v>#DIV/0!</v>
          </cell>
        </row>
        <row r="754">
          <cell r="A754" t="str">
            <v>-0</v>
          </cell>
          <cell r="B754" t="str">
            <v xml:space="preserve">-0  , </v>
          </cell>
          <cell r="C754"/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/>
          <cell r="S754"/>
          <cell r="T754"/>
          <cell r="U754"/>
          <cell r="V754"/>
          <cell r="W754"/>
          <cell r="X754">
            <v>0</v>
          </cell>
          <cell r="Y754">
            <v>0</v>
          </cell>
          <cell r="Z754">
            <v>0</v>
          </cell>
          <cell r="AA754" t="str">
            <v>,</v>
          </cell>
          <cell r="AB754" t="str">
            <v>,</v>
          </cell>
          <cell r="AC754" t="e">
            <v>#DIV/0!</v>
          </cell>
          <cell r="AD754" t="e">
            <v>#DIV/0!</v>
          </cell>
          <cell r="AE754">
            <v>0.71</v>
          </cell>
          <cell r="AF754">
            <v>94.97</v>
          </cell>
          <cell r="AG754">
            <v>0</v>
          </cell>
          <cell r="AH754" t="e">
            <v>#DIV/0!</v>
          </cell>
          <cell r="AI754" t="e">
            <v>#DIV/0!</v>
          </cell>
          <cell r="AJ754" t="e">
            <v>#DIV/0!</v>
          </cell>
          <cell r="AK754" t="e">
            <v>#DIV/0!</v>
          </cell>
          <cell r="AL754" t="e">
            <v>#DIV/0!</v>
          </cell>
          <cell r="AM754" t="e">
            <v>#DIV/0!</v>
          </cell>
          <cell r="AN754" t="e">
            <v>#DIV/0!</v>
          </cell>
          <cell r="AO754" t="e">
            <v>#REF!</v>
          </cell>
          <cell r="AP754" t="e">
            <v>#REF!</v>
          </cell>
          <cell r="AQ754" t="e">
            <v>#REF!</v>
          </cell>
          <cell r="AR754" t="e">
            <v>#REF!</v>
          </cell>
          <cell r="AS754" t="e">
            <v>#REF!</v>
          </cell>
          <cell r="AT754" t="e">
            <v>#REF!</v>
          </cell>
          <cell r="AU754" t="e">
            <v>#REF!</v>
          </cell>
          <cell r="AV754" t="e">
            <v>#REF!</v>
          </cell>
          <cell r="AW754" t="e">
            <v>#DIV/0!</v>
          </cell>
          <cell r="AX754" t="e">
            <v>#DIV/0!</v>
          </cell>
          <cell r="AY754" t="e">
            <v>#DIV/0!</v>
          </cell>
          <cell r="AZ754" t="e">
            <v>#DIV/0!</v>
          </cell>
          <cell r="BE754" t="e">
            <v>#DIV/0!</v>
          </cell>
          <cell r="BF754" t="e">
            <v>#DIV/0!</v>
          </cell>
        </row>
        <row r="755">
          <cell r="A755" t="str">
            <v>-0</v>
          </cell>
          <cell r="B755" t="str">
            <v xml:space="preserve">-0  , </v>
          </cell>
          <cell r="C755"/>
          <cell r="D755"/>
          <cell r="E755"/>
          <cell r="F755"/>
          <cell r="G755"/>
          <cell r="H755"/>
          <cell r="I755"/>
          <cell r="J755"/>
          <cell r="K755"/>
          <cell r="L755"/>
          <cell r="M755"/>
          <cell r="N755"/>
          <cell r="O755"/>
          <cell r="P755"/>
          <cell r="Q755"/>
          <cell r="R755"/>
          <cell r="S755"/>
          <cell r="T755"/>
          <cell r="U755"/>
          <cell r="V755"/>
          <cell r="W755"/>
          <cell r="X755">
            <v>0</v>
          </cell>
          <cell r="Y755">
            <v>0</v>
          </cell>
          <cell r="Z755">
            <v>0</v>
          </cell>
          <cell r="AA755" t="str">
            <v>,</v>
          </cell>
          <cell r="AB755" t="str">
            <v>,</v>
          </cell>
          <cell r="AC755" t="e">
            <v>#DIV/0!</v>
          </cell>
          <cell r="AD755" t="e">
            <v>#DIV/0!</v>
          </cell>
          <cell r="AE755">
            <v>0.71</v>
          </cell>
          <cell r="AF755">
            <v>94.97</v>
          </cell>
          <cell r="AG755">
            <v>0</v>
          </cell>
          <cell r="AH755" t="e">
            <v>#DIV/0!</v>
          </cell>
          <cell r="AI755" t="e">
            <v>#DIV/0!</v>
          </cell>
          <cell r="AJ755" t="e">
            <v>#DIV/0!</v>
          </cell>
          <cell r="AK755" t="e">
            <v>#DIV/0!</v>
          </cell>
          <cell r="AL755" t="e">
            <v>#DIV/0!</v>
          </cell>
          <cell r="AM755" t="e">
            <v>#DIV/0!</v>
          </cell>
          <cell r="AN755" t="e">
            <v>#DIV/0!</v>
          </cell>
          <cell r="AO755" t="e">
            <v>#REF!</v>
          </cell>
          <cell r="AP755" t="e">
            <v>#REF!</v>
          </cell>
          <cell r="AQ755" t="e">
            <v>#REF!</v>
          </cell>
          <cell r="AR755" t="e">
            <v>#REF!</v>
          </cell>
          <cell r="AS755" t="e">
            <v>#REF!</v>
          </cell>
          <cell r="AT755" t="e">
            <v>#REF!</v>
          </cell>
          <cell r="AU755" t="e">
            <v>#REF!</v>
          </cell>
          <cell r="AV755" t="e">
            <v>#REF!</v>
          </cell>
          <cell r="AW755" t="e">
            <v>#DIV/0!</v>
          </cell>
          <cell r="AX755" t="e">
            <v>#DIV/0!</v>
          </cell>
          <cell r="AY755" t="e">
            <v>#DIV/0!</v>
          </cell>
          <cell r="AZ755" t="e">
            <v>#DIV/0!</v>
          </cell>
          <cell r="BE755" t="e">
            <v>#DIV/0!</v>
          </cell>
          <cell r="BF755" t="e">
            <v>#DIV/0!</v>
          </cell>
        </row>
        <row r="756">
          <cell r="A756" t="str">
            <v>-0</v>
          </cell>
          <cell r="B756" t="str">
            <v xml:space="preserve">-0  , </v>
          </cell>
          <cell r="C756"/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/>
          <cell r="S756"/>
          <cell r="T756"/>
          <cell r="U756"/>
          <cell r="V756"/>
          <cell r="W756"/>
          <cell r="X756">
            <v>0</v>
          </cell>
          <cell r="Y756">
            <v>0</v>
          </cell>
          <cell r="Z756">
            <v>0</v>
          </cell>
          <cell r="AA756" t="str">
            <v>,</v>
          </cell>
          <cell r="AB756" t="str">
            <v>,</v>
          </cell>
          <cell r="AC756" t="e">
            <v>#DIV/0!</v>
          </cell>
          <cell r="AD756" t="e">
            <v>#DIV/0!</v>
          </cell>
          <cell r="AE756">
            <v>0.71</v>
          </cell>
          <cell r="AF756">
            <v>94.97</v>
          </cell>
          <cell r="AG756">
            <v>0</v>
          </cell>
          <cell r="AH756" t="e">
            <v>#DIV/0!</v>
          </cell>
          <cell r="AI756" t="e">
            <v>#DIV/0!</v>
          </cell>
          <cell r="AJ756" t="e">
            <v>#DIV/0!</v>
          </cell>
          <cell r="AK756" t="e">
            <v>#DIV/0!</v>
          </cell>
          <cell r="AL756" t="e">
            <v>#DIV/0!</v>
          </cell>
          <cell r="AM756" t="e">
            <v>#DIV/0!</v>
          </cell>
          <cell r="AN756" t="e">
            <v>#DIV/0!</v>
          </cell>
          <cell r="AO756" t="e">
            <v>#REF!</v>
          </cell>
          <cell r="AP756" t="e">
            <v>#REF!</v>
          </cell>
          <cell r="AQ756" t="e">
            <v>#REF!</v>
          </cell>
          <cell r="AR756" t="e">
            <v>#REF!</v>
          </cell>
          <cell r="AS756" t="e">
            <v>#REF!</v>
          </cell>
          <cell r="AT756" t="e">
            <v>#REF!</v>
          </cell>
          <cell r="AU756" t="e">
            <v>#REF!</v>
          </cell>
          <cell r="AV756" t="e">
            <v>#REF!</v>
          </cell>
          <cell r="AW756" t="e">
            <v>#DIV/0!</v>
          </cell>
          <cell r="AX756" t="e">
            <v>#DIV/0!</v>
          </cell>
          <cell r="AY756" t="e">
            <v>#DIV/0!</v>
          </cell>
          <cell r="AZ756" t="e">
            <v>#DIV/0!</v>
          </cell>
          <cell r="BE756" t="e">
            <v>#DIV/0!</v>
          </cell>
          <cell r="BF756" t="e">
            <v>#DIV/0!</v>
          </cell>
        </row>
        <row r="757">
          <cell r="A757" t="str">
            <v>-0</v>
          </cell>
          <cell r="B757" t="str">
            <v xml:space="preserve">-0  , </v>
          </cell>
          <cell r="C757"/>
          <cell r="D757"/>
          <cell r="E757"/>
          <cell r="F757"/>
          <cell r="G757"/>
          <cell r="H757"/>
          <cell r="I757"/>
          <cell r="J757"/>
          <cell r="K757"/>
          <cell r="L757"/>
          <cell r="M757"/>
          <cell r="N757"/>
          <cell r="O757"/>
          <cell r="P757"/>
          <cell r="Q757"/>
          <cell r="R757"/>
          <cell r="S757"/>
          <cell r="T757"/>
          <cell r="U757"/>
          <cell r="V757"/>
          <cell r="W757"/>
          <cell r="X757">
            <v>0</v>
          </cell>
          <cell r="Y757">
            <v>0</v>
          </cell>
          <cell r="Z757">
            <v>0</v>
          </cell>
          <cell r="AA757" t="str">
            <v>,</v>
          </cell>
          <cell r="AB757" t="str">
            <v>,</v>
          </cell>
          <cell r="AC757" t="e">
            <v>#DIV/0!</v>
          </cell>
          <cell r="AD757" t="e">
            <v>#DIV/0!</v>
          </cell>
          <cell r="AE757">
            <v>0.71</v>
          </cell>
          <cell r="AF757">
            <v>94.97</v>
          </cell>
          <cell r="AG757">
            <v>0</v>
          </cell>
          <cell r="AH757" t="e">
            <v>#DIV/0!</v>
          </cell>
          <cell r="AI757" t="e">
            <v>#DIV/0!</v>
          </cell>
          <cell r="AJ757" t="e">
            <v>#DIV/0!</v>
          </cell>
          <cell r="AK757" t="e">
            <v>#DIV/0!</v>
          </cell>
          <cell r="AL757" t="e">
            <v>#DIV/0!</v>
          </cell>
          <cell r="AM757" t="e">
            <v>#DIV/0!</v>
          </cell>
          <cell r="AN757" t="e">
            <v>#DIV/0!</v>
          </cell>
          <cell r="AO757" t="e">
            <v>#REF!</v>
          </cell>
          <cell r="AP757" t="e">
            <v>#REF!</v>
          </cell>
          <cell r="AQ757" t="e">
            <v>#REF!</v>
          </cell>
          <cell r="AR757" t="e">
            <v>#REF!</v>
          </cell>
          <cell r="AS757" t="e">
            <v>#REF!</v>
          </cell>
          <cell r="AT757" t="e">
            <v>#REF!</v>
          </cell>
          <cell r="AU757" t="e">
            <v>#REF!</v>
          </cell>
          <cell r="AV757" t="e">
            <v>#REF!</v>
          </cell>
          <cell r="AW757" t="e">
            <v>#DIV/0!</v>
          </cell>
          <cell r="AX757" t="e">
            <v>#DIV/0!</v>
          </cell>
          <cell r="AY757" t="e">
            <v>#DIV/0!</v>
          </cell>
          <cell r="AZ757" t="e">
            <v>#DIV/0!</v>
          </cell>
          <cell r="BE757" t="e">
            <v>#DIV/0!</v>
          </cell>
          <cell r="BF757" t="e">
            <v>#DIV/0!</v>
          </cell>
        </row>
        <row r="758">
          <cell r="A758" t="str">
            <v>-0</v>
          </cell>
          <cell r="B758" t="str">
            <v xml:space="preserve">-0  , </v>
          </cell>
          <cell r="C758"/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/>
          <cell r="S758"/>
          <cell r="T758"/>
          <cell r="U758"/>
          <cell r="V758"/>
          <cell r="W758"/>
          <cell r="X758">
            <v>0</v>
          </cell>
          <cell r="Y758">
            <v>0</v>
          </cell>
          <cell r="Z758">
            <v>0</v>
          </cell>
          <cell r="AA758" t="str">
            <v>,</v>
          </cell>
          <cell r="AB758" t="str">
            <v>,</v>
          </cell>
          <cell r="AC758" t="e">
            <v>#DIV/0!</v>
          </cell>
          <cell r="AD758" t="e">
            <v>#DIV/0!</v>
          </cell>
          <cell r="AE758">
            <v>0.71</v>
          </cell>
          <cell r="AF758">
            <v>94.97</v>
          </cell>
          <cell r="AG758">
            <v>0</v>
          </cell>
          <cell r="AH758" t="e">
            <v>#DIV/0!</v>
          </cell>
          <cell r="AI758" t="e">
            <v>#DIV/0!</v>
          </cell>
          <cell r="AJ758" t="e">
            <v>#DIV/0!</v>
          </cell>
          <cell r="AK758" t="e">
            <v>#DIV/0!</v>
          </cell>
          <cell r="AL758" t="e">
            <v>#DIV/0!</v>
          </cell>
          <cell r="AM758" t="e">
            <v>#DIV/0!</v>
          </cell>
          <cell r="AN758" t="e">
            <v>#DIV/0!</v>
          </cell>
          <cell r="AO758" t="e">
            <v>#REF!</v>
          </cell>
          <cell r="AP758" t="e">
            <v>#REF!</v>
          </cell>
          <cell r="AQ758" t="e">
            <v>#REF!</v>
          </cell>
          <cell r="AR758" t="e">
            <v>#REF!</v>
          </cell>
          <cell r="AS758" t="e">
            <v>#REF!</v>
          </cell>
          <cell r="AT758" t="e">
            <v>#REF!</v>
          </cell>
          <cell r="AU758" t="e">
            <v>#REF!</v>
          </cell>
          <cell r="AV758" t="e">
            <v>#REF!</v>
          </cell>
          <cell r="AW758" t="e">
            <v>#DIV/0!</v>
          </cell>
          <cell r="AX758" t="e">
            <v>#DIV/0!</v>
          </cell>
          <cell r="AY758" t="e">
            <v>#DIV/0!</v>
          </cell>
          <cell r="AZ758" t="e">
            <v>#DIV/0!</v>
          </cell>
          <cell r="BE758" t="e">
            <v>#DIV/0!</v>
          </cell>
          <cell r="BF758" t="e">
            <v>#DIV/0!</v>
          </cell>
        </row>
        <row r="759">
          <cell r="A759" t="str">
            <v>-0</v>
          </cell>
          <cell r="B759" t="str">
            <v xml:space="preserve">-0  , </v>
          </cell>
          <cell r="C759"/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/>
          <cell r="S759"/>
          <cell r="T759"/>
          <cell r="U759"/>
          <cell r="V759"/>
          <cell r="W759"/>
          <cell r="X759">
            <v>0</v>
          </cell>
          <cell r="Y759">
            <v>0</v>
          </cell>
          <cell r="Z759">
            <v>0</v>
          </cell>
          <cell r="AA759" t="str">
            <v>,</v>
          </cell>
          <cell r="AB759" t="str">
            <v>,</v>
          </cell>
          <cell r="AC759" t="e">
            <v>#DIV/0!</v>
          </cell>
          <cell r="AD759" t="e">
            <v>#DIV/0!</v>
          </cell>
          <cell r="AE759">
            <v>0.71</v>
          </cell>
          <cell r="AF759">
            <v>94.97</v>
          </cell>
          <cell r="AG759">
            <v>0</v>
          </cell>
          <cell r="AH759" t="e">
            <v>#DIV/0!</v>
          </cell>
          <cell r="AI759" t="e">
            <v>#DIV/0!</v>
          </cell>
          <cell r="AJ759" t="e">
            <v>#DIV/0!</v>
          </cell>
          <cell r="AK759" t="e">
            <v>#DIV/0!</v>
          </cell>
          <cell r="AL759" t="e">
            <v>#DIV/0!</v>
          </cell>
          <cell r="AM759" t="e">
            <v>#DIV/0!</v>
          </cell>
          <cell r="AN759" t="e">
            <v>#DIV/0!</v>
          </cell>
          <cell r="AO759" t="e">
            <v>#REF!</v>
          </cell>
          <cell r="AP759" t="e">
            <v>#REF!</v>
          </cell>
          <cell r="AQ759" t="e">
            <v>#REF!</v>
          </cell>
          <cell r="AR759" t="e">
            <v>#REF!</v>
          </cell>
          <cell r="AS759" t="e">
            <v>#REF!</v>
          </cell>
          <cell r="AT759" t="e">
            <v>#REF!</v>
          </cell>
          <cell r="AU759" t="e">
            <v>#REF!</v>
          </cell>
          <cell r="AV759" t="e">
            <v>#REF!</v>
          </cell>
          <cell r="AW759" t="e">
            <v>#DIV/0!</v>
          </cell>
          <cell r="AX759" t="e">
            <v>#DIV/0!</v>
          </cell>
          <cell r="AY759" t="e">
            <v>#DIV/0!</v>
          </cell>
          <cell r="AZ759" t="e">
            <v>#DIV/0!</v>
          </cell>
          <cell r="BE759" t="e">
            <v>#DIV/0!</v>
          </cell>
          <cell r="BF759" t="e">
            <v>#DIV/0!</v>
          </cell>
        </row>
        <row r="760">
          <cell r="A760" t="str">
            <v>-0</v>
          </cell>
          <cell r="B760" t="str">
            <v xml:space="preserve">-0  , </v>
          </cell>
          <cell r="C760"/>
          <cell r="D760"/>
          <cell r="E760"/>
          <cell r="F760"/>
          <cell r="G760"/>
          <cell r="H760"/>
          <cell r="I760"/>
          <cell r="J760"/>
          <cell r="K760"/>
          <cell r="L760"/>
          <cell r="M760"/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  <cell r="X760">
            <v>0</v>
          </cell>
          <cell r="Y760">
            <v>0</v>
          </cell>
          <cell r="Z760">
            <v>0</v>
          </cell>
          <cell r="AA760" t="str">
            <v>,</v>
          </cell>
          <cell r="AB760" t="str">
            <v>,</v>
          </cell>
          <cell r="AC760" t="e">
            <v>#DIV/0!</v>
          </cell>
          <cell r="AD760" t="e">
            <v>#DIV/0!</v>
          </cell>
          <cell r="AE760">
            <v>0.71</v>
          </cell>
          <cell r="AF760">
            <v>94.97</v>
          </cell>
          <cell r="AG760">
            <v>0</v>
          </cell>
          <cell r="AH760" t="e">
            <v>#DIV/0!</v>
          </cell>
          <cell r="AI760" t="e">
            <v>#DIV/0!</v>
          </cell>
          <cell r="AJ760" t="e">
            <v>#DIV/0!</v>
          </cell>
          <cell r="AK760" t="e">
            <v>#DIV/0!</v>
          </cell>
          <cell r="AL760" t="e">
            <v>#DIV/0!</v>
          </cell>
          <cell r="AM760" t="e">
            <v>#DIV/0!</v>
          </cell>
          <cell r="AN760" t="e">
            <v>#DIV/0!</v>
          </cell>
          <cell r="AO760" t="e">
            <v>#REF!</v>
          </cell>
          <cell r="AP760" t="e">
            <v>#REF!</v>
          </cell>
          <cell r="AQ760" t="e">
            <v>#REF!</v>
          </cell>
          <cell r="AR760" t="e">
            <v>#REF!</v>
          </cell>
          <cell r="AS760" t="e">
            <v>#REF!</v>
          </cell>
          <cell r="AT760" t="e">
            <v>#REF!</v>
          </cell>
          <cell r="AU760" t="e">
            <v>#REF!</v>
          </cell>
          <cell r="AV760" t="e">
            <v>#REF!</v>
          </cell>
          <cell r="AW760" t="e">
            <v>#DIV/0!</v>
          </cell>
          <cell r="AX760" t="e">
            <v>#DIV/0!</v>
          </cell>
          <cell r="AY760" t="e">
            <v>#DIV/0!</v>
          </cell>
          <cell r="AZ760" t="e">
            <v>#DIV/0!</v>
          </cell>
          <cell r="BE760" t="e">
            <v>#DIV/0!</v>
          </cell>
          <cell r="BF760" t="e">
            <v>#DIV/0!</v>
          </cell>
        </row>
        <row r="761">
          <cell r="A761" t="str">
            <v>-0</v>
          </cell>
          <cell r="B761" t="str">
            <v xml:space="preserve">-0  , </v>
          </cell>
          <cell r="C761"/>
          <cell r="D761"/>
          <cell r="E761"/>
          <cell r="F761"/>
          <cell r="G761"/>
          <cell r="H761"/>
          <cell r="I761"/>
          <cell r="J761"/>
          <cell r="K761"/>
          <cell r="L761"/>
          <cell r="M761"/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  <cell r="X761">
            <v>0</v>
          </cell>
          <cell r="Y761">
            <v>0</v>
          </cell>
          <cell r="Z761">
            <v>0</v>
          </cell>
          <cell r="AA761" t="str">
            <v>,</v>
          </cell>
          <cell r="AB761" t="str">
            <v>,</v>
          </cell>
          <cell r="AC761" t="e">
            <v>#DIV/0!</v>
          </cell>
          <cell r="AD761" t="e">
            <v>#DIV/0!</v>
          </cell>
          <cell r="AE761">
            <v>0.71</v>
          </cell>
          <cell r="AF761">
            <v>94.97</v>
          </cell>
          <cell r="AG761">
            <v>0</v>
          </cell>
          <cell r="AH761" t="e">
            <v>#DIV/0!</v>
          </cell>
          <cell r="AI761" t="e">
            <v>#DIV/0!</v>
          </cell>
          <cell r="AJ761" t="e">
            <v>#DIV/0!</v>
          </cell>
          <cell r="AK761" t="e">
            <v>#DIV/0!</v>
          </cell>
          <cell r="AL761" t="e">
            <v>#DIV/0!</v>
          </cell>
          <cell r="AM761" t="e">
            <v>#DIV/0!</v>
          </cell>
          <cell r="AN761" t="e">
            <v>#DIV/0!</v>
          </cell>
          <cell r="AO761" t="e">
            <v>#REF!</v>
          </cell>
          <cell r="AP761" t="e">
            <v>#REF!</v>
          </cell>
          <cell r="AQ761" t="e">
            <v>#REF!</v>
          </cell>
          <cell r="AR761" t="e">
            <v>#REF!</v>
          </cell>
          <cell r="AS761" t="e">
            <v>#REF!</v>
          </cell>
          <cell r="AT761" t="e">
            <v>#REF!</v>
          </cell>
          <cell r="AU761" t="e">
            <v>#REF!</v>
          </cell>
          <cell r="AV761" t="e">
            <v>#REF!</v>
          </cell>
          <cell r="AW761" t="e">
            <v>#DIV/0!</v>
          </cell>
          <cell r="AX761" t="e">
            <v>#DIV/0!</v>
          </cell>
          <cell r="AY761" t="e">
            <v>#DIV/0!</v>
          </cell>
          <cell r="AZ761" t="e">
            <v>#DIV/0!</v>
          </cell>
          <cell r="BE761" t="e">
            <v>#DIV/0!</v>
          </cell>
          <cell r="BF761" t="e">
            <v>#DIV/0!</v>
          </cell>
        </row>
        <row r="762">
          <cell r="A762" t="str">
            <v>-0</v>
          </cell>
          <cell r="B762" t="str">
            <v xml:space="preserve">-0  , </v>
          </cell>
          <cell r="C762"/>
          <cell r="D762"/>
          <cell r="E762"/>
          <cell r="F762"/>
          <cell r="G762"/>
          <cell r="H762"/>
          <cell r="I762"/>
          <cell r="J762"/>
          <cell r="K762"/>
          <cell r="L762"/>
          <cell r="M762"/>
          <cell r="N762"/>
          <cell r="O762"/>
          <cell r="P762"/>
          <cell r="Q762"/>
          <cell r="R762"/>
          <cell r="S762"/>
          <cell r="T762"/>
          <cell r="U762"/>
          <cell r="V762"/>
          <cell r="W762"/>
          <cell r="X762">
            <v>0</v>
          </cell>
          <cell r="Y762">
            <v>0</v>
          </cell>
          <cell r="Z762">
            <v>0</v>
          </cell>
          <cell r="AA762" t="str">
            <v>,</v>
          </cell>
          <cell r="AB762" t="str">
            <v>,</v>
          </cell>
          <cell r="AC762" t="e">
            <v>#DIV/0!</v>
          </cell>
          <cell r="AD762" t="e">
            <v>#DIV/0!</v>
          </cell>
          <cell r="AE762">
            <v>0.71</v>
          </cell>
          <cell r="AF762">
            <v>94.97</v>
          </cell>
          <cell r="AG762">
            <v>0</v>
          </cell>
          <cell r="AH762" t="e">
            <v>#DIV/0!</v>
          </cell>
          <cell r="AI762" t="e">
            <v>#DIV/0!</v>
          </cell>
          <cell r="AJ762" t="e">
            <v>#DIV/0!</v>
          </cell>
          <cell r="AK762" t="e">
            <v>#DIV/0!</v>
          </cell>
          <cell r="AL762" t="e">
            <v>#DIV/0!</v>
          </cell>
          <cell r="AM762" t="e">
            <v>#DIV/0!</v>
          </cell>
          <cell r="AN762" t="e">
            <v>#DIV/0!</v>
          </cell>
          <cell r="AO762" t="e">
            <v>#REF!</v>
          </cell>
          <cell r="AP762" t="e">
            <v>#REF!</v>
          </cell>
          <cell r="AQ762" t="e">
            <v>#REF!</v>
          </cell>
          <cell r="AR762" t="e">
            <v>#REF!</v>
          </cell>
          <cell r="AS762" t="e">
            <v>#REF!</v>
          </cell>
          <cell r="AT762" t="e">
            <v>#REF!</v>
          </cell>
          <cell r="AU762" t="e">
            <v>#REF!</v>
          </cell>
          <cell r="AV762" t="e">
            <v>#REF!</v>
          </cell>
          <cell r="AW762" t="e">
            <v>#DIV/0!</v>
          </cell>
          <cell r="AX762" t="e">
            <v>#DIV/0!</v>
          </cell>
          <cell r="AY762" t="e">
            <v>#DIV/0!</v>
          </cell>
          <cell r="AZ762" t="e">
            <v>#DIV/0!</v>
          </cell>
          <cell r="BE762" t="e">
            <v>#DIV/0!</v>
          </cell>
          <cell r="BF762" t="e">
            <v>#DIV/0!</v>
          </cell>
        </row>
        <row r="763">
          <cell r="A763" t="str">
            <v>-0</v>
          </cell>
          <cell r="B763" t="str">
            <v xml:space="preserve">-0  , </v>
          </cell>
          <cell r="C763"/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/>
          <cell r="S763"/>
          <cell r="T763"/>
          <cell r="U763"/>
          <cell r="V763"/>
          <cell r="W763"/>
          <cell r="X763">
            <v>0</v>
          </cell>
          <cell r="Y763">
            <v>0</v>
          </cell>
          <cell r="Z763">
            <v>0</v>
          </cell>
          <cell r="AA763" t="str">
            <v>,</v>
          </cell>
          <cell r="AB763" t="str">
            <v>,</v>
          </cell>
          <cell r="AC763" t="e">
            <v>#DIV/0!</v>
          </cell>
          <cell r="AD763" t="e">
            <v>#DIV/0!</v>
          </cell>
          <cell r="AE763">
            <v>0.71</v>
          </cell>
          <cell r="AF763">
            <v>94.97</v>
          </cell>
          <cell r="AG763">
            <v>0</v>
          </cell>
          <cell r="AH763" t="e">
            <v>#DIV/0!</v>
          </cell>
          <cell r="AI763" t="e">
            <v>#DIV/0!</v>
          </cell>
          <cell r="AJ763" t="e">
            <v>#DIV/0!</v>
          </cell>
          <cell r="AK763" t="e">
            <v>#DIV/0!</v>
          </cell>
          <cell r="AL763" t="e">
            <v>#DIV/0!</v>
          </cell>
          <cell r="AM763" t="e">
            <v>#DIV/0!</v>
          </cell>
          <cell r="AN763" t="e">
            <v>#DIV/0!</v>
          </cell>
          <cell r="AO763" t="e">
            <v>#REF!</v>
          </cell>
          <cell r="AP763" t="e">
            <v>#REF!</v>
          </cell>
          <cell r="AQ763" t="e">
            <v>#REF!</v>
          </cell>
          <cell r="AR763" t="e">
            <v>#REF!</v>
          </cell>
          <cell r="AS763" t="e">
            <v>#REF!</v>
          </cell>
          <cell r="AT763" t="e">
            <v>#REF!</v>
          </cell>
          <cell r="AU763" t="e">
            <v>#REF!</v>
          </cell>
          <cell r="AV763" t="e">
            <v>#REF!</v>
          </cell>
          <cell r="AW763" t="e">
            <v>#DIV/0!</v>
          </cell>
          <cell r="AX763" t="e">
            <v>#DIV/0!</v>
          </cell>
          <cell r="AY763" t="e">
            <v>#DIV/0!</v>
          </cell>
          <cell r="AZ763" t="e">
            <v>#DIV/0!</v>
          </cell>
          <cell r="BE763" t="e">
            <v>#DIV/0!</v>
          </cell>
          <cell r="BF763" t="e">
            <v>#DIV/0!</v>
          </cell>
        </row>
        <row r="764">
          <cell r="A764" t="str">
            <v>-0</v>
          </cell>
          <cell r="B764" t="str">
            <v xml:space="preserve">-0  , </v>
          </cell>
          <cell r="C764"/>
          <cell r="D764"/>
          <cell r="E764"/>
          <cell r="F764"/>
          <cell r="G764"/>
          <cell r="H764"/>
          <cell r="I764"/>
          <cell r="J764"/>
          <cell r="K764"/>
          <cell r="L764"/>
          <cell r="M764"/>
          <cell r="N764"/>
          <cell r="O764"/>
          <cell r="P764"/>
          <cell r="Q764"/>
          <cell r="R764"/>
          <cell r="S764"/>
          <cell r="T764"/>
          <cell r="U764"/>
          <cell r="V764"/>
          <cell r="W764"/>
          <cell r="X764">
            <v>0</v>
          </cell>
          <cell r="Y764">
            <v>0</v>
          </cell>
          <cell r="Z764">
            <v>0</v>
          </cell>
          <cell r="AA764" t="str">
            <v>,</v>
          </cell>
          <cell r="AB764" t="str">
            <v>,</v>
          </cell>
          <cell r="AC764" t="e">
            <v>#DIV/0!</v>
          </cell>
          <cell r="AD764" t="e">
            <v>#DIV/0!</v>
          </cell>
          <cell r="AE764">
            <v>0.71</v>
          </cell>
          <cell r="AF764">
            <v>94.97</v>
          </cell>
          <cell r="AG764">
            <v>0</v>
          </cell>
          <cell r="AH764" t="e">
            <v>#DIV/0!</v>
          </cell>
          <cell r="AI764" t="e">
            <v>#DIV/0!</v>
          </cell>
          <cell r="AJ764" t="e">
            <v>#DIV/0!</v>
          </cell>
          <cell r="AK764" t="e">
            <v>#DIV/0!</v>
          </cell>
          <cell r="AL764" t="e">
            <v>#DIV/0!</v>
          </cell>
          <cell r="AM764" t="e">
            <v>#DIV/0!</v>
          </cell>
          <cell r="AN764" t="e">
            <v>#DIV/0!</v>
          </cell>
          <cell r="AO764" t="e">
            <v>#REF!</v>
          </cell>
          <cell r="AP764" t="e">
            <v>#REF!</v>
          </cell>
          <cell r="AQ764" t="e">
            <v>#REF!</v>
          </cell>
          <cell r="AR764" t="e">
            <v>#REF!</v>
          </cell>
          <cell r="AS764" t="e">
            <v>#REF!</v>
          </cell>
          <cell r="AT764" t="e">
            <v>#REF!</v>
          </cell>
          <cell r="AU764" t="e">
            <v>#REF!</v>
          </cell>
          <cell r="AV764" t="e">
            <v>#REF!</v>
          </cell>
          <cell r="AW764" t="e">
            <v>#DIV/0!</v>
          </cell>
          <cell r="AX764" t="e">
            <v>#DIV/0!</v>
          </cell>
          <cell r="AY764" t="e">
            <v>#DIV/0!</v>
          </cell>
          <cell r="AZ764" t="e">
            <v>#DIV/0!</v>
          </cell>
          <cell r="BE764" t="e">
            <v>#DIV/0!</v>
          </cell>
          <cell r="BF764" t="e">
            <v>#DIV/0!</v>
          </cell>
        </row>
        <row r="765">
          <cell r="A765" t="str">
            <v>-0</v>
          </cell>
          <cell r="B765" t="str">
            <v xml:space="preserve">-0  , </v>
          </cell>
          <cell r="C765"/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/>
          <cell r="S765"/>
          <cell r="T765"/>
          <cell r="U765"/>
          <cell r="V765"/>
          <cell r="W765"/>
          <cell r="X765">
            <v>0</v>
          </cell>
          <cell r="Y765">
            <v>0</v>
          </cell>
          <cell r="Z765">
            <v>0</v>
          </cell>
          <cell r="AA765" t="str">
            <v>,</v>
          </cell>
          <cell r="AB765" t="str">
            <v>,</v>
          </cell>
          <cell r="AC765" t="e">
            <v>#DIV/0!</v>
          </cell>
          <cell r="AD765" t="e">
            <v>#DIV/0!</v>
          </cell>
          <cell r="AE765">
            <v>0.71</v>
          </cell>
          <cell r="AF765">
            <v>94.97</v>
          </cell>
          <cell r="AG765">
            <v>0</v>
          </cell>
          <cell r="AH765" t="e">
            <v>#DIV/0!</v>
          </cell>
          <cell r="AI765" t="e">
            <v>#DIV/0!</v>
          </cell>
          <cell r="AJ765" t="e">
            <v>#DIV/0!</v>
          </cell>
          <cell r="AK765" t="e">
            <v>#DIV/0!</v>
          </cell>
          <cell r="AL765" t="e">
            <v>#DIV/0!</v>
          </cell>
          <cell r="AM765" t="e">
            <v>#DIV/0!</v>
          </cell>
          <cell r="AN765" t="e">
            <v>#DIV/0!</v>
          </cell>
          <cell r="AO765" t="e">
            <v>#REF!</v>
          </cell>
          <cell r="AP765" t="e">
            <v>#REF!</v>
          </cell>
          <cell r="AQ765" t="e">
            <v>#REF!</v>
          </cell>
          <cell r="AR765" t="e">
            <v>#REF!</v>
          </cell>
          <cell r="AS765" t="e">
            <v>#REF!</v>
          </cell>
          <cell r="AT765" t="e">
            <v>#REF!</v>
          </cell>
          <cell r="AU765" t="e">
            <v>#REF!</v>
          </cell>
          <cell r="AV765" t="e">
            <v>#REF!</v>
          </cell>
          <cell r="AW765" t="e">
            <v>#DIV/0!</v>
          </cell>
          <cell r="AX765" t="e">
            <v>#DIV/0!</v>
          </cell>
          <cell r="AY765" t="e">
            <v>#DIV/0!</v>
          </cell>
          <cell r="AZ765" t="e">
            <v>#DIV/0!</v>
          </cell>
          <cell r="BE765" t="e">
            <v>#DIV/0!</v>
          </cell>
          <cell r="BF765" t="e">
            <v>#DIV/0!</v>
          </cell>
        </row>
        <row r="766">
          <cell r="A766" t="str">
            <v>-0</v>
          </cell>
          <cell r="B766" t="str">
            <v xml:space="preserve">-0  , </v>
          </cell>
          <cell r="C766"/>
          <cell r="D766"/>
          <cell r="E766"/>
          <cell r="F766"/>
          <cell r="G766"/>
          <cell r="H766"/>
          <cell r="I766"/>
          <cell r="J766"/>
          <cell r="K766"/>
          <cell r="L766"/>
          <cell r="M766"/>
          <cell r="N766"/>
          <cell r="O766"/>
          <cell r="P766"/>
          <cell r="Q766"/>
          <cell r="R766"/>
          <cell r="S766"/>
          <cell r="T766"/>
          <cell r="U766"/>
          <cell r="V766"/>
          <cell r="W766"/>
          <cell r="X766">
            <v>0</v>
          </cell>
          <cell r="Y766">
            <v>0</v>
          </cell>
          <cell r="Z766">
            <v>0</v>
          </cell>
          <cell r="AA766" t="str">
            <v>,</v>
          </cell>
          <cell r="AB766" t="str">
            <v>,</v>
          </cell>
          <cell r="AC766" t="e">
            <v>#DIV/0!</v>
          </cell>
          <cell r="AD766" t="e">
            <v>#DIV/0!</v>
          </cell>
          <cell r="AE766">
            <v>0.71</v>
          </cell>
          <cell r="AF766">
            <v>94.97</v>
          </cell>
          <cell r="AG766">
            <v>0</v>
          </cell>
          <cell r="AH766" t="e">
            <v>#DIV/0!</v>
          </cell>
          <cell r="AI766" t="e">
            <v>#DIV/0!</v>
          </cell>
          <cell r="AJ766" t="e">
            <v>#DIV/0!</v>
          </cell>
          <cell r="AK766" t="e">
            <v>#DIV/0!</v>
          </cell>
          <cell r="AL766" t="e">
            <v>#DIV/0!</v>
          </cell>
          <cell r="AM766" t="e">
            <v>#DIV/0!</v>
          </cell>
          <cell r="AN766" t="e">
            <v>#DIV/0!</v>
          </cell>
          <cell r="AO766" t="e">
            <v>#REF!</v>
          </cell>
          <cell r="AP766" t="e">
            <v>#REF!</v>
          </cell>
          <cell r="AQ766" t="e">
            <v>#REF!</v>
          </cell>
          <cell r="AR766" t="e">
            <v>#REF!</v>
          </cell>
          <cell r="AS766" t="e">
            <v>#REF!</v>
          </cell>
          <cell r="AT766" t="e">
            <v>#REF!</v>
          </cell>
          <cell r="AU766" t="e">
            <v>#REF!</v>
          </cell>
          <cell r="AV766" t="e">
            <v>#REF!</v>
          </cell>
          <cell r="AW766" t="e">
            <v>#DIV/0!</v>
          </cell>
          <cell r="AX766" t="e">
            <v>#DIV/0!</v>
          </cell>
          <cell r="AY766" t="e">
            <v>#DIV/0!</v>
          </cell>
          <cell r="AZ766" t="e">
            <v>#DIV/0!</v>
          </cell>
          <cell r="BE766" t="e">
            <v>#DIV/0!</v>
          </cell>
          <cell r="BF766" t="e">
            <v>#DIV/0!</v>
          </cell>
        </row>
        <row r="767">
          <cell r="A767" t="str">
            <v>-0</v>
          </cell>
          <cell r="B767" t="str">
            <v xml:space="preserve">-0  , </v>
          </cell>
          <cell r="C767"/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/>
          <cell r="S767"/>
          <cell r="T767"/>
          <cell r="U767"/>
          <cell r="V767"/>
          <cell r="W767"/>
          <cell r="X767">
            <v>0</v>
          </cell>
          <cell r="Y767">
            <v>0</v>
          </cell>
          <cell r="Z767">
            <v>0</v>
          </cell>
          <cell r="AA767" t="str">
            <v>,</v>
          </cell>
          <cell r="AB767" t="str">
            <v>,</v>
          </cell>
          <cell r="AC767" t="e">
            <v>#DIV/0!</v>
          </cell>
          <cell r="AD767" t="e">
            <v>#DIV/0!</v>
          </cell>
          <cell r="AE767">
            <v>0.71</v>
          </cell>
          <cell r="AF767">
            <v>94.97</v>
          </cell>
          <cell r="AG767">
            <v>0</v>
          </cell>
          <cell r="AH767" t="e">
            <v>#DIV/0!</v>
          </cell>
          <cell r="AI767" t="e">
            <v>#DIV/0!</v>
          </cell>
          <cell r="AJ767" t="e">
            <v>#DIV/0!</v>
          </cell>
          <cell r="AK767" t="e">
            <v>#DIV/0!</v>
          </cell>
          <cell r="AL767" t="e">
            <v>#DIV/0!</v>
          </cell>
          <cell r="AM767" t="e">
            <v>#DIV/0!</v>
          </cell>
          <cell r="AN767" t="e">
            <v>#DIV/0!</v>
          </cell>
          <cell r="AO767" t="e">
            <v>#REF!</v>
          </cell>
          <cell r="AP767" t="e">
            <v>#REF!</v>
          </cell>
          <cell r="AQ767" t="e">
            <v>#REF!</v>
          </cell>
          <cell r="AR767" t="e">
            <v>#REF!</v>
          </cell>
          <cell r="AS767" t="e">
            <v>#REF!</v>
          </cell>
          <cell r="AT767" t="e">
            <v>#REF!</v>
          </cell>
          <cell r="AU767" t="e">
            <v>#REF!</v>
          </cell>
          <cell r="AV767" t="e">
            <v>#REF!</v>
          </cell>
          <cell r="AW767" t="e">
            <v>#DIV/0!</v>
          </cell>
          <cell r="AX767" t="e">
            <v>#DIV/0!</v>
          </cell>
          <cell r="AY767" t="e">
            <v>#DIV/0!</v>
          </cell>
          <cell r="AZ767" t="e">
            <v>#DIV/0!</v>
          </cell>
          <cell r="BE767" t="e">
            <v>#DIV/0!</v>
          </cell>
          <cell r="BF767" t="e">
            <v>#DIV/0!</v>
          </cell>
        </row>
        <row r="768">
          <cell r="A768" t="str">
            <v>-0</v>
          </cell>
          <cell r="B768" t="str">
            <v xml:space="preserve">-0  , </v>
          </cell>
          <cell r="C768"/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/>
          <cell r="S768"/>
          <cell r="T768"/>
          <cell r="U768"/>
          <cell r="V768"/>
          <cell r="W768"/>
          <cell r="X768">
            <v>0</v>
          </cell>
          <cell r="Y768">
            <v>0</v>
          </cell>
          <cell r="Z768">
            <v>0</v>
          </cell>
          <cell r="AA768" t="str">
            <v>,</v>
          </cell>
          <cell r="AB768" t="str">
            <v>,</v>
          </cell>
          <cell r="AC768" t="e">
            <v>#DIV/0!</v>
          </cell>
          <cell r="AD768" t="e">
            <v>#DIV/0!</v>
          </cell>
          <cell r="AE768">
            <v>0.71</v>
          </cell>
          <cell r="AF768">
            <v>94.97</v>
          </cell>
          <cell r="AG768">
            <v>0</v>
          </cell>
          <cell r="AH768" t="e">
            <v>#DIV/0!</v>
          </cell>
          <cell r="AI768" t="e">
            <v>#DIV/0!</v>
          </cell>
          <cell r="AJ768" t="e">
            <v>#DIV/0!</v>
          </cell>
          <cell r="AK768" t="e">
            <v>#DIV/0!</v>
          </cell>
          <cell r="AL768" t="e">
            <v>#DIV/0!</v>
          </cell>
          <cell r="AM768" t="e">
            <v>#DIV/0!</v>
          </cell>
          <cell r="AN768" t="e">
            <v>#DIV/0!</v>
          </cell>
          <cell r="AO768" t="e">
            <v>#REF!</v>
          </cell>
          <cell r="AP768" t="e">
            <v>#REF!</v>
          </cell>
          <cell r="AQ768" t="e">
            <v>#REF!</v>
          </cell>
          <cell r="AR768" t="e">
            <v>#REF!</v>
          </cell>
          <cell r="AS768" t="e">
            <v>#REF!</v>
          </cell>
          <cell r="AT768" t="e">
            <v>#REF!</v>
          </cell>
          <cell r="AU768" t="e">
            <v>#REF!</v>
          </cell>
          <cell r="AV768" t="e">
            <v>#REF!</v>
          </cell>
          <cell r="AW768" t="e">
            <v>#DIV/0!</v>
          </cell>
          <cell r="AX768" t="e">
            <v>#DIV/0!</v>
          </cell>
          <cell r="AY768" t="e">
            <v>#DIV/0!</v>
          </cell>
          <cell r="AZ768" t="e">
            <v>#DIV/0!</v>
          </cell>
          <cell r="BE768" t="e">
            <v>#DIV/0!</v>
          </cell>
          <cell r="BF768" t="e">
            <v>#DIV/0!</v>
          </cell>
        </row>
        <row r="769">
          <cell r="A769" t="str">
            <v>-0</v>
          </cell>
          <cell r="B769" t="str">
            <v xml:space="preserve">-0  , </v>
          </cell>
          <cell r="C769"/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  <cell r="X769">
            <v>0</v>
          </cell>
          <cell r="Y769">
            <v>0</v>
          </cell>
          <cell r="Z769">
            <v>0</v>
          </cell>
          <cell r="AA769" t="str">
            <v>,</v>
          </cell>
          <cell r="AB769" t="str">
            <v>,</v>
          </cell>
          <cell r="AC769" t="e">
            <v>#DIV/0!</v>
          </cell>
          <cell r="AD769" t="e">
            <v>#DIV/0!</v>
          </cell>
          <cell r="AE769">
            <v>0.71</v>
          </cell>
          <cell r="AF769">
            <v>94.97</v>
          </cell>
          <cell r="AG769">
            <v>0</v>
          </cell>
          <cell r="AH769" t="e">
            <v>#DIV/0!</v>
          </cell>
          <cell r="AI769" t="e">
            <v>#DIV/0!</v>
          </cell>
          <cell r="AJ769" t="e">
            <v>#DIV/0!</v>
          </cell>
          <cell r="AK769" t="e">
            <v>#DIV/0!</v>
          </cell>
          <cell r="AL769" t="e">
            <v>#DIV/0!</v>
          </cell>
          <cell r="AM769" t="e">
            <v>#DIV/0!</v>
          </cell>
          <cell r="AN769" t="e">
            <v>#DIV/0!</v>
          </cell>
          <cell r="AO769" t="e">
            <v>#REF!</v>
          </cell>
          <cell r="AP769" t="e">
            <v>#REF!</v>
          </cell>
          <cell r="AQ769" t="e">
            <v>#REF!</v>
          </cell>
          <cell r="AR769" t="e">
            <v>#REF!</v>
          </cell>
          <cell r="AS769" t="e">
            <v>#REF!</v>
          </cell>
          <cell r="AT769" t="e">
            <v>#REF!</v>
          </cell>
          <cell r="AU769" t="e">
            <v>#REF!</v>
          </cell>
          <cell r="AV769" t="e">
            <v>#REF!</v>
          </cell>
          <cell r="AW769" t="e">
            <v>#DIV/0!</v>
          </cell>
          <cell r="AX769" t="e">
            <v>#DIV/0!</v>
          </cell>
          <cell r="AY769" t="e">
            <v>#DIV/0!</v>
          </cell>
          <cell r="AZ769" t="e">
            <v>#DIV/0!</v>
          </cell>
          <cell r="BE769" t="e">
            <v>#DIV/0!</v>
          </cell>
          <cell r="BF769" t="e">
            <v>#DIV/0!</v>
          </cell>
        </row>
        <row r="770">
          <cell r="A770" t="str">
            <v>-0</v>
          </cell>
          <cell r="B770" t="str">
            <v xml:space="preserve">-0  , </v>
          </cell>
          <cell r="C770"/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  <cell r="X770">
            <v>0</v>
          </cell>
          <cell r="Y770">
            <v>0</v>
          </cell>
          <cell r="Z770">
            <v>0</v>
          </cell>
          <cell r="AA770" t="str">
            <v>,</v>
          </cell>
          <cell r="AB770" t="str">
            <v>,</v>
          </cell>
          <cell r="AC770" t="e">
            <v>#DIV/0!</v>
          </cell>
          <cell r="AD770" t="e">
            <v>#DIV/0!</v>
          </cell>
          <cell r="AE770">
            <v>0.71</v>
          </cell>
          <cell r="AF770">
            <v>94.97</v>
          </cell>
          <cell r="AG770">
            <v>0</v>
          </cell>
          <cell r="AH770" t="e">
            <v>#DIV/0!</v>
          </cell>
          <cell r="AI770" t="e">
            <v>#DIV/0!</v>
          </cell>
          <cell r="AJ770" t="e">
            <v>#DIV/0!</v>
          </cell>
          <cell r="AK770" t="e">
            <v>#DIV/0!</v>
          </cell>
          <cell r="AL770" t="e">
            <v>#DIV/0!</v>
          </cell>
          <cell r="AM770" t="e">
            <v>#DIV/0!</v>
          </cell>
          <cell r="AN770" t="e">
            <v>#DIV/0!</v>
          </cell>
          <cell r="AO770" t="e">
            <v>#REF!</v>
          </cell>
          <cell r="AP770" t="e">
            <v>#REF!</v>
          </cell>
          <cell r="AQ770" t="e">
            <v>#REF!</v>
          </cell>
          <cell r="AR770" t="e">
            <v>#REF!</v>
          </cell>
          <cell r="AS770" t="e">
            <v>#REF!</v>
          </cell>
          <cell r="AT770" t="e">
            <v>#REF!</v>
          </cell>
          <cell r="AU770" t="e">
            <v>#REF!</v>
          </cell>
          <cell r="AV770" t="e">
            <v>#REF!</v>
          </cell>
          <cell r="AW770" t="e">
            <v>#DIV/0!</v>
          </cell>
          <cell r="AX770" t="e">
            <v>#DIV/0!</v>
          </cell>
          <cell r="AY770" t="e">
            <v>#DIV/0!</v>
          </cell>
          <cell r="AZ770" t="e">
            <v>#DIV/0!</v>
          </cell>
          <cell r="BE770" t="e">
            <v>#DIV/0!</v>
          </cell>
          <cell r="BF770" t="e">
            <v>#DIV/0!</v>
          </cell>
        </row>
        <row r="771">
          <cell r="A771" t="str">
            <v>-0</v>
          </cell>
          <cell r="B771" t="str">
            <v xml:space="preserve">-0  , </v>
          </cell>
          <cell r="C771"/>
          <cell r="D771"/>
          <cell r="E771"/>
          <cell r="F771"/>
          <cell r="G771"/>
          <cell r="H771"/>
          <cell r="I771"/>
          <cell r="J771"/>
          <cell r="K771"/>
          <cell r="L771"/>
          <cell r="M771"/>
          <cell r="N771"/>
          <cell r="O771"/>
          <cell r="P771"/>
          <cell r="Q771"/>
          <cell r="R771"/>
          <cell r="S771"/>
          <cell r="T771"/>
          <cell r="U771"/>
          <cell r="V771"/>
          <cell r="W771"/>
          <cell r="X771">
            <v>0</v>
          </cell>
          <cell r="Y771">
            <v>0</v>
          </cell>
          <cell r="Z771">
            <v>0</v>
          </cell>
          <cell r="AA771" t="str">
            <v>,</v>
          </cell>
          <cell r="AB771" t="str">
            <v>,</v>
          </cell>
          <cell r="AC771" t="e">
            <v>#DIV/0!</v>
          </cell>
          <cell r="AD771" t="e">
            <v>#DIV/0!</v>
          </cell>
          <cell r="AE771">
            <v>0.71</v>
          </cell>
          <cell r="AF771">
            <v>94.97</v>
          </cell>
          <cell r="AG771">
            <v>0</v>
          </cell>
          <cell r="AH771" t="e">
            <v>#DIV/0!</v>
          </cell>
          <cell r="AI771" t="e">
            <v>#DIV/0!</v>
          </cell>
          <cell r="AJ771" t="e">
            <v>#DIV/0!</v>
          </cell>
          <cell r="AK771" t="e">
            <v>#DIV/0!</v>
          </cell>
          <cell r="AL771" t="e">
            <v>#DIV/0!</v>
          </cell>
          <cell r="AM771" t="e">
            <v>#DIV/0!</v>
          </cell>
          <cell r="AN771" t="e">
            <v>#DIV/0!</v>
          </cell>
          <cell r="AO771" t="e">
            <v>#REF!</v>
          </cell>
          <cell r="AP771" t="e">
            <v>#REF!</v>
          </cell>
          <cell r="AQ771" t="e">
            <v>#REF!</v>
          </cell>
          <cell r="AR771" t="e">
            <v>#REF!</v>
          </cell>
          <cell r="AS771" t="e">
            <v>#REF!</v>
          </cell>
          <cell r="AT771" t="e">
            <v>#REF!</v>
          </cell>
          <cell r="AU771" t="e">
            <v>#REF!</v>
          </cell>
          <cell r="AV771" t="e">
            <v>#REF!</v>
          </cell>
          <cell r="AW771" t="e">
            <v>#DIV/0!</v>
          </cell>
          <cell r="AX771" t="e">
            <v>#DIV/0!</v>
          </cell>
          <cell r="AY771" t="e">
            <v>#DIV/0!</v>
          </cell>
          <cell r="AZ771" t="e">
            <v>#DIV/0!</v>
          </cell>
          <cell r="BE771" t="e">
            <v>#DIV/0!</v>
          </cell>
          <cell r="BF771" t="e">
            <v>#DIV/0!</v>
          </cell>
        </row>
        <row r="772">
          <cell r="A772" t="str">
            <v>-0</v>
          </cell>
          <cell r="B772" t="str">
            <v xml:space="preserve">-0  , </v>
          </cell>
          <cell r="C772"/>
          <cell r="D772"/>
          <cell r="E772"/>
          <cell r="F772"/>
          <cell r="G772"/>
          <cell r="H772"/>
          <cell r="I772"/>
          <cell r="J772"/>
          <cell r="K772"/>
          <cell r="L772"/>
          <cell r="M772"/>
          <cell r="N772"/>
          <cell r="O772"/>
          <cell r="P772"/>
          <cell r="Q772"/>
          <cell r="R772"/>
          <cell r="S772"/>
          <cell r="T772"/>
          <cell r="U772"/>
          <cell r="V772"/>
          <cell r="W772"/>
          <cell r="X772">
            <v>0</v>
          </cell>
          <cell r="Y772">
            <v>0</v>
          </cell>
          <cell r="Z772">
            <v>0</v>
          </cell>
          <cell r="AA772" t="str">
            <v>,</v>
          </cell>
          <cell r="AB772" t="str">
            <v>,</v>
          </cell>
          <cell r="AC772" t="e">
            <v>#DIV/0!</v>
          </cell>
          <cell r="AD772" t="e">
            <v>#DIV/0!</v>
          </cell>
          <cell r="AE772">
            <v>0.71</v>
          </cell>
          <cell r="AF772">
            <v>94.97</v>
          </cell>
          <cell r="AG772">
            <v>0</v>
          </cell>
          <cell r="AH772" t="e">
            <v>#DIV/0!</v>
          </cell>
          <cell r="AI772" t="e">
            <v>#DIV/0!</v>
          </cell>
          <cell r="AJ772" t="e">
            <v>#DIV/0!</v>
          </cell>
          <cell r="AK772" t="e">
            <v>#DIV/0!</v>
          </cell>
          <cell r="AL772" t="e">
            <v>#DIV/0!</v>
          </cell>
          <cell r="AM772" t="e">
            <v>#DIV/0!</v>
          </cell>
          <cell r="AN772" t="e">
            <v>#DIV/0!</v>
          </cell>
          <cell r="AO772" t="e">
            <v>#REF!</v>
          </cell>
          <cell r="AP772" t="e">
            <v>#REF!</v>
          </cell>
          <cell r="AQ772" t="e">
            <v>#REF!</v>
          </cell>
          <cell r="AR772" t="e">
            <v>#REF!</v>
          </cell>
          <cell r="AS772" t="e">
            <v>#REF!</v>
          </cell>
          <cell r="AT772" t="e">
            <v>#REF!</v>
          </cell>
          <cell r="AU772" t="e">
            <v>#REF!</v>
          </cell>
          <cell r="AV772" t="e">
            <v>#REF!</v>
          </cell>
          <cell r="AW772" t="e">
            <v>#DIV/0!</v>
          </cell>
          <cell r="AX772" t="e">
            <v>#DIV/0!</v>
          </cell>
          <cell r="AY772" t="e">
            <v>#DIV/0!</v>
          </cell>
          <cell r="AZ772" t="e">
            <v>#DIV/0!</v>
          </cell>
          <cell r="BE772" t="e">
            <v>#DIV/0!</v>
          </cell>
          <cell r="BF772" t="e">
            <v>#DIV/0!</v>
          </cell>
        </row>
        <row r="773">
          <cell r="A773" t="str">
            <v>-0</v>
          </cell>
          <cell r="B773" t="str">
            <v xml:space="preserve">-0  , </v>
          </cell>
          <cell r="C773"/>
          <cell r="D773"/>
          <cell r="E773"/>
          <cell r="F773"/>
          <cell r="G773"/>
          <cell r="H773"/>
          <cell r="I773"/>
          <cell r="J773"/>
          <cell r="K773"/>
          <cell r="L773"/>
          <cell r="M773"/>
          <cell r="N773"/>
          <cell r="O773"/>
          <cell r="P773"/>
          <cell r="Q773"/>
          <cell r="R773"/>
          <cell r="S773"/>
          <cell r="T773"/>
          <cell r="U773"/>
          <cell r="V773"/>
          <cell r="W773"/>
          <cell r="X773">
            <v>0</v>
          </cell>
          <cell r="Y773">
            <v>0</v>
          </cell>
          <cell r="Z773">
            <v>0</v>
          </cell>
          <cell r="AA773" t="str">
            <v>,</v>
          </cell>
          <cell r="AB773" t="str">
            <v>,</v>
          </cell>
          <cell r="AC773" t="e">
            <v>#DIV/0!</v>
          </cell>
          <cell r="AD773" t="e">
            <v>#DIV/0!</v>
          </cell>
          <cell r="AE773">
            <v>0.71</v>
          </cell>
          <cell r="AF773">
            <v>94.97</v>
          </cell>
          <cell r="AG773">
            <v>0</v>
          </cell>
          <cell r="AH773" t="e">
            <v>#DIV/0!</v>
          </cell>
          <cell r="AI773" t="e">
            <v>#DIV/0!</v>
          </cell>
          <cell r="AJ773" t="e">
            <v>#DIV/0!</v>
          </cell>
          <cell r="AK773" t="e">
            <v>#DIV/0!</v>
          </cell>
          <cell r="AL773" t="e">
            <v>#DIV/0!</v>
          </cell>
          <cell r="AM773" t="e">
            <v>#DIV/0!</v>
          </cell>
          <cell r="AN773" t="e">
            <v>#DIV/0!</v>
          </cell>
          <cell r="AO773" t="e">
            <v>#REF!</v>
          </cell>
          <cell r="AP773" t="e">
            <v>#REF!</v>
          </cell>
          <cell r="AQ773" t="e">
            <v>#REF!</v>
          </cell>
          <cell r="AR773" t="e">
            <v>#REF!</v>
          </cell>
          <cell r="AS773" t="e">
            <v>#REF!</v>
          </cell>
          <cell r="AT773" t="e">
            <v>#REF!</v>
          </cell>
          <cell r="AU773" t="e">
            <v>#REF!</v>
          </cell>
          <cell r="AV773" t="e">
            <v>#REF!</v>
          </cell>
          <cell r="AW773" t="e">
            <v>#DIV/0!</v>
          </cell>
          <cell r="AX773" t="e">
            <v>#DIV/0!</v>
          </cell>
          <cell r="AY773" t="e">
            <v>#DIV/0!</v>
          </cell>
          <cell r="AZ773" t="e">
            <v>#DIV/0!</v>
          </cell>
          <cell r="BE773" t="e">
            <v>#DIV/0!</v>
          </cell>
          <cell r="BF773" t="e">
            <v>#DIV/0!</v>
          </cell>
        </row>
        <row r="774">
          <cell r="A774" t="str">
            <v>-0</v>
          </cell>
          <cell r="B774" t="str">
            <v xml:space="preserve">-0  , </v>
          </cell>
          <cell r="C774"/>
          <cell r="D774"/>
          <cell r="E774"/>
          <cell r="F774"/>
          <cell r="G774"/>
          <cell r="H774"/>
          <cell r="I774"/>
          <cell r="J774"/>
          <cell r="K774"/>
          <cell r="L774"/>
          <cell r="M774"/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  <cell r="X774">
            <v>0</v>
          </cell>
          <cell r="Y774">
            <v>0</v>
          </cell>
          <cell r="Z774">
            <v>0</v>
          </cell>
          <cell r="AA774" t="str">
            <v>,</v>
          </cell>
          <cell r="AB774" t="str">
            <v>,</v>
          </cell>
          <cell r="AC774" t="e">
            <v>#DIV/0!</v>
          </cell>
          <cell r="AD774" t="e">
            <v>#DIV/0!</v>
          </cell>
          <cell r="AE774">
            <v>0.71</v>
          </cell>
          <cell r="AF774">
            <v>94.97</v>
          </cell>
          <cell r="AG774">
            <v>0</v>
          </cell>
          <cell r="AH774" t="e">
            <v>#DIV/0!</v>
          </cell>
          <cell r="AI774" t="e">
            <v>#DIV/0!</v>
          </cell>
          <cell r="AJ774" t="e">
            <v>#DIV/0!</v>
          </cell>
          <cell r="AK774" t="e">
            <v>#DIV/0!</v>
          </cell>
          <cell r="AL774" t="e">
            <v>#DIV/0!</v>
          </cell>
          <cell r="AM774" t="e">
            <v>#DIV/0!</v>
          </cell>
          <cell r="AN774" t="e">
            <v>#DIV/0!</v>
          </cell>
          <cell r="AO774" t="e">
            <v>#REF!</v>
          </cell>
          <cell r="AP774" t="e">
            <v>#REF!</v>
          </cell>
          <cell r="AQ774" t="e">
            <v>#REF!</v>
          </cell>
          <cell r="AR774" t="e">
            <v>#REF!</v>
          </cell>
          <cell r="AS774" t="e">
            <v>#REF!</v>
          </cell>
          <cell r="AT774" t="e">
            <v>#REF!</v>
          </cell>
          <cell r="AU774" t="e">
            <v>#REF!</v>
          </cell>
          <cell r="AV774" t="e">
            <v>#REF!</v>
          </cell>
          <cell r="AW774" t="e">
            <v>#DIV/0!</v>
          </cell>
          <cell r="AX774" t="e">
            <v>#DIV/0!</v>
          </cell>
          <cell r="AY774" t="e">
            <v>#DIV/0!</v>
          </cell>
          <cell r="AZ774" t="e">
            <v>#DIV/0!</v>
          </cell>
          <cell r="BE774" t="e">
            <v>#DIV/0!</v>
          </cell>
          <cell r="BF774" t="e">
            <v>#DIV/0!</v>
          </cell>
        </row>
        <row r="775">
          <cell r="A775" t="str">
            <v>-0</v>
          </cell>
          <cell r="B775" t="str">
            <v xml:space="preserve">-0  , </v>
          </cell>
          <cell r="C775"/>
          <cell r="D775"/>
          <cell r="E775"/>
          <cell r="F775"/>
          <cell r="G775"/>
          <cell r="H775"/>
          <cell r="I775"/>
          <cell r="J775"/>
          <cell r="K775"/>
          <cell r="L775"/>
          <cell r="M775"/>
          <cell r="N775"/>
          <cell r="O775"/>
          <cell r="P775"/>
          <cell r="Q775"/>
          <cell r="R775"/>
          <cell r="S775"/>
          <cell r="T775"/>
          <cell r="U775"/>
          <cell r="V775"/>
          <cell r="W775"/>
          <cell r="X775">
            <v>0</v>
          </cell>
          <cell r="Y775">
            <v>0</v>
          </cell>
          <cell r="Z775">
            <v>0</v>
          </cell>
          <cell r="AA775" t="str">
            <v>,</v>
          </cell>
          <cell r="AB775" t="str">
            <v>,</v>
          </cell>
          <cell r="AC775" t="e">
            <v>#DIV/0!</v>
          </cell>
          <cell r="AD775" t="e">
            <v>#DIV/0!</v>
          </cell>
          <cell r="AE775">
            <v>0.71</v>
          </cell>
          <cell r="AF775">
            <v>94.97</v>
          </cell>
          <cell r="AG775">
            <v>0</v>
          </cell>
          <cell r="AH775" t="e">
            <v>#DIV/0!</v>
          </cell>
          <cell r="AI775" t="e">
            <v>#DIV/0!</v>
          </cell>
          <cell r="AJ775" t="e">
            <v>#DIV/0!</v>
          </cell>
          <cell r="AK775" t="e">
            <v>#DIV/0!</v>
          </cell>
          <cell r="AL775" t="e">
            <v>#DIV/0!</v>
          </cell>
          <cell r="AM775" t="e">
            <v>#DIV/0!</v>
          </cell>
          <cell r="AN775" t="e">
            <v>#DIV/0!</v>
          </cell>
          <cell r="AO775" t="e">
            <v>#REF!</v>
          </cell>
          <cell r="AP775" t="e">
            <v>#REF!</v>
          </cell>
          <cell r="AQ775" t="e">
            <v>#REF!</v>
          </cell>
          <cell r="AR775" t="e">
            <v>#REF!</v>
          </cell>
          <cell r="AS775" t="e">
            <v>#REF!</v>
          </cell>
          <cell r="AT775" t="e">
            <v>#REF!</v>
          </cell>
          <cell r="AU775" t="e">
            <v>#REF!</v>
          </cell>
          <cell r="AV775" t="e">
            <v>#REF!</v>
          </cell>
          <cell r="AW775" t="e">
            <v>#DIV/0!</v>
          </cell>
          <cell r="AX775" t="e">
            <v>#DIV/0!</v>
          </cell>
          <cell r="AY775" t="e">
            <v>#DIV/0!</v>
          </cell>
          <cell r="AZ775" t="e">
            <v>#DIV/0!</v>
          </cell>
          <cell r="BE775" t="e">
            <v>#DIV/0!</v>
          </cell>
          <cell r="BF775" t="e">
            <v>#DIV/0!</v>
          </cell>
        </row>
        <row r="776">
          <cell r="A776" t="str">
            <v>-0</v>
          </cell>
          <cell r="B776" t="str">
            <v xml:space="preserve">-0  , </v>
          </cell>
          <cell r="C776"/>
          <cell r="D776"/>
          <cell r="E776"/>
          <cell r="F776"/>
          <cell r="G776"/>
          <cell r="H776"/>
          <cell r="I776"/>
          <cell r="J776"/>
          <cell r="K776"/>
          <cell r="L776"/>
          <cell r="M776"/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  <cell r="X776">
            <v>0</v>
          </cell>
          <cell r="Y776">
            <v>0</v>
          </cell>
          <cell r="Z776">
            <v>0</v>
          </cell>
          <cell r="AA776" t="str">
            <v>,</v>
          </cell>
          <cell r="AB776" t="str">
            <v>,</v>
          </cell>
          <cell r="AC776" t="e">
            <v>#DIV/0!</v>
          </cell>
          <cell r="AD776" t="e">
            <v>#DIV/0!</v>
          </cell>
          <cell r="AE776">
            <v>0.71</v>
          </cell>
          <cell r="AF776">
            <v>94.97</v>
          </cell>
          <cell r="AG776">
            <v>0</v>
          </cell>
          <cell r="AH776" t="e">
            <v>#DIV/0!</v>
          </cell>
          <cell r="AI776" t="e">
            <v>#DIV/0!</v>
          </cell>
          <cell r="AJ776" t="e">
            <v>#DIV/0!</v>
          </cell>
          <cell r="AK776" t="e">
            <v>#DIV/0!</v>
          </cell>
          <cell r="AL776" t="e">
            <v>#DIV/0!</v>
          </cell>
          <cell r="AM776" t="e">
            <v>#DIV/0!</v>
          </cell>
          <cell r="AN776" t="e">
            <v>#DIV/0!</v>
          </cell>
          <cell r="AO776" t="e">
            <v>#REF!</v>
          </cell>
          <cell r="AP776" t="e">
            <v>#REF!</v>
          </cell>
          <cell r="AQ776" t="e">
            <v>#REF!</v>
          </cell>
          <cell r="AR776" t="e">
            <v>#REF!</v>
          </cell>
          <cell r="AS776" t="e">
            <v>#REF!</v>
          </cell>
          <cell r="AT776" t="e">
            <v>#REF!</v>
          </cell>
          <cell r="AU776" t="e">
            <v>#REF!</v>
          </cell>
          <cell r="AV776" t="e">
            <v>#REF!</v>
          </cell>
          <cell r="AW776" t="e">
            <v>#DIV/0!</v>
          </cell>
          <cell r="AX776" t="e">
            <v>#DIV/0!</v>
          </cell>
          <cell r="AY776" t="e">
            <v>#DIV/0!</v>
          </cell>
          <cell r="AZ776" t="e">
            <v>#DIV/0!</v>
          </cell>
          <cell r="BE776" t="e">
            <v>#DIV/0!</v>
          </cell>
          <cell r="BF776" t="e">
            <v>#DIV/0!</v>
          </cell>
        </row>
        <row r="777">
          <cell r="A777" t="str">
            <v>-0</v>
          </cell>
          <cell r="B777" t="str">
            <v xml:space="preserve">-0  , </v>
          </cell>
          <cell r="C777"/>
          <cell r="D777"/>
          <cell r="E777"/>
          <cell r="F777"/>
          <cell r="G777"/>
          <cell r="H777"/>
          <cell r="I777"/>
          <cell r="J777"/>
          <cell r="K777"/>
          <cell r="L777"/>
          <cell r="M777"/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  <cell r="X777">
            <v>0</v>
          </cell>
          <cell r="Y777">
            <v>0</v>
          </cell>
          <cell r="Z777">
            <v>0</v>
          </cell>
          <cell r="AA777" t="str">
            <v>,</v>
          </cell>
          <cell r="AB777" t="str">
            <v>,</v>
          </cell>
          <cell r="AC777" t="e">
            <v>#DIV/0!</v>
          </cell>
          <cell r="AD777" t="e">
            <v>#DIV/0!</v>
          </cell>
          <cell r="AE777">
            <v>0.71</v>
          </cell>
          <cell r="AF777">
            <v>94.97</v>
          </cell>
          <cell r="AG777">
            <v>0</v>
          </cell>
          <cell r="AH777" t="e">
            <v>#DIV/0!</v>
          </cell>
          <cell r="AI777" t="e">
            <v>#DIV/0!</v>
          </cell>
          <cell r="AJ777" t="e">
            <v>#DIV/0!</v>
          </cell>
          <cell r="AK777" t="e">
            <v>#DIV/0!</v>
          </cell>
          <cell r="AL777" t="e">
            <v>#DIV/0!</v>
          </cell>
          <cell r="AM777" t="e">
            <v>#DIV/0!</v>
          </cell>
          <cell r="AN777" t="e">
            <v>#DIV/0!</v>
          </cell>
          <cell r="AO777" t="e">
            <v>#REF!</v>
          </cell>
          <cell r="AP777" t="e">
            <v>#REF!</v>
          </cell>
          <cell r="AQ777" t="e">
            <v>#REF!</v>
          </cell>
          <cell r="AR777" t="e">
            <v>#REF!</v>
          </cell>
          <cell r="AS777" t="e">
            <v>#REF!</v>
          </cell>
          <cell r="AT777" t="e">
            <v>#REF!</v>
          </cell>
          <cell r="AU777" t="e">
            <v>#REF!</v>
          </cell>
          <cell r="AV777" t="e">
            <v>#REF!</v>
          </cell>
          <cell r="AW777" t="e">
            <v>#DIV/0!</v>
          </cell>
          <cell r="AX777" t="e">
            <v>#DIV/0!</v>
          </cell>
          <cell r="AY777" t="e">
            <v>#DIV/0!</v>
          </cell>
          <cell r="AZ777" t="e">
            <v>#DIV/0!</v>
          </cell>
          <cell r="BE777" t="e">
            <v>#DIV/0!</v>
          </cell>
          <cell r="BF777" t="e">
            <v>#DIV/0!</v>
          </cell>
        </row>
        <row r="778">
          <cell r="A778" t="str">
            <v>-0</v>
          </cell>
          <cell r="B778" t="str">
            <v xml:space="preserve">-0  , </v>
          </cell>
          <cell r="C778"/>
          <cell r="D778"/>
          <cell r="E778"/>
          <cell r="F778"/>
          <cell r="G778"/>
          <cell r="H778"/>
          <cell r="I778"/>
          <cell r="J778"/>
          <cell r="K778"/>
          <cell r="L778"/>
          <cell r="M778"/>
          <cell r="N778"/>
          <cell r="O778"/>
          <cell r="P778"/>
          <cell r="Q778"/>
          <cell r="R778"/>
          <cell r="S778"/>
          <cell r="T778"/>
          <cell r="U778"/>
          <cell r="V778"/>
          <cell r="W778"/>
          <cell r="X778">
            <v>0</v>
          </cell>
          <cell r="Y778">
            <v>0</v>
          </cell>
          <cell r="Z778">
            <v>0</v>
          </cell>
          <cell r="AA778" t="str">
            <v>,</v>
          </cell>
          <cell r="AB778" t="str">
            <v>,</v>
          </cell>
          <cell r="AC778" t="e">
            <v>#DIV/0!</v>
          </cell>
          <cell r="AD778" t="e">
            <v>#DIV/0!</v>
          </cell>
          <cell r="AE778">
            <v>0.71</v>
          </cell>
          <cell r="AF778">
            <v>94.97</v>
          </cell>
          <cell r="AG778">
            <v>0</v>
          </cell>
          <cell r="AH778" t="e">
            <v>#DIV/0!</v>
          </cell>
          <cell r="AI778" t="e">
            <v>#DIV/0!</v>
          </cell>
          <cell r="AJ778" t="e">
            <v>#DIV/0!</v>
          </cell>
          <cell r="AK778" t="e">
            <v>#DIV/0!</v>
          </cell>
          <cell r="AL778" t="e">
            <v>#DIV/0!</v>
          </cell>
          <cell r="AM778" t="e">
            <v>#DIV/0!</v>
          </cell>
          <cell r="AN778" t="e">
            <v>#DIV/0!</v>
          </cell>
          <cell r="AO778" t="e">
            <v>#REF!</v>
          </cell>
          <cell r="AP778" t="e">
            <v>#REF!</v>
          </cell>
          <cell r="AQ778" t="e">
            <v>#REF!</v>
          </cell>
          <cell r="AR778" t="e">
            <v>#REF!</v>
          </cell>
          <cell r="AS778" t="e">
            <v>#REF!</v>
          </cell>
          <cell r="AT778" t="e">
            <v>#REF!</v>
          </cell>
          <cell r="AU778" t="e">
            <v>#REF!</v>
          </cell>
          <cell r="AV778" t="e">
            <v>#REF!</v>
          </cell>
          <cell r="AW778" t="e">
            <v>#DIV/0!</v>
          </cell>
          <cell r="AX778" t="e">
            <v>#DIV/0!</v>
          </cell>
          <cell r="AY778" t="e">
            <v>#DIV/0!</v>
          </cell>
          <cell r="AZ778" t="e">
            <v>#DIV/0!</v>
          </cell>
          <cell r="BE778" t="e">
            <v>#DIV/0!</v>
          </cell>
          <cell r="BF778" t="e">
            <v>#DIV/0!</v>
          </cell>
        </row>
        <row r="779">
          <cell r="A779" t="str">
            <v>-0</v>
          </cell>
          <cell r="B779" t="str">
            <v xml:space="preserve">-0  , </v>
          </cell>
          <cell r="C779"/>
          <cell r="D779"/>
          <cell r="E779"/>
          <cell r="F779"/>
          <cell r="G779"/>
          <cell r="H779"/>
          <cell r="I779"/>
          <cell r="J779"/>
          <cell r="K779"/>
          <cell r="L779"/>
          <cell r="M779"/>
          <cell r="N779"/>
          <cell r="O779"/>
          <cell r="P779"/>
          <cell r="Q779"/>
          <cell r="R779"/>
          <cell r="S779"/>
          <cell r="T779"/>
          <cell r="U779"/>
          <cell r="V779"/>
          <cell r="W779"/>
          <cell r="X779">
            <v>0</v>
          </cell>
          <cell r="Y779">
            <v>0</v>
          </cell>
          <cell r="Z779">
            <v>0</v>
          </cell>
          <cell r="AA779" t="str">
            <v>,</v>
          </cell>
          <cell r="AB779" t="str">
            <v>,</v>
          </cell>
          <cell r="AC779" t="e">
            <v>#DIV/0!</v>
          </cell>
          <cell r="AD779" t="e">
            <v>#DIV/0!</v>
          </cell>
          <cell r="AE779">
            <v>0.71</v>
          </cell>
          <cell r="AF779">
            <v>94.97</v>
          </cell>
          <cell r="AG779">
            <v>0</v>
          </cell>
          <cell r="AH779" t="e">
            <v>#DIV/0!</v>
          </cell>
          <cell r="AI779" t="e">
            <v>#DIV/0!</v>
          </cell>
          <cell r="AJ779" t="e">
            <v>#DIV/0!</v>
          </cell>
          <cell r="AK779" t="e">
            <v>#DIV/0!</v>
          </cell>
          <cell r="AL779" t="e">
            <v>#DIV/0!</v>
          </cell>
          <cell r="AM779" t="e">
            <v>#DIV/0!</v>
          </cell>
          <cell r="AN779" t="e">
            <v>#DIV/0!</v>
          </cell>
          <cell r="AO779" t="e">
            <v>#REF!</v>
          </cell>
          <cell r="AP779" t="e">
            <v>#REF!</v>
          </cell>
          <cell r="AQ779" t="e">
            <v>#REF!</v>
          </cell>
          <cell r="AR779" t="e">
            <v>#REF!</v>
          </cell>
          <cell r="AS779" t="e">
            <v>#REF!</v>
          </cell>
          <cell r="AT779" t="e">
            <v>#REF!</v>
          </cell>
          <cell r="AU779" t="e">
            <v>#REF!</v>
          </cell>
          <cell r="AV779" t="e">
            <v>#REF!</v>
          </cell>
          <cell r="AW779" t="e">
            <v>#DIV/0!</v>
          </cell>
          <cell r="AX779" t="e">
            <v>#DIV/0!</v>
          </cell>
          <cell r="AY779" t="e">
            <v>#DIV/0!</v>
          </cell>
          <cell r="AZ779" t="e">
            <v>#DIV/0!</v>
          </cell>
          <cell r="BE779" t="e">
            <v>#DIV/0!</v>
          </cell>
          <cell r="BF779" t="e">
            <v>#DIV/0!</v>
          </cell>
        </row>
        <row r="780">
          <cell r="A780" t="str">
            <v>-0</v>
          </cell>
          <cell r="B780" t="str">
            <v xml:space="preserve">-0  , </v>
          </cell>
          <cell r="C780"/>
          <cell r="D780"/>
          <cell r="E780"/>
          <cell r="F780"/>
          <cell r="G780"/>
          <cell r="H780"/>
          <cell r="I780"/>
          <cell r="J780"/>
          <cell r="K780"/>
          <cell r="L780"/>
          <cell r="M780"/>
          <cell r="N780"/>
          <cell r="O780"/>
          <cell r="P780"/>
          <cell r="Q780"/>
          <cell r="R780"/>
          <cell r="S780"/>
          <cell r="T780"/>
          <cell r="U780"/>
          <cell r="V780"/>
          <cell r="W780"/>
          <cell r="X780">
            <v>0</v>
          </cell>
          <cell r="Y780">
            <v>0</v>
          </cell>
          <cell r="Z780">
            <v>0</v>
          </cell>
          <cell r="AA780" t="str">
            <v>,</v>
          </cell>
          <cell r="AB780" t="str">
            <v>,</v>
          </cell>
          <cell r="AC780" t="e">
            <v>#DIV/0!</v>
          </cell>
          <cell r="AD780" t="e">
            <v>#DIV/0!</v>
          </cell>
          <cell r="AE780">
            <v>0.71</v>
          </cell>
          <cell r="AF780">
            <v>94.97</v>
          </cell>
          <cell r="AG780">
            <v>0</v>
          </cell>
          <cell r="AH780" t="e">
            <v>#DIV/0!</v>
          </cell>
          <cell r="AI780" t="e">
            <v>#DIV/0!</v>
          </cell>
          <cell r="AJ780" t="e">
            <v>#DIV/0!</v>
          </cell>
          <cell r="AK780" t="e">
            <v>#DIV/0!</v>
          </cell>
          <cell r="AL780" t="e">
            <v>#DIV/0!</v>
          </cell>
          <cell r="AM780" t="e">
            <v>#DIV/0!</v>
          </cell>
          <cell r="AN780" t="e">
            <v>#DIV/0!</v>
          </cell>
          <cell r="AO780" t="e">
            <v>#REF!</v>
          </cell>
          <cell r="AP780" t="e">
            <v>#REF!</v>
          </cell>
          <cell r="AQ780" t="e">
            <v>#REF!</v>
          </cell>
          <cell r="AR780" t="e">
            <v>#REF!</v>
          </cell>
          <cell r="AS780" t="e">
            <v>#REF!</v>
          </cell>
          <cell r="AT780" t="e">
            <v>#REF!</v>
          </cell>
          <cell r="AU780" t="e">
            <v>#REF!</v>
          </cell>
          <cell r="AV780" t="e">
            <v>#REF!</v>
          </cell>
          <cell r="AW780" t="e">
            <v>#DIV/0!</v>
          </cell>
          <cell r="AX780" t="e">
            <v>#DIV/0!</v>
          </cell>
          <cell r="AY780" t="e">
            <v>#DIV/0!</v>
          </cell>
          <cell r="AZ780" t="e">
            <v>#DIV/0!</v>
          </cell>
          <cell r="BE780" t="e">
            <v>#DIV/0!</v>
          </cell>
          <cell r="BF780" t="e">
            <v>#DIV/0!</v>
          </cell>
        </row>
        <row r="781">
          <cell r="A781" t="str">
            <v>-0</v>
          </cell>
          <cell r="B781" t="str">
            <v xml:space="preserve">-0  , </v>
          </cell>
          <cell r="C781"/>
          <cell r="D781"/>
          <cell r="E781"/>
          <cell r="F781"/>
          <cell r="G781"/>
          <cell r="H781"/>
          <cell r="I781"/>
          <cell r="J781"/>
          <cell r="K781"/>
          <cell r="L781"/>
          <cell r="M781"/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  <cell r="X781">
            <v>0</v>
          </cell>
          <cell r="Y781">
            <v>0</v>
          </cell>
          <cell r="Z781">
            <v>0</v>
          </cell>
          <cell r="AA781" t="str">
            <v>,</v>
          </cell>
          <cell r="AB781" t="str">
            <v>,</v>
          </cell>
          <cell r="AC781" t="e">
            <v>#DIV/0!</v>
          </cell>
          <cell r="AD781" t="e">
            <v>#DIV/0!</v>
          </cell>
          <cell r="AE781">
            <v>0.71</v>
          </cell>
          <cell r="AF781">
            <v>94.97</v>
          </cell>
          <cell r="AG781">
            <v>0</v>
          </cell>
          <cell r="AH781" t="e">
            <v>#DIV/0!</v>
          </cell>
          <cell r="AI781" t="e">
            <v>#DIV/0!</v>
          </cell>
          <cell r="AJ781" t="e">
            <v>#DIV/0!</v>
          </cell>
          <cell r="AK781" t="e">
            <v>#DIV/0!</v>
          </cell>
          <cell r="AL781" t="e">
            <v>#DIV/0!</v>
          </cell>
          <cell r="AM781" t="e">
            <v>#DIV/0!</v>
          </cell>
          <cell r="AN781" t="e">
            <v>#DIV/0!</v>
          </cell>
          <cell r="AO781" t="e">
            <v>#REF!</v>
          </cell>
          <cell r="AP781" t="e">
            <v>#REF!</v>
          </cell>
          <cell r="AQ781" t="e">
            <v>#REF!</v>
          </cell>
          <cell r="AR781" t="e">
            <v>#REF!</v>
          </cell>
          <cell r="AS781" t="e">
            <v>#REF!</v>
          </cell>
          <cell r="AT781" t="e">
            <v>#REF!</v>
          </cell>
          <cell r="AU781" t="e">
            <v>#REF!</v>
          </cell>
          <cell r="AV781" t="e">
            <v>#REF!</v>
          </cell>
          <cell r="AW781" t="e">
            <v>#DIV/0!</v>
          </cell>
          <cell r="AX781" t="e">
            <v>#DIV/0!</v>
          </cell>
          <cell r="AY781" t="e">
            <v>#DIV/0!</v>
          </cell>
          <cell r="AZ781" t="e">
            <v>#DIV/0!</v>
          </cell>
          <cell r="BE781" t="e">
            <v>#DIV/0!</v>
          </cell>
          <cell r="BF781" t="e">
            <v>#DIV/0!</v>
          </cell>
        </row>
        <row r="782">
          <cell r="A782" t="str">
            <v>-0</v>
          </cell>
          <cell r="B782" t="str">
            <v xml:space="preserve">-0  , </v>
          </cell>
          <cell r="C782"/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/>
          <cell r="S782"/>
          <cell r="T782"/>
          <cell r="U782"/>
          <cell r="V782"/>
          <cell r="W782"/>
          <cell r="X782">
            <v>0</v>
          </cell>
          <cell r="Y782">
            <v>0</v>
          </cell>
          <cell r="Z782">
            <v>0</v>
          </cell>
          <cell r="AA782" t="str">
            <v>,</v>
          </cell>
          <cell r="AB782" t="str">
            <v>,</v>
          </cell>
          <cell r="AC782" t="e">
            <v>#DIV/0!</v>
          </cell>
          <cell r="AD782" t="e">
            <v>#DIV/0!</v>
          </cell>
          <cell r="AE782">
            <v>0.71</v>
          </cell>
          <cell r="AF782">
            <v>94.97</v>
          </cell>
          <cell r="AG782">
            <v>0</v>
          </cell>
          <cell r="AH782" t="e">
            <v>#DIV/0!</v>
          </cell>
          <cell r="AI782" t="e">
            <v>#DIV/0!</v>
          </cell>
          <cell r="AJ782" t="e">
            <v>#DIV/0!</v>
          </cell>
          <cell r="AK782" t="e">
            <v>#DIV/0!</v>
          </cell>
          <cell r="AL782" t="e">
            <v>#DIV/0!</v>
          </cell>
          <cell r="AM782" t="e">
            <v>#DIV/0!</v>
          </cell>
          <cell r="AN782" t="e">
            <v>#DIV/0!</v>
          </cell>
          <cell r="AO782" t="e">
            <v>#REF!</v>
          </cell>
          <cell r="AP782" t="e">
            <v>#REF!</v>
          </cell>
          <cell r="AQ782" t="e">
            <v>#REF!</v>
          </cell>
          <cell r="AR782" t="e">
            <v>#REF!</v>
          </cell>
          <cell r="AS782" t="e">
            <v>#REF!</v>
          </cell>
          <cell r="AT782" t="e">
            <v>#REF!</v>
          </cell>
          <cell r="AU782" t="e">
            <v>#REF!</v>
          </cell>
          <cell r="AV782" t="e">
            <v>#REF!</v>
          </cell>
          <cell r="AW782" t="e">
            <v>#DIV/0!</v>
          </cell>
          <cell r="AX782" t="e">
            <v>#DIV/0!</v>
          </cell>
          <cell r="AY782" t="e">
            <v>#DIV/0!</v>
          </cell>
          <cell r="AZ782" t="e">
            <v>#DIV/0!</v>
          </cell>
          <cell r="BE782" t="e">
            <v>#DIV/0!</v>
          </cell>
          <cell r="BF782" t="e">
            <v>#DIV/0!</v>
          </cell>
        </row>
        <row r="783">
          <cell r="A783" t="str">
            <v>-0</v>
          </cell>
          <cell r="B783" t="str">
            <v xml:space="preserve">-0  , </v>
          </cell>
          <cell r="C783"/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  <cell r="X783">
            <v>0</v>
          </cell>
          <cell r="Y783">
            <v>0</v>
          </cell>
          <cell r="Z783">
            <v>0</v>
          </cell>
          <cell r="AA783" t="str">
            <v>,</v>
          </cell>
          <cell r="AB783" t="str">
            <v>,</v>
          </cell>
          <cell r="AC783" t="e">
            <v>#DIV/0!</v>
          </cell>
          <cell r="AD783" t="e">
            <v>#DIV/0!</v>
          </cell>
          <cell r="AE783">
            <v>0.71</v>
          </cell>
          <cell r="AF783">
            <v>94.97</v>
          </cell>
          <cell r="AG783">
            <v>0</v>
          </cell>
          <cell r="AH783" t="e">
            <v>#DIV/0!</v>
          </cell>
          <cell r="AI783" t="e">
            <v>#DIV/0!</v>
          </cell>
          <cell r="AJ783" t="e">
            <v>#DIV/0!</v>
          </cell>
          <cell r="AK783" t="e">
            <v>#DIV/0!</v>
          </cell>
          <cell r="AL783" t="e">
            <v>#DIV/0!</v>
          </cell>
          <cell r="AM783" t="e">
            <v>#DIV/0!</v>
          </cell>
          <cell r="AN783" t="e">
            <v>#DIV/0!</v>
          </cell>
          <cell r="AO783" t="e">
            <v>#REF!</v>
          </cell>
          <cell r="AP783" t="e">
            <v>#REF!</v>
          </cell>
          <cell r="AQ783" t="e">
            <v>#REF!</v>
          </cell>
          <cell r="AR783" t="e">
            <v>#REF!</v>
          </cell>
          <cell r="AS783" t="e">
            <v>#REF!</v>
          </cell>
          <cell r="AT783" t="e">
            <v>#REF!</v>
          </cell>
          <cell r="AU783" t="e">
            <v>#REF!</v>
          </cell>
          <cell r="AV783" t="e">
            <v>#REF!</v>
          </cell>
          <cell r="AW783" t="e">
            <v>#DIV/0!</v>
          </cell>
          <cell r="AX783" t="e">
            <v>#DIV/0!</v>
          </cell>
          <cell r="AY783" t="e">
            <v>#DIV/0!</v>
          </cell>
          <cell r="AZ783" t="e">
            <v>#DIV/0!</v>
          </cell>
          <cell r="BE783" t="e">
            <v>#DIV/0!</v>
          </cell>
          <cell r="BF783" t="e">
            <v>#DIV/0!</v>
          </cell>
        </row>
        <row r="784">
          <cell r="A784" t="str">
            <v>-0</v>
          </cell>
          <cell r="B784" t="str">
            <v xml:space="preserve">-0  , </v>
          </cell>
          <cell r="C784"/>
          <cell r="D784"/>
          <cell r="E784"/>
          <cell r="F784"/>
          <cell r="G784"/>
          <cell r="H784"/>
          <cell r="I784"/>
          <cell r="J784"/>
          <cell r="K784"/>
          <cell r="L784"/>
          <cell r="M784"/>
          <cell r="N784"/>
          <cell r="O784"/>
          <cell r="P784"/>
          <cell r="Q784"/>
          <cell r="R784"/>
          <cell r="S784"/>
          <cell r="T784"/>
          <cell r="U784"/>
          <cell r="V784"/>
          <cell r="W784"/>
          <cell r="X784">
            <v>0</v>
          </cell>
          <cell r="Y784">
            <v>0</v>
          </cell>
          <cell r="Z784">
            <v>0</v>
          </cell>
          <cell r="AA784" t="str">
            <v>,</v>
          </cell>
          <cell r="AB784" t="str">
            <v>,</v>
          </cell>
          <cell r="AC784" t="e">
            <v>#DIV/0!</v>
          </cell>
          <cell r="AD784" t="e">
            <v>#DIV/0!</v>
          </cell>
          <cell r="AE784">
            <v>0.71</v>
          </cell>
          <cell r="AF784">
            <v>94.97</v>
          </cell>
          <cell r="AG784">
            <v>0</v>
          </cell>
          <cell r="AH784" t="e">
            <v>#DIV/0!</v>
          </cell>
          <cell r="AI784" t="e">
            <v>#DIV/0!</v>
          </cell>
          <cell r="AJ784" t="e">
            <v>#DIV/0!</v>
          </cell>
          <cell r="AK784" t="e">
            <v>#DIV/0!</v>
          </cell>
          <cell r="AL784" t="e">
            <v>#DIV/0!</v>
          </cell>
          <cell r="AM784" t="e">
            <v>#DIV/0!</v>
          </cell>
          <cell r="AN784" t="e">
            <v>#DIV/0!</v>
          </cell>
          <cell r="AO784" t="e">
            <v>#REF!</v>
          </cell>
          <cell r="AP784" t="e">
            <v>#REF!</v>
          </cell>
          <cell r="AQ784" t="e">
            <v>#REF!</v>
          </cell>
          <cell r="AR784" t="e">
            <v>#REF!</v>
          </cell>
          <cell r="AS784" t="e">
            <v>#REF!</v>
          </cell>
          <cell r="AT784" t="e">
            <v>#REF!</v>
          </cell>
          <cell r="AU784" t="e">
            <v>#REF!</v>
          </cell>
          <cell r="AV784" t="e">
            <v>#REF!</v>
          </cell>
          <cell r="AW784" t="e">
            <v>#DIV/0!</v>
          </cell>
          <cell r="AX784" t="e">
            <v>#DIV/0!</v>
          </cell>
          <cell r="AY784" t="e">
            <v>#DIV/0!</v>
          </cell>
          <cell r="AZ784" t="e">
            <v>#DIV/0!</v>
          </cell>
          <cell r="BE784" t="e">
            <v>#DIV/0!</v>
          </cell>
          <cell r="BF784" t="e">
            <v>#DIV/0!</v>
          </cell>
        </row>
        <row r="785">
          <cell r="A785" t="str">
            <v>-0</v>
          </cell>
          <cell r="B785" t="str">
            <v xml:space="preserve">-0  , </v>
          </cell>
          <cell r="C785"/>
          <cell r="D785"/>
          <cell r="E785"/>
          <cell r="F785"/>
          <cell r="G785"/>
          <cell r="H785"/>
          <cell r="I785"/>
          <cell r="J785"/>
          <cell r="K785"/>
          <cell r="L785"/>
          <cell r="M785"/>
          <cell r="N785"/>
          <cell r="O785"/>
          <cell r="P785"/>
          <cell r="Q785"/>
          <cell r="R785"/>
          <cell r="S785"/>
          <cell r="T785"/>
          <cell r="U785"/>
          <cell r="V785"/>
          <cell r="W785"/>
          <cell r="X785">
            <v>0</v>
          </cell>
          <cell r="Y785">
            <v>0</v>
          </cell>
          <cell r="Z785">
            <v>0</v>
          </cell>
          <cell r="AA785" t="str">
            <v>,</v>
          </cell>
          <cell r="AB785" t="str">
            <v>,</v>
          </cell>
          <cell r="AC785" t="e">
            <v>#DIV/0!</v>
          </cell>
          <cell r="AD785" t="e">
            <v>#DIV/0!</v>
          </cell>
          <cell r="AE785">
            <v>0.71</v>
          </cell>
          <cell r="AF785">
            <v>94.97</v>
          </cell>
          <cell r="AG785">
            <v>0</v>
          </cell>
          <cell r="AH785" t="e">
            <v>#DIV/0!</v>
          </cell>
          <cell r="AI785" t="e">
            <v>#DIV/0!</v>
          </cell>
          <cell r="AJ785" t="e">
            <v>#DIV/0!</v>
          </cell>
          <cell r="AK785" t="e">
            <v>#DIV/0!</v>
          </cell>
          <cell r="AL785" t="e">
            <v>#DIV/0!</v>
          </cell>
          <cell r="AM785" t="e">
            <v>#DIV/0!</v>
          </cell>
          <cell r="AN785" t="e">
            <v>#DIV/0!</v>
          </cell>
          <cell r="AO785" t="e">
            <v>#REF!</v>
          </cell>
          <cell r="AP785" t="e">
            <v>#REF!</v>
          </cell>
          <cell r="AQ785" t="e">
            <v>#REF!</v>
          </cell>
          <cell r="AR785" t="e">
            <v>#REF!</v>
          </cell>
          <cell r="AS785" t="e">
            <v>#REF!</v>
          </cell>
          <cell r="AT785" t="e">
            <v>#REF!</v>
          </cell>
          <cell r="AU785" t="e">
            <v>#REF!</v>
          </cell>
          <cell r="AV785" t="e">
            <v>#REF!</v>
          </cell>
          <cell r="AW785" t="e">
            <v>#DIV/0!</v>
          </cell>
          <cell r="AX785" t="e">
            <v>#DIV/0!</v>
          </cell>
          <cell r="AY785" t="e">
            <v>#DIV/0!</v>
          </cell>
          <cell r="AZ785" t="e">
            <v>#DIV/0!</v>
          </cell>
          <cell r="BE785" t="e">
            <v>#DIV/0!</v>
          </cell>
          <cell r="BF785" t="e">
            <v>#DIV/0!</v>
          </cell>
        </row>
        <row r="786">
          <cell r="A786" t="str">
            <v>-0</v>
          </cell>
          <cell r="B786" t="str">
            <v xml:space="preserve">-0  , </v>
          </cell>
          <cell r="C786"/>
          <cell r="D786"/>
          <cell r="E786"/>
          <cell r="F786"/>
          <cell r="G786"/>
          <cell r="H786"/>
          <cell r="I786"/>
          <cell r="J786"/>
          <cell r="K786"/>
          <cell r="L786"/>
          <cell r="M786"/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  <cell r="X786">
            <v>0</v>
          </cell>
          <cell r="Y786">
            <v>0</v>
          </cell>
          <cell r="Z786">
            <v>0</v>
          </cell>
          <cell r="AA786" t="str">
            <v>,</v>
          </cell>
          <cell r="AB786" t="str">
            <v>,</v>
          </cell>
          <cell r="AC786" t="e">
            <v>#DIV/0!</v>
          </cell>
          <cell r="AD786" t="e">
            <v>#DIV/0!</v>
          </cell>
          <cell r="AE786">
            <v>0.71</v>
          </cell>
          <cell r="AF786">
            <v>94.97</v>
          </cell>
          <cell r="AG786">
            <v>0</v>
          </cell>
          <cell r="AH786" t="e">
            <v>#DIV/0!</v>
          </cell>
          <cell r="AI786" t="e">
            <v>#DIV/0!</v>
          </cell>
          <cell r="AJ786" t="e">
            <v>#DIV/0!</v>
          </cell>
          <cell r="AK786" t="e">
            <v>#DIV/0!</v>
          </cell>
          <cell r="AL786" t="e">
            <v>#DIV/0!</v>
          </cell>
          <cell r="AM786" t="e">
            <v>#DIV/0!</v>
          </cell>
          <cell r="AN786" t="e">
            <v>#DIV/0!</v>
          </cell>
          <cell r="AO786" t="e">
            <v>#REF!</v>
          </cell>
          <cell r="AP786" t="e">
            <v>#REF!</v>
          </cell>
          <cell r="AQ786" t="e">
            <v>#REF!</v>
          </cell>
          <cell r="AR786" t="e">
            <v>#REF!</v>
          </cell>
          <cell r="AS786" t="e">
            <v>#REF!</v>
          </cell>
          <cell r="AT786" t="e">
            <v>#REF!</v>
          </cell>
          <cell r="AU786" t="e">
            <v>#REF!</v>
          </cell>
          <cell r="AV786" t="e">
            <v>#REF!</v>
          </cell>
          <cell r="AW786" t="e">
            <v>#DIV/0!</v>
          </cell>
          <cell r="AX786" t="e">
            <v>#DIV/0!</v>
          </cell>
          <cell r="AY786" t="e">
            <v>#DIV/0!</v>
          </cell>
          <cell r="AZ786" t="e">
            <v>#DIV/0!</v>
          </cell>
          <cell r="BE786" t="e">
            <v>#DIV/0!</v>
          </cell>
          <cell r="BF786" t="e">
            <v>#DIV/0!</v>
          </cell>
        </row>
        <row r="787">
          <cell r="A787" t="str">
            <v>-0</v>
          </cell>
          <cell r="B787" t="str">
            <v xml:space="preserve">-0  , </v>
          </cell>
          <cell r="C787"/>
          <cell r="D787"/>
          <cell r="E787"/>
          <cell r="F787"/>
          <cell r="G787"/>
          <cell r="H787"/>
          <cell r="I787"/>
          <cell r="J787"/>
          <cell r="K787"/>
          <cell r="L787"/>
          <cell r="M787"/>
          <cell r="N787"/>
          <cell r="O787"/>
          <cell r="P787"/>
          <cell r="Q787"/>
          <cell r="R787"/>
          <cell r="S787"/>
          <cell r="T787"/>
          <cell r="U787"/>
          <cell r="V787"/>
          <cell r="W787"/>
          <cell r="X787">
            <v>0</v>
          </cell>
          <cell r="Y787">
            <v>0</v>
          </cell>
          <cell r="Z787">
            <v>0</v>
          </cell>
          <cell r="AA787" t="str">
            <v>,</v>
          </cell>
          <cell r="AB787" t="str">
            <v>,</v>
          </cell>
          <cell r="AC787" t="e">
            <v>#DIV/0!</v>
          </cell>
          <cell r="AD787" t="e">
            <v>#DIV/0!</v>
          </cell>
          <cell r="AE787">
            <v>0.71</v>
          </cell>
          <cell r="AF787">
            <v>94.97</v>
          </cell>
          <cell r="AG787">
            <v>0</v>
          </cell>
          <cell r="AH787" t="e">
            <v>#DIV/0!</v>
          </cell>
          <cell r="AI787" t="e">
            <v>#DIV/0!</v>
          </cell>
          <cell r="AJ787" t="e">
            <v>#DIV/0!</v>
          </cell>
          <cell r="AK787" t="e">
            <v>#DIV/0!</v>
          </cell>
          <cell r="AL787" t="e">
            <v>#DIV/0!</v>
          </cell>
          <cell r="AM787" t="e">
            <v>#DIV/0!</v>
          </cell>
          <cell r="AN787" t="e">
            <v>#DIV/0!</v>
          </cell>
          <cell r="AO787" t="e">
            <v>#REF!</v>
          </cell>
          <cell r="AP787" t="e">
            <v>#REF!</v>
          </cell>
          <cell r="AQ787" t="e">
            <v>#REF!</v>
          </cell>
          <cell r="AR787" t="e">
            <v>#REF!</v>
          </cell>
          <cell r="AS787" t="e">
            <v>#REF!</v>
          </cell>
          <cell r="AT787" t="e">
            <v>#REF!</v>
          </cell>
          <cell r="AU787" t="e">
            <v>#REF!</v>
          </cell>
          <cell r="AV787" t="e">
            <v>#REF!</v>
          </cell>
          <cell r="AW787" t="e">
            <v>#DIV/0!</v>
          </cell>
          <cell r="AX787" t="e">
            <v>#DIV/0!</v>
          </cell>
          <cell r="AY787" t="e">
            <v>#DIV/0!</v>
          </cell>
          <cell r="AZ787" t="e">
            <v>#DIV/0!</v>
          </cell>
          <cell r="BE787" t="e">
            <v>#DIV/0!</v>
          </cell>
          <cell r="BF787" t="e">
            <v>#DIV/0!</v>
          </cell>
        </row>
        <row r="788">
          <cell r="A788" t="str">
            <v>-0</v>
          </cell>
          <cell r="B788" t="str">
            <v xml:space="preserve">-0  , </v>
          </cell>
          <cell r="C788"/>
          <cell r="D788"/>
          <cell r="E788"/>
          <cell r="F788"/>
          <cell r="G788"/>
          <cell r="H788"/>
          <cell r="I788"/>
          <cell r="J788"/>
          <cell r="K788"/>
          <cell r="L788"/>
          <cell r="M788"/>
          <cell r="N788"/>
          <cell r="O788"/>
          <cell r="P788"/>
          <cell r="Q788"/>
          <cell r="R788"/>
          <cell r="S788"/>
          <cell r="T788"/>
          <cell r="U788"/>
          <cell r="V788"/>
          <cell r="W788"/>
          <cell r="X788">
            <v>0</v>
          </cell>
          <cell r="Y788">
            <v>0</v>
          </cell>
          <cell r="Z788">
            <v>0</v>
          </cell>
          <cell r="AA788" t="str">
            <v>,</v>
          </cell>
          <cell r="AB788" t="str">
            <v>,</v>
          </cell>
          <cell r="AC788" t="e">
            <v>#DIV/0!</v>
          </cell>
          <cell r="AD788" t="e">
            <v>#DIV/0!</v>
          </cell>
          <cell r="AE788">
            <v>0.71</v>
          </cell>
          <cell r="AF788">
            <v>94.97</v>
          </cell>
          <cell r="AG788">
            <v>0</v>
          </cell>
          <cell r="AH788" t="e">
            <v>#DIV/0!</v>
          </cell>
          <cell r="AI788" t="e">
            <v>#DIV/0!</v>
          </cell>
          <cell r="AJ788" t="e">
            <v>#DIV/0!</v>
          </cell>
          <cell r="AK788" t="e">
            <v>#DIV/0!</v>
          </cell>
          <cell r="AL788" t="e">
            <v>#DIV/0!</v>
          </cell>
          <cell r="AM788" t="e">
            <v>#DIV/0!</v>
          </cell>
          <cell r="AN788" t="e">
            <v>#DIV/0!</v>
          </cell>
          <cell r="AO788" t="e">
            <v>#REF!</v>
          </cell>
          <cell r="AP788" t="e">
            <v>#REF!</v>
          </cell>
          <cell r="AQ788" t="e">
            <v>#REF!</v>
          </cell>
          <cell r="AR788" t="e">
            <v>#REF!</v>
          </cell>
          <cell r="AS788" t="e">
            <v>#REF!</v>
          </cell>
          <cell r="AT788" t="e">
            <v>#REF!</v>
          </cell>
          <cell r="AU788" t="e">
            <v>#REF!</v>
          </cell>
          <cell r="AV788" t="e">
            <v>#REF!</v>
          </cell>
          <cell r="AW788" t="e">
            <v>#DIV/0!</v>
          </cell>
          <cell r="AX788" t="e">
            <v>#DIV/0!</v>
          </cell>
          <cell r="AY788" t="e">
            <v>#DIV/0!</v>
          </cell>
          <cell r="AZ788" t="e">
            <v>#DIV/0!</v>
          </cell>
          <cell r="BE788" t="e">
            <v>#DIV/0!</v>
          </cell>
          <cell r="BF788" t="e">
            <v>#DIV/0!</v>
          </cell>
        </row>
        <row r="789">
          <cell r="A789" t="str">
            <v>-0</v>
          </cell>
          <cell r="B789" t="str">
            <v xml:space="preserve">-0  , </v>
          </cell>
          <cell r="C789"/>
          <cell r="D789"/>
          <cell r="E789"/>
          <cell r="F789"/>
          <cell r="G789"/>
          <cell r="H789"/>
          <cell r="I789"/>
          <cell r="J789"/>
          <cell r="K789"/>
          <cell r="L789"/>
          <cell r="M789"/>
          <cell r="N789"/>
          <cell r="O789"/>
          <cell r="P789"/>
          <cell r="Q789"/>
          <cell r="R789"/>
          <cell r="S789"/>
          <cell r="T789"/>
          <cell r="U789"/>
          <cell r="V789"/>
          <cell r="W789"/>
          <cell r="X789">
            <v>0</v>
          </cell>
          <cell r="Y789">
            <v>0</v>
          </cell>
          <cell r="Z789">
            <v>0</v>
          </cell>
          <cell r="AA789" t="str">
            <v>,</v>
          </cell>
          <cell r="AB789" t="str">
            <v>,</v>
          </cell>
          <cell r="AC789" t="e">
            <v>#DIV/0!</v>
          </cell>
          <cell r="AD789" t="e">
            <v>#DIV/0!</v>
          </cell>
          <cell r="AE789">
            <v>0.71</v>
          </cell>
          <cell r="AF789">
            <v>94.97</v>
          </cell>
          <cell r="AG789">
            <v>0</v>
          </cell>
          <cell r="AH789" t="e">
            <v>#DIV/0!</v>
          </cell>
          <cell r="AI789" t="e">
            <v>#DIV/0!</v>
          </cell>
          <cell r="AJ789" t="e">
            <v>#DIV/0!</v>
          </cell>
          <cell r="AK789" t="e">
            <v>#DIV/0!</v>
          </cell>
          <cell r="AL789" t="e">
            <v>#DIV/0!</v>
          </cell>
          <cell r="AM789" t="e">
            <v>#DIV/0!</v>
          </cell>
          <cell r="AN789" t="e">
            <v>#DIV/0!</v>
          </cell>
          <cell r="AO789" t="e">
            <v>#REF!</v>
          </cell>
          <cell r="AP789" t="e">
            <v>#REF!</v>
          </cell>
          <cell r="AQ789" t="e">
            <v>#REF!</v>
          </cell>
          <cell r="AR789" t="e">
            <v>#REF!</v>
          </cell>
          <cell r="AS789" t="e">
            <v>#REF!</v>
          </cell>
          <cell r="AT789" t="e">
            <v>#REF!</v>
          </cell>
          <cell r="AU789" t="e">
            <v>#REF!</v>
          </cell>
          <cell r="AV789" t="e">
            <v>#REF!</v>
          </cell>
          <cell r="AW789" t="e">
            <v>#DIV/0!</v>
          </cell>
          <cell r="AX789" t="e">
            <v>#DIV/0!</v>
          </cell>
          <cell r="AY789" t="e">
            <v>#DIV/0!</v>
          </cell>
          <cell r="AZ789" t="e">
            <v>#DIV/0!</v>
          </cell>
          <cell r="BE789" t="e">
            <v>#DIV/0!</v>
          </cell>
          <cell r="BF789" t="e">
            <v>#DIV/0!</v>
          </cell>
        </row>
        <row r="790">
          <cell r="A790" t="str">
            <v>-0</v>
          </cell>
          <cell r="B790" t="str">
            <v xml:space="preserve">-0  , </v>
          </cell>
          <cell r="C790"/>
          <cell r="D790"/>
          <cell r="E790"/>
          <cell r="F790"/>
          <cell r="G790"/>
          <cell r="H790"/>
          <cell r="I790"/>
          <cell r="J790"/>
          <cell r="K790"/>
          <cell r="L790"/>
          <cell r="M790"/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  <cell r="X790">
            <v>0</v>
          </cell>
          <cell r="Y790">
            <v>0</v>
          </cell>
          <cell r="Z790">
            <v>0</v>
          </cell>
          <cell r="AA790" t="str">
            <v>,</v>
          </cell>
          <cell r="AB790" t="str">
            <v>,</v>
          </cell>
          <cell r="AC790" t="e">
            <v>#DIV/0!</v>
          </cell>
          <cell r="AD790" t="e">
            <v>#DIV/0!</v>
          </cell>
          <cell r="AE790">
            <v>0.71</v>
          </cell>
          <cell r="AF790">
            <v>94.97</v>
          </cell>
          <cell r="AG790">
            <v>0</v>
          </cell>
          <cell r="AH790" t="e">
            <v>#DIV/0!</v>
          </cell>
          <cell r="AI790" t="e">
            <v>#DIV/0!</v>
          </cell>
          <cell r="AJ790" t="e">
            <v>#DIV/0!</v>
          </cell>
          <cell r="AK790" t="e">
            <v>#DIV/0!</v>
          </cell>
          <cell r="AL790" t="e">
            <v>#DIV/0!</v>
          </cell>
          <cell r="AM790" t="e">
            <v>#DIV/0!</v>
          </cell>
          <cell r="AN790" t="e">
            <v>#DIV/0!</v>
          </cell>
          <cell r="AO790" t="e">
            <v>#REF!</v>
          </cell>
          <cell r="AP790" t="e">
            <v>#REF!</v>
          </cell>
          <cell r="AQ790" t="e">
            <v>#REF!</v>
          </cell>
          <cell r="AR790" t="e">
            <v>#REF!</v>
          </cell>
          <cell r="AS790" t="e">
            <v>#REF!</v>
          </cell>
          <cell r="AT790" t="e">
            <v>#REF!</v>
          </cell>
          <cell r="AU790" t="e">
            <v>#REF!</v>
          </cell>
          <cell r="AV790" t="e">
            <v>#REF!</v>
          </cell>
          <cell r="AW790" t="e">
            <v>#DIV/0!</v>
          </cell>
          <cell r="AX790" t="e">
            <v>#DIV/0!</v>
          </cell>
          <cell r="AY790" t="e">
            <v>#DIV/0!</v>
          </cell>
          <cell r="AZ790" t="e">
            <v>#DIV/0!</v>
          </cell>
          <cell r="BE790" t="e">
            <v>#DIV/0!</v>
          </cell>
          <cell r="BF790" t="e">
            <v>#DIV/0!</v>
          </cell>
        </row>
        <row r="791">
          <cell r="A791" t="str">
            <v>-0</v>
          </cell>
          <cell r="B791" t="str">
            <v xml:space="preserve">-0  , </v>
          </cell>
          <cell r="C791"/>
          <cell r="D791"/>
          <cell r="E791"/>
          <cell r="F791"/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/>
          <cell r="S791"/>
          <cell r="T791"/>
          <cell r="U791"/>
          <cell r="V791"/>
          <cell r="W791"/>
          <cell r="X791">
            <v>0</v>
          </cell>
          <cell r="Y791">
            <v>0</v>
          </cell>
          <cell r="Z791">
            <v>0</v>
          </cell>
          <cell r="AA791" t="str">
            <v>,</v>
          </cell>
          <cell r="AB791" t="str">
            <v>,</v>
          </cell>
          <cell r="AC791" t="e">
            <v>#DIV/0!</v>
          </cell>
          <cell r="AD791" t="e">
            <v>#DIV/0!</v>
          </cell>
          <cell r="AE791">
            <v>0.71</v>
          </cell>
          <cell r="AF791">
            <v>94.97</v>
          </cell>
          <cell r="AG791">
            <v>0</v>
          </cell>
          <cell r="AH791" t="e">
            <v>#DIV/0!</v>
          </cell>
          <cell r="AI791" t="e">
            <v>#DIV/0!</v>
          </cell>
          <cell r="AJ791" t="e">
            <v>#DIV/0!</v>
          </cell>
          <cell r="AK791" t="e">
            <v>#DIV/0!</v>
          </cell>
          <cell r="AL791" t="e">
            <v>#DIV/0!</v>
          </cell>
          <cell r="AM791" t="e">
            <v>#DIV/0!</v>
          </cell>
          <cell r="AN791" t="e">
            <v>#DIV/0!</v>
          </cell>
          <cell r="AO791" t="e">
            <v>#REF!</v>
          </cell>
          <cell r="AP791" t="e">
            <v>#REF!</v>
          </cell>
          <cell r="AQ791" t="e">
            <v>#REF!</v>
          </cell>
          <cell r="AR791" t="e">
            <v>#REF!</v>
          </cell>
          <cell r="AS791" t="e">
            <v>#REF!</v>
          </cell>
          <cell r="AT791" t="e">
            <v>#REF!</v>
          </cell>
          <cell r="AU791" t="e">
            <v>#REF!</v>
          </cell>
          <cell r="AV791" t="e">
            <v>#REF!</v>
          </cell>
          <cell r="AW791" t="e">
            <v>#DIV/0!</v>
          </cell>
          <cell r="AX791" t="e">
            <v>#DIV/0!</v>
          </cell>
          <cell r="AY791" t="e">
            <v>#DIV/0!</v>
          </cell>
          <cell r="AZ791" t="e">
            <v>#DIV/0!</v>
          </cell>
          <cell r="BE791" t="e">
            <v>#DIV/0!</v>
          </cell>
          <cell r="BF791" t="e">
            <v>#DIV/0!</v>
          </cell>
        </row>
        <row r="792">
          <cell r="A792" t="str">
            <v>-0</v>
          </cell>
          <cell r="B792" t="str">
            <v xml:space="preserve">-0  , </v>
          </cell>
          <cell r="C792"/>
          <cell r="D792"/>
          <cell r="E792"/>
          <cell r="F792"/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/>
          <cell r="S792"/>
          <cell r="T792"/>
          <cell r="U792"/>
          <cell r="V792"/>
          <cell r="W792"/>
          <cell r="X792">
            <v>0</v>
          </cell>
          <cell r="Y792">
            <v>0</v>
          </cell>
          <cell r="Z792">
            <v>0</v>
          </cell>
          <cell r="AA792" t="str">
            <v>,</v>
          </cell>
          <cell r="AB792" t="str">
            <v>,</v>
          </cell>
          <cell r="AC792" t="e">
            <v>#DIV/0!</v>
          </cell>
          <cell r="AD792" t="e">
            <v>#DIV/0!</v>
          </cell>
          <cell r="AE792">
            <v>0.71</v>
          </cell>
          <cell r="AF792">
            <v>94.97</v>
          </cell>
          <cell r="AG792">
            <v>0</v>
          </cell>
          <cell r="AH792" t="e">
            <v>#DIV/0!</v>
          </cell>
          <cell r="AI792" t="e">
            <v>#DIV/0!</v>
          </cell>
          <cell r="AJ792" t="e">
            <v>#DIV/0!</v>
          </cell>
          <cell r="AK792" t="e">
            <v>#DIV/0!</v>
          </cell>
          <cell r="AL792" t="e">
            <v>#DIV/0!</v>
          </cell>
          <cell r="AM792" t="e">
            <v>#DIV/0!</v>
          </cell>
          <cell r="AN792" t="e">
            <v>#DIV/0!</v>
          </cell>
          <cell r="AO792" t="e">
            <v>#REF!</v>
          </cell>
          <cell r="AP792" t="e">
            <v>#REF!</v>
          </cell>
          <cell r="AQ792" t="e">
            <v>#REF!</v>
          </cell>
          <cell r="AR792" t="e">
            <v>#REF!</v>
          </cell>
          <cell r="AS792" t="e">
            <v>#REF!</v>
          </cell>
          <cell r="AT792" t="e">
            <v>#REF!</v>
          </cell>
          <cell r="AU792" t="e">
            <v>#REF!</v>
          </cell>
          <cell r="AV792" t="e">
            <v>#REF!</v>
          </cell>
          <cell r="AW792" t="e">
            <v>#DIV/0!</v>
          </cell>
          <cell r="AX792" t="e">
            <v>#DIV/0!</v>
          </cell>
          <cell r="AY792" t="e">
            <v>#DIV/0!</v>
          </cell>
          <cell r="AZ792" t="e">
            <v>#DIV/0!</v>
          </cell>
          <cell r="BE792" t="e">
            <v>#DIV/0!</v>
          </cell>
          <cell r="BF792" t="e">
            <v>#DIV/0!</v>
          </cell>
        </row>
        <row r="793">
          <cell r="A793" t="str">
            <v>-0</v>
          </cell>
          <cell r="B793" t="str">
            <v xml:space="preserve">-0  , </v>
          </cell>
          <cell r="C793"/>
          <cell r="D793"/>
          <cell r="E793"/>
          <cell r="F793"/>
          <cell r="G793"/>
          <cell r="H793"/>
          <cell r="I793"/>
          <cell r="J793"/>
          <cell r="K793"/>
          <cell r="L793"/>
          <cell r="M793"/>
          <cell r="N793"/>
          <cell r="O793"/>
          <cell r="P793"/>
          <cell r="Q793"/>
          <cell r="R793"/>
          <cell r="S793"/>
          <cell r="T793"/>
          <cell r="U793"/>
          <cell r="V793"/>
          <cell r="W793"/>
          <cell r="X793">
            <v>0</v>
          </cell>
          <cell r="Y793">
            <v>0</v>
          </cell>
          <cell r="Z793">
            <v>0</v>
          </cell>
          <cell r="AA793" t="str">
            <v>,</v>
          </cell>
          <cell r="AB793" t="str">
            <v>,</v>
          </cell>
          <cell r="AC793" t="e">
            <v>#DIV/0!</v>
          </cell>
          <cell r="AD793" t="e">
            <v>#DIV/0!</v>
          </cell>
          <cell r="AE793">
            <v>0.71</v>
          </cell>
          <cell r="AF793">
            <v>94.97</v>
          </cell>
          <cell r="AG793">
            <v>0</v>
          </cell>
          <cell r="AH793" t="e">
            <v>#DIV/0!</v>
          </cell>
          <cell r="AI793" t="e">
            <v>#DIV/0!</v>
          </cell>
          <cell r="AJ793" t="e">
            <v>#DIV/0!</v>
          </cell>
          <cell r="AK793" t="e">
            <v>#DIV/0!</v>
          </cell>
          <cell r="AL793" t="e">
            <v>#DIV/0!</v>
          </cell>
          <cell r="AM793" t="e">
            <v>#DIV/0!</v>
          </cell>
          <cell r="AN793" t="e">
            <v>#DIV/0!</v>
          </cell>
          <cell r="AO793" t="e">
            <v>#REF!</v>
          </cell>
          <cell r="AP793" t="e">
            <v>#REF!</v>
          </cell>
          <cell r="AQ793" t="e">
            <v>#REF!</v>
          </cell>
          <cell r="AR793" t="e">
            <v>#REF!</v>
          </cell>
          <cell r="AS793" t="e">
            <v>#REF!</v>
          </cell>
          <cell r="AT793" t="e">
            <v>#REF!</v>
          </cell>
          <cell r="AU793" t="e">
            <v>#REF!</v>
          </cell>
          <cell r="AV793" t="e">
            <v>#REF!</v>
          </cell>
          <cell r="AW793" t="e">
            <v>#DIV/0!</v>
          </cell>
          <cell r="AX793" t="e">
            <v>#DIV/0!</v>
          </cell>
          <cell r="AY793" t="e">
            <v>#DIV/0!</v>
          </cell>
          <cell r="AZ793" t="e">
            <v>#DIV/0!</v>
          </cell>
          <cell r="BE793" t="e">
            <v>#DIV/0!</v>
          </cell>
          <cell r="BF793" t="e">
            <v>#DIV/0!</v>
          </cell>
        </row>
        <row r="794">
          <cell r="A794" t="str">
            <v>-0</v>
          </cell>
          <cell r="B794" t="str">
            <v xml:space="preserve">-0  , </v>
          </cell>
          <cell r="C794"/>
          <cell r="D794"/>
          <cell r="E794"/>
          <cell r="F794"/>
          <cell r="G794"/>
          <cell r="H794"/>
          <cell r="I794"/>
          <cell r="J794"/>
          <cell r="K794"/>
          <cell r="L794"/>
          <cell r="M794"/>
          <cell r="N794"/>
          <cell r="O794"/>
          <cell r="P794"/>
          <cell r="Q794"/>
          <cell r="R794"/>
          <cell r="S794"/>
          <cell r="T794"/>
          <cell r="U794"/>
          <cell r="V794"/>
          <cell r="W794"/>
          <cell r="X794">
            <v>0</v>
          </cell>
          <cell r="Y794">
            <v>0</v>
          </cell>
          <cell r="Z794">
            <v>0</v>
          </cell>
          <cell r="AA794" t="str">
            <v>,</v>
          </cell>
          <cell r="AB794" t="str">
            <v>,</v>
          </cell>
          <cell r="AC794" t="e">
            <v>#DIV/0!</v>
          </cell>
          <cell r="AD794" t="e">
            <v>#DIV/0!</v>
          </cell>
          <cell r="AE794">
            <v>0.71</v>
          </cell>
          <cell r="AF794">
            <v>94.97</v>
          </cell>
          <cell r="AG794">
            <v>0</v>
          </cell>
          <cell r="AH794" t="e">
            <v>#DIV/0!</v>
          </cell>
          <cell r="AI794" t="e">
            <v>#DIV/0!</v>
          </cell>
          <cell r="AJ794" t="e">
            <v>#DIV/0!</v>
          </cell>
          <cell r="AK794" t="e">
            <v>#DIV/0!</v>
          </cell>
          <cell r="AL794" t="e">
            <v>#DIV/0!</v>
          </cell>
          <cell r="AM794" t="e">
            <v>#DIV/0!</v>
          </cell>
          <cell r="AN794" t="e">
            <v>#DIV/0!</v>
          </cell>
          <cell r="AO794" t="e">
            <v>#REF!</v>
          </cell>
          <cell r="AP794" t="e">
            <v>#REF!</v>
          </cell>
          <cell r="AQ794" t="e">
            <v>#REF!</v>
          </cell>
          <cell r="AR794" t="e">
            <v>#REF!</v>
          </cell>
          <cell r="AS794" t="e">
            <v>#REF!</v>
          </cell>
          <cell r="AT794" t="e">
            <v>#REF!</v>
          </cell>
          <cell r="AU794" t="e">
            <v>#REF!</v>
          </cell>
          <cell r="AV794" t="e">
            <v>#REF!</v>
          </cell>
          <cell r="AW794" t="e">
            <v>#DIV/0!</v>
          </cell>
          <cell r="AX794" t="e">
            <v>#DIV/0!</v>
          </cell>
          <cell r="AY794" t="e">
            <v>#DIV/0!</v>
          </cell>
          <cell r="AZ794" t="e">
            <v>#DIV/0!</v>
          </cell>
          <cell r="BE794" t="e">
            <v>#DIV/0!</v>
          </cell>
          <cell r="BF794" t="e">
            <v>#DIV/0!</v>
          </cell>
        </row>
        <row r="795">
          <cell r="A795" t="str">
            <v>-0</v>
          </cell>
          <cell r="B795" t="str">
            <v xml:space="preserve">-0  , </v>
          </cell>
          <cell r="C795"/>
          <cell r="D795"/>
          <cell r="E795"/>
          <cell r="F795"/>
          <cell r="G795"/>
          <cell r="H795"/>
          <cell r="I795"/>
          <cell r="J795"/>
          <cell r="K795"/>
          <cell r="L795"/>
          <cell r="M795"/>
          <cell r="N795"/>
          <cell r="O795"/>
          <cell r="P795"/>
          <cell r="Q795"/>
          <cell r="R795"/>
          <cell r="S795"/>
          <cell r="T795"/>
          <cell r="U795"/>
          <cell r="V795"/>
          <cell r="W795"/>
          <cell r="X795">
            <v>0</v>
          </cell>
          <cell r="Y795">
            <v>0</v>
          </cell>
          <cell r="Z795">
            <v>0</v>
          </cell>
          <cell r="AA795" t="str">
            <v>,</v>
          </cell>
          <cell r="AB795" t="str">
            <v>,</v>
          </cell>
          <cell r="AC795" t="e">
            <v>#DIV/0!</v>
          </cell>
          <cell r="AD795" t="e">
            <v>#DIV/0!</v>
          </cell>
          <cell r="AE795">
            <v>0.71</v>
          </cell>
          <cell r="AF795">
            <v>94.97</v>
          </cell>
          <cell r="AG795">
            <v>0</v>
          </cell>
          <cell r="AH795" t="e">
            <v>#DIV/0!</v>
          </cell>
          <cell r="AI795" t="e">
            <v>#DIV/0!</v>
          </cell>
          <cell r="AJ795" t="e">
            <v>#DIV/0!</v>
          </cell>
          <cell r="AK795" t="e">
            <v>#DIV/0!</v>
          </cell>
          <cell r="AL795" t="e">
            <v>#DIV/0!</v>
          </cell>
          <cell r="AM795" t="e">
            <v>#DIV/0!</v>
          </cell>
          <cell r="AN795" t="e">
            <v>#DIV/0!</v>
          </cell>
          <cell r="AO795" t="e">
            <v>#REF!</v>
          </cell>
          <cell r="AP795" t="e">
            <v>#REF!</v>
          </cell>
          <cell r="AQ795" t="e">
            <v>#REF!</v>
          </cell>
          <cell r="AR795" t="e">
            <v>#REF!</v>
          </cell>
          <cell r="AS795" t="e">
            <v>#REF!</v>
          </cell>
          <cell r="AT795" t="e">
            <v>#REF!</v>
          </cell>
          <cell r="AU795" t="e">
            <v>#REF!</v>
          </cell>
          <cell r="AV795" t="e">
            <v>#REF!</v>
          </cell>
          <cell r="AW795" t="e">
            <v>#DIV/0!</v>
          </cell>
          <cell r="AX795" t="e">
            <v>#DIV/0!</v>
          </cell>
          <cell r="AY795" t="e">
            <v>#DIV/0!</v>
          </cell>
          <cell r="AZ795" t="e">
            <v>#DIV/0!</v>
          </cell>
          <cell r="BE795" t="e">
            <v>#DIV/0!</v>
          </cell>
          <cell r="BF795" t="e">
            <v>#DIV/0!</v>
          </cell>
        </row>
        <row r="796">
          <cell r="A796" t="str">
            <v>-0</v>
          </cell>
          <cell r="B796" t="str">
            <v xml:space="preserve">-0  , </v>
          </cell>
          <cell r="C796"/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/>
          <cell r="S796"/>
          <cell r="T796"/>
          <cell r="U796"/>
          <cell r="V796"/>
          <cell r="W796"/>
          <cell r="X796">
            <v>0</v>
          </cell>
          <cell r="Y796">
            <v>0</v>
          </cell>
          <cell r="Z796">
            <v>0</v>
          </cell>
          <cell r="AA796" t="str">
            <v>,</v>
          </cell>
          <cell r="AB796" t="str">
            <v>,</v>
          </cell>
          <cell r="AC796" t="e">
            <v>#DIV/0!</v>
          </cell>
          <cell r="AD796" t="e">
            <v>#DIV/0!</v>
          </cell>
          <cell r="AE796">
            <v>0.71</v>
          </cell>
          <cell r="AF796">
            <v>94.97</v>
          </cell>
          <cell r="AG796">
            <v>0</v>
          </cell>
          <cell r="AH796" t="e">
            <v>#DIV/0!</v>
          </cell>
          <cell r="AI796" t="e">
            <v>#DIV/0!</v>
          </cell>
          <cell r="AJ796" t="e">
            <v>#DIV/0!</v>
          </cell>
          <cell r="AK796" t="e">
            <v>#DIV/0!</v>
          </cell>
          <cell r="AL796" t="e">
            <v>#DIV/0!</v>
          </cell>
          <cell r="AM796" t="e">
            <v>#DIV/0!</v>
          </cell>
          <cell r="AN796" t="e">
            <v>#DIV/0!</v>
          </cell>
          <cell r="AO796" t="e">
            <v>#REF!</v>
          </cell>
          <cell r="AP796" t="e">
            <v>#REF!</v>
          </cell>
          <cell r="AQ796" t="e">
            <v>#REF!</v>
          </cell>
          <cell r="AR796" t="e">
            <v>#REF!</v>
          </cell>
          <cell r="AS796" t="e">
            <v>#REF!</v>
          </cell>
          <cell r="AT796" t="e">
            <v>#REF!</v>
          </cell>
          <cell r="AU796" t="e">
            <v>#REF!</v>
          </cell>
          <cell r="AV796" t="e">
            <v>#REF!</v>
          </cell>
          <cell r="AW796" t="e">
            <v>#DIV/0!</v>
          </cell>
          <cell r="AX796" t="e">
            <v>#DIV/0!</v>
          </cell>
          <cell r="AY796" t="e">
            <v>#DIV/0!</v>
          </cell>
          <cell r="AZ796" t="e">
            <v>#DIV/0!</v>
          </cell>
          <cell r="BE796" t="e">
            <v>#DIV/0!</v>
          </cell>
          <cell r="BF796" t="e">
            <v>#DIV/0!</v>
          </cell>
        </row>
        <row r="797">
          <cell r="A797" t="str">
            <v>-0</v>
          </cell>
          <cell r="B797" t="str">
            <v xml:space="preserve">-0  , </v>
          </cell>
          <cell r="C797"/>
          <cell r="D797"/>
          <cell r="E797"/>
          <cell r="F797"/>
          <cell r="G797"/>
          <cell r="H797"/>
          <cell r="I797"/>
          <cell r="J797"/>
          <cell r="K797"/>
          <cell r="L797"/>
          <cell r="M797"/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  <cell r="X797">
            <v>0</v>
          </cell>
          <cell r="Y797">
            <v>0</v>
          </cell>
          <cell r="Z797">
            <v>0</v>
          </cell>
          <cell r="AA797" t="str">
            <v>,</v>
          </cell>
          <cell r="AB797" t="str">
            <v>,</v>
          </cell>
          <cell r="AC797" t="e">
            <v>#DIV/0!</v>
          </cell>
          <cell r="AD797" t="e">
            <v>#DIV/0!</v>
          </cell>
          <cell r="AE797">
            <v>0.71</v>
          </cell>
          <cell r="AF797">
            <v>94.97</v>
          </cell>
          <cell r="AG797">
            <v>0</v>
          </cell>
          <cell r="AH797" t="e">
            <v>#DIV/0!</v>
          </cell>
          <cell r="AI797" t="e">
            <v>#DIV/0!</v>
          </cell>
          <cell r="AJ797" t="e">
            <v>#DIV/0!</v>
          </cell>
          <cell r="AK797" t="e">
            <v>#DIV/0!</v>
          </cell>
          <cell r="AL797" t="e">
            <v>#DIV/0!</v>
          </cell>
          <cell r="AM797" t="e">
            <v>#DIV/0!</v>
          </cell>
          <cell r="AN797" t="e">
            <v>#DIV/0!</v>
          </cell>
          <cell r="AO797" t="e">
            <v>#REF!</v>
          </cell>
          <cell r="AP797" t="e">
            <v>#REF!</v>
          </cell>
          <cell r="AQ797" t="e">
            <v>#REF!</v>
          </cell>
          <cell r="AR797" t="e">
            <v>#REF!</v>
          </cell>
          <cell r="AS797" t="e">
            <v>#REF!</v>
          </cell>
          <cell r="AT797" t="e">
            <v>#REF!</v>
          </cell>
          <cell r="AU797" t="e">
            <v>#REF!</v>
          </cell>
          <cell r="AV797" t="e">
            <v>#REF!</v>
          </cell>
          <cell r="AW797" t="e">
            <v>#DIV/0!</v>
          </cell>
          <cell r="AX797" t="e">
            <v>#DIV/0!</v>
          </cell>
          <cell r="AY797" t="e">
            <v>#DIV/0!</v>
          </cell>
          <cell r="AZ797" t="e">
            <v>#DIV/0!</v>
          </cell>
          <cell r="BE797" t="e">
            <v>#DIV/0!</v>
          </cell>
          <cell r="BF797" t="e">
            <v>#DIV/0!</v>
          </cell>
        </row>
        <row r="798">
          <cell r="A798" t="str">
            <v>-0</v>
          </cell>
          <cell r="B798" t="str">
            <v xml:space="preserve">-0  , </v>
          </cell>
          <cell r="C798"/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/>
          <cell r="S798"/>
          <cell r="T798"/>
          <cell r="U798"/>
          <cell r="V798"/>
          <cell r="W798"/>
          <cell r="X798">
            <v>0</v>
          </cell>
          <cell r="Y798">
            <v>0</v>
          </cell>
          <cell r="Z798">
            <v>0</v>
          </cell>
          <cell r="AA798" t="str">
            <v>,</v>
          </cell>
          <cell r="AB798" t="str">
            <v>,</v>
          </cell>
          <cell r="AC798" t="e">
            <v>#DIV/0!</v>
          </cell>
          <cell r="AD798" t="e">
            <v>#DIV/0!</v>
          </cell>
          <cell r="AE798">
            <v>0.71</v>
          </cell>
          <cell r="AF798">
            <v>94.97</v>
          </cell>
          <cell r="AG798">
            <v>0</v>
          </cell>
          <cell r="AH798" t="e">
            <v>#DIV/0!</v>
          </cell>
          <cell r="AI798" t="e">
            <v>#DIV/0!</v>
          </cell>
          <cell r="AJ798" t="e">
            <v>#DIV/0!</v>
          </cell>
          <cell r="AK798" t="e">
            <v>#DIV/0!</v>
          </cell>
          <cell r="AL798" t="e">
            <v>#DIV/0!</v>
          </cell>
          <cell r="AM798" t="e">
            <v>#DIV/0!</v>
          </cell>
          <cell r="AN798" t="e">
            <v>#DIV/0!</v>
          </cell>
          <cell r="AO798" t="e">
            <v>#REF!</v>
          </cell>
          <cell r="AP798" t="e">
            <v>#REF!</v>
          </cell>
          <cell r="AQ798" t="e">
            <v>#REF!</v>
          </cell>
          <cell r="AR798" t="e">
            <v>#REF!</v>
          </cell>
          <cell r="AS798" t="e">
            <v>#REF!</v>
          </cell>
          <cell r="AT798" t="e">
            <v>#REF!</v>
          </cell>
          <cell r="AU798" t="e">
            <v>#REF!</v>
          </cell>
          <cell r="AV798" t="e">
            <v>#REF!</v>
          </cell>
          <cell r="AW798" t="e">
            <v>#DIV/0!</v>
          </cell>
          <cell r="AX798" t="e">
            <v>#DIV/0!</v>
          </cell>
          <cell r="AY798" t="e">
            <v>#DIV/0!</v>
          </cell>
          <cell r="AZ798" t="e">
            <v>#DIV/0!</v>
          </cell>
          <cell r="BE798" t="e">
            <v>#DIV/0!</v>
          </cell>
          <cell r="BF798" t="e">
            <v>#DIV/0!</v>
          </cell>
        </row>
        <row r="799">
          <cell r="A799" t="str">
            <v>-0</v>
          </cell>
          <cell r="B799" t="str">
            <v xml:space="preserve">-0  , </v>
          </cell>
          <cell r="C799"/>
          <cell r="D799"/>
          <cell r="E799"/>
          <cell r="F799"/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/>
          <cell r="S799"/>
          <cell r="T799"/>
          <cell r="U799"/>
          <cell r="V799"/>
          <cell r="W799"/>
          <cell r="X799">
            <v>0</v>
          </cell>
          <cell r="Y799">
            <v>0</v>
          </cell>
          <cell r="Z799">
            <v>0</v>
          </cell>
          <cell r="AA799" t="str">
            <v>,</v>
          </cell>
          <cell r="AB799" t="str">
            <v>,</v>
          </cell>
          <cell r="AC799" t="e">
            <v>#DIV/0!</v>
          </cell>
          <cell r="AD799" t="e">
            <v>#DIV/0!</v>
          </cell>
          <cell r="AE799">
            <v>0.71</v>
          </cell>
          <cell r="AF799">
            <v>94.97</v>
          </cell>
          <cell r="AG799">
            <v>0</v>
          </cell>
          <cell r="AH799" t="e">
            <v>#DIV/0!</v>
          </cell>
          <cell r="AI799" t="e">
            <v>#DIV/0!</v>
          </cell>
          <cell r="AJ799" t="e">
            <v>#DIV/0!</v>
          </cell>
          <cell r="AK799" t="e">
            <v>#DIV/0!</v>
          </cell>
          <cell r="AL799" t="e">
            <v>#DIV/0!</v>
          </cell>
          <cell r="AM799" t="e">
            <v>#DIV/0!</v>
          </cell>
          <cell r="AN799" t="e">
            <v>#DIV/0!</v>
          </cell>
          <cell r="AO799" t="e">
            <v>#REF!</v>
          </cell>
          <cell r="AP799" t="e">
            <v>#REF!</v>
          </cell>
          <cell r="AQ799" t="e">
            <v>#REF!</v>
          </cell>
          <cell r="AR799" t="e">
            <v>#REF!</v>
          </cell>
          <cell r="AS799" t="e">
            <v>#REF!</v>
          </cell>
          <cell r="AT799" t="e">
            <v>#REF!</v>
          </cell>
          <cell r="AU799" t="e">
            <v>#REF!</v>
          </cell>
          <cell r="AV799" t="e">
            <v>#REF!</v>
          </cell>
          <cell r="AW799" t="e">
            <v>#DIV/0!</v>
          </cell>
          <cell r="AX799" t="e">
            <v>#DIV/0!</v>
          </cell>
          <cell r="AY799" t="e">
            <v>#DIV/0!</v>
          </cell>
          <cell r="AZ799" t="e">
            <v>#DIV/0!</v>
          </cell>
          <cell r="BE799" t="e">
            <v>#DIV/0!</v>
          </cell>
          <cell r="BF799" t="e">
            <v>#DIV/0!</v>
          </cell>
        </row>
        <row r="800">
          <cell r="A800" t="str">
            <v>-0</v>
          </cell>
          <cell r="B800" t="str">
            <v xml:space="preserve">-0  , </v>
          </cell>
          <cell r="C800"/>
          <cell r="D800"/>
          <cell r="E800"/>
          <cell r="F800"/>
          <cell r="G800"/>
          <cell r="H800"/>
          <cell r="I800"/>
          <cell r="J800"/>
          <cell r="K800"/>
          <cell r="L800"/>
          <cell r="M800"/>
          <cell r="N800"/>
          <cell r="O800"/>
          <cell r="P800"/>
          <cell r="Q800"/>
          <cell r="R800"/>
          <cell r="S800"/>
          <cell r="T800"/>
          <cell r="U800"/>
          <cell r="V800"/>
          <cell r="W800"/>
          <cell r="X800">
            <v>0</v>
          </cell>
          <cell r="Y800">
            <v>0</v>
          </cell>
          <cell r="Z800">
            <v>0</v>
          </cell>
          <cell r="AA800" t="str">
            <v>,</v>
          </cell>
          <cell r="AB800" t="str">
            <v>,</v>
          </cell>
          <cell r="AC800" t="e">
            <v>#DIV/0!</v>
          </cell>
          <cell r="AD800" t="e">
            <v>#DIV/0!</v>
          </cell>
          <cell r="AE800">
            <v>0.71</v>
          </cell>
          <cell r="AF800">
            <v>94.97</v>
          </cell>
          <cell r="AG800">
            <v>0</v>
          </cell>
          <cell r="AH800" t="e">
            <v>#DIV/0!</v>
          </cell>
          <cell r="AI800" t="e">
            <v>#DIV/0!</v>
          </cell>
          <cell r="AJ800" t="e">
            <v>#DIV/0!</v>
          </cell>
          <cell r="AK800" t="e">
            <v>#DIV/0!</v>
          </cell>
          <cell r="AL800" t="e">
            <v>#DIV/0!</v>
          </cell>
          <cell r="AM800" t="e">
            <v>#DIV/0!</v>
          </cell>
          <cell r="AN800" t="e">
            <v>#DIV/0!</v>
          </cell>
          <cell r="AO800" t="e">
            <v>#REF!</v>
          </cell>
          <cell r="AP800" t="e">
            <v>#REF!</v>
          </cell>
          <cell r="AQ800" t="e">
            <v>#REF!</v>
          </cell>
          <cell r="AR800" t="e">
            <v>#REF!</v>
          </cell>
          <cell r="AS800" t="e">
            <v>#REF!</v>
          </cell>
          <cell r="AT800" t="e">
            <v>#REF!</v>
          </cell>
          <cell r="AU800" t="e">
            <v>#REF!</v>
          </cell>
          <cell r="AV800" t="e">
            <v>#REF!</v>
          </cell>
          <cell r="AW800" t="e">
            <v>#DIV/0!</v>
          </cell>
          <cell r="AX800" t="e">
            <v>#DIV/0!</v>
          </cell>
          <cell r="AY800" t="e">
            <v>#DIV/0!</v>
          </cell>
          <cell r="AZ800" t="e">
            <v>#DIV/0!</v>
          </cell>
          <cell r="BE800" t="e">
            <v>#DIV/0!</v>
          </cell>
          <cell r="BF800" t="e">
            <v>#DIV/0!</v>
          </cell>
        </row>
        <row r="801">
          <cell r="A801" t="str">
            <v>-0</v>
          </cell>
          <cell r="B801" t="str">
            <v xml:space="preserve">-0  , </v>
          </cell>
          <cell r="C801"/>
          <cell r="D801"/>
          <cell r="E801"/>
          <cell r="F801"/>
          <cell r="G801"/>
          <cell r="H801"/>
          <cell r="I801"/>
          <cell r="J801"/>
          <cell r="K801"/>
          <cell r="L801"/>
          <cell r="M801"/>
          <cell r="N801"/>
          <cell r="O801"/>
          <cell r="P801"/>
          <cell r="Q801"/>
          <cell r="R801"/>
          <cell r="S801"/>
          <cell r="T801"/>
          <cell r="U801"/>
          <cell r="V801"/>
          <cell r="W801"/>
          <cell r="X801">
            <v>0</v>
          </cell>
          <cell r="Y801">
            <v>0</v>
          </cell>
          <cell r="Z801">
            <v>0</v>
          </cell>
          <cell r="AA801" t="str">
            <v>,</v>
          </cell>
          <cell r="AB801" t="str">
            <v>,</v>
          </cell>
          <cell r="AC801" t="e">
            <v>#DIV/0!</v>
          </cell>
          <cell r="AD801" t="e">
            <v>#DIV/0!</v>
          </cell>
          <cell r="AE801">
            <v>0.71</v>
          </cell>
          <cell r="AF801">
            <v>94.97</v>
          </cell>
          <cell r="AG801">
            <v>0</v>
          </cell>
          <cell r="AH801" t="e">
            <v>#DIV/0!</v>
          </cell>
          <cell r="AI801" t="e">
            <v>#DIV/0!</v>
          </cell>
          <cell r="AJ801" t="e">
            <v>#DIV/0!</v>
          </cell>
          <cell r="AK801" t="e">
            <v>#DIV/0!</v>
          </cell>
          <cell r="AL801" t="e">
            <v>#DIV/0!</v>
          </cell>
          <cell r="AM801" t="e">
            <v>#DIV/0!</v>
          </cell>
          <cell r="AN801" t="e">
            <v>#DIV/0!</v>
          </cell>
          <cell r="AO801" t="e">
            <v>#REF!</v>
          </cell>
          <cell r="AP801" t="e">
            <v>#REF!</v>
          </cell>
          <cell r="AQ801" t="e">
            <v>#REF!</v>
          </cell>
          <cell r="AR801" t="e">
            <v>#REF!</v>
          </cell>
          <cell r="AS801" t="e">
            <v>#REF!</v>
          </cell>
          <cell r="AT801" t="e">
            <v>#REF!</v>
          </cell>
          <cell r="AU801" t="e">
            <v>#REF!</v>
          </cell>
          <cell r="AV801" t="e">
            <v>#REF!</v>
          </cell>
          <cell r="AW801" t="e">
            <v>#DIV/0!</v>
          </cell>
          <cell r="AX801" t="e">
            <v>#DIV/0!</v>
          </cell>
          <cell r="AY801" t="e">
            <v>#DIV/0!</v>
          </cell>
          <cell r="AZ801" t="e">
            <v>#DIV/0!</v>
          </cell>
          <cell r="BE801" t="e">
            <v>#DIV/0!</v>
          </cell>
          <cell r="BF801" t="e">
            <v>#DIV/0!</v>
          </cell>
        </row>
        <row r="802">
          <cell r="A802" t="str">
            <v>-0</v>
          </cell>
          <cell r="B802" t="str">
            <v xml:space="preserve">-0  , </v>
          </cell>
          <cell r="C802"/>
          <cell r="D802"/>
          <cell r="E802"/>
          <cell r="F802"/>
          <cell r="G802"/>
          <cell r="H802"/>
          <cell r="I802"/>
          <cell r="J802"/>
          <cell r="K802"/>
          <cell r="L802"/>
          <cell r="M802"/>
          <cell r="N802"/>
          <cell r="O802"/>
          <cell r="P802"/>
          <cell r="Q802"/>
          <cell r="R802"/>
          <cell r="S802"/>
          <cell r="T802"/>
          <cell r="U802"/>
          <cell r="V802"/>
          <cell r="W802"/>
          <cell r="X802">
            <v>0</v>
          </cell>
          <cell r="Y802">
            <v>0</v>
          </cell>
          <cell r="Z802">
            <v>0</v>
          </cell>
          <cell r="AA802" t="str">
            <v>,</v>
          </cell>
          <cell r="AB802" t="str">
            <v>,</v>
          </cell>
          <cell r="AC802" t="e">
            <v>#DIV/0!</v>
          </cell>
          <cell r="AD802" t="e">
            <v>#DIV/0!</v>
          </cell>
          <cell r="AE802">
            <v>0.71</v>
          </cell>
          <cell r="AF802">
            <v>94.97</v>
          </cell>
          <cell r="AG802">
            <v>0</v>
          </cell>
          <cell r="AH802" t="e">
            <v>#DIV/0!</v>
          </cell>
          <cell r="AI802" t="e">
            <v>#DIV/0!</v>
          </cell>
          <cell r="AJ802" t="e">
            <v>#DIV/0!</v>
          </cell>
          <cell r="AK802" t="e">
            <v>#DIV/0!</v>
          </cell>
          <cell r="AL802" t="e">
            <v>#DIV/0!</v>
          </cell>
          <cell r="AM802" t="e">
            <v>#DIV/0!</v>
          </cell>
          <cell r="AN802" t="e">
            <v>#DIV/0!</v>
          </cell>
          <cell r="AO802" t="e">
            <v>#REF!</v>
          </cell>
          <cell r="AP802" t="e">
            <v>#REF!</v>
          </cell>
          <cell r="AQ802" t="e">
            <v>#REF!</v>
          </cell>
          <cell r="AR802" t="e">
            <v>#REF!</v>
          </cell>
          <cell r="AS802" t="e">
            <v>#REF!</v>
          </cell>
          <cell r="AT802" t="e">
            <v>#REF!</v>
          </cell>
          <cell r="AU802" t="e">
            <v>#REF!</v>
          </cell>
          <cell r="AV802" t="e">
            <v>#REF!</v>
          </cell>
          <cell r="AW802" t="e">
            <v>#DIV/0!</v>
          </cell>
          <cell r="AX802" t="e">
            <v>#DIV/0!</v>
          </cell>
          <cell r="AY802" t="e">
            <v>#DIV/0!</v>
          </cell>
          <cell r="AZ802" t="e">
            <v>#DIV/0!</v>
          </cell>
          <cell r="BE802" t="e">
            <v>#DIV/0!</v>
          </cell>
          <cell r="BF802" t="e">
            <v>#DIV/0!</v>
          </cell>
        </row>
        <row r="803">
          <cell r="A803" t="str">
            <v>-0</v>
          </cell>
          <cell r="B803" t="str">
            <v xml:space="preserve">-0  , </v>
          </cell>
          <cell r="C803"/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  <cell r="X803">
            <v>0</v>
          </cell>
          <cell r="Y803">
            <v>0</v>
          </cell>
          <cell r="Z803">
            <v>0</v>
          </cell>
          <cell r="AA803" t="str">
            <v>,</v>
          </cell>
          <cell r="AB803" t="str">
            <v>,</v>
          </cell>
          <cell r="AC803" t="e">
            <v>#DIV/0!</v>
          </cell>
          <cell r="AD803" t="e">
            <v>#DIV/0!</v>
          </cell>
          <cell r="AE803">
            <v>0.71</v>
          </cell>
          <cell r="AF803">
            <v>94.97</v>
          </cell>
          <cell r="AG803">
            <v>0</v>
          </cell>
          <cell r="AH803" t="e">
            <v>#DIV/0!</v>
          </cell>
          <cell r="AI803" t="e">
            <v>#DIV/0!</v>
          </cell>
          <cell r="AJ803" t="e">
            <v>#DIV/0!</v>
          </cell>
          <cell r="AK803" t="e">
            <v>#DIV/0!</v>
          </cell>
          <cell r="AL803" t="e">
            <v>#DIV/0!</v>
          </cell>
          <cell r="AM803" t="e">
            <v>#DIV/0!</v>
          </cell>
          <cell r="AN803" t="e">
            <v>#DIV/0!</v>
          </cell>
          <cell r="AO803" t="e">
            <v>#REF!</v>
          </cell>
          <cell r="AP803" t="e">
            <v>#REF!</v>
          </cell>
          <cell r="AQ803" t="e">
            <v>#REF!</v>
          </cell>
          <cell r="AR803" t="e">
            <v>#REF!</v>
          </cell>
          <cell r="AS803" t="e">
            <v>#REF!</v>
          </cell>
          <cell r="AT803" t="e">
            <v>#REF!</v>
          </cell>
          <cell r="AU803" t="e">
            <v>#REF!</v>
          </cell>
          <cell r="AV803" t="e">
            <v>#REF!</v>
          </cell>
          <cell r="AW803" t="e">
            <v>#DIV/0!</v>
          </cell>
          <cell r="AX803" t="e">
            <v>#DIV/0!</v>
          </cell>
          <cell r="AY803" t="e">
            <v>#DIV/0!</v>
          </cell>
          <cell r="AZ803" t="e">
            <v>#DIV/0!</v>
          </cell>
          <cell r="BE803" t="e">
            <v>#DIV/0!</v>
          </cell>
          <cell r="BF803" t="e">
            <v>#DIV/0!</v>
          </cell>
        </row>
        <row r="804">
          <cell r="A804" t="str">
            <v>-0</v>
          </cell>
          <cell r="B804" t="str">
            <v xml:space="preserve">-0  , </v>
          </cell>
          <cell r="C804"/>
          <cell r="D804"/>
          <cell r="E804"/>
          <cell r="F804"/>
          <cell r="G804"/>
          <cell r="H804"/>
          <cell r="I804"/>
          <cell r="J804"/>
          <cell r="K804"/>
          <cell r="L804"/>
          <cell r="M804"/>
          <cell r="N804"/>
          <cell r="O804"/>
          <cell r="P804"/>
          <cell r="Q804"/>
          <cell r="R804"/>
          <cell r="S804"/>
          <cell r="T804"/>
          <cell r="U804"/>
          <cell r="V804"/>
          <cell r="W804"/>
          <cell r="X804">
            <v>0</v>
          </cell>
          <cell r="Y804">
            <v>0</v>
          </cell>
          <cell r="Z804">
            <v>0</v>
          </cell>
          <cell r="AA804" t="str">
            <v>,</v>
          </cell>
          <cell r="AB804" t="str">
            <v>,</v>
          </cell>
          <cell r="AC804" t="e">
            <v>#DIV/0!</v>
          </cell>
          <cell r="AD804" t="e">
            <v>#DIV/0!</v>
          </cell>
          <cell r="AE804">
            <v>0.71</v>
          </cell>
          <cell r="AF804">
            <v>94.97</v>
          </cell>
          <cell r="AG804">
            <v>0</v>
          </cell>
          <cell r="AH804" t="e">
            <v>#DIV/0!</v>
          </cell>
          <cell r="AI804" t="e">
            <v>#DIV/0!</v>
          </cell>
          <cell r="AJ804" t="e">
            <v>#DIV/0!</v>
          </cell>
          <cell r="AK804" t="e">
            <v>#DIV/0!</v>
          </cell>
          <cell r="AL804" t="e">
            <v>#DIV/0!</v>
          </cell>
          <cell r="AM804" t="e">
            <v>#DIV/0!</v>
          </cell>
          <cell r="AN804" t="e">
            <v>#DIV/0!</v>
          </cell>
          <cell r="AO804" t="e">
            <v>#REF!</v>
          </cell>
          <cell r="AP804" t="e">
            <v>#REF!</v>
          </cell>
          <cell r="AQ804" t="e">
            <v>#REF!</v>
          </cell>
          <cell r="AR804" t="e">
            <v>#REF!</v>
          </cell>
          <cell r="AS804" t="e">
            <v>#REF!</v>
          </cell>
          <cell r="AT804" t="e">
            <v>#REF!</v>
          </cell>
          <cell r="AU804" t="e">
            <v>#REF!</v>
          </cell>
          <cell r="AV804" t="e">
            <v>#REF!</v>
          </cell>
          <cell r="AW804" t="e">
            <v>#DIV/0!</v>
          </cell>
          <cell r="AX804" t="e">
            <v>#DIV/0!</v>
          </cell>
          <cell r="AY804" t="e">
            <v>#DIV/0!</v>
          </cell>
          <cell r="AZ804" t="e">
            <v>#DIV/0!</v>
          </cell>
          <cell r="BE804" t="e">
            <v>#DIV/0!</v>
          </cell>
          <cell r="BF804" t="e">
            <v>#DIV/0!</v>
          </cell>
        </row>
        <row r="805">
          <cell r="A805" t="str">
            <v>-0</v>
          </cell>
          <cell r="B805" t="str">
            <v xml:space="preserve">-0  , </v>
          </cell>
          <cell r="C805"/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/>
          <cell r="S805"/>
          <cell r="T805"/>
          <cell r="U805"/>
          <cell r="V805"/>
          <cell r="W805"/>
          <cell r="X805">
            <v>0</v>
          </cell>
          <cell r="Y805">
            <v>0</v>
          </cell>
          <cell r="Z805">
            <v>0</v>
          </cell>
          <cell r="AA805" t="str">
            <v>,</v>
          </cell>
          <cell r="AB805" t="str">
            <v>,</v>
          </cell>
          <cell r="AC805" t="e">
            <v>#DIV/0!</v>
          </cell>
          <cell r="AD805" t="e">
            <v>#DIV/0!</v>
          </cell>
          <cell r="AE805">
            <v>0.71</v>
          </cell>
          <cell r="AF805">
            <v>94.97</v>
          </cell>
          <cell r="AG805">
            <v>0</v>
          </cell>
          <cell r="AH805" t="e">
            <v>#DIV/0!</v>
          </cell>
          <cell r="AI805" t="e">
            <v>#DIV/0!</v>
          </cell>
          <cell r="AJ805" t="e">
            <v>#DIV/0!</v>
          </cell>
          <cell r="AK805" t="e">
            <v>#DIV/0!</v>
          </cell>
          <cell r="AL805" t="e">
            <v>#DIV/0!</v>
          </cell>
          <cell r="AM805" t="e">
            <v>#DIV/0!</v>
          </cell>
          <cell r="AN805" t="e">
            <v>#DIV/0!</v>
          </cell>
          <cell r="AO805" t="e">
            <v>#REF!</v>
          </cell>
          <cell r="AP805" t="e">
            <v>#REF!</v>
          </cell>
          <cell r="AQ805" t="e">
            <v>#REF!</v>
          </cell>
          <cell r="AR805" t="e">
            <v>#REF!</v>
          </cell>
          <cell r="AS805" t="e">
            <v>#REF!</v>
          </cell>
          <cell r="AT805" t="e">
            <v>#REF!</v>
          </cell>
          <cell r="AU805" t="e">
            <v>#REF!</v>
          </cell>
          <cell r="AV805" t="e">
            <v>#REF!</v>
          </cell>
          <cell r="AW805" t="e">
            <v>#DIV/0!</v>
          </cell>
          <cell r="AX805" t="e">
            <v>#DIV/0!</v>
          </cell>
          <cell r="AY805" t="e">
            <v>#DIV/0!</v>
          </cell>
          <cell r="AZ805" t="e">
            <v>#DIV/0!</v>
          </cell>
          <cell r="BE805" t="e">
            <v>#DIV/0!</v>
          </cell>
          <cell r="BF805" t="e">
            <v>#DIV/0!</v>
          </cell>
        </row>
        <row r="806">
          <cell r="A806" t="str">
            <v>-0</v>
          </cell>
          <cell r="B806" t="str">
            <v xml:space="preserve">-0  , </v>
          </cell>
          <cell r="C806"/>
          <cell r="D806"/>
          <cell r="E806"/>
          <cell r="F806"/>
          <cell r="G806"/>
          <cell r="H806"/>
          <cell r="I806"/>
          <cell r="J806"/>
          <cell r="K806"/>
          <cell r="L806"/>
          <cell r="M806"/>
          <cell r="N806"/>
          <cell r="O806"/>
          <cell r="P806"/>
          <cell r="Q806"/>
          <cell r="R806"/>
          <cell r="S806"/>
          <cell r="T806"/>
          <cell r="U806"/>
          <cell r="V806"/>
          <cell r="W806"/>
          <cell r="X806">
            <v>0</v>
          </cell>
          <cell r="Y806">
            <v>0</v>
          </cell>
          <cell r="Z806">
            <v>0</v>
          </cell>
          <cell r="AA806" t="str">
            <v>,</v>
          </cell>
          <cell r="AB806" t="str">
            <v>,</v>
          </cell>
          <cell r="AC806" t="e">
            <v>#DIV/0!</v>
          </cell>
          <cell r="AD806" t="e">
            <v>#DIV/0!</v>
          </cell>
          <cell r="AE806">
            <v>0.71</v>
          </cell>
          <cell r="AF806">
            <v>94.97</v>
          </cell>
          <cell r="AG806">
            <v>0</v>
          </cell>
          <cell r="AH806" t="e">
            <v>#DIV/0!</v>
          </cell>
          <cell r="AI806" t="e">
            <v>#DIV/0!</v>
          </cell>
          <cell r="AJ806" t="e">
            <v>#DIV/0!</v>
          </cell>
          <cell r="AK806" t="e">
            <v>#DIV/0!</v>
          </cell>
          <cell r="AL806" t="e">
            <v>#DIV/0!</v>
          </cell>
          <cell r="AM806" t="e">
            <v>#DIV/0!</v>
          </cell>
          <cell r="AN806" t="e">
            <v>#DIV/0!</v>
          </cell>
          <cell r="AO806" t="e">
            <v>#REF!</v>
          </cell>
          <cell r="AP806" t="e">
            <v>#REF!</v>
          </cell>
          <cell r="AQ806" t="e">
            <v>#REF!</v>
          </cell>
          <cell r="AR806" t="e">
            <v>#REF!</v>
          </cell>
          <cell r="AS806" t="e">
            <v>#REF!</v>
          </cell>
          <cell r="AT806" t="e">
            <v>#REF!</v>
          </cell>
          <cell r="AU806" t="e">
            <v>#REF!</v>
          </cell>
          <cell r="AV806" t="e">
            <v>#REF!</v>
          </cell>
          <cell r="AW806" t="e">
            <v>#DIV/0!</v>
          </cell>
          <cell r="AX806" t="e">
            <v>#DIV/0!</v>
          </cell>
          <cell r="AY806" t="e">
            <v>#DIV/0!</v>
          </cell>
          <cell r="AZ806" t="e">
            <v>#DIV/0!</v>
          </cell>
          <cell r="BE806" t="e">
            <v>#DIV/0!</v>
          </cell>
          <cell r="BF806" t="e">
            <v>#DIV/0!</v>
          </cell>
        </row>
        <row r="807">
          <cell r="A807" t="str">
            <v>-0</v>
          </cell>
          <cell r="B807" t="str">
            <v xml:space="preserve">-0  , </v>
          </cell>
          <cell r="C807"/>
          <cell r="D807"/>
          <cell r="E807"/>
          <cell r="F807"/>
          <cell r="G807"/>
          <cell r="H807"/>
          <cell r="I807"/>
          <cell r="J807"/>
          <cell r="K807"/>
          <cell r="L807"/>
          <cell r="M807"/>
          <cell r="N807"/>
          <cell r="O807"/>
          <cell r="P807"/>
          <cell r="Q807"/>
          <cell r="R807"/>
          <cell r="S807"/>
          <cell r="T807"/>
          <cell r="U807"/>
          <cell r="V807"/>
          <cell r="W807"/>
          <cell r="X807">
            <v>0</v>
          </cell>
          <cell r="Y807">
            <v>0</v>
          </cell>
          <cell r="Z807">
            <v>0</v>
          </cell>
          <cell r="AA807" t="str">
            <v>,</v>
          </cell>
          <cell r="AB807" t="str">
            <v>,</v>
          </cell>
          <cell r="AC807" t="e">
            <v>#DIV/0!</v>
          </cell>
          <cell r="AD807" t="e">
            <v>#DIV/0!</v>
          </cell>
          <cell r="AE807">
            <v>0.71</v>
          </cell>
          <cell r="AF807">
            <v>94.97</v>
          </cell>
          <cell r="AG807">
            <v>0</v>
          </cell>
          <cell r="AH807" t="e">
            <v>#DIV/0!</v>
          </cell>
          <cell r="AI807" t="e">
            <v>#DIV/0!</v>
          </cell>
          <cell r="AJ807" t="e">
            <v>#DIV/0!</v>
          </cell>
          <cell r="AK807" t="e">
            <v>#DIV/0!</v>
          </cell>
          <cell r="AL807" t="e">
            <v>#DIV/0!</v>
          </cell>
          <cell r="AM807" t="e">
            <v>#DIV/0!</v>
          </cell>
          <cell r="AN807" t="e">
            <v>#DIV/0!</v>
          </cell>
          <cell r="AO807" t="e">
            <v>#REF!</v>
          </cell>
          <cell r="AP807" t="e">
            <v>#REF!</v>
          </cell>
          <cell r="AQ807" t="e">
            <v>#REF!</v>
          </cell>
          <cell r="AR807" t="e">
            <v>#REF!</v>
          </cell>
          <cell r="AS807" t="e">
            <v>#REF!</v>
          </cell>
          <cell r="AT807" t="e">
            <v>#REF!</v>
          </cell>
          <cell r="AU807" t="e">
            <v>#REF!</v>
          </cell>
          <cell r="AV807" t="e">
            <v>#REF!</v>
          </cell>
          <cell r="AW807" t="e">
            <v>#DIV/0!</v>
          </cell>
          <cell r="AX807" t="e">
            <v>#DIV/0!</v>
          </cell>
          <cell r="AY807" t="e">
            <v>#DIV/0!</v>
          </cell>
          <cell r="AZ807" t="e">
            <v>#DIV/0!</v>
          </cell>
          <cell r="BE807" t="e">
            <v>#DIV/0!</v>
          </cell>
          <cell r="BF807" t="e">
            <v>#DIV/0!</v>
          </cell>
        </row>
        <row r="808">
          <cell r="A808" t="str">
            <v>-0</v>
          </cell>
          <cell r="B808" t="str">
            <v xml:space="preserve">-0  , </v>
          </cell>
          <cell r="C808"/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/>
          <cell r="S808"/>
          <cell r="T808"/>
          <cell r="U808"/>
          <cell r="V808"/>
          <cell r="W808"/>
          <cell r="X808">
            <v>0</v>
          </cell>
          <cell r="Y808">
            <v>0</v>
          </cell>
          <cell r="Z808">
            <v>0</v>
          </cell>
          <cell r="AA808" t="str">
            <v>,</v>
          </cell>
          <cell r="AB808" t="str">
            <v>,</v>
          </cell>
          <cell r="AC808" t="e">
            <v>#DIV/0!</v>
          </cell>
          <cell r="AD808" t="e">
            <v>#DIV/0!</v>
          </cell>
          <cell r="AE808">
            <v>0.71</v>
          </cell>
          <cell r="AF808">
            <v>94.97</v>
          </cell>
          <cell r="AG808">
            <v>0</v>
          </cell>
          <cell r="AH808" t="e">
            <v>#DIV/0!</v>
          </cell>
          <cell r="AI808" t="e">
            <v>#DIV/0!</v>
          </cell>
          <cell r="AJ808" t="e">
            <v>#DIV/0!</v>
          </cell>
          <cell r="AK808" t="e">
            <v>#DIV/0!</v>
          </cell>
          <cell r="AL808" t="e">
            <v>#DIV/0!</v>
          </cell>
          <cell r="AM808" t="e">
            <v>#DIV/0!</v>
          </cell>
          <cell r="AN808" t="e">
            <v>#DIV/0!</v>
          </cell>
          <cell r="AO808" t="e">
            <v>#REF!</v>
          </cell>
          <cell r="AP808" t="e">
            <v>#REF!</v>
          </cell>
          <cell r="AQ808" t="e">
            <v>#REF!</v>
          </cell>
          <cell r="AR808" t="e">
            <v>#REF!</v>
          </cell>
          <cell r="AS808" t="e">
            <v>#REF!</v>
          </cell>
          <cell r="AT808" t="e">
            <v>#REF!</v>
          </cell>
          <cell r="AU808" t="e">
            <v>#REF!</v>
          </cell>
          <cell r="AV808" t="e">
            <v>#REF!</v>
          </cell>
          <cell r="AW808" t="e">
            <v>#DIV/0!</v>
          </cell>
          <cell r="AX808" t="e">
            <v>#DIV/0!</v>
          </cell>
          <cell r="AY808" t="e">
            <v>#DIV/0!</v>
          </cell>
          <cell r="AZ808" t="e">
            <v>#DIV/0!</v>
          </cell>
          <cell r="BE808" t="e">
            <v>#DIV/0!</v>
          </cell>
          <cell r="BF808" t="e">
            <v>#DIV/0!</v>
          </cell>
        </row>
        <row r="809">
          <cell r="A809" t="str">
            <v>-0</v>
          </cell>
          <cell r="B809" t="str">
            <v xml:space="preserve">-0  , </v>
          </cell>
          <cell r="C809"/>
          <cell r="D809"/>
          <cell r="E809"/>
          <cell r="F809"/>
          <cell r="G809"/>
          <cell r="H809"/>
          <cell r="I809"/>
          <cell r="J809"/>
          <cell r="K809"/>
          <cell r="L809"/>
          <cell r="M809"/>
          <cell r="N809"/>
          <cell r="O809"/>
          <cell r="P809"/>
          <cell r="Q809"/>
          <cell r="R809"/>
          <cell r="S809"/>
          <cell r="T809"/>
          <cell r="U809"/>
          <cell r="V809"/>
          <cell r="W809"/>
          <cell r="X809">
            <v>0</v>
          </cell>
          <cell r="Y809">
            <v>0</v>
          </cell>
          <cell r="Z809">
            <v>0</v>
          </cell>
          <cell r="AA809" t="str">
            <v>,</v>
          </cell>
          <cell r="AB809" t="str">
            <v>,</v>
          </cell>
          <cell r="AC809" t="e">
            <v>#DIV/0!</v>
          </cell>
          <cell r="AD809" t="e">
            <v>#DIV/0!</v>
          </cell>
          <cell r="AE809">
            <v>0.71</v>
          </cell>
          <cell r="AF809">
            <v>94.97</v>
          </cell>
          <cell r="AG809">
            <v>0</v>
          </cell>
          <cell r="AH809" t="e">
            <v>#DIV/0!</v>
          </cell>
          <cell r="AI809" t="e">
            <v>#DIV/0!</v>
          </cell>
          <cell r="AJ809" t="e">
            <v>#DIV/0!</v>
          </cell>
          <cell r="AK809" t="e">
            <v>#DIV/0!</v>
          </cell>
          <cell r="AL809" t="e">
            <v>#DIV/0!</v>
          </cell>
          <cell r="AM809" t="e">
            <v>#DIV/0!</v>
          </cell>
          <cell r="AN809" t="e">
            <v>#DIV/0!</v>
          </cell>
          <cell r="AO809" t="e">
            <v>#REF!</v>
          </cell>
          <cell r="AP809" t="e">
            <v>#REF!</v>
          </cell>
          <cell r="AQ809" t="e">
            <v>#REF!</v>
          </cell>
          <cell r="AR809" t="e">
            <v>#REF!</v>
          </cell>
          <cell r="AS809" t="e">
            <v>#REF!</v>
          </cell>
          <cell r="AT809" t="e">
            <v>#REF!</v>
          </cell>
          <cell r="AU809" t="e">
            <v>#REF!</v>
          </cell>
          <cell r="AV809" t="e">
            <v>#REF!</v>
          </cell>
          <cell r="AW809" t="e">
            <v>#DIV/0!</v>
          </cell>
          <cell r="AX809" t="e">
            <v>#DIV/0!</v>
          </cell>
          <cell r="AY809" t="e">
            <v>#DIV/0!</v>
          </cell>
          <cell r="AZ809" t="e">
            <v>#DIV/0!</v>
          </cell>
          <cell r="BE809" t="e">
            <v>#DIV/0!</v>
          </cell>
          <cell r="BF809" t="e">
            <v>#DIV/0!</v>
          </cell>
        </row>
        <row r="810">
          <cell r="A810" t="str">
            <v>-0</v>
          </cell>
          <cell r="B810" t="str">
            <v xml:space="preserve">-0  , </v>
          </cell>
          <cell r="C810"/>
          <cell r="D810"/>
          <cell r="E810"/>
          <cell r="F810"/>
          <cell r="G810"/>
          <cell r="H810"/>
          <cell r="I810"/>
          <cell r="J810"/>
          <cell r="K810"/>
          <cell r="L810"/>
          <cell r="M810"/>
          <cell r="N810"/>
          <cell r="O810"/>
          <cell r="P810"/>
          <cell r="Q810"/>
          <cell r="R810"/>
          <cell r="S810"/>
          <cell r="T810"/>
          <cell r="U810"/>
          <cell r="V810"/>
          <cell r="W810"/>
          <cell r="X810">
            <v>0</v>
          </cell>
          <cell r="Y810">
            <v>0</v>
          </cell>
          <cell r="Z810">
            <v>0</v>
          </cell>
          <cell r="AA810" t="str">
            <v>,</v>
          </cell>
          <cell r="AB810" t="str">
            <v>,</v>
          </cell>
          <cell r="AC810" t="e">
            <v>#DIV/0!</v>
          </cell>
          <cell r="AD810" t="e">
            <v>#DIV/0!</v>
          </cell>
          <cell r="AE810">
            <v>0.71</v>
          </cell>
          <cell r="AF810">
            <v>94.97</v>
          </cell>
          <cell r="AG810">
            <v>0</v>
          </cell>
          <cell r="AH810" t="e">
            <v>#DIV/0!</v>
          </cell>
          <cell r="AI810" t="e">
            <v>#DIV/0!</v>
          </cell>
          <cell r="AJ810" t="e">
            <v>#DIV/0!</v>
          </cell>
          <cell r="AK810" t="e">
            <v>#DIV/0!</v>
          </cell>
          <cell r="AL810" t="e">
            <v>#DIV/0!</v>
          </cell>
          <cell r="AM810" t="e">
            <v>#DIV/0!</v>
          </cell>
          <cell r="AN810" t="e">
            <v>#DIV/0!</v>
          </cell>
          <cell r="AO810" t="e">
            <v>#REF!</v>
          </cell>
          <cell r="AP810" t="e">
            <v>#REF!</v>
          </cell>
          <cell r="AQ810" t="e">
            <v>#REF!</v>
          </cell>
          <cell r="AR810" t="e">
            <v>#REF!</v>
          </cell>
          <cell r="AS810" t="e">
            <v>#REF!</v>
          </cell>
          <cell r="AT810" t="e">
            <v>#REF!</v>
          </cell>
          <cell r="AU810" t="e">
            <v>#REF!</v>
          </cell>
          <cell r="AV810" t="e">
            <v>#REF!</v>
          </cell>
          <cell r="AW810" t="e">
            <v>#DIV/0!</v>
          </cell>
          <cell r="AX810" t="e">
            <v>#DIV/0!</v>
          </cell>
          <cell r="AY810" t="e">
            <v>#DIV/0!</v>
          </cell>
          <cell r="AZ810" t="e">
            <v>#DIV/0!</v>
          </cell>
          <cell r="BE810" t="e">
            <v>#DIV/0!</v>
          </cell>
          <cell r="BF810" t="e">
            <v>#DIV/0!</v>
          </cell>
        </row>
        <row r="811">
          <cell r="A811" t="str">
            <v>-0</v>
          </cell>
          <cell r="B811" t="str">
            <v xml:space="preserve">-0  , </v>
          </cell>
          <cell r="C811"/>
          <cell r="D811"/>
          <cell r="E811"/>
          <cell r="F811"/>
          <cell r="G811"/>
          <cell r="H811"/>
          <cell r="I811"/>
          <cell r="J811"/>
          <cell r="K811"/>
          <cell r="L811"/>
          <cell r="M811"/>
          <cell r="N811"/>
          <cell r="O811"/>
          <cell r="P811"/>
          <cell r="Q811"/>
          <cell r="R811"/>
          <cell r="S811"/>
          <cell r="T811"/>
          <cell r="U811"/>
          <cell r="V811"/>
          <cell r="W811"/>
          <cell r="X811">
            <v>0</v>
          </cell>
          <cell r="Y811">
            <v>0</v>
          </cell>
          <cell r="Z811">
            <v>0</v>
          </cell>
          <cell r="AA811" t="str">
            <v>,</v>
          </cell>
          <cell r="AB811" t="str">
            <v>,</v>
          </cell>
          <cell r="AC811" t="e">
            <v>#DIV/0!</v>
          </cell>
          <cell r="AD811" t="e">
            <v>#DIV/0!</v>
          </cell>
          <cell r="AE811">
            <v>0.71</v>
          </cell>
          <cell r="AF811">
            <v>94.97</v>
          </cell>
          <cell r="AG811">
            <v>0</v>
          </cell>
          <cell r="AH811" t="e">
            <v>#DIV/0!</v>
          </cell>
          <cell r="AI811" t="e">
            <v>#DIV/0!</v>
          </cell>
          <cell r="AJ811" t="e">
            <v>#DIV/0!</v>
          </cell>
          <cell r="AK811" t="e">
            <v>#DIV/0!</v>
          </cell>
          <cell r="AL811" t="e">
            <v>#DIV/0!</v>
          </cell>
          <cell r="AM811" t="e">
            <v>#DIV/0!</v>
          </cell>
          <cell r="AN811" t="e">
            <v>#DIV/0!</v>
          </cell>
          <cell r="AO811" t="e">
            <v>#REF!</v>
          </cell>
          <cell r="AP811" t="e">
            <v>#REF!</v>
          </cell>
          <cell r="AQ811" t="e">
            <v>#REF!</v>
          </cell>
          <cell r="AR811" t="e">
            <v>#REF!</v>
          </cell>
          <cell r="AS811" t="e">
            <v>#REF!</v>
          </cell>
          <cell r="AT811" t="e">
            <v>#REF!</v>
          </cell>
          <cell r="AU811" t="e">
            <v>#REF!</v>
          </cell>
          <cell r="AV811" t="e">
            <v>#REF!</v>
          </cell>
          <cell r="AW811" t="e">
            <v>#DIV/0!</v>
          </cell>
          <cell r="AX811" t="e">
            <v>#DIV/0!</v>
          </cell>
          <cell r="AY811" t="e">
            <v>#DIV/0!</v>
          </cell>
          <cell r="AZ811" t="e">
            <v>#DIV/0!</v>
          </cell>
          <cell r="BE811" t="e">
            <v>#DIV/0!</v>
          </cell>
          <cell r="BF811" t="e">
            <v>#DIV/0!</v>
          </cell>
        </row>
        <row r="812">
          <cell r="A812" t="str">
            <v>-0</v>
          </cell>
          <cell r="B812" t="str">
            <v xml:space="preserve">-0  , </v>
          </cell>
          <cell r="C812"/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/>
          <cell r="S812"/>
          <cell r="T812"/>
          <cell r="U812"/>
          <cell r="V812"/>
          <cell r="W812"/>
          <cell r="X812">
            <v>0</v>
          </cell>
          <cell r="Y812">
            <v>0</v>
          </cell>
          <cell r="Z812">
            <v>0</v>
          </cell>
          <cell r="AA812" t="str">
            <v>,</v>
          </cell>
          <cell r="AB812" t="str">
            <v>,</v>
          </cell>
          <cell r="AC812" t="e">
            <v>#DIV/0!</v>
          </cell>
          <cell r="AD812" t="e">
            <v>#DIV/0!</v>
          </cell>
          <cell r="AE812">
            <v>0.71</v>
          </cell>
          <cell r="AF812">
            <v>94.97</v>
          </cell>
          <cell r="AG812">
            <v>0</v>
          </cell>
          <cell r="AH812" t="e">
            <v>#DIV/0!</v>
          </cell>
          <cell r="AI812" t="e">
            <v>#DIV/0!</v>
          </cell>
          <cell r="AJ812" t="e">
            <v>#DIV/0!</v>
          </cell>
          <cell r="AK812" t="e">
            <v>#DIV/0!</v>
          </cell>
          <cell r="AL812" t="e">
            <v>#DIV/0!</v>
          </cell>
          <cell r="AM812" t="e">
            <v>#DIV/0!</v>
          </cell>
          <cell r="AN812" t="e">
            <v>#DIV/0!</v>
          </cell>
          <cell r="AO812" t="e">
            <v>#REF!</v>
          </cell>
          <cell r="AP812" t="e">
            <v>#REF!</v>
          </cell>
          <cell r="AQ812" t="e">
            <v>#REF!</v>
          </cell>
          <cell r="AR812" t="e">
            <v>#REF!</v>
          </cell>
          <cell r="AS812" t="e">
            <v>#REF!</v>
          </cell>
          <cell r="AT812" t="e">
            <v>#REF!</v>
          </cell>
          <cell r="AU812" t="e">
            <v>#REF!</v>
          </cell>
          <cell r="AV812" t="e">
            <v>#REF!</v>
          </cell>
          <cell r="AW812" t="e">
            <v>#DIV/0!</v>
          </cell>
          <cell r="AX812" t="e">
            <v>#DIV/0!</v>
          </cell>
          <cell r="AY812" t="e">
            <v>#DIV/0!</v>
          </cell>
          <cell r="AZ812" t="e">
            <v>#DIV/0!</v>
          </cell>
          <cell r="BE812" t="e">
            <v>#DIV/0!</v>
          </cell>
          <cell r="BF812" t="e">
            <v>#DIV/0!</v>
          </cell>
        </row>
        <row r="813">
          <cell r="A813" t="str">
            <v>-0</v>
          </cell>
          <cell r="B813" t="str">
            <v xml:space="preserve">-0  , </v>
          </cell>
          <cell r="C813"/>
          <cell r="D813"/>
          <cell r="E813"/>
          <cell r="F813"/>
          <cell r="G813"/>
          <cell r="H813"/>
          <cell r="I813"/>
          <cell r="J813"/>
          <cell r="K813"/>
          <cell r="L813"/>
          <cell r="M813"/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  <cell r="X813">
            <v>0</v>
          </cell>
          <cell r="Y813">
            <v>0</v>
          </cell>
          <cell r="Z813">
            <v>0</v>
          </cell>
          <cell r="AA813" t="str">
            <v>,</v>
          </cell>
          <cell r="AB813" t="str">
            <v>,</v>
          </cell>
          <cell r="AC813" t="e">
            <v>#DIV/0!</v>
          </cell>
          <cell r="AD813" t="e">
            <v>#DIV/0!</v>
          </cell>
          <cell r="AE813">
            <v>0.71</v>
          </cell>
          <cell r="AF813">
            <v>94.97</v>
          </cell>
          <cell r="AG813">
            <v>0</v>
          </cell>
          <cell r="AH813" t="e">
            <v>#DIV/0!</v>
          </cell>
          <cell r="AI813" t="e">
            <v>#DIV/0!</v>
          </cell>
          <cell r="AJ813" t="e">
            <v>#DIV/0!</v>
          </cell>
          <cell r="AK813" t="e">
            <v>#DIV/0!</v>
          </cell>
          <cell r="AL813" t="e">
            <v>#DIV/0!</v>
          </cell>
          <cell r="AM813" t="e">
            <v>#DIV/0!</v>
          </cell>
          <cell r="AN813" t="e">
            <v>#DIV/0!</v>
          </cell>
          <cell r="AO813" t="e">
            <v>#REF!</v>
          </cell>
          <cell r="AP813" t="e">
            <v>#REF!</v>
          </cell>
          <cell r="AQ813" t="e">
            <v>#REF!</v>
          </cell>
          <cell r="AR813" t="e">
            <v>#REF!</v>
          </cell>
          <cell r="AS813" t="e">
            <v>#REF!</v>
          </cell>
          <cell r="AT813" t="e">
            <v>#REF!</v>
          </cell>
          <cell r="AU813" t="e">
            <v>#REF!</v>
          </cell>
          <cell r="AV813" t="e">
            <v>#REF!</v>
          </cell>
          <cell r="AW813" t="e">
            <v>#DIV/0!</v>
          </cell>
          <cell r="AX813" t="e">
            <v>#DIV/0!</v>
          </cell>
          <cell r="AY813" t="e">
            <v>#DIV/0!</v>
          </cell>
          <cell r="AZ813" t="e">
            <v>#DIV/0!</v>
          </cell>
          <cell r="BE813" t="e">
            <v>#DIV/0!</v>
          </cell>
          <cell r="BF813" t="e">
            <v>#DIV/0!</v>
          </cell>
        </row>
        <row r="814">
          <cell r="A814" t="str">
            <v>-0</v>
          </cell>
          <cell r="B814" t="str">
            <v xml:space="preserve">-0  , </v>
          </cell>
          <cell r="C814"/>
          <cell r="D814"/>
          <cell r="E814"/>
          <cell r="F814"/>
          <cell r="G814"/>
          <cell r="H814"/>
          <cell r="I814"/>
          <cell r="J814"/>
          <cell r="K814"/>
          <cell r="L814"/>
          <cell r="M814"/>
          <cell r="N814"/>
          <cell r="O814"/>
          <cell r="P814"/>
          <cell r="Q814"/>
          <cell r="R814"/>
          <cell r="S814"/>
          <cell r="T814"/>
          <cell r="U814"/>
          <cell r="V814"/>
          <cell r="W814"/>
          <cell r="X814">
            <v>0</v>
          </cell>
          <cell r="Y814">
            <v>0</v>
          </cell>
          <cell r="Z814">
            <v>0</v>
          </cell>
          <cell r="AA814" t="str">
            <v>,</v>
          </cell>
          <cell r="AB814" t="str">
            <v>,</v>
          </cell>
          <cell r="AC814" t="e">
            <v>#DIV/0!</v>
          </cell>
          <cell r="AD814" t="e">
            <v>#DIV/0!</v>
          </cell>
          <cell r="AE814">
            <v>0.71</v>
          </cell>
          <cell r="AF814">
            <v>94.97</v>
          </cell>
          <cell r="AG814">
            <v>0</v>
          </cell>
          <cell r="AH814" t="e">
            <v>#DIV/0!</v>
          </cell>
          <cell r="AI814" t="e">
            <v>#DIV/0!</v>
          </cell>
          <cell r="AJ814" t="e">
            <v>#DIV/0!</v>
          </cell>
          <cell r="AK814" t="e">
            <v>#DIV/0!</v>
          </cell>
          <cell r="AL814" t="e">
            <v>#DIV/0!</v>
          </cell>
          <cell r="AM814" t="e">
            <v>#DIV/0!</v>
          </cell>
          <cell r="AN814" t="e">
            <v>#DIV/0!</v>
          </cell>
          <cell r="AO814" t="e">
            <v>#REF!</v>
          </cell>
          <cell r="AP814" t="e">
            <v>#REF!</v>
          </cell>
          <cell r="AQ814" t="e">
            <v>#REF!</v>
          </cell>
          <cell r="AR814" t="e">
            <v>#REF!</v>
          </cell>
          <cell r="AS814" t="e">
            <v>#REF!</v>
          </cell>
          <cell r="AT814" t="e">
            <v>#REF!</v>
          </cell>
          <cell r="AU814" t="e">
            <v>#REF!</v>
          </cell>
          <cell r="AV814" t="e">
            <v>#REF!</v>
          </cell>
          <cell r="AW814" t="e">
            <v>#DIV/0!</v>
          </cell>
          <cell r="AX814" t="e">
            <v>#DIV/0!</v>
          </cell>
          <cell r="AY814" t="e">
            <v>#DIV/0!</v>
          </cell>
          <cell r="AZ814" t="e">
            <v>#DIV/0!</v>
          </cell>
          <cell r="BE814" t="e">
            <v>#DIV/0!</v>
          </cell>
          <cell r="BF814" t="e">
            <v>#DIV/0!</v>
          </cell>
        </row>
        <row r="815">
          <cell r="A815" t="str">
            <v>-0</v>
          </cell>
          <cell r="B815" t="str">
            <v xml:space="preserve">-0  , </v>
          </cell>
          <cell r="C815"/>
          <cell r="D815"/>
          <cell r="E815"/>
          <cell r="F815"/>
          <cell r="G815"/>
          <cell r="H815"/>
          <cell r="I815"/>
          <cell r="J815"/>
          <cell r="K815"/>
          <cell r="L815"/>
          <cell r="M815"/>
          <cell r="N815"/>
          <cell r="O815"/>
          <cell r="P815"/>
          <cell r="Q815"/>
          <cell r="R815"/>
          <cell r="S815"/>
          <cell r="T815"/>
          <cell r="U815"/>
          <cell r="V815"/>
          <cell r="W815"/>
          <cell r="X815">
            <v>0</v>
          </cell>
          <cell r="Y815">
            <v>0</v>
          </cell>
          <cell r="Z815">
            <v>0</v>
          </cell>
          <cell r="AA815" t="str">
            <v>,</v>
          </cell>
          <cell r="AB815" t="str">
            <v>,</v>
          </cell>
          <cell r="AC815" t="e">
            <v>#DIV/0!</v>
          </cell>
          <cell r="AD815" t="e">
            <v>#DIV/0!</v>
          </cell>
          <cell r="AE815">
            <v>0.71</v>
          </cell>
          <cell r="AF815">
            <v>94.97</v>
          </cell>
          <cell r="AG815">
            <v>0</v>
          </cell>
          <cell r="AH815" t="e">
            <v>#DIV/0!</v>
          </cell>
          <cell r="AI815" t="e">
            <v>#DIV/0!</v>
          </cell>
          <cell r="AJ815" t="e">
            <v>#DIV/0!</v>
          </cell>
          <cell r="AK815" t="e">
            <v>#DIV/0!</v>
          </cell>
          <cell r="AL815" t="e">
            <v>#DIV/0!</v>
          </cell>
          <cell r="AM815" t="e">
            <v>#DIV/0!</v>
          </cell>
          <cell r="AN815" t="e">
            <v>#DIV/0!</v>
          </cell>
          <cell r="AO815" t="e">
            <v>#REF!</v>
          </cell>
          <cell r="AP815" t="e">
            <v>#REF!</v>
          </cell>
          <cell r="AQ815" t="e">
            <v>#REF!</v>
          </cell>
          <cell r="AR815" t="e">
            <v>#REF!</v>
          </cell>
          <cell r="AS815" t="e">
            <v>#REF!</v>
          </cell>
          <cell r="AT815" t="e">
            <v>#REF!</v>
          </cell>
          <cell r="AU815" t="e">
            <v>#REF!</v>
          </cell>
          <cell r="AV815" t="e">
            <v>#REF!</v>
          </cell>
          <cell r="AW815" t="e">
            <v>#DIV/0!</v>
          </cell>
          <cell r="AX815" t="e">
            <v>#DIV/0!</v>
          </cell>
          <cell r="AY815" t="e">
            <v>#DIV/0!</v>
          </cell>
          <cell r="AZ815" t="e">
            <v>#DIV/0!</v>
          </cell>
          <cell r="BE815" t="e">
            <v>#DIV/0!</v>
          </cell>
          <cell r="BF815" t="e">
            <v>#DIV/0!</v>
          </cell>
        </row>
        <row r="816">
          <cell r="A816" t="str">
            <v>-0</v>
          </cell>
          <cell r="B816" t="str">
            <v xml:space="preserve">-0  , </v>
          </cell>
          <cell r="C816"/>
          <cell r="D816"/>
          <cell r="E816"/>
          <cell r="F816"/>
          <cell r="G816"/>
          <cell r="H816"/>
          <cell r="I816"/>
          <cell r="J816"/>
          <cell r="K816"/>
          <cell r="L816"/>
          <cell r="M816"/>
          <cell r="N816"/>
          <cell r="O816"/>
          <cell r="P816"/>
          <cell r="Q816"/>
          <cell r="R816"/>
          <cell r="S816"/>
          <cell r="T816"/>
          <cell r="U816"/>
          <cell r="V816"/>
          <cell r="W816"/>
          <cell r="X816">
            <v>0</v>
          </cell>
          <cell r="Y816">
            <v>0</v>
          </cell>
          <cell r="Z816">
            <v>0</v>
          </cell>
          <cell r="AA816" t="str">
            <v>,</v>
          </cell>
          <cell r="AB816" t="str">
            <v>,</v>
          </cell>
          <cell r="AC816" t="e">
            <v>#DIV/0!</v>
          </cell>
          <cell r="AD816" t="e">
            <v>#DIV/0!</v>
          </cell>
          <cell r="AE816">
            <v>0.71</v>
          </cell>
          <cell r="AF816">
            <v>94.97</v>
          </cell>
          <cell r="AG816">
            <v>0</v>
          </cell>
          <cell r="AH816" t="e">
            <v>#DIV/0!</v>
          </cell>
          <cell r="AI816" t="e">
            <v>#DIV/0!</v>
          </cell>
          <cell r="AJ816" t="e">
            <v>#DIV/0!</v>
          </cell>
          <cell r="AK816" t="e">
            <v>#DIV/0!</v>
          </cell>
          <cell r="AL816" t="e">
            <v>#DIV/0!</v>
          </cell>
          <cell r="AM816" t="e">
            <v>#DIV/0!</v>
          </cell>
          <cell r="AN816" t="e">
            <v>#DIV/0!</v>
          </cell>
          <cell r="AO816" t="e">
            <v>#REF!</v>
          </cell>
          <cell r="AP816" t="e">
            <v>#REF!</v>
          </cell>
          <cell r="AQ816" t="e">
            <v>#REF!</v>
          </cell>
          <cell r="AR816" t="e">
            <v>#REF!</v>
          </cell>
          <cell r="AS816" t="e">
            <v>#REF!</v>
          </cell>
          <cell r="AT816" t="e">
            <v>#REF!</v>
          </cell>
          <cell r="AU816" t="e">
            <v>#REF!</v>
          </cell>
          <cell r="AV816" t="e">
            <v>#REF!</v>
          </cell>
          <cell r="AW816" t="e">
            <v>#DIV/0!</v>
          </cell>
          <cell r="AX816" t="e">
            <v>#DIV/0!</v>
          </cell>
          <cell r="AY816" t="e">
            <v>#DIV/0!</v>
          </cell>
          <cell r="AZ816" t="e">
            <v>#DIV/0!</v>
          </cell>
          <cell r="BE816" t="e">
            <v>#DIV/0!</v>
          </cell>
          <cell r="BF816" t="e">
            <v>#DIV/0!</v>
          </cell>
        </row>
        <row r="817">
          <cell r="A817" t="str">
            <v>-0</v>
          </cell>
          <cell r="B817" t="str">
            <v xml:space="preserve">-0  , </v>
          </cell>
          <cell r="C817"/>
          <cell r="D817"/>
          <cell r="E817"/>
          <cell r="F817"/>
          <cell r="G817"/>
          <cell r="H817"/>
          <cell r="I817"/>
          <cell r="J817"/>
          <cell r="K817"/>
          <cell r="L817"/>
          <cell r="M817"/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  <cell r="X817">
            <v>0</v>
          </cell>
          <cell r="Y817">
            <v>0</v>
          </cell>
          <cell r="Z817">
            <v>0</v>
          </cell>
          <cell r="AA817" t="str">
            <v>,</v>
          </cell>
          <cell r="AB817" t="str">
            <v>,</v>
          </cell>
          <cell r="AC817" t="e">
            <v>#DIV/0!</v>
          </cell>
          <cell r="AD817" t="e">
            <v>#DIV/0!</v>
          </cell>
          <cell r="AE817">
            <v>0.71</v>
          </cell>
          <cell r="AF817">
            <v>94.97</v>
          </cell>
          <cell r="AG817">
            <v>0</v>
          </cell>
          <cell r="AH817" t="e">
            <v>#DIV/0!</v>
          </cell>
          <cell r="AI817" t="e">
            <v>#DIV/0!</v>
          </cell>
          <cell r="AJ817" t="e">
            <v>#DIV/0!</v>
          </cell>
          <cell r="AK817" t="e">
            <v>#DIV/0!</v>
          </cell>
          <cell r="AL817" t="e">
            <v>#DIV/0!</v>
          </cell>
          <cell r="AM817" t="e">
            <v>#DIV/0!</v>
          </cell>
          <cell r="AN817" t="e">
            <v>#DIV/0!</v>
          </cell>
          <cell r="AO817" t="e">
            <v>#REF!</v>
          </cell>
          <cell r="AP817" t="e">
            <v>#REF!</v>
          </cell>
          <cell r="AQ817" t="e">
            <v>#REF!</v>
          </cell>
          <cell r="AR817" t="e">
            <v>#REF!</v>
          </cell>
          <cell r="AS817" t="e">
            <v>#REF!</v>
          </cell>
          <cell r="AT817" t="e">
            <v>#REF!</v>
          </cell>
          <cell r="AU817" t="e">
            <v>#REF!</v>
          </cell>
          <cell r="AV817" t="e">
            <v>#REF!</v>
          </cell>
          <cell r="AW817" t="e">
            <v>#DIV/0!</v>
          </cell>
          <cell r="AX817" t="e">
            <v>#DIV/0!</v>
          </cell>
          <cell r="AY817" t="e">
            <v>#DIV/0!</v>
          </cell>
          <cell r="AZ817" t="e">
            <v>#DIV/0!</v>
          </cell>
          <cell r="BE817" t="e">
            <v>#DIV/0!</v>
          </cell>
          <cell r="BF817" t="e">
            <v>#DIV/0!</v>
          </cell>
        </row>
        <row r="818">
          <cell r="A818" t="str">
            <v>-0</v>
          </cell>
          <cell r="B818" t="str">
            <v xml:space="preserve">-0  , </v>
          </cell>
          <cell r="C818"/>
          <cell r="D818"/>
          <cell r="E818"/>
          <cell r="F818"/>
          <cell r="G818"/>
          <cell r="H818"/>
          <cell r="I818"/>
          <cell r="J818"/>
          <cell r="K818"/>
          <cell r="L818"/>
          <cell r="M818"/>
          <cell r="N818"/>
          <cell r="O818"/>
          <cell r="P818"/>
          <cell r="Q818"/>
          <cell r="R818"/>
          <cell r="S818"/>
          <cell r="T818"/>
          <cell r="U818"/>
          <cell r="V818"/>
          <cell r="W818"/>
          <cell r="X818">
            <v>0</v>
          </cell>
          <cell r="Y818">
            <v>0</v>
          </cell>
          <cell r="Z818">
            <v>0</v>
          </cell>
          <cell r="AA818" t="str">
            <v>,</v>
          </cell>
          <cell r="AB818" t="str">
            <v>,</v>
          </cell>
          <cell r="AC818" t="e">
            <v>#DIV/0!</v>
          </cell>
          <cell r="AD818" t="e">
            <v>#DIV/0!</v>
          </cell>
          <cell r="AE818">
            <v>0.71</v>
          </cell>
          <cell r="AF818">
            <v>94.97</v>
          </cell>
          <cell r="AG818">
            <v>0</v>
          </cell>
          <cell r="AH818" t="e">
            <v>#DIV/0!</v>
          </cell>
          <cell r="AI818" t="e">
            <v>#DIV/0!</v>
          </cell>
          <cell r="AJ818" t="e">
            <v>#DIV/0!</v>
          </cell>
          <cell r="AK818" t="e">
            <v>#DIV/0!</v>
          </cell>
          <cell r="AL818" t="e">
            <v>#DIV/0!</v>
          </cell>
          <cell r="AM818" t="e">
            <v>#DIV/0!</v>
          </cell>
          <cell r="AN818" t="e">
            <v>#DIV/0!</v>
          </cell>
          <cell r="AO818" t="e">
            <v>#REF!</v>
          </cell>
          <cell r="AP818" t="e">
            <v>#REF!</v>
          </cell>
          <cell r="AQ818" t="e">
            <v>#REF!</v>
          </cell>
          <cell r="AR818" t="e">
            <v>#REF!</v>
          </cell>
          <cell r="AS818" t="e">
            <v>#REF!</v>
          </cell>
          <cell r="AT818" t="e">
            <v>#REF!</v>
          </cell>
          <cell r="AU818" t="e">
            <v>#REF!</v>
          </cell>
          <cell r="AV818" t="e">
            <v>#REF!</v>
          </cell>
          <cell r="AW818" t="e">
            <v>#DIV/0!</v>
          </cell>
          <cell r="AX818" t="e">
            <v>#DIV/0!</v>
          </cell>
          <cell r="AY818" t="e">
            <v>#DIV/0!</v>
          </cell>
          <cell r="AZ818" t="e">
            <v>#DIV/0!</v>
          </cell>
          <cell r="BE818" t="e">
            <v>#DIV/0!</v>
          </cell>
          <cell r="BF818" t="e">
            <v>#DIV/0!</v>
          </cell>
        </row>
        <row r="819">
          <cell r="A819" t="str">
            <v>-0</v>
          </cell>
          <cell r="B819" t="str">
            <v xml:space="preserve">-0  , </v>
          </cell>
          <cell r="C819"/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  <cell r="X819">
            <v>0</v>
          </cell>
          <cell r="Y819">
            <v>0</v>
          </cell>
          <cell r="Z819">
            <v>0</v>
          </cell>
          <cell r="AA819" t="str">
            <v>,</v>
          </cell>
          <cell r="AB819" t="str">
            <v>,</v>
          </cell>
          <cell r="AC819" t="e">
            <v>#DIV/0!</v>
          </cell>
          <cell r="AD819" t="e">
            <v>#DIV/0!</v>
          </cell>
          <cell r="AE819">
            <v>0.71</v>
          </cell>
          <cell r="AF819">
            <v>94.97</v>
          </cell>
          <cell r="AG819">
            <v>0</v>
          </cell>
          <cell r="AH819" t="e">
            <v>#DIV/0!</v>
          </cell>
          <cell r="AI819" t="e">
            <v>#DIV/0!</v>
          </cell>
          <cell r="AJ819" t="e">
            <v>#DIV/0!</v>
          </cell>
          <cell r="AK819" t="e">
            <v>#DIV/0!</v>
          </cell>
          <cell r="AL819" t="e">
            <v>#DIV/0!</v>
          </cell>
          <cell r="AM819" t="e">
            <v>#DIV/0!</v>
          </cell>
          <cell r="AN819" t="e">
            <v>#DIV/0!</v>
          </cell>
          <cell r="AO819" t="e">
            <v>#REF!</v>
          </cell>
          <cell r="AP819" t="e">
            <v>#REF!</v>
          </cell>
          <cell r="AQ819" t="e">
            <v>#REF!</v>
          </cell>
          <cell r="AR819" t="e">
            <v>#REF!</v>
          </cell>
          <cell r="AS819" t="e">
            <v>#REF!</v>
          </cell>
          <cell r="AT819" t="e">
            <v>#REF!</v>
          </cell>
          <cell r="AU819" t="e">
            <v>#REF!</v>
          </cell>
          <cell r="AV819" t="e">
            <v>#REF!</v>
          </cell>
          <cell r="AW819" t="e">
            <v>#DIV/0!</v>
          </cell>
          <cell r="AX819" t="e">
            <v>#DIV/0!</v>
          </cell>
          <cell r="AY819" t="e">
            <v>#DIV/0!</v>
          </cell>
          <cell r="AZ819" t="e">
            <v>#DIV/0!</v>
          </cell>
          <cell r="BE819" t="e">
            <v>#DIV/0!</v>
          </cell>
          <cell r="BF819" t="e">
            <v>#DIV/0!</v>
          </cell>
        </row>
        <row r="820">
          <cell r="A820" t="str">
            <v>-0</v>
          </cell>
          <cell r="B820" t="str">
            <v xml:space="preserve">-0  , </v>
          </cell>
          <cell r="C820"/>
          <cell r="D820"/>
          <cell r="E820"/>
          <cell r="F820"/>
          <cell r="G820"/>
          <cell r="H820"/>
          <cell r="I820"/>
          <cell r="J820"/>
          <cell r="K820"/>
          <cell r="L820"/>
          <cell r="M820"/>
          <cell r="N820"/>
          <cell r="O820"/>
          <cell r="P820"/>
          <cell r="Q820"/>
          <cell r="R820"/>
          <cell r="S820"/>
          <cell r="T820"/>
          <cell r="U820"/>
          <cell r="V820"/>
          <cell r="W820"/>
          <cell r="X820">
            <v>0</v>
          </cell>
          <cell r="Y820">
            <v>0</v>
          </cell>
          <cell r="Z820">
            <v>0</v>
          </cell>
          <cell r="AA820" t="str">
            <v>,</v>
          </cell>
          <cell r="AB820" t="str">
            <v>,</v>
          </cell>
          <cell r="AC820" t="e">
            <v>#DIV/0!</v>
          </cell>
          <cell r="AD820" t="e">
            <v>#DIV/0!</v>
          </cell>
          <cell r="AE820">
            <v>0.71</v>
          </cell>
          <cell r="AF820">
            <v>94.97</v>
          </cell>
          <cell r="AG820">
            <v>0</v>
          </cell>
          <cell r="AH820" t="e">
            <v>#DIV/0!</v>
          </cell>
          <cell r="AI820" t="e">
            <v>#DIV/0!</v>
          </cell>
          <cell r="AJ820" t="e">
            <v>#DIV/0!</v>
          </cell>
          <cell r="AK820" t="e">
            <v>#DIV/0!</v>
          </cell>
          <cell r="AL820" t="e">
            <v>#DIV/0!</v>
          </cell>
          <cell r="AM820" t="e">
            <v>#DIV/0!</v>
          </cell>
          <cell r="AN820" t="e">
            <v>#DIV/0!</v>
          </cell>
          <cell r="AO820" t="e">
            <v>#REF!</v>
          </cell>
          <cell r="AP820" t="e">
            <v>#REF!</v>
          </cell>
          <cell r="AQ820" t="e">
            <v>#REF!</v>
          </cell>
          <cell r="AR820" t="e">
            <v>#REF!</v>
          </cell>
          <cell r="AS820" t="e">
            <v>#REF!</v>
          </cell>
          <cell r="AT820" t="e">
            <v>#REF!</v>
          </cell>
          <cell r="AU820" t="e">
            <v>#REF!</v>
          </cell>
          <cell r="AV820" t="e">
            <v>#REF!</v>
          </cell>
          <cell r="AW820" t="e">
            <v>#DIV/0!</v>
          </cell>
          <cell r="AX820" t="e">
            <v>#DIV/0!</v>
          </cell>
          <cell r="AY820" t="e">
            <v>#DIV/0!</v>
          </cell>
          <cell r="AZ820" t="e">
            <v>#DIV/0!</v>
          </cell>
          <cell r="BE820" t="e">
            <v>#DIV/0!</v>
          </cell>
          <cell r="BF820" t="e">
            <v>#DIV/0!</v>
          </cell>
        </row>
        <row r="821">
          <cell r="A821" t="str">
            <v>-0</v>
          </cell>
          <cell r="B821" t="str">
            <v xml:space="preserve">-0  , </v>
          </cell>
          <cell r="C821"/>
          <cell r="D821"/>
          <cell r="E821"/>
          <cell r="F821"/>
          <cell r="G821"/>
          <cell r="H821"/>
          <cell r="I821"/>
          <cell r="J821"/>
          <cell r="K821"/>
          <cell r="L821"/>
          <cell r="M821"/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  <cell r="X821">
            <v>0</v>
          </cell>
          <cell r="Y821">
            <v>0</v>
          </cell>
          <cell r="Z821">
            <v>0</v>
          </cell>
          <cell r="AA821" t="str">
            <v>,</v>
          </cell>
          <cell r="AB821" t="str">
            <v>,</v>
          </cell>
          <cell r="AC821" t="e">
            <v>#DIV/0!</v>
          </cell>
          <cell r="AD821" t="e">
            <v>#DIV/0!</v>
          </cell>
          <cell r="AE821">
            <v>0.71</v>
          </cell>
          <cell r="AF821">
            <v>94.97</v>
          </cell>
          <cell r="AG821">
            <v>0</v>
          </cell>
          <cell r="AH821" t="e">
            <v>#DIV/0!</v>
          </cell>
          <cell r="AI821" t="e">
            <v>#DIV/0!</v>
          </cell>
          <cell r="AJ821" t="e">
            <v>#DIV/0!</v>
          </cell>
          <cell r="AK821" t="e">
            <v>#DIV/0!</v>
          </cell>
          <cell r="AL821" t="e">
            <v>#DIV/0!</v>
          </cell>
          <cell r="AM821" t="e">
            <v>#DIV/0!</v>
          </cell>
          <cell r="AN821" t="e">
            <v>#DIV/0!</v>
          </cell>
          <cell r="AO821" t="e">
            <v>#REF!</v>
          </cell>
          <cell r="AP821" t="e">
            <v>#REF!</v>
          </cell>
          <cell r="AQ821" t="e">
            <v>#REF!</v>
          </cell>
          <cell r="AR821" t="e">
            <v>#REF!</v>
          </cell>
          <cell r="AS821" t="e">
            <v>#REF!</v>
          </cell>
          <cell r="AT821" t="e">
            <v>#REF!</v>
          </cell>
          <cell r="AU821" t="e">
            <v>#REF!</v>
          </cell>
          <cell r="AV821" t="e">
            <v>#REF!</v>
          </cell>
          <cell r="AW821" t="e">
            <v>#DIV/0!</v>
          </cell>
          <cell r="AX821" t="e">
            <v>#DIV/0!</v>
          </cell>
          <cell r="AY821" t="e">
            <v>#DIV/0!</v>
          </cell>
          <cell r="AZ821" t="e">
            <v>#DIV/0!</v>
          </cell>
          <cell r="BE821" t="e">
            <v>#DIV/0!</v>
          </cell>
          <cell r="BF821" t="e">
            <v>#DIV/0!</v>
          </cell>
        </row>
        <row r="822">
          <cell r="A822" t="str">
            <v>-0</v>
          </cell>
          <cell r="B822" t="str">
            <v xml:space="preserve">-0  , </v>
          </cell>
          <cell r="C822"/>
          <cell r="D822"/>
          <cell r="E822"/>
          <cell r="F822"/>
          <cell r="G822"/>
          <cell r="H822"/>
          <cell r="I822"/>
          <cell r="J822"/>
          <cell r="K822"/>
          <cell r="L822"/>
          <cell r="M822"/>
          <cell r="N822"/>
          <cell r="O822"/>
          <cell r="P822"/>
          <cell r="Q822"/>
          <cell r="R822"/>
          <cell r="S822"/>
          <cell r="T822"/>
          <cell r="U822"/>
          <cell r="V822"/>
          <cell r="W822"/>
          <cell r="X822">
            <v>0</v>
          </cell>
          <cell r="Y822">
            <v>0</v>
          </cell>
          <cell r="Z822">
            <v>0</v>
          </cell>
          <cell r="AA822" t="str">
            <v>,</v>
          </cell>
          <cell r="AB822" t="str">
            <v>,</v>
          </cell>
          <cell r="AC822" t="e">
            <v>#DIV/0!</v>
          </cell>
          <cell r="AD822" t="e">
            <v>#DIV/0!</v>
          </cell>
          <cell r="AE822">
            <v>0.71</v>
          </cell>
          <cell r="AF822">
            <v>94.97</v>
          </cell>
          <cell r="AG822">
            <v>0</v>
          </cell>
          <cell r="AH822" t="e">
            <v>#DIV/0!</v>
          </cell>
          <cell r="AI822" t="e">
            <v>#DIV/0!</v>
          </cell>
          <cell r="AJ822" t="e">
            <v>#DIV/0!</v>
          </cell>
          <cell r="AK822" t="e">
            <v>#DIV/0!</v>
          </cell>
          <cell r="AL822" t="e">
            <v>#DIV/0!</v>
          </cell>
          <cell r="AM822" t="e">
            <v>#DIV/0!</v>
          </cell>
          <cell r="AN822" t="e">
            <v>#DIV/0!</v>
          </cell>
          <cell r="AO822" t="e">
            <v>#REF!</v>
          </cell>
          <cell r="AP822" t="e">
            <v>#REF!</v>
          </cell>
          <cell r="AQ822" t="e">
            <v>#REF!</v>
          </cell>
          <cell r="AR822" t="e">
            <v>#REF!</v>
          </cell>
          <cell r="AS822" t="e">
            <v>#REF!</v>
          </cell>
          <cell r="AT822" t="e">
            <v>#REF!</v>
          </cell>
          <cell r="AU822" t="e">
            <v>#REF!</v>
          </cell>
          <cell r="AV822" t="e">
            <v>#REF!</v>
          </cell>
          <cell r="AW822" t="e">
            <v>#DIV/0!</v>
          </cell>
          <cell r="AX822" t="e">
            <v>#DIV/0!</v>
          </cell>
          <cell r="AY822" t="e">
            <v>#DIV/0!</v>
          </cell>
          <cell r="AZ822" t="e">
            <v>#DIV/0!</v>
          </cell>
          <cell r="BE822" t="e">
            <v>#DIV/0!</v>
          </cell>
          <cell r="BF822" t="e">
            <v>#DIV/0!</v>
          </cell>
        </row>
        <row r="823">
          <cell r="A823" t="str">
            <v>-0</v>
          </cell>
          <cell r="B823" t="str">
            <v xml:space="preserve">-0  , </v>
          </cell>
          <cell r="C823"/>
          <cell r="D823"/>
          <cell r="E823"/>
          <cell r="F823"/>
          <cell r="G823"/>
          <cell r="H823"/>
          <cell r="I823"/>
          <cell r="J823"/>
          <cell r="K823"/>
          <cell r="L823"/>
          <cell r="M823"/>
          <cell r="N823"/>
          <cell r="O823"/>
          <cell r="P823"/>
          <cell r="Q823"/>
          <cell r="R823"/>
          <cell r="S823"/>
          <cell r="T823"/>
          <cell r="U823"/>
          <cell r="V823"/>
          <cell r="W823"/>
          <cell r="X823">
            <v>0</v>
          </cell>
          <cell r="Y823">
            <v>0</v>
          </cell>
          <cell r="Z823">
            <v>0</v>
          </cell>
          <cell r="AA823" t="str">
            <v>,</v>
          </cell>
          <cell r="AB823" t="str">
            <v>,</v>
          </cell>
          <cell r="AC823" t="e">
            <v>#DIV/0!</v>
          </cell>
          <cell r="AD823" t="e">
            <v>#DIV/0!</v>
          </cell>
          <cell r="AE823">
            <v>0.71</v>
          </cell>
          <cell r="AF823">
            <v>94.97</v>
          </cell>
          <cell r="AG823">
            <v>0</v>
          </cell>
          <cell r="AH823" t="e">
            <v>#DIV/0!</v>
          </cell>
          <cell r="AI823" t="e">
            <v>#DIV/0!</v>
          </cell>
          <cell r="AJ823" t="e">
            <v>#DIV/0!</v>
          </cell>
          <cell r="AK823" t="e">
            <v>#DIV/0!</v>
          </cell>
          <cell r="AL823" t="e">
            <v>#DIV/0!</v>
          </cell>
          <cell r="AM823" t="e">
            <v>#DIV/0!</v>
          </cell>
          <cell r="AN823" t="e">
            <v>#DIV/0!</v>
          </cell>
          <cell r="AO823" t="e">
            <v>#REF!</v>
          </cell>
          <cell r="AP823" t="e">
            <v>#REF!</v>
          </cell>
          <cell r="AQ823" t="e">
            <v>#REF!</v>
          </cell>
          <cell r="AR823" t="e">
            <v>#REF!</v>
          </cell>
          <cell r="AS823" t="e">
            <v>#REF!</v>
          </cell>
          <cell r="AT823" t="e">
            <v>#REF!</v>
          </cell>
          <cell r="AU823" t="e">
            <v>#REF!</v>
          </cell>
          <cell r="AV823" t="e">
            <v>#REF!</v>
          </cell>
          <cell r="AW823" t="e">
            <v>#DIV/0!</v>
          </cell>
          <cell r="AX823" t="e">
            <v>#DIV/0!</v>
          </cell>
          <cell r="AY823" t="e">
            <v>#DIV/0!</v>
          </cell>
          <cell r="AZ823" t="e">
            <v>#DIV/0!</v>
          </cell>
          <cell r="BE823" t="e">
            <v>#DIV/0!</v>
          </cell>
          <cell r="BF823" t="e">
            <v>#DIV/0!</v>
          </cell>
        </row>
        <row r="824">
          <cell r="A824" t="str">
            <v>-0</v>
          </cell>
          <cell r="B824" t="str">
            <v xml:space="preserve">-0  , </v>
          </cell>
          <cell r="C824"/>
          <cell r="D824"/>
          <cell r="E824"/>
          <cell r="F824"/>
          <cell r="G824"/>
          <cell r="H824"/>
          <cell r="I824"/>
          <cell r="J824"/>
          <cell r="K824"/>
          <cell r="L824"/>
          <cell r="M824"/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  <cell r="X824">
            <v>0</v>
          </cell>
          <cell r="Y824">
            <v>0</v>
          </cell>
          <cell r="Z824">
            <v>0</v>
          </cell>
          <cell r="AA824" t="str">
            <v>,</v>
          </cell>
          <cell r="AB824" t="str">
            <v>,</v>
          </cell>
          <cell r="AC824" t="e">
            <v>#DIV/0!</v>
          </cell>
          <cell r="AD824" t="e">
            <v>#DIV/0!</v>
          </cell>
          <cell r="AE824">
            <v>0.71</v>
          </cell>
          <cell r="AF824">
            <v>94.97</v>
          </cell>
          <cell r="AG824">
            <v>0</v>
          </cell>
          <cell r="AH824" t="e">
            <v>#DIV/0!</v>
          </cell>
          <cell r="AI824" t="e">
            <v>#DIV/0!</v>
          </cell>
          <cell r="AJ824" t="e">
            <v>#DIV/0!</v>
          </cell>
          <cell r="AK824" t="e">
            <v>#DIV/0!</v>
          </cell>
          <cell r="AL824" t="e">
            <v>#DIV/0!</v>
          </cell>
          <cell r="AM824" t="e">
            <v>#DIV/0!</v>
          </cell>
          <cell r="AN824" t="e">
            <v>#DIV/0!</v>
          </cell>
          <cell r="AO824" t="e">
            <v>#REF!</v>
          </cell>
          <cell r="AP824" t="e">
            <v>#REF!</v>
          </cell>
          <cell r="AQ824" t="e">
            <v>#REF!</v>
          </cell>
          <cell r="AR824" t="e">
            <v>#REF!</v>
          </cell>
          <cell r="AS824" t="e">
            <v>#REF!</v>
          </cell>
          <cell r="AT824" t="e">
            <v>#REF!</v>
          </cell>
          <cell r="AU824" t="e">
            <v>#REF!</v>
          </cell>
          <cell r="AV824" t="e">
            <v>#REF!</v>
          </cell>
          <cell r="AW824" t="e">
            <v>#DIV/0!</v>
          </cell>
          <cell r="AX824" t="e">
            <v>#DIV/0!</v>
          </cell>
          <cell r="AY824" t="e">
            <v>#DIV/0!</v>
          </cell>
          <cell r="AZ824" t="e">
            <v>#DIV/0!</v>
          </cell>
          <cell r="BE824" t="e">
            <v>#DIV/0!</v>
          </cell>
          <cell r="BF824" t="e">
            <v>#DIV/0!</v>
          </cell>
        </row>
        <row r="825">
          <cell r="A825" t="str">
            <v>-0</v>
          </cell>
          <cell r="B825" t="str">
            <v xml:space="preserve">-0  , </v>
          </cell>
          <cell r="C825"/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/>
          <cell r="S825"/>
          <cell r="T825"/>
          <cell r="U825"/>
          <cell r="V825"/>
          <cell r="W825"/>
          <cell r="X825">
            <v>0</v>
          </cell>
          <cell r="Y825">
            <v>0</v>
          </cell>
          <cell r="Z825">
            <v>0</v>
          </cell>
          <cell r="AA825" t="str">
            <v>,</v>
          </cell>
          <cell r="AB825" t="str">
            <v>,</v>
          </cell>
          <cell r="AC825" t="e">
            <v>#DIV/0!</v>
          </cell>
          <cell r="AD825" t="e">
            <v>#DIV/0!</v>
          </cell>
          <cell r="AE825">
            <v>0.71</v>
          </cell>
          <cell r="AF825">
            <v>94.97</v>
          </cell>
          <cell r="AG825">
            <v>0</v>
          </cell>
          <cell r="AH825" t="e">
            <v>#DIV/0!</v>
          </cell>
          <cell r="AI825" t="e">
            <v>#DIV/0!</v>
          </cell>
          <cell r="AJ825" t="e">
            <v>#DIV/0!</v>
          </cell>
          <cell r="AK825" t="e">
            <v>#DIV/0!</v>
          </cell>
          <cell r="AL825" t="e">
            <v>#DIV/0!</v>
          </cell>
          <cell r="AM825" t="e">
            <v>#DIV/0!</v>
          </cell>
          <cell r="AN825" t="e">
            <v>#DIV/0!</v>
          </cell>
          <cell r="AO825" t="e">
            <v>#REF!</v>
          </cell>
          <cell r="AP825" t="e">
            <v>#REF!</v>
          </cell>
          <cell r="AQ825" t="e">
            <v>#REF!</v>
          </cell>
          <cell r="AR825" t="e">
            <v>#REF!</v>
          </cell>
          <cell r="AS825" t="e">
            <v>#REF!</v>
          </cell>
          <cell r="AT825" t="e">
            <v>#REF!</v>
          </cell>
          <cell r="AU825" t="e">
            <v>#REF!</v>
          </cell>
          <cell r="AV825" t="e">
            <v>#REF!</v>
          </cell>
          <cell r="AW825" t="e">
            <v>#DIV/0!</v>
          </cell>
          <cell r="AX825" t="e">
            <v>#DIV/0!</v>
          </cell>
          <cell r="AY825" t="e">
            <v>#DIV/0!</v>
          </cell>
          <cell r="AZ825" t="e">
            <v>#DIV/0!</v>
          </cell>
          <cell r="BE825" t="e">
            <v>#DIV/0!</v>
          </cell>
          <cell r="BF825" t="e">
            <v>#DIV/0!</v>
          </cell>
        </row>
        <row r="826">
          <cell r="A826" t="str">
            <v>-0</v>
          </cell>
          <cell r="B826" t="str">
            <v xml:space="preserve">-0  , </v>
          </cell>
          <cell r="C826"/>
          <cell r="D826"/>
          <cell r="E826"/>
          <cell r="F826"/>
          <cell r="G826"/>
          <cell r="H826"/>
          <cell r="I826"/>
          <cell r="J826"/>
          <cell r="K826"/>
          <cell r="L826"/>
          <cell r="M826"/>
          <cell r="N826"/>
          <cell r="O826"/>
          <cell r="P826"/>
          <cell r="Q826"/>
          <cell r="R826"/>
          <cell r="S826"/>
          <cell r="T826"/>
          <cell r="U826"/>
          <cell r="V826"/>
          <cell r="W826"/>
          <cell r="X826">
            <v>0</v>
          </cell>
          <cell r="Y826">
            <v>0</v>
          </cell>
          <cell r="Z826">
            <v>0</v>
          </cell>
          <cell r="AA826" t="str">
            <v>,</v>
          </cell>
          <cell r="AB826" t="str">
            <v>,</v>
          </cell>
          <cell r="AC826" t="e">
            <v>#DIV/0!</v>
          </cell>
          <cell r="AD826" t="e">
            <v>#DIV/0!</v>
          </cell>
          <cell r="AE826">
            <v>0.71</v>
          </cell>
          <cell r="AF826">
            <v>94.97</v>
          </cell>
          <cell r="AG826">
            <v>0</v>
          </cell>
          <cell r="AH826" t="e">
            <v>#DIV/0!</v>
          </cell>
          <cell r="AI826" t="e">
            <v>#DIV/0!</v>
          </cell>
          <cell r="AJ826" t="e">
            <v>#DIV/0!</v>
          </cell>
          <cell r="AK826" t="e">
            <v>#DIV/0!</v>
          </cell>
          <cell r="AL826" t="e">
            <v>#DIV/0!</v>
          </cell>
          <cell r="AM826" t="e">
            <v>#DIV/0!</v>
          </cell>
          <cell r="AN826" t="e">
            <v>#DIV/0!</v>
          </cell>
          <cell r="AO826" t="e">
            <v>#REF!</v>
          </cell>
          <cell r="AP826" t="e">
            <v>#REF!</v>
          </cell>
          <cell r="AQ826" t="e">
            <v>#REF!</v>
          </cell>
          <cell r="AR826" t="e">
            <v>#REF!</v>
          </cell>
          <cell r="AS826" t="e">
            <v>#REF!</v>
          </cell>
          <cell r="AT826" t="e">
            <v>#REF!</v>
          </cell>
          <cell r="AU826" t="e">
            <v>#REF!</v>
          </cell>
          <cell r="AV826" t="e">
            <v>#REF!</v>
          </cell>
          <cell r="AW826" t="e">
            <v>#DIV/0!</v>
          </cell>
          <cell r="AX826" t="e">
            <v>#DIV/0!</v>
          </cell>
          <cell r="AY826" t="e">
            <v>#DIV/0!</v>
          </cell>
          <cell r="AZ826" t="e">
            <v>#DIV/0!</v>
          </cell>
          <cell r="BE826" t="e">
            <v>#DIV/0!</v>
          </cell>
          <cell r="BF826" t="e">
            <v>#DIV/0!</v>
          </cell>
        </row>
        <row r="827">
          <cell r="A827" t="str">
            <v>-0</v>
          </cell>
          <cell r="B827" t="str">
            <v xml:space="preserve">-0  , </v>
          </cell>
          <cell r="C827"/>
          <cell r="D827"/>
          <cell r="E827"/>
          <cell r="F827"/>
          <cell r="G827"/>
          <cell r="H827"/>
          <cell r="I827"/>
          <cell r="J827"/>
          <cell r="K827"/>
          <cell r="L827"/>
          <cell r="M827"/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  <cell r="X827">
            <v>0</v>
          </cell>
          <cell r="Y827">
            <v>0</v>
          </cell>
          <cell r="Z827">
            <v>0</v>
          </cell>
          <cell r="AA827" t="str">
            <v>,</v>
          </cell>
          <cell r="AB827" t="str">
            <v>,</v>
          </cell>
          <cell r="AC827" t="e">
            <v>#DIV/0!</v>
          </cell>
          <cell r="AD827" t="e">
            <v>#DIV/0!</v>
          </cell>
          <cell r="AE827">
            <v>0.71</v>
          </cell>
          <cell r="AF827">
            <v>94.97</v>
          </cell>
          <cell r="AG827">
            <v>0</v>
          </cell>
          <cell r="AH827" t="e">
            <v>#DIV/0!</v>
          </cell>
          <cell r="AI827" t="e">
            <v>#DIV/0!</v>
          </cell>
          <cell r="AJ827" t="e">
            <v>#DIV/0!</v>
          </cell>
          <cell r="AK827" t="e">
            <v>#DIV/0!</v>
          </cell>
          <cell r="AL827" t="e">
            <v>#DIV/0!</v>
          </cell>
          <cell r="AM827" t="e">
            <v>#DIV/0!</v>
          </cell>
          <cell r="AN827" t="e">
            <v>#DIV/0!</v>
          </cell>
          <cell r="AO827" t="e">
            <v>#REF!</v>
          </cell>
          <cell r="AP827" t="e">
            <v>#REF!</v>
          </cell>
          <cell r="AQ827" t="e">
            <v>#REF!</v>
          </cell>
          <cell r="AR827" t="e">
            <v>#REF!</v>
          </cell>
          <cell r="AS827" t="e">
            <v>#REF!</v>
          </cell>
          <cell r="AT827" t="e">
            <v>#REF!</v>
          </cell>
          <cell r="AU827" t="e">
            <v>#REF!</v>
          </cell>
          <cell r="AV827" t="e">
            <v>#REF!</v>
          </cell>
          <cell r="AW827" t="e">
            <v>#DIV/0!</v>
          </cell>
          <cell r="AX827" t="e">
            <v>#DIV/0!</v>
          </cell>
          <cell r="AY827" t="e">
            <v>#DIV/0!</v>
          </cell>
          <cell r="AZ827" t="e">
            <v>#DIV/0!</v>
          </cell>
          <cell r="BE827" t="e">
            <v>#DIV/0!</v>
          </cell>
          <cell r="BF827" t="e">
            <v>#DIV/0!</v>
          </cell>
        </row>
        <row r="828">
          <cell r="A828" t="str">
            <v>-0</v>
          </cell>
          <cell r="B828" t="str">
            <v xml:space="preserve">-0  , </v>
          </cell>
          <cell r="C828"/>
          <cell r="D828"/>
          <cell r="E828"/>
          <cell r="F828"/>
          <cell r="G828"/>
          <cell r="H828"/>
          <cell r="I828"/>
          <cell r="J828"/>
          <cell r="K828"/>
          <cell r="L828"/>
          <cell r="M828"/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  <cell r="X828">
            <v>0</v>
          </cell>
          <cell r="Y828">
            <v>0</v>
          </cell>
          <cell r="Z828">
            <v>0</v>
          </cell>
          <cell r="AA828" t="str">
            <v>,</v>
          </cell>
          <cell r="AB828" t="str">
            <v>,</v>
          </cell>
          <cell r="AC828" t="e">
            <v>#DIV/0!</v>
          </cell>
          <cell r="AD828" t="e">
            <v>#DIV/0!</v>
          </cell>
          <cell r="AE828">
            <v>0.71</v>
          </cell>
          <cell r="AF828">
            <v>94.97</v>
          </cell>
          <cell r="AG828">
            <v>0</v>
          </cell>
          <cell r="AH828" t="e">
            <v>#DIV/0!</v>
          </cell>
          <cell r="AI828" t="e">
            <v>#DIV/0!</v>
          </cell>
          <cell r="AJ828" t="e">
            <v>#DIV/0!</v>
          </cell>
          <cell r="AK828" t="e">
            <v>#DIV/0!</v>
          </cell>
          <cell r="AL828" t="e">
            <v>#DIV/0!</v>
          </cell>
          <cell r="AM828" t="e">
            <v>#DIV/0!</v>
          </cell>
          <cell r="AN828" t="e">
            <v>#DIV/0!</v>
          </cell>
          <cell r="AO828" t="e">
            <v>#REF!</v>
          </cell>
          <cell r="AP828" t="e">
            <v>#REF!</v>
          </cell>
          <cell r="AQ828" t="e">
            <v>#REF!</v>
          </cell>
          <cell r="AR828" t="e">
            <v>#REF!</v>
          </cell>
          <cell r="AS828" t="e">
            <v>#REF!</v>
          </cell>
          <cell r="AT828" t="e">
            <v>#REF!</v>
          </cell>
          <cell r="AU828" t="e">
            <v>#REF!</v>
          </cell>
          <cell r="AV828" t="e">
            <v>#REF!</v>
          </cell>
          <cell r="AW828" t="e">
            <v>#DIV/0!</v>
          </cell>
          <cell r="AX828" t="e">
            <v>#DIV/0!</v>
          </cell>
          <cell r="AY828" t="e">
            <v>#DIV/0!</v>
          </cell>
          <cell r="AZ828" t="e">
            <v>#DIV/0!</v>
          </cell>
          <cell r="BE828" t="e">
            <v>#DIV/0!</v>
          </cell>
          <cell r="BF828" t="e">
            <v>#DIV/0!</v>
          </cell>
        </row>
        <row r="829">
          <cell r="A829" t="str">
            <v>-0</v>
          </cell>
          <cell r="B829" t="str">
            <v xml:space="preserve">-0  , </v>
          </cell>
          <cell r="C829"/>
          <cell r="D829"/>
          <cell r="E829"/>
          <cell r="F829"/>
          <cell r="G829"/>
          <cell r="H829"/>
          <cell r="I829"/>
          <cell r="J829"/>
          <cell r="K829"/>
          <cell r="L829"/>
          <cell r="M829"/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  <cell r="X829">
            <v>0</v>
          </cell>
          <cell r="Y829">
            <v>0</v>
          </cell>
          <cell r="Z829">
            <v>0</v>
          </cell>
          <cell r="AA829" t="str">
            <v>,</v>
          </cell>
          <cell r="AB829" t="str">
            <v>,</v>
          </cell>
          <cell r="AC829" t="e">
            <v>#DIV/0!</v>
          </cell>
          <cell r="AD829" t="e">
            <v>#DIV/0!</v>
          </cell>
          <cell r="AE829">
            <v>0.71</v>
          </cell>
          <cell r="AF829">
            <v>94.97</v>
          </cell>
          <cell r="AG829">
            <v>0</v>
          </cell>
          <cell r="AH829" t="e">
            <v>#DIV/0!</v>
          </cell>
          <cell r="AI829" t="e">
            <v>#DIV/0!</v>
          </cell>
          <cell r="AJ829" t="e">
            <v>#DIV/0!</v>
          </cell>
          <cell r="AK829" t="e">
            <v>#DIV/0!</v>
          </cell>
          <cell r="AL829" t="e">
            <v>#DIV/0!</v>
          </cell>
          <cell r="AM829" t="e">
            <v>#DIV/0!</v>
          </cell>
          <cell r="AN829" t="e">
            <v>#DIV/0!</v>
          </cell>
          <cell r="AO829" t="e">
            <v>#REF!</v>
          </cell>
          <cell r="AP829" t="e">
            <v>#REF!</v>
          </cell>
          <cell r="AQ829" t="e">
            <v>#REF!</v>
          </cell>
          <cell r="AR829" t="e">
            <v>#REF!</v>
          </cell>
          <cell r="AS829" t="e">
            <v>#REF!</v>
          </cell>
          <cell r="AT829" t="e">
            <v>#REF!</v>
          </cell>
          <cell r="AU829" t="e">
            <v>#REF!</v>
          </cell>
          <cell r="AV829" t="e">
            <v>#REF!</v>
          </cell>
          <cell r="AW829" t="e">
            <v>#DIV/0!</v>
          </cell>
          <cell r="AX829" t="e">
            <v>#DIV/0!</v>
          </cell>
          <cell r="AY829" t="e">
            <v>#DIV/0!</v>
          </cell>
          <cell r="AZ829" t="e">
            <v>#DIV/0!</v>
          </cell>
          <cell r="BE829" t="e">
            <v>#DIV/0!</v>
          </cell>
          <cell r="BF829" t="e">
            <v>#DIV/0!</v>
          </cell>
        </row>
        <row r="830">
          <cell r="A830" t="str">
            <v>-0</v>
          </cell>
          <cell r="B830" t="str">
            <v xml:space="preserve">-0  , </v>
          </cell>
          <cell r="C830"/>
          <cell r="D830"/>
          <cell r="E830"/>
          <cell r="F830"/>
          <cell r="G830"/>
          <cell r="H830"/>
          <cell r="I830"/>
          <cell r="J830"/>
          <cell r="K830"/>
          <cell r="L830"/>
          <cell r="M830"/>
          <cell r="N830"/>
          <cell r="O830"/>
          <cell r="P830"/>
          <cell r="Q830"/>
          <cell r="R830"/>
          <cell r="S830"/>
          <cell r="T830"/>
          <cell r="U830"/>
          <cell r="V830"/>
          <cell r="W830"/>
          <cell r="X830">
            <v>0</v>
          </cell>
          <cell r="Y830">
            <v>0</v>
          </cell>
          <cell r="Z830">
            <v>0</v>
          </cell>
          <cell r="AA830" t="str">
            <v>,</v>
          </cell>
          <cell r="AB830" t="str">
            <v>,</v>
          </cell>
          <cell r="AC830" t="e">
            <v>#DIV/0!</v>
          </cell>
          <cell r="AD830" t="e">
            <v>#DIV/0!</v>
          </cell>
          <cell r="AE830">
            <v>0.71</v>
          </cell>
          <cell r="AF830">
            <v>94.97</v>
          </cell>
          <cell r="AG830">
            <v>0</v>
          </cell>
          <cell r="AH830" t="e">
            <v>#DIV/0!</v>
          </cell>
          <cell r="AI830" t="e">
            <v>#DIV/0!</v>
          </cell>
          <cell r="AJ830" t="e">
            <v>#DIV/0!</v>
          </cell>
          <cell r="AK830" t="e">
            <v>#DIV/0!</v>
          </cell>
          <cell r="AL830" t="e">
            <v>#DIV/0!</v>
          </cell>
          <cell r="AM830" t="e">
            <v>#DIV/0!</v>
          </cell>
          <cell r="AN830" t="e">
            <v>#DIV/0!</v>
          </cell>
          <cell r="AO830" t="e">
            <v>#REF!</v>
          </cell>
          <cell r="AP830" t="e">
            <v>#REF!</v>
          </cell>
          <cell r="AQ830" t="e">
            <v>#REF!</v>
          </cell>
          <cell r="AR830" t="e">
            <v>#REF!</v>
          </cell>
          <cell r="AS830" t="e">
            <v>#REF!</v>
          </cell>
          <cell r="AT830" t="e">
            <v>#REF!</v>
          </cell>
          <cell r="AU830" t="e">
            <v>#REF!</v>
          </cell>
          <cell r="AV830" t="e">
            <v>#REF!</v>
          </cell>
          <cell r="AW830" t="e">
            <v>#DIV/0!</v>
          </cell>
          <cell r="AX830" t="e">
            <v>#DIV/0!</v>
          </cell>
          <cell r="AY830" t="e">
            <v>#DIV/0!</v>
          </cell>
          <cell r="AZ830" t="e">
            <v>#DIV/0!</v>
          </cell>
          <cell r="BE830" t="e">
            <v>#DIV/0!</v>
          </cell>
          <cell r="BF830" t="e">
            <v>#DIV/0!</v>
          </cell>
        </row>
        <row r="831">
          <cell r="A831" t="str">
            <v>-0</v>
          </cell>
          <cell r="B831" t="str">
            <v xml:space="preserve">-0  , </v>
          </cell>
          <cell r="C831"/>
          <cell r="D831"/>
          <cell r="E831"/>
          <cell r="F831"/>
          <cell r="G831"/>
          <cell r="H831"/>
          <cell r="I831"/>
          <cell r="J831"/>
          <cell r="K831"/>
          <cell r="L831"/>
          <cell r="M831"/>
          <cell r="N831"/>
          <cell r="O831"/>
          <cell r="P831"/>
          <cell r="Q831"/>
          <cell r="R831"/>
          <cell r="S831"/>
          <cell r="T831"/>
          <cell r="U831"/>
          <cell r="V831"/>
          <cell r="W831"/>
          <cell r="X831">
            <v>0</v>
          </cell>
          <cell r="Y831">
            <v>0</v>
          </cell>
          <cell r="Z831">
            <v>0</v>
          </cell>
          <cell r="AA831" t="str">
            <v>,</v>
          </cell>
          <cell r="AB831" t="str">
            <v>,</v>
          </cell>
          <cell r="AC831" t="e">
            <v>#DIV/0!</v>
          </cell>
          <cell r="AD831" t="e">
            <v>#DIV/0!</v>
          </cell>
          <cell r="AE831">
            <v>0.71</v>
          </cell>
          <cell r="AF831">
            <v>94.97</v>
          </cell>
          <cell r="AG831">
            <v>0</v>
          </cell>
          <cell r="AH831" t="e">
            <v>#DIV/0!</v>
          </cell>
          <cell r="AI831" t="e">
            <v>#DIV/0!</v>
          </cell>
          <cell r="AJ831" t="e">
            <v>#DIV/0!</v>
          </cell>
          <cell r="AK831" t="e">
            <v>#DIV/0!</v>
          </cell>
          <cell r="AL831" t="e">
            <v>#DIV/0!</v>
          </cell>
          <cell r="AM831" t="e">
            <v>#DIV/0!</v>
          </cell>
          <cell r="AN831" t="e">
            <v>#DIV/0!</v>
          </cell>
          <cell r="AO831" t="e">
            <v>#REF!</v>
          </cell>
          <cell r="AP831" t="e">
            <v>#REF!</v>
          </cell>
          <cell r="AQ831" t="e">
            <v>#REF!</v>
          </cell>
          <cell r="AR831" t="e">
            <v>#REF!</v>
          </cell>
          <cell r="AS831" t="e">
            <v>#REF!</v>
          </cell>
          <cell r="AT831" t="e">
            <v>#REF!</v>
          </cell>
          <cell r="AU831" t="e">
            <v>#REF!</v>
          </cell>
          <cell r="AV831" t="e">
            <v>#REF!</v>
          </cell>
          <cell r="AW831" t="e">
            <v>#DIV/0!</v>
          </cell>
          <cell r="AX831" t="e">
            <v>#DIV/0!</v>
          </cell>
          <cell r="AY831" t="e">
            <v>#DIV/0!</v>
          </cell>
          <cell r="AZ831" t="e">
            <v>#DIV/0!</v>
          </cell>
          <cell r="BE831" t="e">
            <v>#DIV/0!</v>
          </cell>
          <cell r="BF831" t="e">
            <v>#DIV/0!</v>
          </cell>
        </row>
        <row r="832">
          <cell r="A832" t="str">
            <v>-0</v>
          </cell>
          <cell r="B832" t="str">
            <v xml:space="preserve">-0  , </v>
          </cell>
          <cell r="C832"/>
          <cell r="D832"/>
          <cell r="E832"/>
          <cell r="F832"/>
          <cell r="G832"/>
          <cell r="H832"/>
          <cell r="I832"/>
          <cell r="J832"/>
          <cell r="K832"/>
          <cell r="L832"/>
          <cell r="M832"/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  <cell r="X832">
            <v>0</v>
          </cell>
          <cell r="Y832">
            <v>0</v>
          </cell>
          <cell r="Z832">
            <v>0</v>
          </cell>
          <cell r="AA832" t="str">
            <v>,</v>
          </cell>
          <cell r="AB832" t="str">
            <v>,</v>
          </cell>
          <cell r="AC832" t="e">
            <v>#DIV/0!</v>
          </cell>
          <cell r="AD832" t="e">
            <v>#DIV/0!</v>
          </cell>
          <cell r="AE832">
            <v>0.71</v>
          </cell>
          <cell r="AF832">
            <v>94.97</v>
          </cell>
          <cell r="AG832">
            <v>0</v>
          </cell>
          <cell r="AH832" t="e">
            <v>#DIV/0!</v>
          </cell>
          <cell r="AI832" t="e">
            <v>#DIV/0!</v>
          </cell>
          <cell r="AJ832" t="e">
            <v>#DIV/0!</v>
          </cell>
          <cell r="AK832" t="e">
            <v>#DIV/0!</v>
          </cell>
          <cell r="AL832" t="e">
            <v>#DIV/0!</v>
          </cell>
          <cell r="AM832" t="e">
            <v>#DIV/0!</v>
          </cell>
          <cell r="AN832" t="e">
            <v>#DIV/0!</v>
          </cell>
          <cell r="AO832" t="e">
            <v>#REF!</v>
          </cell>
          <cell r="AP832" t="e">
            <v>#REF!</v>
          </cell>
          <cell r="AQ832" t="e">
            <v>#REF!</v>
          </cell>
          <cell r="AR832" t="e">
            <v>#REF!</v>
          </cell>
          <cell r="AS832" t="e">
            <v>#REF!</v>
          </cell>
          <cell r="AT832" t="e">
            <v>#REF!</v>
          </cell>
          <cell r="AU832" t="e">
            <v>#REF!</v>
          </cell>
          <cell r="AV832" t="e">
            <v>#REF!</v>
          </cell>
          <cell r="AW832" t="e">
            <v>#DIV/0!</v>
          </cell>
          <cell r="AX832" t="e">
            <v>#DIV/0!</v>
          </cell>
          <cell r="AY832" t="e">
            <v>#DIV/0!</v>
          </cell>
          <cell r="AZ832" t="e">
            <v>#DIV/0!</v>
          </cell>
          <cell r="BE832" t="e">
            <v>#DIV/0!</v>
          </cell>
          <cell r="BF832" t="e">
            <v>#DIV/0!</v>
          </cell>
        </row>
        <row r="833">
          <cell r="A833" t="str">
            <v>-0</v>
          </cell>
          <cell r="B833" t="str">
            <v xml:space="preserve">-0  , </v>
          </cell>
          <cell r="C833"/>
          <cell r="D833"/>
          <cell r="E833"/>
          <cell r="F833"/>
          <cell r="G833"/>
          <cell r="H833"/>
          <cell r="I833"/>
          <cell r="J833"/>
          <cell r="K833"/>
          <cell r="L833"/>
          <cell r="M833"/>
          <cell r="N833"/>
          <cell r="O833"/>
          <cell r="P833"/>
          <cell r="Q833"/>
          <cell r="R833"/>
          <cell r="S833"/>
          <cell r="T833"/>
          <cell r="U833"/>
          <cell r="V833"/>
          <cell r="W833"/>
          <cell r="X833">
            <v>0</v>
          </cell>
          <cell r="Y833">
            <v>0</v>
          </cell>
          <cell r="Z833">
            <v>0</v>
          </cell>
          <cell r="AA833" t="str">
            <v>,</v>
          </cell>
          <cell r="AB833" t="str">
            <v>,</v>
          </cell>
          <cell r="AC833" t="e">
            <v>#DIV/0!</v>
          </cell>
          <cell r="AD833" t="e">
            <v>#DIV/0!</v>
          </cell>
          <cell r="AE833">
            <v>0.71</v>
          </cell>
          <cell r="AF833">
            <v>94.97</v>
          </cell>
          <cell r="AG833">
            <v>0</v>
          </cell>
          <cell r="AH833" t="e">
            <v>#DIV/0!</v>
          </cell>
          <cell r="AI833" t="e">
            <v>#DIV/0!</v>
          </cell>
          <cell r="AJ833" t="e">
            <v>#DIV/0!</v>
          </cell>
          <cell r="AK833" t="e">
            <v>#DIV/0!</v>
          </cell>
          <cell r="AL833" t="e">
            <v>#DIV/0!</v>
          </cell>
          <cell r="AM833" t="e">
            <v>#DIV/0!</v>
          </cell>
          <cell r="AN833" t="e">
            <v>#DIV/0!</v>
          </cell>
          <cell r="AO833" t="e">
            <v>#REF!</v>
          </cell>
          <cell r="AP833" t="e">
            <v>#REF!</v>
          </cell>
          <cell r="AQ833" t="e">
            <v>#REF!</v>
          </cell>
          <cell r="AR833" t="e">
            <v>#REF!</v>
          </cell>
          <cell r="AS833" t="e">
            <v>#REF!</v>
          </cell>
          <cell r="AT833" t="e">
            <v>#REF!</v>
          </cell>
          <cell r="AU833" t="e">
            <v>#REF!</v>
          </cell>
          <cell r="AV833" t="e">
            <v>#REF!</v>
          </cell>
          <cell r="AW833" t="e">
            <v>#DIV/0!</v>
          </cell>
          <cell r="AX833" t="e">
            <v>#DIV/0!</v>
          </cell>
          <cell r="AY833" t="e">
            <v>#DIV/0!</v>
          </cell>
          <cell r="AZ833" t="e">
            <v>#DIV/0!</v>
          </cell>
          <cell r="BE833" t="e">
            <v>#DIV/0!</v>
          </cell>
          <cell r="BF833" t="e">
            <v>#DIV/0!</v>
          </cell>
        </row>
        <row r="834">
          <cell r="A834" t="str">
            <v>-0</v>
          </cell>
          <cell r="B834" t="str">
            <v xml:space="preserve">-0  , </v>
          </cell>
          <cell r="C834"/>
          <cell r="D834"/>
          <cell r="E834"/>
          <cell r="F834"/>
          <cell r="G834"/>
          <cell r="H834"/>
          <cell r="I834"/>
          <cell r="J834"/>
          <cell r="K834"/>
          <cell r="L834"/>
          <cell r="M834"/>
          <cell r="N834"/>
          <cell r="O834"/>
          <cell r="P834"/>
          <cell r="Q834"/>
          <cell r="R834"/>
          <cell r="S834"/>
          <cell r="T834"/>
          <cell r="U834"/>
          <cell r="V834"/>
          <cell r="W834"/>
          <cell r="X834">
            <v>0</v>
          </cell>
          <cell r="Y834">
            <v>0</v>
          </cell>
          <cell r="Z834">
            <v>0</v>
          </cell>
          <cell r="AA834" t="str">
            <v>,</v>
          </cell>
          <cell r="AB834" t="str">
            <v>,</v>
          </cell>
          <cell r="AC834" t="e">
            <v>#DIV/0!</v>
          </cell>
          <cell r="AD834" t="e">
            <v>#DIV/0!</v>
          </cell>
          <cell r="AE834">
            <v>0.71</v>
          </cell>
          <cell r="AF834">
            <v>94.97</v>
          </cell>
          <cell r="AG834">
            <v>0</v>
          </cell>
          <cell r="AH834" t="e">
            <v>#DIV/0!</v>
          </cell>
          <cell r="AI834" t="e">
            <v>#DIV/0!</v>
          </cell>
          <cell r="AJ834" t="e">
            <v>#DIV/0!</v>
          </cell>
          <cell r="AK834" t="e">
            <v>#DIV/0!</v>
          </cell>
          <cell r="AL834" t="e">
            <v>#DIV/0!</v>
          </cell>
          <cell r="AM834" t="e">
            <v>#DIV/0!</v>
          </cell>
          <cell r="AN834" t="e">
            <v>#DIV/0!</v>
          </cell>
          <cell r="AO834" t="e">
            <v>#REF!</v>
          </cell>
          <cell r="AP834" t="e">
            <v>#REF!</v>
          </cell>
          <cell r="AQ834" t="e">
            <v>#REF!</v>
          </cell>
          <cell r="AR834" t="e">
            <v>#REF!</v>
          </cell>
          <cell r="AS834" t="e">
            <v>#REF!</v>
          </cell>
          <cell r="AT834" t="e">
            <v>#REF!</v>
          </cell>
          <cell r="AU834" t="e">
            <v>#REF!</v>
          </cell>
          <cell r="AV834" t="e">
            <v>#REF!</v>
          </cell>
          <cell r="AW834" t="e">
            <v>#DIV/0!</v>
          </cell>
          <cell r="AX834" t="e">
            <v>#DIV/0!</v>
          </cell>
          <cell r="AY834" t="e">
            <v>#DIV/0!</v>
          </cell>
          <cell r="AZ834" t="e">
            <v>#DIV/0!</v>
          </cell>
          <cell r="BE834" t="e">
            <v>#DIV/0!</v>
          </cell>
          <cell r="BF834" t="e">
            <v>#DIV/0!</v>
          </cell>
        </row>
        <row r="835">
          <cell r="A835" t="str">
            <v>-0</v>
          </cell>
          <cell r="B835" t="str">
            <v xml:space="preserve">-0  , </v>
          </cell>
          <cell r="C835"/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  <cell r="X835">
            <v>0</v>
          </cell>
          <cell r="Y835">
            <v>0</v>
          </cell>
          <cell r="Z835">
            <v>0</v>
          </cell>
          <cell r="AA835" t="str">
            <v>,</v>
          </cell>
          <cell r="AB835" t="str">
            <v>,</v>
          </cell>
          <cell r="AC835" t="e">
            <v>#DIV/0!</v>
          </cell>
          <cell r="AD835" t="e">
            <v>#DIV/0!</v>
          </cell>
          <cell r="AE835">
            <v>0.71</v>
          </cell>
          <cell r="AF835">
            <v>94.97</v>
          </cell>
          <cell r="AG835">
            <v>0</v>
          </cell>
          <cell r="AH835" t="e">
            <v>#DIV/0!</v>
          </cell>
          <cell r="AI835" t="e">
            <v>#DIV/0!</v>
          </cell>
          <cell r="AJ835" t="e">
            <v>#DIV/0!</v>
          </cell>
          <cell r="AK835" t="e">
            <v>#DIV/0!</v>
          </cell>
          <cell r="AL835" t="e">
            <v>#DIV/0!</v>
          </cell>
          <cell r="AM835" t="e">
            <v>#DIV/0!</v>
          </cell>
          <cell r="AN835" t="e">
            <v>#DIV/0!</v>
          </cell>
          <cell r="AO835" t="e">
            <v>#REF!</v>
          </cell>
          <cell r="AP835" t="e">
            <v>#REF!</v>
          </cell>
          <cell r="AQ835" t="e">
            <v>#REF!</v>
          </cell>
          <cell r="AR835" t="e">
            <v>#REF!</v>
          </cell>
          <cell r="AS835" t="e">
            <v>#REF!</v>
          </cell>
          <cell r="AT835" t="e">
            <v>#REF!</v>
          </cell>
          <cell r="AU835" t="e">
            <v>#REF!</v>
          </cell>
          <cell r="AV835" t="e">
            <v>#REF!</v>
          </cell>
          <cell r="AW835" t="e">
            <v>#DIV/0!</v>
          </cell>
          <cell r="AX835" t="e">
            <v>#DIV/0!</v>
          </cell>
          <cell r="AY835" t="e">
            <v>#DIV/0!</v>
          </cell>
          <cell r="AZ835" t="e">
            <v>#DIV/0!</v>
          </cell>
          <cell r="BE835" t="e">
            <v>#DIV/0!</v>
          </cell>
          <cell r="BF835" t="e">
            <v>#DIV/0!</v>
          </cell>
        </row>
        <row r="836">
          <cell r="A836" t="str">
            <v>-0</v>
          </cell>
          <cell r="B836" t="str">
            <v xml:space="preserve">-0  , </v>
          </cell>
          <cell r="C836"/>
          <cell r="D836"/>
          <cell r="E836"/>
          <cell r="F836"/>
          <cell r="G836"/>
          <cell r="H836"/>
          <cell r="I836"/>
          <cell r="J836"/>
          <cell r="K836"/>
          <cell r="L836"/>
          <cell r="M836"/>
          <cell r="N836"/>
          <cell r="O836"/>
          <cell r="P836"/>
          <cell r="Q836"/>
          <cell r="R836"/>
          <cell r="S836"/>
          <cell r="T836"/>
          <cell r="U836"/>
          <cell r="V836"/>
          <cell r="W836"/>
          <cell r="X836">
            <v>0</v>
          </cell>
          <cell r="Y836">
            <v>0</v>
          </cell>
          <cell r="Z836">
            <v>0</v>
          </cell>
          <cell r="AA836" t="str">
            <v>,</v>
          </cell>
          <cell r="AB836" t="str">
            <v>,</v>
          </cell>
          <cell r="AC836" t="e">
            <v>#DIV/0!</v>
          </cell>
          <cell r="AD836" t="e">
            <v>#DIV/0!</v>
          </cell>
          <cell r="AE836">
            <v>0.71</v>
          </cell>
          <cell r="AF836">
            <v>94.97</v>
          </cell>
          <cell r="AG836">
            <v>0</v>
          </cell>
          <cell r="AH836" t="e">
            <v>#DIV/0!</v>
          </cell>
          <cell r="AI836" t="e">
            <v>#DIV/0!</v>
          </cell>
          <cell r="AJ836" t="e">
            <v>#DIV/0!</v>
          </cell>
          <cell r="AK836" t="e">
            <v>#DIV/0!</v>
          </cell>
          <cell r="AL836" t="e">
            <v>#DIV/0!</v>
          </cell>
          <cell r="AM836" t="e">
            <v>#DIV/0!</v>
          </cell>
          <cell r="AN836" t="e">
            <v>#DIV/0!</v>
          </cell>
          <cell r="AO836" t="e">
            <v>#REF!</v>
          </cell>
          <cell r="AP836" t="e">
            <v>#REF!</v>
          </cell>
          <cell r="AQ836" t="e">
            <v>#REF!</v>
          </cell>
          <cell r="AR836" t="e">
            <v>#REF!</v>
          </cell>
          <cell r="AS836" t="e">
            <v>#REF!</v>
          </cell>
          <cell r="AT836" t="e">
            <v>#REF!</v>
          </cell>
          <cell r="AU836" t="e">
            <v>#REF!</v>
          </cell>
          <cell r="AV836" t="e">
            <v>#REF!</v>
          </cell>
          <cell r="AW836" t="e">
            <v>#DIV/0!</v>
          </cell>
          <cell r="AX836" t="e">
            <v>#DIV/0!</v>
          </cell>
          <cell r="AY836" t="e">
            <v>#DIV/0!</v>
          </cell>
          <cell r="AZ836" t="e">
            <v>#DIV/0!</v>
          </cell>
          <cell r="BE836" t="e">
            <v>#DIV/0!</v>
          </cell>
          <cell r="BF836" t="e">
            <v>#DIV/0!</v>
          </cell>
        </row>
        <row r="837">
          <cell r="A837" t="str">
            <v>-0</v>
          </cell>
          <cell r="B837" t="str">
            <v xml:space="preserve">-0  , </v>
          </cell>
          <cell r="C837"/>
          <cell r="D837"/>
          <cell r="E837"/>
          <cell r="F837"/>
          <cell r="G837"/>
          <cell r="H837"/>
          <cell r="I837"/>
          <cell r="J837"/>
          <cell r="K837"/>
          <cell r="L837"/>
          <cell r="M837"/>
          <cell r="N837"/>
          <cell r="O837"/>
          <cell r="P837"/>
          <cell r="Q837"/>
          <cell r="R837"/>
          <cell r="S837"/>
          <cell r="T837"/>
          <cell r="U837"/>
          <cell r="V837"/>
          <cell r="W837"/>
          <cell r="X837">
            <v>0</v>
          </cell>
          <cell r="Y837">
            <v>0</v>
          </cell>
          <cell r="Z837">
            <v>0</v>
          </cell>
          <cell r="AA837" t="str">
            <v>,</v>
          </cell>
          <cell r="AB837" t="str">
            <v>,</v>
          </cell>
          <cell r="AC837" t="e">
            <v>#DIV/0!</v>
          </cell>
          <cell r="AD837" t="e">
            <v>#DIV/0!</v>
          </cell>
          <cell r="AE837">
            <v>0.71</v>
          </cell>
          <cell r="AF837">
            <v>94.97</v>
          </cell>
          <cell r="AG837">
            <v>0</v>
          </cell>
          <cell r="AH837" t="e">
            <v>#DIV/0!</v>
          </cell>
          <cell r="AI837" t="e">
            <v>#DIV/0!</v>
          </cell>
          <cell r="AJ837" t="e">
            <v>#DIV/0!</v>
          </cell>
          <cell r="AK837" t="e">
            <v>#DIV/0!</v>
          </cell>
          <cell r="AL837" t="e">
            <v>#DIV/0!</v>
          </cell>
          <cell r="AM837" t="e">
            <v>#DIV/0!</v>
          </cell>
          <cell r="AN837" t="e">
            <v>#DIV/0!</v>
          </cell>
          <cell r="AO837" t="e">
            <v>#REF!</v>
          </cell>
          <cell r="AP837" t="e">
            <v>#REF!</v>
          </cell>
          <cell r="AQ837" t="e">
            <v>#REF!</v>
          </cell>
          <cell r="AR837" t="e">
            <v>#REF!</v>
          </cell>
          <cell r="AS837" t="e">
            <v>#REF!</v>
          </cell>
          <cell r="AT837" t="e">
            <v>#REF!</v>
          </cell>
          <cell r="AU837" t="e">
            <v>#REF!</v>
          </cell>
          <cell r="AV837" t="e">
            <v>#REF!</v>
          </cell>
          <cell r="AW837" t="e">
            <v>#DIV/0!</v>
          </cell>
          <cell r="AX837" t="e">
            <v>#DIV/0!</v>
          </cell>
          <cell r="AY837" t="e">
            <v>#DIV/0!</v>
          </cell>
          <cell r="AZ837" t="e">
            <v>#DIV/0!</v>
          </cell>
          <cell r="BE837" t="e">
            <v>#DIV/0!</v>
          </cell>
          <cell r="BF837" t="e">
            <v>#DIV/0!</v>
          </cell>
        </row>
        <row r="838">
          <cell r="A838" t="str">
            <v>-0</v>
          </cell>
          <cell r="B838" t="str">
            <v xml:space="preserve">-0  , </v>
          </cell>
          <cell r="C838"/>
          <cell r="D838"/>
          <cell r="E838"/>
          <cell r="F838"/>
          <cell r="G838"/>
          <cell r="H838"/>
          <cell r="I838"/>
          <cell r="J838"/>
          <cell r="K838"/>
          <cell r="L838"/>
          <cell r="M838"/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  <cell r="X838">
            <v>0</v>
          </cell>
          <cell r="Y838">
            <v>0</v>
          </cell>
          <cell r="Z838">
            <v>0</v>
          </cell>
          <cell r="AA838" t="str">
            <v>,</v>
          </cell>
          <cell r="AB838" t="str">
            <v>,</v>
          </cell>
          <cell r="AC838" t="e">
            <v>#DIV/0!</v>
          </cell>
          <cell r="AD838" t="e">
            <v>#DIV/0!</v>
          </cell>
          <cell r="AE838">
            <v>0.71</v>
          </cell>
          <cell r="AF838">
            <v>94.97</v>
          </cell>
          <cell r="AG838">
            <v>0</v>
          </cell>
          <cell r="AH838" t="e">
            <v>#DIV/0!</v>
          </cell>
          <cell r="AI838" t="e">
            <v>#DIV/0!</v>
          </cell>
          <cell r="AJ838" t="e">
            <v>#DIV/0!</v>
          </cell>
          <cell r="AK838" t="e">
            <v>#DIV/0!</v>
          </cell>
          <cell r="AL838" t="e">
            <v>#DIV/0!</v>
          </cell>
          <cell r="AM838" t="e">
            <v>#DIV/0!</v>
          </cell>
          <cell r="AN838" t="e">
            <v>#DIV/0!</v>
          </cell>
          <cell r="AO838" t="e">
            <v>#REF!</v>
          </cell>
          <cell r="AP838" t="e">
            <v>#REF!</v>
          </cell>
          <cell r="AQ838" t="e">
            <v>#REF!</v>
          </cell>
          <cell r="AR838" t="e">
            <v>#REF!</v>
          </cell>
          <cell r="AS838" t="e">
            <v>#REF!</v>
          </cell>
          <cell r="AT838" t="e">
            <v>#REF!</v>
          </cell>
          <cell r="AU838" t="e">
            <v>#REF!</v>
          </cell>
          <cell r="AV838" t="e">
            <v>#REF!</v>
          </cell>
          <cell r="AW838" t="e">
            <v>#DIV/0!</v>
          </cell>
          <cell r="AX838" t="e">
            <v>#DIV/0!</v>
          </cell>
          <cell r="AY838" t="e">
            <v>#DIV/0!</v>
          </cell>
          <cell r="AZ838" t="e">
            <v>#DIV/0!</v>
          </cell>
          <cell r="BE838" t="e">
            <v>#DIV/0!</v>
          </cell>
          <cell r="BF838" t="e">
            <v>#DIV/0!</v>
          </cell>
        </row>
        <row r="839">
          <cell r="A839" t="str">
            <v>-0</v>
          </cell>
          <cell r="B839" t="str">
            <v xml:space="preserve">-0  , </v>
          </cell>
          <cell r="C839"/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/>
          <cell r="S839"/>
          <cell r="T839"/>
          <cell r="U839"/>
          <cell r="V839"/>
          <cell r="W839"/>
          <cell r="X839">
            <v>0</v>
          </cell>
          <cell r="Y839">
            <v>0</v>
          </cell>
          <cell r="Z839">
            <v>0</v>
          </cell>
          <cell r="AA839" t="str">
            <v>,</v>
          </cell>
          <cell r="AB839" t="str">
            <v>,</v>
          </cell>
          <cell r="AC839" t="e">
            <v>#DIV/0!</v>
          </cell>
          <cell r="AD839" t="e">
            <v>#DIV/0!</v>
          </cell>
          <cell r="AE839">
            <v>0.71</v>
          </cell>
          <cell r="AF839">
            <v>94.97</v>
          </cell>
          <cell r="AG839">
            <v>0</v>
          </cell>
          <cell r="AH839" t="e">
            <v>#DIV/0!</v>
          </cell>
          <cell r="AI839" t="e">
            <v>#DIV/0!</v>
          </cell>
          <cell r="AJ839" t="e">
            <v>#DIV/0!</v>
          </cell>
          <cell r="AK839" t="e">
            <v>#DIV/0!</v>
          </cell>
          <cell r="AL839" t="e">
            <v>#DIV/0!</v>
          </cell>
          <cell r="AM839" t="e">
            <v>#DIV/0!</v>
          </cell>
          <cell r="AN839" t="e">
            <v>#DIV/0!</v>
          </cell>
          <cell r="AO839" t="e">
            <v>#REF!</v>
          </cell>
          <cell r="AP839" t="e">
            <v>#REF!</v>
          </cell>
          <cell r="AQ839" t="e">
            <v>#REF!</v>
          </cell>
          <cell r="AR839" t="e">
            <v>#REF!</v>
          </cell>
          <cell r="AS839" t="e">
            <v>#REF!</v>
          </cell>
          <cell r="AT839" t="e">
            <v>#REF!</v>
          </cell>
          <cell r="AU839" t="e">
            <v>#REF!</v>
          </cell>
          <cell r="AV839" t="e">
            <v>#REF!</v>
          </cell>
          <cell r="AW839" t="e">
            <v>#DIV/0!</v>
          </cell>
          <cell r="AX839" t="e">
            <v>#DIV/0!</v>
          </cell>
          <cell r="AY839" t="e">
            <v>#DIV/0!</v>
          </cell>
          <cell r="AZ839" t="e">
            <v>#DIV/0!</v>
          </cell>
          <cell r="BE839" t="e">
            <v>#DIV/0!</v>
          </cell>
          <cell r="BF839" t="e">
            <v>#DIV/0!</v>
          </cell>
        </row>
        <row r="840">
          <cell r="A840" t="str">
            <v>-0</v>
          </cell>
          <cell r="B840" t="str">
            <v xml:space="preserve">-0  , </v>
          </cell>
          <cell r="C840"/>
          <cell r="D840"/>
          <cell r="E840"/>
          <cell r="F840"/>
          <cell r="G840"/>
          <cell r="H840"/>
          <cell r="I840"/>
          <cell r="J840"/>
          <cell r="K840"/>
          <cell r="L840"/>
          <cell r="M840"/>
          <cell r="N840"/>
          <cell r="O840"/>
          <cell r="P840"/>
          <cell r="Q840"/>
          <cell r="R840"/>
          <cell r="S840"/>
          <cell r="T840"/>
          <cell r="U840"/>
          <cell r="V840"/>
          <cell r="W840"/>
          <cell r="X840">
            <v>0</v>
          </cell>
          <cell r="Y840">
            <v>0</v>
          </cell>
          <cell r="Z840">
            <v>0</v>
          </cell>
          <cell r="AA840" t="str">
            <v>,</v>
          </cell>
          <cell r="AB840" t="str">
            <v>,</v>
          </cell>
          <cell r="AC840" t="e">
            <v>#DIV/0!</v>
          </cell>
          <cell r="AD840" t="e">
            <v>#DIV/0!</v>
          </cell>
          <cell r="AE840">
            <v>0.71</v>
          </cell>
          <cell r="AF840">
            <v>94.97</v>
          </cell>
          <cell r="AG840">
            <v>0</v>
          </cell>
          <cell r="AH840" t="e">
            <v>#DIV/0!</v>
          </cell>
          <cell r="AI840" t="e">
            <v>#DIV/0!</v>
          </cell>
          <cell r="AJ840" t="e">
            <v>#DIV/0!</v>
          </cell>
          <cell r="AK840" t="e">
            <v>#DIV/0!</v>
          </cell>
          <cell r="AL840" t="e">
            <v>#DIV/0!</v>
          </cell>
          <cell r="AM840" t="e">
            <v>#DIV/0!</v>
          </cell>
          <cell r="AN840" t="e">
            <v>#DIV/0!</v>
          </cell>
          <cell r="AO840" t="e">
            <v>#REF!</v>
          </cell>
          <cell r="AP840" t="e">
            <v>#REF!</v>
          </cell>
          <cell r="AQ840" t="e">
            <v>#REF!</v>
          </cell>
          <cell r="AR840" t="e">
            <v>#REF!</v>
          </cell>
          <cell r="AS840" t="e">
            <v>#REF!</v>
          </cell>
          <cell r="AT840" t="e">
            <v>#REF!</v>
          </cell>
          <cell r="AU840" t="e">
            <v>#REF!</v>
          </cell>
          <cell r="AV840" t="e">
            <v>#REF!</v>
          </cell>
          <cell r="AW840" t="e">
            <v>#DIV/0!</v>
          </cell>
          <cell r="AX840" t="e">
            <v>#DIV/0!</v>
          </cell>
          <cell r="AY840" t="e">
            <v>#DIV/0!</v>
          </cell>
          <cell r="AZ840" t="e">
            <v>#DIV/0!</v>
          </cell>
          <cell r="BE840" t="e">
            <v>#DIV/0!</v>
          </cell>
          <cell r="BF840" t="e">
            <v>#DIV/0!</v>
          </cell>
        </row>
        <row r="841">
          <cell r="A841" t="str">
            <v>-0</v>
          </cell>
          <cell r="B841" t="str">
            <v xml:space="preserve">-0  , </v>
          </cell>
          <cell r="C841"/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/>
          <cell r="S841"/>
          <cell r="T841"/>
          <cell r="U841"/>
          <cell r="V841"/>
          <cell r="W841"/>
          <cell r="X841">
            <v>0</v>
          </cell>
          <cell r="Y841">
            <v>0</v>
          </cell>
          <cell r="Z841">
            <v>0</v>
          </cell>
          <cell r="AA841" t="str">
            <v>,</v>
          </cell>
          <cell r="AB841" t="str">
            <v>,</v>
          </cell>
          <cell r="AC841" t="e">
            <v>#DIV/0!</v>
          </cell>
          <cell r="AD841" t="e">
            <v>#DIV/0!</v>
          </cell>
          <cell r="AE841">
            <v>0.71</v>
          </cell>
          <cell r="AF841">
            <v>94.97</v>
          </cell>
          <cell r="AG841">
            <v>0</v>
          </cell>
          <cell r="AH841" t="e">
            <v>#DIV/0!</v>
          </cell>
          <cell r="AI841" t="e">
            <v>#DIV/0!</v>
          </cell>
          <cell r="AJ841" t="e">
            <v>#DIV/0!</v>
          </cell>
          <cell r="AK841" t="e">
            <v>#DIV/0!</v>
          </cell>
          <cell r="AL841" t="e">
            <v>#DIV/0!</v>
          </cell>
          <cell r="AM841" t="e">
            <v>#DIV/0!</v>
          </cell>
          <cell r="AN841" t="e">
            <v>#DIV/0!</v>
          </cell>
          <cell r="AO841" t="e">
            <v>#REF!</v>
          </cell>
          <cell r="AP841" t="e">
            <v>#REF!</v>
          </cell>
          <cell r="AQ841" t="e">
            <v>#REF!</v>
          </cell>
          <cell r="AR841" t="e">
            <v>#REF!</v>
          </cell>
          <cell r="AS841" t="e">
            <v>#REF!</v>
          </cell>
          <cell r="AT841" t="e">
            <v>#REF!</v>
          </cell>
          <cell r="AU841" t="e">
            <v>#REF!</v>
          </cell>
          <cell r="AV841" t="e">
            <v>#REF!</v>
          </cell>
          <cell r="AW841" t="e">
            <v>#DIV/0!</v>
          </cell>
          <cell r="AX841" t="e">
            <v>#DIV/0!</v>
          </cell>
          <cell r="AY841" t="e">
            <v>#DIV/0!</v>
          </cell>
          <cell r="AZ841" t="e">
            <v>#DIV/0!</v>
          </cell>
          <cell r="BE841" t="e">
            <v>#DIV/0!</v>
          </cell>
          <cell r="BF841" t="e">
            <v>#DIV/0!</v>
          </cell>
        </row>
        <row r="842">
          <cell r="A842" t="str">
            <v>-0</v>
          </cell>
          <cell r="B842" t="str">
            <v xml:space="preserve">-0  , </v>
          </cell>
          <cell r="C842"/>
          <cell r="D842"/>
          <cell r="E842"/>
          <cell r="F842"/>
          <cell r="G842"/>
          <cell r="H842"/>
          <cell r="I842"/>
          <cell r="J842"/>
          <cell r="K842"/>
          <cell r="L842"/>
          <cell r="M842"/>
          <cell r="N842"/>
          <cell r="O842"/>
          <cell r="P842"/>
          <cell r="Q842"/>
          <cell r="R842"/>
          <cell r="S842"/>
          <cell r="T842"/>
          <cell r="U842"/>
          <cell r="V842"/>
          <cell r="W842"/>
          <cell r="X842">
            <v>0</v>
          </cell>
          <cell r="Y842">
            <v>0</v>
          </cell>
          <cell r="Z842">
            <v>0</v>
          </cell>
          <cell r="AA842" t="str">
            <v>,</v>
          </cell>
          <cell r="AB842" t="str">
            <v>,</v>
          </cell>
          <cell r="AC842" t="e">
            <v>#DIV/0!</v>
          </cell>
          <cell r="AD842" t="e">
            <v>#DIV/0!</v>
          </cell>
          <cell r="AE842">
            <v>0.71</v>
          </cell>
          <cell r="AF842">
            <v>94.97</v>
          </cell>
          <cell r="AG842">
            <v>0</v>
          </cell>
          <cell r="AH842" t="e">
            <v>#DIV/0!</v>
          </cell>
          <cell r="AI842" t="e">
            <v>#DIV/0!</v>
          </cell>
          <cell r="AJ842" t="e">
            <v>#DIV/0!</v>
          </cell>
          <cell r="AK842" t="e">
            <v>#DIV/0!</v>
          </cell>
          <cell r="AL842" t="e">
            <v>#DIV/0!</v>
          </cell>
          <cell r="AM842" t="e">
            <v>#DIV/0!</v>
          </cell>
          <cell r="AN842" t="e">
            <v>#DIV/0!</v>
          </cell>
          <cell r="AO842" t="e">
            <v>#REF!</v>
          </cell>
          <cell r="AP842" t="e">
            <v>#REF!</v>
          </cell>
          <cell r="AQ842" t="e">
            <v>#REF!</v>
          </cell>
          <cell r="AR842" t="e">
            <v>#REF!</v>
          </cell>
          <cell r="AS842" t="e">
            <v>#REF!</v>
          </cell>
          <cell r="AT842" t="e">
            <v>#REF!</v>
          </cell>
          <cell r="AU842" t="e">
            <v>#REF!</v>
          </cell>
          <cell r="AV842" t="e">
            <v>#REF!</v>
          </cell>
          <cell r="AW842" t="e">
            <v>#DIV/0!</v>
          </cell>
          <cell r="AX842" t="e">
            <v>#DIV/0!</v>
          </cell>
          <cell r="AY842" t="e">
            <v>#DIV/0!</v>
          </cell>
          <cell r="AZ842" t="e">
            <v>#DIV/0!</v>
          </cell>
          <cell r="BE842" t="e">
            <v>#DIV/0!</v>
          </cell>
          <cell r="BF842" t="e">
            <v>#DIV/0!</v>
          </cell>
        </row>
        <row r="843">
          <cell r="A843" t="str">
            <v>-0</v>
          </cell>
          <cell r="B843" t="str">
            <v xml:space="preserve">-0  , </v>
          </cell>
          <cell r="C843"/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/>
          <cell r="S843"/>
          <cell r="T843"/>
          <cell r="U843"/>
          <cell r="V843"/>
          <cell r="W843"/>
          <cell r="X843">
            <v>0</v>
          </cell>
          <cell r="Y843">
            <v>0</v>
          </cell>
          <cell r="Z843">
            <v>0</v>
          </cell>
          <cell r="AA843" t="str">
            <v>,</v>
          </cell>
          <cell r="AB843" t="str">
            <v>,</v>
          </cell>
          <cell r="AC843" t="e">
            <v>#DIV/0!</v>
          </cell>
          <cell r="AD843" t="e">
            <v>#DIV/0!</v>
          </cell>
          <cell r="AE843">
            <v>0.71</v>
          </cell>
          <cell r="AF843">
            <v>94.97</v>
          </cell>
          <cell r="AG843">
            <v>0</v>
          </cell>
          <cell r="AH843" t="e">
            <v>#DIV/0!</v>
          </cell>
          <cell r="AI843" t="e">
            <v>#DIV/0!</v>
          </cell>
          <cell r="AJ843" t="e">
            <v>#DIV/0!</v>
          </cell>
          <cell r="AK843" t="e">
            <v>#DIV/0!</v>
          </cell>
          <cell r="AL843" t="e">
            <v>#DIV/0!</v>
          </cell>
          <cell r="AM843" t="e">
            <v>#DIV/0!</v>
          </cell>
          <cell r="AN843" t="e">
            <v>#DIV/0!</v>
          </cell>
          <cell r="AO843" t="e">
            <v>#REF!</v>
          </cell>
          <cell r="AP843" t="e">
            <v>#REF!</v>
          </cell>
          <cell r="AQ843" t="e">
            <v>#REF!</v>
          </cell>
          <cell r="AR843" t="e">
            <v>#REF!</v>
          </cell>
          <cell r="AS843" t="e">
            <v>#REF!</v>
          </cell>
          <cell r="AT843" t="e">
            <v>#REF!</v>
          </cell>
          <cell r="AU843" t="e">
            <v>#REF!</v>
          </cell>
          <cell r="AV843" t="e">
            <v>#REF!</v>
          </cell>
          <cell r="AW843" t="e">
            <v>#DIV/0!</v>
          </cell>
          <cell r="AX843" t="e">
            <v>#DIV/0!</v>
          </cell>
          <cell r="AY843" t="e">
            <v>#DIV/0!</v>
          </cell>
          <cell r="AZ843" t="e">
            <v>#DIV/0!</v>
          </cell>
          <cell r="BE843" t="e">
            <v>#DIV/0!</v>
          </cell>
          <cell r="BF843" t="e">
            <v>#DIV/0!</v>
          </cell>
        </row>
        <row r="844">
          <cell r="A844" t="str">
            <v>-0</v>
          </cell>
          <cell r="B844" t="str">
            <v xml:space="preserve">-0  , </v>
          </cell>
          <cell r="C844"/>
          <cell r="D844"/>
          <cell r="E844"/>
          <cell r="F844"/>
          <cell r="G844"/>
          <cell r="H844"/>
          <cell r="I844"/>
          <cell r="J844"/>
          <cell r="K844"/>
          <cell r="L844"/>
          <cell r="M844"/>
          <cell r="N844"/>
          <cell r="O844"/>
          <cell r="P844"/>
          <cell r="Q844"/>
          <cell r="R844"/>
          <cell r="S844"/>
          <cell r="T844"/>
          <cell r="U844"/>
          <cell r="V844"/>
          <cell r="W844"/>
          <cell r="X844">
            <v>0</v>
          </cell>
          <cell r="Y844">
            <v>0</v>
          </cell>
          <cell r="Z844">
            <v>0</v>
          </cell>
          <cell r="AA844" t="str">
            <v>,</v>
          </cell>
          <cell r="AB844" t="str">
            <v>,</v>
          </cell>
          <cell r="AC844" t="e">
            <v>#DIV/0!</v>
          </cell>
          <cell r="AD844" t="e">
            <v>#DIV/0!</v>
          </cell>
          <cell r="AE844">
            <v>0.71</v>
          </cell>
          <cell r="AF844">
            <v>94.97</v>
          </cell>
          <cell r="AG844">
            <v>0</v>
          </cell>
          <cell r="AH844" t="e">
            <v>#DIV/0!</v>
          </cell>
          <cell r="AI844" t="e">
            <v>#DIV/0!</v>
          </cell>
          <cell r="AJ844" t="e">
            <v>#DIV/0!</v>
          </cell>
          <cell r="AK844" t="e">
            <v>#DIV/0!</v>
          </cell>
          <cell r="AL844" t="e">
            <v>#DIV/0!</v>
          </cell>
          <cell r="AM844" t="e">
            <v>#DIV/0!</v>
          </cell>
          <cell r="AN844" t="e">
            <v>#DIV/0!</v>
          </cell>
          <cell r="AO844" t="e">
            <v>#REF!</v>
          </cell>
          <cell r="AP844" t="e">
            <v>#REF!</v>
          </cell>
          <cell r="AQ844" t="e">
            <v>#REF!</v>
          </cell>
          <cell r="AR844" t="e">
            <v>#REF!</v>
          </cell>
          <cell r="AS844" t="e">
            <v>#REF!</v>
          </cell>
          <cell r="AT844" t="e">
            <v>#REF!</v>
          </cell>
          <cell r="AU844" t="e">
            <v>#REF!</v>
          </cell>
          <cell r="AV844" t="e">
            <v>#REF!</v>
          </cell>
          <cell r="AW844" t="e">
            <v>#DIV/0!</v>
          </cell>
          <cell r="AX844" t="e">
            <v>#DIV/0!</v>
          </cell>
          <cell r="AY844" t="e">
            <v>#DIV/0!</v>
          </cell>
          <cell r="AZ844" t="e">
            <v>#DIV/0!</v>
          </cell>
          <cell r="BE844" t="e">
            <v>#DIV/0!</v>
          </cell>
          <cell r="BF844" t="e">
            <v>#DIV/0!</v>
          </cell>
        </row>
        <row r="845">
          <cell r="A845" t="str">
            <v>-0</v>
          </cell>
          <cell r="B845" t="str">
            <v xml:space="preserve">-0  , </v>
          </cell>
          <cell r="C845"/>
          <cell r="D845"/>
          <cell r="E845"/>
          <cell r="F845"/>
          <cell r="G845"/>
          <cell r="H845"/>
          <cell r="I845"/>
          <cell r="J845"/>
          <cell r="K845"/>
          <cell r="L845"/>
          <cell r="M845"/>
          <cell r="N845"/>
          <cell r="O845"/>
          <cell r="P845"/>
          <cell r="Q845"/>
          <cell r="R845"/>
          <cell r="S845"/>
          <cell r="T845"/>
          <cell r="U845"/>
          <cell r="V845"/>
          <cell r="W845"/>
          <cell r="X845">
            <v>0</v>
          </cell>
          <cell r="Y845">
            <v>0</v>
          </cell>
          <cell r="Z845">
            <v>0</v>
          </cell>
          <cell r="AA845" t="str">
            <v>,</v>
          </cell>
          <cell r="AB845" t="str">
            <v>,</v>
          </cell>
          <cell r="AC845" t="e">
            <v>#DIV/0!</v>
          </cell>
          <cell r="AD845" t="e">
            <v>#DIV/0!</v>
          </cell>
          <cell r="AE845">
            <v>0.71</v>
          </cell>
          <cell r="AF845">
            <v>94.97</v>
          </cell>
          <cell r="AG845">
            <v>0</v>
          </cell>
          <cell r="AH845" t="e">
            <v>#DIV/0!</v>
          </cell>
          <cell r="AI845" t="e">
            <v>#DIV/0!</v>
          </cell>
          <cell r="AJ845" t="e">
            <v>#DIV/0!</v>
          </cell>
          <cell r="AK845" t="e">
            <v>#DIV/0!</v>
          </cell>
          <cell r="AL845" t="e">
            <v>#DIV/0!</v>
          </cell>
          <cell r="AM845" t="e">
            <v>#DIV/0!</v>
          </cell>
          <cell r="AN845" t="e">
            <v>#DIV/0!</v>
          </cell>
          <cell r="AO845" t="e">
            <v>#REF!</v>
          </cell>
          <cell r="AP845" t="e">
            <v>#REF!</v>
          </cell>
          <cell r="AQ845" t="e">
            <v>#REF!</v>
          </cell>
          <cell r="AR845" t="e">
            <v>#REF!</v>
          </cell>
          <cell r="AS845" t="e">
            <v>#REF!</v>
          </cell>
          <cell r="AT845" t="e">
            <v>#REF!</v>
          </cell>
          <cell r="AU845" t="e">
            <v>#REF!</v>
          </cell>
          <cell r="AV845" t="e">
            <v>#REF!</v>
          </cell>
          <cell r="AW845" t="e">
            <v>#DIV/0!</v>
          </cell>
          <cell r="AX845" t="e">
            <v>#DIV/0!</v>
          </cell>
          <cell r="AY845" t="e">
            <v>#DIV/0!</v>
          </cell>
          <cell r="AZ845" t="e">
            <v>#DIV/0!</v>
          </cell>
          <cell r="BE845" t="e">
            <v>#DIV/0!</v>
          </cell>
          <cell r="BF845" t="e">
            <v>#DIV/0!</v>
          </cell>
        </row>
        <row r="846">
          <cell r="A846" t="str">
            <v>-0</v>
          </cell>
          <cell r="B846" t="str">
            <v xml:space="preserve">-0  , </v>
          </cell>
          <cell r="C846"/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/>
          <cell r="S846"/>
          <cell r="T846"/>
          <cell r="U846"/>
          <cell r="V846"/>
          <cell r="W846"/>
          <cell r="X846">
            <v>0</v>
          </cell>
          <cell r="Y846">
            <v>0</v>
          </cell>
          <cell r="Z846">
            <v>0</v>
          </cell>
          <cell r="AA846" t="str">
            <v>,</v>
          </cell>
          <cell r="AB846" t="str">
            <v>,</v>
          </cell>
          <cell r="AC846" t="e">
            <v>#DIV/0!</v>
          </cell>
          <cell r="AD846" t="e">
            <v>#DIV/0!</v>
          </cell>
          <cell r="AE846">
            <v>0.71</v>
          </cell>
          <cell r="AF846">
            <v>94.97</v>
          </cell>
          <cell r="AG846">
            <v>0</v>
          </cell>
          <cell r="AH846" t="e">
            <v>#DIV/0!</v>
          </cell>
          <cell r="AI846" t="e">
            <v>#DIV/0!</v>
          </cell>
          <cell r="AJ846" t="e">
            <v>#DIV/0!</v>
          </cell>
          <cell r="AK846" t="e">
            <v>#DIV/0!</v>
          </cell>
          <cell r="AL846" t="e">
            <v>#DIV/0!</v>
          </cell>
          <cell r="AM846" t="e">
            <v>#DIV/0!</v>
          </cell>
          <cell r="AN846" t="e">
            <v>#DIV/0!</v>
          </cell>
          <cell r="AO846" t="e">
            <v>#REF!</v>
          </cell>
          <cell r="AP846" t="e">
            <v>#REF!</v>
          </cell>
          <cell r="AQ846" t="e">
            <v>#REF!</v>
          </cell>
          <cell r="AR846" t="e">
            <v>#REF!</v>
          </cell>
          <cell r="AS846" t="e">
            <v>#REF!</v>
          </cell>
          <cell r="AT846" t="e">
            <v>#REF!</v>
          </cell>
          <cell r="AU846" t="e">
            <v>#REF!</v>
          </cell>
          <cell r="AV846" t="e">
            <v>#REF!</v>
          </cell>
          <cell r="AW846" t="e">
            <v>#DIV/0!</v>
          </cell>
          <cell r="AX846" t="e">
            <v>#DIV/0!</v>
          </cell>
          <cell r="AY846" t="e">
            <v>#DIV/0!</v>
          </cell>
          <cell r="AZ846" t="e">
            <v>#DIV/0!</v>
          </cell>
          <cell r="BE846" t="e">
            <v>#DIV/0!</v>
          </cell>
          <cell r="BF846" t="e">
            <v>#DIV/0!</v>
          </cell>
        </row>
        <row r="847">
          <cell r="A847" t="str">
            <v>-0</v>
          </cell>
          <cell r="B847" t="str">
            <v xml:space="preserve">-0  , </v>
          </cell>
          <cell r="C847"/>
          <cell r="D847"/>
          <cell r="E847"/>
          <cell r="F847"/>
          <cell r="G847"/>
          <cell r="H847"/>
          <cell r="I847"/>
          <cell r="J847"/>
          <cell r="K847"/>
          <cell r="L847"/>
          <cell r="M847"/>
          <cell r="N847"/>
          <cell r="O847"/>
          <cell r="P847"/>
          <cell r="Q847"/>
          <cell r="R847"/>
          <cell r="S847"/>
          <cell r="T847"/>
          <cell r="U847"/>
          <cell r="V847"/>
          <cell r="W847"/>
          <cell r="X847">
            <v>0</v>
          </cell>
          <cell r="Y847">
            <v>0</v>
          </cell>
          <cell r="Z847">
            <v>0</v>
          </cell>
          <cell r="AA847" t="str">
            <v>,</v>
          </cell>
          <cell r="AB847" t="str">
            <v>,</v>
          </cell>
          <cell r="AC847" t="e">
            <v>#DIV/0!</v>
          </cell>
          <cell r="AD847" t="e">
            <v>#DIV/0!</v>
          </cell>
          <cell r="AE847">
            <v>0.71</v>
          </cell>
          <cell r="AF847">
            <v>94.97</v>
          </cell>
          <cell r="AG847">
            <v>0</v>
          </cell>
          <cell r="AH847" t="e">
            <v>#DIV/0!</v>
          </cell>
          <cell r="AI847" t="e">
            <v>#DIV/0!</v>
          </cell>
          <cell r="AJ847" t="e">
            <v>#DIV/0!</v>
          </cell>
          <cell r="AK847" t="e">
            <v>#DIV/0!</v>
          </cell>
          <cell r="AL847" t="e">
            <v>#DIV/0!</v>
          </cell>
          <cell r="AM847" t="e">
            <v>#DIV/0!</v>
          </cell>
          <cell r="AN847" t="e">
            <v>#DIV/0!</v>
          </cell>
          <cell r="AO847" t="e">
            <v>#REF!</v>
          </cell>
          <cell r="AP847" t="e">
            <v>#REF!</v>
          </cell>
          <cell r="AQ847" t="e">
            <v>#REF!</v>
          </cell>
          <cell r="AR847" t="e">
            <v>#REF!</v>
          </cell>
          <cell r="AS847" t="e">
            <v>#REF!</v>
          </cell>
          <cell r="AT847" t="e">
            <v>#REF!</v>
          </cell>
          <cell r="AU847" t="e">
            <v>#REF!</v>
          </cell>
          <cell r="AV847" t="e">
            <v>#REF!</v>
          </cell>
          <cell r="AW847" t="e">
            <v>#DIV/0!</v>
          </cell>
          <cell r="AX847" t="e">
            <v>#DIV/0!</v>
          </cell>
          <cell r="AY847" t="e">
            <v>#DIV/0!</v>
          </cell>
          <cell r="AZ847" t="e">
            <v>#DIV/0!</v>
          </cell>
          <cell r="BE847" t="e">
            <v>#DIV/0!</v>
          </cell>
          <cell r="BF847" t="e">
            <v>#DIV/0!</v>
          </cell>
        </row>
        <row r="848">
          <cell r="A848" t="str">
            <v>-0</v>
          </cell>
          <cell r="B848" t="str">
            <v xml:space="preserve">-0  , </v>
          </cell>
          <cell r="C848"/>
          <cell r="D848"/>
          <cell r="E848"/>
          <cell r="F848"/>
          <cell r="G848"/>
          <cell r="H848"/>
          <cell r="I848"/>
          <cell r="J848"/>
          <cell r="K848"/>
          <cell r="L848"/>
          <cell r="M848"/>
          <cell r="N848"/>
          <cell r="O848"/>
          <cell r="P848"/>
          <cell r="Q848"/>
          <cell r="R848"/>
          <cell r="S848"/>
          <cell r="T848"/>
          <cell r="U848"/>
          <cell r="V848"/>
          <cell r="W848"/>
          <cell r="X848">
            <v>0</v>
          </cell>
          <cell r="Y848">
            <v>0</v>
          </cell>
          <cell r="Z848">
            <v>0</v>
          </cell>
          <cell r="AA848" t="str">
            <v>,</v>
          </cell>
          <cell r="AB848" t="str">
            <v>,</v>
          </cell>
          <cell r="AC848" t="e">
            <v>#DIV/0!</v>
          </cell>
          <cell r="AD848" t="e">
            <v>#DIV/0!</v>
          </cell>
          <cell r="AE848">
            <v>0.71</v>
          </cell>
          <cell r="AF848">
            <v>94.97</v>
          </cell>
          <cell r="AG848">
            <v>0</v>
          </cell>
          <cell r="AH848" t="e">
            <v>#DIV/0!</v>
          </cell>
          <cell r="AI848" t="e">
            <v>#DIV/0!</v>
          </cell>
          <cell r="AJ848" t="e">
            <v>#DIV/0!</v>
          </cell>
          <cell r="AK848" t="e">
            <v>#DIV/0!</v>
          </cell>
          <cell r="AL848" t="e">
            <v>#DIV/0!</v>
          </cell>
          <cell r="AM848" t="e">
            <v>#DIV/0!</v>
          </cell>
          <cell r="AN848" t="e">
            <v>#DIV/0!</v>
          </cell>
          <cell r="AO848" t="e">
            <v>#REF!</v>
          </cell>
          <cell r="AP848" t="e">
            <v>#REF!</v>
          </cell>
          <cell r="AQ848" t="e">
            <v>#REF!</v>
          </cell>
          <cell r="AR848" t="e">
            <v>#REF!</v>
          </cell>
          <cell r="AS848" t="e">
            <v>#REF!</v>
          </cell>
          <cell r="AT848" t="e">
            <v>#REF!</v>
          </cell>
          <cell r="AU848" t="e">
            <v>#REF!</v>
          </cell>
          <cell r="AV848" t="e">
            <v>#REF!</v>
          </cell>
          <cell r="AW848" t="e">
            <v>#DIV/0!</v>
          </cell>
          <cell r="AX848" t="e">
            <v>#DIV/0!</v>
          </cell>
          <cell r="AY848" t="e">
            <v>#DIV/0!</v>
          </cell>
          <cell r="AZ848" t="e">
            <v>#DIV/0!</v>
          </cell>
          <cell r="BE848" t="e">
            <v>#DIV/0!</v>
          </cell>
          <cell r="BF848" t="e">
            <v>#DIV/0!</v>
          </cell>
        </row>
        <row r="849">
          <cell r="A849" t="str">
            <v>-0</v>
          </cell>
          <cell r="B849" t="str">
            <v xml:space="preserve">-0  , </v>
          </cell>
          <cell r="C849"/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/>
          <cell r="S849"/>
          <cell r="T849"/>
          <cell r="U849"/>
          <cell r="V849"/>
          <cell r="W849"/>
          <cell r="X849">
            <v>0</v>
          </cell>
          <cell r="Y849">
            <v>0</v>
          </cell>
          <cell r="Z849">
            <v>0</v>
          </cell>
          <cell r="AA849" t="str">
            <v>,</v>
          </cell>
          <cell r="AB849" t="str">
            <v>,</v>
          </cell>
          <cell r="AC849" t="e">
            <v>#DIV/0!</v>
          </cell>
          <cell r="AD849" t="e">
            <v>#DIV/0!</v>
          </cell>
          <cell r="AE849">
            <v>0.71</v>
          </cell>
          <cell r="AF849">
            <v>94.97</v>
          </cell>
          <cell r="AG849">
            <v>0</v>
          </cell>
          <cell r="AH849" t="e">
            <v>#DIV/0!</v>
          </cell>
          <cell r="AI849" t="e">
            <v>#DIV/0!</v>
          </cell>
          <cell r="AJ849" t="e">
            <v>#DIV/0!</v>
          </cell>
          <cell r="AK849" t="e">
            <v>#DIV/0!</v>
          </cell>
          <cell r="AL849" t="e">
            <v>#DIV/0!</v>
          </cell>
          <cell r="AM849" t="e">
            <v>#DIV/0!</v>
          </cell>
          <cell r="AN849" t="e">
            <v>#DIV/0!</v>
          </cell>
          <cell r="AO849" t="e">
            <v>#REF!</v>
          </cell>
          <cell r="AP849" t="e">
            <v>#REF!</v>
          </cell>
          <cell r="AQ849" t="e">
            <v>#REF!</v>
          </cell>
          <cell r="AR849" t="e">
            <v>#REF!</v>
          </cell>
          <cell r="AS849" t="e">
            <v>#REF!</v>
          </cell>
          <cell r="AT849" t="e">
            <v>#REF!</v>
          </cell>
          <cell r="AU849" t="e">
            <v>#REF!</v>
          </cell>
          <cell r="AV849" t="e">
            <v>#REF!</v>
          </cell>
          <cell r="AW849" t="e">
            <v>#DIV/0!</v>
          </cell>
          <cell r="AX849" t="e">
            <v>#DIV/0!</v>
          </cell>
          <cell r="AY849" t="e">
            <v>#DIV/0!</v>
          </cell>
          <cell r="AZ849" t="e">
            <v>#DIV/0!</v>
          </cell>
          <cell r="BE849" t="e">
            <v>#DIV/0!</v>
          </cell>
          <cell r="BF849" t="e">
            <v>#DIV/0!</v>
          </cell>
        </row>
        <row r="850">
          <cell r="A850" t="str">
            <v>-0</v>
          </cell>
          <cell r="B850" t="str">
            <v xml:space="preserve">-0  , </v>
          </cell>
          <cell r="C850"/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/>
          <cell r="S850"/>
          <cell r="T850"/>
          <cell r="U850"/>
          <cell r="V850"/>
          <cell r="W850"/>
          <cell r="X850">
            <v>0</v>
          </cell>
          <cell r="Y850">
            <v>0</v>
          </cell>
          <cell r="Z850">
            <v>0</v>
          </cell>
          <cell r="AA850" t="str">
            <v>,</v>
          </cell>
          <cell r="AB850" t="str">
            <v>,</v>
          </cell>
          <cell r="AC850" t="e">
            <v>#DIV/0!</v>
          </cell>
          <cell r="AD850" t="e">
            <v>#DIV/0!</v>
          </cell>
          <cell r="AE850">
            <v>0.71</v>
          </cell>
          <cell r="AF850">
            <v>94.97</v>
          </cell>
          <cell r="AG850">
            <v>0</v>
          </cell>
          <cell r="AH850" t="e">
            <v>#DIV/0!</v>
          </cell>
          <cell r="AI850" t="e">
            <v>#DIV/0!</v>
          </cell>
          <cell r="AJ850" t="e">
            <v>#DIV/0!</v>
          </cell>
          <cell r="AK850" t="e">
            <v>#DIV/0!</v>
          </cell>
          <cell r="AL850" t="e">
            <v>#DIV/0!</v>
          </cell>
          <cell r="AM850" t="e">
            <v>#DIV/0!</v>
          </cell>
          <cell r="AN850" t="e">
            <v>#DIV/0!</v>
          </cell>
          <cell r="AO850" t="e">
            <v>#REF!</v>
          </cell>
          <cell r="AP850" t="e">
            <v>#REF!</v>
          </cell>
          <cell r="AQ850" t="e">
            <v>#REF!</v>
          </cell>
          <cell r="AR850" t="e">
            <v>#REF!</v>
          </cell>
          <cell r="AS850" t="e">
            <v>#REF!</v>
          </cell>
          <cell r="AT850" t="e">
            <v>#REF!</v>
          </cell>
          <cell r="AU850" t="e">
            <v>#REF!</v>
          </cell>
          <cell r="AV850" t="e">
            <v>#REF!</v>
          </cell>
          <cell r="AW850" t="e">
            <v>#DIV/0!</v>
          </cell>
          <cell r="AX850" t="e">
            <v>#DIV/0!</v>
          </cell>
          <cell r="AY850" t="e">
            <v>#DIV/0!</v>
          </cell>
          <cell r="AZ850" t="e">
            <v>#DIV/0!</v>
          </cell>
          <cell r="BE850" t="e">
            <v>#DIV/0!</v>
          </cell>
          <cell r="BF850" t="e">
            <v>#DIV/0!</v>
          </cell>
        </row>
        <row r="851">
          <cell r="A851" t="str">
            <v>-0</v>
          </cell>
          <cell r="B851" t="str">
            <v xml:space="preserve">-0  , </v>
          </cell>
          <cell r="C851"/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/>
          <cell r="S851"/>
          <cell r="T851"/>
          <cell r="U851"/>
          <cell r="V851"/>
          <cell r="W851"/>
          <cell r="X851">
            <v>0</v>
          </cell>
          <cell r="Y851">
            <v>0</v>
          </cell>
          <cell r="Z851">
            <v>0</v>
          </cell>
          <cell r="AA851" t="str">
            <v>,</v>
          </cell>
          <cell r="AB851" t="str">
            <v>,</v>
          </cell>
          <cell r="AC851" t="e">
            <v>#DIV/0!</v>
          </cell>
          <cell r="AD851" t="e">
            <v>#DIV/0!</v>
          </cell>
          <cell r="AE851">
            <v>0.71</v>
          </cell>
          <cell r="AF851">
            <v>94.97</v>
          </cell>
          <cell r="AG851">
            <v>0</v>
          </cell>
          <cell r="AH851" t="e">
            <v>#DIV/0!</v>
          </cell>
          <cell r="AI851" t="e">
            <v>#DIV/0!</v>
          </cell>
          <cell r="AJ851" t="e">
            <v>#DIV/0!</v>
          </cell>
          <cell r="AK851" t="e">
            <v>#DIV/0!</v>
          </cell>
          <cell r="AL851" t="e">
            <v>#DIV/0!</v>
          </cell>
          <cell r="AM851" t="e">
            <v>#DIV/0!</v>
          </cell>
          <cell r="AN851" t="e">
            <v>#DIV/0!</v>
          </cell>
          <cell r="AO851" t="e">
            <v>#REF!</v>
          </cell>
          <cell r="AP851" t="e">
            <v>#REF!</v>
          </cell>
          <cell r="AQ851" t="e">
            <v>#REF!</v>
          </cell>
          <cell r="AR851" t="e">
            <v>#REF!</v>
          </cell>
          <cell r="AS851" t="e">
            <v>#REF!</v>
          </cell>
          <cell r="AT851" t="e">
            <v>#REF!</v>
          </cell>
          <cell r="AU851" t="e">
            <v>#REF!</v>
          </cell>
          <cell r="AV851" t="e">
            <v>#REF!</v>
          </cell>
          <cell r="AW851" t="e">
            <v>#DIV/0!</v>
          </cell>
          <cell r="AX851" t="e">
            <v>#DIV/0!</v>
          </cell>
          <cell r="AY851" t="e">
            <v>#DIV/0!</v>
          </cell>
          <cell r="AZ851" t="e">
            <v>#DIV/0!</v>
          </cell>
          <cell r="BE851" t="e">
            <v>#DIV/0!</v>
          </cell>
          <cell r="BF851" t="e">
            <v>#DIV/0!</v>
          </cell>
        </row>
        <row r="852">
          <cell r="A852" t="str">
            <v>-0</v>
          </cell>
          <cell r="B852" t="str">
            <v xml:space="preserve">-0  , </v>
          </cell>
          <cell r="C852"/>
          <cell r="D852"/>
          <cell r="E852"/>
          <cell r="F852"/>
          <cell r="G852"/>
          <cell r="H852"/>
          <cell r="I852"/>
          <cell r="J852"/>
          <cell r="K852"/>
          <cell r="L852"/>
          <cell r="M852"/>
          <cell r="N852"/>
          <cell r="O852"/>
          <cell r="P852"/>
          <cell r="Q852"/>
          <cell r="R852"/>
          <cell r="S852"/>
          <cell r="T852"/>
          <cell r="U852"/>
          <cell r="V852"/>
          <cell r="W852"/>
          <cell r="X852">
            <v>0</v>
          </cell>
          <cell r="Y852">
            <v>0</v>
          </cell>
          <cell r="Z852">
            <v>0</v>
          </cell>
          <cell r="AA852" t="str">
            <v>,</v>
          </cell>
          <cell r="AB852" t="str">
            <v>,</v>
          </cell>
          <cell r="AC852" t="e">
            <v>#DIV/0!</v>
          </cell>
          <cell r="AD852" t="e">
            <v>#DIV/0!</v>
          </cell>
          <cell r="AE852">
            <v>0.71</v>
          </cell>
          <cell r="AF852">
            <v>94.97</v>
          </cell>
          <cell r="AG852">
            <v>0</v>
          </cell>
          <cell r="AH852" t="e">
            <v>#DIV/0!</v>
          </cell>
          <cell r="AI852" t="e">
            <v>#DIV/0!</v>
          </cell>
          <cell r="AJ852" t="e">
            <v>#DIV/0!</v>
          </cell>
          <cell r="AK852" t="e">
            <v>#DIV/0!</v>
          </cell>
          <cell r="AL852" t="e">
            <v>#DIV/0!</v>
          </cell>
          <cell r="AM852" t="e">
            <v>#DIV/0!</v>
          </cell>
          <cell r="AN852" t="e">
            <v>#DIV/0!</v>
          </cell>
          <cell r="AO852" t="e">
            <v>#REF!</v>
          </cell>
          <cell r="AP852" t="e">
            <v>#REF!</v>
          </cell>
          <cell r="AQ852" t="e">
            <v>#REF!</v>
          </cell>
          <cell r="AR852" t="e">
            <v>#REF!</v>
          </cell>
          <cell r="AS852" t="e">
            <v>#REF!</v>
          </cell>
          <cell r="AT852" t="e">
            <v>#REF!</v>
          </cell>
          <cell r="AU852" t="e">
            <v>#REF!</v>
          </cell>
          <cell r="AV852" t="e">
            <v>#REF!</v>
          </cell>
          <cell r="AW852" t="e">
            <v>#DIV/0!</v>
          </cell>
          <cell r="AX852" t="e">
            <v>#DIV/0!</v>
          </cell>
          <cell r="AY852" t="e">
            <v>#DIV/0!</v>
          </cell>
          <cell r="AZ852" t="e">
            <v>#DIV/0!</v>
          </cell>
          <cell r="BE852" t="e">
            <v>#DIV/0!</v>
          </cell>
          <cell r="BF852" t="e">
            <v>#DIV/0!</v>
          </cell>
        </row>
        <row r="853">
          <cell r="A853" t="str">
            <v>-0</v>
          </cell>
          <cell r="B853" t="str">
            <v xml:space="preserve">-0  , </v>
          </cell>
          <cell r="C853"/>
          <cell r="D853"/>
          <cell r="E853"/>
          <cell r="F853"/>
          <cell r="G853"/>
          <cell r="H853"/>
          <cell r="I853"/>
          <cell r="J853"/>
          <cell r="K853"/>
          <cell r="L853"/>
          <cell r="M853"/>
          <cell r="N853"/>
          <cell r="O853"/>
          <cell r="P853"/>
          <cell r="Q853"/>
          <cell r="R853"/>
          <cell r="S853"/>
          <cell r="T853"/>
          <cell r="U853"/>
          <cell r="V853"/>
          <cell r="W853"/>
          <cell r="X853">
            <v>0</v>
          </cell>
          <cell r="Y853">
            <v>0</v>
          </cell>
          <cell r="Z853">
            <v>0</v>
          </cell>
          <cell r="AA853" t="str">
            <v>,</v>
          </cell>
          <cell r="AB853" t="str">
            <v>,</v>
          </cell>
          <cell r="AC853" t="e">
            <v>#DIV/0!</v>
          </cell>
          <cell r="AD853" t="e">
            <v>#DIV/0!</v>
          </cell>
          <cell r="AE853">
            <v>0.71</v>
          </cell>
          <cell r="AF853">
            <v>94.97</v>
          </cell>
          <cell r="AG853">
            <v>0</v>
          </cell>
          <cell r="AH853" t="e">
            <v>#DIV/0!</v>
          </cell>
          <cell r="AI853" t="e">
            <v>#DIV/0!</v>
          </cell>
          <cell r="AJ853" t="e">
            <v>#DIV/0!</v>
          </cell>
          <cell r="AK853" t="e">
            <v>#DIV/0!</v>
          </cell>
          <cell r="AL853" t="e">
            <v>#DIV/0!</v>
          </cell>
          <cell r="AM853" t="e">
            <v>#DIV/0!</v>
          </cell>
          <cell r="AN853" t="e">
            <v>#DIV/0!</v>
          </cell>
          <cell r="AO853" t="e">
            <v>#REF!</v>
          </cell>
          <cell r="AP853" t="e">
            <v>#REF!</v>
          </cell>
          <cell r="AQ853" t="e">
            <v>#REF!</v>
          </cell>
          <cell r="AR853" t="e">
            <v>#REF!</v>
          </cell>
          <cell r="AS853" t="e">
            <v>#REF!</v>
          </cell>
          <cell r="AT853" t="e">
            <v>#REF!</v>
          </cell>
          <cell r="AU853" t="e">
            <v>#REF!</v>
          </cell>
          <cell r="AV853" t="e">
            <v>#REF!</v>
          </cell>
          <cell r="AW853" t="e">
            <v>#DIV/0!</v>
          </cell>
          <cell r="AX853" t="e">
            <v>#DIV/0!</v>
          </cell>
          <cell r="AY853" t="e">
            <v>#DIV/0!</v>
          </cell>
          <cell r="AZ853" t="e">
            <v>#DIV/0!</v>
          </cell>
          <cell r="BE853" t="e">
            <v>#DIV/0!</v>
          </cell>
          <cell r="BF853" t="e">
            <v>#DIV/0!</v>
          </cell>
        </row>
        <row r="854">
          <cell r="A854" t="str">
            <v>-0</v>
          </cell>
          <cell r="B854" t="str">
            <v xml:space="preserve">-0  , </v>
          </cell>
          <cell r="C854"/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/>
          <cell r="S854"/>
          <cell r="T854"/>
          <cell r="U854"/>
          <cell r="V854"/>
          <cell r="W854"/>
          <cell r="X854">
            <v>0</v>
          </cell>
          <cell r="Y854">
            <v>0</v>
          </cell>
          <cell r="Z854">
            <v>0</v>
          </cell>
          <cell r="AA854" t="str">
            <v>,</v>
          </cell>
          <cell r="AB854" t="str">
            <v>,</v>
          </cell>
          <cell r="AC854" t="e">
            <v>#DIV/0!</v>
          </cell>
          <cell r="AD854" t="e">
            <v>#DIV/0!</v>
          </cell>
          <cell r="AE854">
            <v>0.71</v>
          </cell>
          <cell r="AF854">
            <v>94.97</v>
          </cell>
          <cell r="AG854">
            <v>0</v>
          </cell>
          <cell r="AH854" t="e">
            <v>#DIV/0!</v>
          </cell>
          <cell r="AI854" t="e">
            <v>#DIV/0!</v>
          </cell>
          <cell r="AJ854" t="e">
            <v>#DIV/0!</v>
          </cell>
          <cell r="AK854" t="e">
            <v>#DIV/0!</v>
          </cell>
          <cell r="AL854" t="e">
            <v>#DIV/0!</v>
          </cell>
          <cell r="AM854" t="e">
            <v>#DIV/0!</v>
          </cell>
          <cell r="AN854" t="e">
            <v>#DIV/0!</v>
          </cell>
          <cell r="AO854" t="e">
            <v>#REF!</v>
          </cell>
          <cell r="AP854" t="e">
            <v>#REF!</v>
          </cell>
          <cell r="AQ854" t="e">
            <v>#REF!</v>
          </cell>
          <cell r="AR854" t="e">
            <v>#REF!</v>
          </cell>
          <cell r="AS854" t="e">
            <v>#REF!</v>
          </cell>
          <cell r="AT854" t="e">
            <v>#REF!</v>
          </cell>
          <cell r="AU854" t="e">
            <v>#REF!</v>
          </cell>
          <cell r="AV854" t="e">
            <v>#REF!</v>
          </cell>
          <cell r="AW854" t="e">
            <v>#DIV/0!</v>
          </cell>
          <cell r="AX854" t="e">
            <v>#DIV/0!</v>
          </cell>
          <cell r="AY854" t="e">
            <v>#DIV/0!</v>
          </cell>
          <cell r="AZ854" t="e">
            <v>#DIV/0!</v>
          </cell>
          <cell r="BE854" t="e">
            <v>#DIV/0!</v>
          </cell>
          <cell r="BF854" t="e">
            <v>#DIV/0!</v>
          </cell>
        </row>
        <row r="855">
          <cell r="A855" t="str">
            <v>-0</v>
          </cell>
          <cell r="B855" t="str">
            <v xml:space="preserve">-0  , </v>
          </cell>
          <cell r="C855"/>
          <cell r="D855"/>
          <cell r="E855"/>
          <cell r="F855"/>
          <cell r="G855"/>
          <cell r="H855"/>
          <cell r="I855"/>
          <cell r="J855"/>
          <cell r="K855"/>
          <cell r="L855"/>
          <cell r="M855"/>
          <cell r="N855"/>
          <cell r="O855"/>
          <cell r="P855"/>
          <cell r="Q855"/>
          <cell r="R855"/>
          <cell r="S855"/>
          <cell r="T855"/>
          <cell r="U855"/>
          <cell r="V855"/>
          <cell r="W855"/>
          <cell r="X855">
            <v>0</v>
          </cell>
          <cell r="Y855">
            <v>0</v>
          </cell>
          <cell r="Z855">
            <v>0</v>
          </cell>
          <cell r="AA855" t="str">
            <v>,</v>
          </cell>
          <cell r="AB855" t="str">
            <v>,</v>
          </cell>
          <cell r="AC855" t="e">
            <v>#DIV/0!</v>
          </cell>
          <cell r="AD855" t="e">
            <v>#DIV/0!</v>
          </cell>
          <cell r="AE855">
            <v>0.71</v>
          </cell>
          <cell r="AF855">
            <v>94.97</v>
          </cell>
          <cell r="AG855">
            <v>0</v>
          </cell>
          <cell r="AH855" t="e">
            <v>#DIV/0!</v>
          </cell>
          <cell r="AI855" t="e">
            <v>#DIV/0!</v>
          </cell>
          <cell r="AJ855" t="e">
            <v>#DIV/0!</v>
          </cell>
          <cell r="AK855" t="e">
            <v>#DIV/0!</v>
          </cell>
          <cell r="AL855" t="e">
            <v>#DIV/0!</v>
          </cell>
          <cell r="AM855" t="e">
            <v>#DIV/0!</v>
          </cell>
          <cell r="AN855" t="e">
            <v>#DIV/0!</v>
          </cell>
          <cell r="AO855" t="e">
            <v>#REF!</v>
          </cell>
          <cell r="AP855" t="e">
            <v>#REF!</v>
          </cell>
          <cell r="AQ855" t="e">
            <v>#REF!</v>
          </cell>
          <cell r="AR855" t="e">
            <v>#REF!</v>
          </cell>
          <cell r="AS855" t="e">
            <v>#REF!</v>
          </cell>
          <cell r="AT855" t="e">
            <v>#REF!</v>
          </cell>
          <cell r="AU855" t="e">
            <v>#REF!</v>
          </cell>
          <cell r="AV855" t="e">
            <v>#REF!</v>
          </cell>
          <cell r="AW855" t="e">
            <v>#DIV/0!</v>
          </cell>
          <cell r="AX855" t="e">
            <v>#DIV/0!</v>
          </cell>
          <cell r="AY855" t="e">
            <v>#DIV/0!</v>
          </cell>
          <cell r="AZ855" t="e">
            <v>#DIV/0!</v>
          </cell>
          <cell r="BE855" t="e">
            <v>#DIV/0!</v>
          </cell>
          <cell r="BF855" t="e">
            <v>#DIV/0!</v>
          </cell>
        </row>
        <row r="856">
          <cell r="A856" t="str">
            <v>-0</v>
          </cell>
          <cell r="B856" t="str">
            <v xml:space="preserve">-0  , </v>
          </cell>
          <cell r="C856"/>
          <cell r="D856"/>
          <cell r="E856"/>
          <cell r="F856"/>
          <cell r="G856"/>
          <cell r="H856"/>
          <cell r="I856"/>
          <cell r="J856"/>
          <cell r="K856"/>
          <cell r="L856"/>
          <cell r="M856"/>
          <cell r="N856"/>
          <cell r="O856"/>
          <cell r="P856"/>
          <cell r="Q856"/>
          <cell r="R856"/>
          <cell r="S856"/>
          <cell r="T856"/>
          <cell r="U856"/>
          <cell r="V856"/>
          <cell r="W856"/>
          <cell r="X856">
            <v>0</v>
          </cell>
          <cell r="Y856">
            <v>0</v>
          </cell>
          <cell r="Z856">
            <v>0</v>
          </cell>
          <cell r="AA856" t="str">
            <v>,</v>
          </cell>
          <cell r="AB856" t="str">
            <v>,</v>
          </cell>
          <cell r="AC856" t="e">
            <v>#DIV/0!</v>
          </cell>
          <cell r="AD856" t="e">
            <v>#DIV/0!</v>
          </cell>
          <cell r="AE856">
            <v>0.71</v>
          </cell>
          <cell r="AF856">
            <v>94.97</v>
          </cell>
          <cell r="AG856">
            <v>0</v>
          </cell>
          <cell r="AH856" t="e">
            <v>#DIV/0!</v>
          </cell>
          <cell r="AI856" t="e">
            <v>#DIV/0!</v>
          </cell>
          <cell r="AJ856" t="e">
            <v>#DIV/0!</v>
          </cell>
          <cell r="AK856" t="e">
            <v>#DIV/0!</v>
          </cell>
          <cell r="AL856" t="e">
            <v>#DIV/0!</v>
          </cell>
          <cell r="AM856" t="e">
            <v>#DIV/0!</v>
          </cell>
          <cell r="AN856" t="e">
            <v>#DIV/0!</v>
          </cell>
          <cell r="AO856" t="e">
            <v>#REF!</v>
          </cell>
          <cell r="AP856" t="e">
            <v>#REF!</v>
          </cell>
          <cell r="AQ856" t="e">
            <v>#REF!</v>
          </cell>
          <cell r="AR856" t="e">
            <v>#REF!</v>
          </cell>
          <cell r="AS856" t="e">
            <v>#REF!</v>
          </cell>
          <cell r="AT856" t="e">
            <v>#REF!</v>
          </cell>
          <cell r="AU856" t="e">
            <v>#REF!</v>
          </cell>
          <cell r="AV856" t="e">
            <v>#REF!</v>
          </cell>
          <cell r="AW856" t="e">
            <v>#DIV/0!</v>
          </cell>
          <cell r="AX856" t="e">
            <v>#DIV/0!</v>
          </cell>
          <cell r="AY856" t="e">
            <v>#DIV/0!</v>
          </cell>
          <cell r="AZ856" t="e">
            <v>#DIV/0!</v>
          </cell>
          <cell r="BE856" t="e">
            <v>#DIV/0!</v>
          </cell>
          <cell r="BF856" t="e">
            <v>#DIV/0!</v>
          </cell>
        </row>
        <row r="857">
          <cell r="A857" t="str">
            <v>-0</v>
          </cell>
          <cell r="B857" t="str">
            <v xml:space="preserve">-0  , </v>
          </cell>
          <cell r="C857"/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/>
          <cell r="S857"/>
          <cell r="T857"/>
          <cell r="U857"/>
          <cell r="V857"/>
          <cell r="W857"/>
          <cell r="X857">
            <v>0</v>
          </cell>
          <cell r="Y857">
            <v>0</v>
          </cell>
          <cell r="Z857">
            <v>0</v>
          </cell>
          <cell r="AA857" t="str">
            <v>,</v>
          </cell>
          <cell r="AB857" t="str">
            <v>,</v>
          </cell>
          <cell r="AC857" t="e">
            <v>#DIV/0!</v>
          </cell>
          <cell r="AD857" t="e">
            <v>#DIV/0!</v>
          </cell>
          <cell r="AE857">
            <v>0.71</v>
          </cell>
          <cell r="AF857">
            <v>94.97</v>
          </cell>
          <cell r="AG857">
            <v>0</v>
          </cell>
          <cell r="AH857" t="e">
            <v>#DIV/0!</v>
          </cell>
          <cell r="AI857" t="e">
            <v>#DIV/0!</v>
          </cell>
          <cell r="AJ857" t="e">
            <v>#DIV/0!</v>
          </cell>
          <cell r="AK857" t="e">
            <v>#DIV/0!</v>
          </cell>
          <cell r="AL857" t="e">
            <v>#DIV/0!</v>
          </cell>
          <cell r="AM857" t="e">
            <v>#DIV/0!</v>
          </cell>
          <cell r="AN857" t="e">
            <v>#DIV/0!</v>
          </cell>
          <cell r="AO857" t="e">
            <v>#REF!</v>
          </cell>
          <cell r="AP857" t="e">
            <v>#REF!</v>
          </cell>
          <cell r="AQ857" t="e">
            <v>#REF!</v>
          </cell>
          <cell r="AR857" t="e">
            <v>#REF!</v>
          </cell>
          <cell r="AS857" t="e">
            <v>#REF!</v>
          </cell>
          <cell r="AT857" t="e">
            <v>#REF!</v>
          </cell>
          <cell r="AU857" t="e">
            <v>#REF!</v>
          </cell>
          <cell r="AV857" t="e">
            <v>#REF!</v>
          </cell>
          <cell r="AW857" t="e">
            <v>#DIV/0!</v>
          </cell>
          <cell r="AX857" t="e">
            <v>#DIV/0!</v>
          </cell>
          <cell r="AY857" t="e">
            <v>#DIV/0!</v>
          </cell>
          <cell r="AZ857" t="e">
            <v>#DIV/0!</v>
          </cell>
          <cell r="BE857" t="e">
            <v>#DIV/0!</v>
          </cell>
          <cell r="BF857" t="e">
            <v>#DIV/0!</v>
          </cell>
        </row>
        <row r="858">
          <cell r="A858" t="str">
            <v>-0</v>
          </cell>
          <cell r="B858" t="str">
            <v xml:space="preserve">-0  , </v>
          </cell>
          <cell r="C858"/>
          <cell r="D858"/>
          <cell r="E858"/>
          <cell r="F858"/>
          <cell r="G858"/>
          <cell r="H858"/>
          <cell r="I858"/>
          <cell r="J858"/>
          <cell r="K858"/>
          <cell r="L858"/>
          <cell r="M858"/>
          <cell r="N858"/>
          <cell r="O858"/>
          <cell r="P858"/>
          <cell r="Q858"/>
          <cell r="R858"/>
          <cell r="S858"/>
          <cell r="T858"/>
          <cell r="U858"/>
          <cell r="V858"/>
          <cell r="W858"/>
          <cell r="X858">
            <v>0</v>
          </cell>
          <cell r="Y858">
            <v>0</v>
          </cell>
          <cell r="Z858">
            <v>0</v>
          </cell>
          <cell r="AA858" t="str">
            <v>,</v>
          </cell>
          <cell r="AB858" t="str">
            <v>,</v>
          </cell>
          <cell r="AC858" t="e">
            <v>#DIV/0!</v>
          </cell>
          <cell r="AD858" t="e">
            <v>#DIV/0!</v>
          </cell>
          <cell r="AE858">
            <v>0.71</v>
          </cell>
          <cell r="AF858">
            <v>94.97</v>
          </cell>
          <cell r="AG858">
            <v>0</v>
          </cell>
          <cell r="AH858" t="e">
            <v>#DIV/0!</v>
          </cell>
          <cell r="AI858" t="e">
            <v>#DIV/0!</v>
          </cell>
          <cell r="AJ858" t="e">
            <v>#DIV/0!</v>
          </cell>
          <cell r="AK858" t="e">
            <v>#DIV/0!</v>
          </cell>
          <cell r="AL858" t="e">
            <v>#DIV/0!</v>
          </cell>
          <cell r="AM858" t="e">
            <v>#DIV/0!</v>
          </cell>
          <cell r="AN858" t="e">
            <v>#DIV/0!</v>
          </cell>
          <cell r="AO858" t="e">
            <v>#REF!</v>
          </cell>
          <cell r="AP858" t="e">
            <v>#REF!</v>
          </cell>
          <cell r="AQ858" t="e">
            <v>#REF!</v>
          </cell>
          <cell r="AR858" t="e">
            <v>#REF!</v>
          </cell>
          <cell r="AS858" t="e">
            <v>#REF!</v>
          </cell>
          <cell r="AT858" t="e">
            <v>#REF!</v>
          </cell>
          <cell r="AU858" t="e">
            <v>#REF!</v>
          </cell>
          <cell r="AV858" t="e">
            <v>#REF!</v>
          </cell>
          <cell r="AW858" t="e">
            <v>#DIV/0!</v>
          </cell>
          <cell r="AX858" t="e">
            <v>#DIV/0!</v>
          </cell>
          <cell r="AY858" t="e">
            <v>#DIV/0!</v>
          </cell>
          <cell r="AZ858" t="e">
            <v>#DIV/0!</v>
          </cell>
          <cell r="BE858" t="e">
            <v>#DIV/0!</v>
          </cell>
          <cell r="BF858" t="e">
            <v>#DIV/0!</v>
          </cell>
        </row>
        <row r="859">
          <cell r="A859" t="str">
            <v>-0</v>
          </cell>
          <cell r="B859" t="str">
            <v xml:space="preserve">-0  , </v>
          </cell>
          <cell r="C859"/>
          <cell r="D859"/>
          <cell r="E859"/>
          <cell r="F859"/>
          <cell r="G859"/>
          <cell r="H859"/>
          <cell r="I859"/>
          <cell r="J859"/>
          <cell r="K859"/>
          <cell r="L859"/>
          <cell r="M859"/>
          <cell r="N859"/>
          <cell r="O859"/>
          <cell r="P859"/>
          <cell r="Q859"/>
          <cell r="R859"/>
          <cell r="S859"/>
          <cell r="T859"/>
          <cell r="U859"/>
          <cell r="V859"/>
          <cell r="W859"/>
          <cell r="X859">
            <v>0</v>
          </cell>
          <cell r="Y859">
            <v>0</v>
          </cell>
          <cell r="Z859">
            <v>0</v>
          </cell>
          <cell r="AA859" t="str">
            <v>,</v>
          </cell>
          <cell r="AB859" t="str">
            <v>,</v>
          </cell>
          <cell r="AC859" t="e">
            <v>#DIV/0!</v>
          </cell>
          <cell r="AD859" t="e">
            <v>#DIV/0!</v>
          </cell>
          <cell r="AE859">
            <v>0.71</v>
          </cell>
          <cell r="AF859">
            <v>94.97</v>
          </cell>
          <cell r="AG859">
            <v>0</v>
          </cell>
          <cell r="AH859" t="e">
            <v>#DIV/0!</v>
          </cell>
          <cell r="AI859" t="e">
            <v>#DIV/0!</v>
          </cell>
          <cell r="AJ859" t="e">
            <v>#DIV/0!</v>
          </cell>
          <cell r="AK859" t="e">
            <v>#DIV/0!</v>
          </cell>
          <cell r="AL859" t="e">
            <v>#DIV/0!</v>
          </cell>
          <cell r="AM859" t="e">
            <v>#DIV/0!</v>
          </cell>
          <cell r="AN859" t="e">
            <v>#DIV/0!</v>
          </cell>
          <cell r="AO859" t="e">
            <v>#REF!</v>
          </cell>
          <cell r="AP859" t="e">
            <v>#REF!</v>
          </cell>
          <cell r="AQ859" t="e">
            <v>#REF!</v>
          </cell>
          <cell r="AR859" t="e">
            <v>#REF!</v>
          </cell>
          <cell r="AS859" t="e">
            <v>#REF!</v>
          </cell>
          <cell r="AT859" t="e">
            <v>#REF!</v>
          </cell>
          <cell r="AU859" t="e">
            <v>#REF!</v>
          </cell>
          <cell r="AV859" t="e">
            <v>#REF!</v>
          </cell>
          <cell r="AW859" t="e">
            <v>#DIV/0!</v>
          </cell>
          <cell r="AX859" t="e">
            <v>#DIV/0!</v>
          </cell>
          <cell r="AY859" t="e">
            <v>#DIV/0!</v>
          </cell>
          <cell r="AZ859" t="e">
            <v>#DIV/0!</v>
          </cell>
          <cell r="BE859" t="e">
            <v>#DIV/0!</v>
          </cell>
          <cell r="BF859" t="e">
            <v>#DIV/0!</v>
          </cell>
        </row>
        <row r="860">
          <cell r="A860" t="str">
            <v>-0</v>
          </cell>
          <cell r="B860" t="str">
            <v xml:space="preserve">-0  , </v>
          </cell>
          <cell r="C860"/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/>
          <cell r="S860"/>
          <cell r="T860"/>
          <cell r="U860"/>
          <cell r="V860"/>
          <cell r="W860"/>
          <cell r="X860">
            <v>0</v>
          </cell>
          <cell r="Y860">
            <v>0</v>
          </cell>
          <cell r="Z860">
            <v>0</v>
          </cell>
          <cell r="AA860" t="str">
            <v>,</v>
          </cell>
          <cell r="AB860" t="str">
            <v>,</v>
          </cell>
          <cell r="AC860" t="e">
            <v>#DIV/0!</v>
          </cell>
          <cell r="AD860" t="e">
            <v>#DIV/0!</v>
          </cell>
          <cell r="AE860">
            <v>0.71</v>
          </cell>
          <cell r="AF860">
            <v>94.97</v>
          </cell>
          <cell r="AG860">
            <v>0</v>
          </cell>
          <cell r="AH860" t="e">
            <v>#DIV/0!</v>
          </cell>
          <cell r="AI860" t="e">
            <v>#DIV/0!</v>
          </cell>
          <cell r="AJ860" t="e">
            <v>#DIV/0!</v>
          </cell>
          <cell r="AK860" t="e">
            <v>#DIV/0!</v>
          </cell>
          <cell r="AL860" t="e">
            <v>#DIV/0!</v>
          </cell>
          <cell r="AM860" t="e">
            <v>#DIV/0!</v>
          </cell>
          <cell r="AN860" t="e">
            <v>#DIV/0!</v>
          </cell>
          <cell r="AO860" t="e">
            <v>#REF!</v>
          </cell>
          <cell r="AP860" t="e">
            <v>#REF!</v>
          </cell>
          <cell r="AQ860" t="e">
            <v>#REF!</v>
          </cell>
          <cell r="AR860" t="e">
            <v>#REF!</v>
          </cell>
          <cell r="AS860" t="e">
            <v>#REF!</v>
          </cell>
          <cell r="AT860" t="e">
            <v>#REF!</v>
          </cell>
          <cell r="AU860" t="e">
            <v>#REF!</v>
          </cell>
          <cell r="AV860" t="e">
            <v>#REF!</v>
          </cell>
          <cell r="AW860" t="e">
            <v>#DIV/0!</v>
          </cell>
          <cell r="AX860" t="e">
            <v>#DIV/0!</v>
          </cell>
          <cell r="AY860" t="e">
            <v>#DIV/0!</v>
          </cell>
          <cell r="AZ860" t="e">
            <v>#DIV/0!</v>
          </cell>
          <cell r="BE860" t="e">
            <v>#DIV/0!</v>
          </cell>
          <cell r="BF860" t="e">
            <v>#DIV/0!</v>
          </cell>
        </row>
        <row r="861">
          <cell r="A861" t="str">
            <v>-0</v>
          </cell>
          <cell r="B861" t="str">
            <v xml:space="preserve">-0  , </v>
          </cell>
          <cell r="C861"/>
          <cell r="D861"/>
          <cell r="E861"/>
          <cell r="F861"/>
          <cell r="G861"/>
          <cell r="H861"/>
          <cell r="I861"/>
          <cell r="J861"/>
          <cell r="K861"/>
          <cell r="L861"/>
          <cell r="M861"/>
          <cell r="N861"/>
          <cell r="O861"/>
          <cell r="P861"/>
          <cell r="Q861"/>
          <cell r="R861"/>
          <cell r="S861"/>
          <cell r="T861"/>
          <cell r="U861"/>
          <cell r="V861"/>
          <cell r="W861"/>
          <cell r="X861">
            <v>0</v>
          </cell>
          <cell r="Y861">
            <v>0</v>
          </cell>
          <cell r="Z861">
            <v>0</v>
          </cell>
          <cell r="AA861" t="str">
            <v>,</v>
          </cell>
          <cell r="AB861" t="str">
            <v>,</v>
          </cell>
          <cell r="AC861" t="e">
            <v>#DIV/0!</v>
          </cell>
          <cell r="AD861" t="e">
            <v>#DIV/0!</v>
          </cell>
          <cell r="AE861">
            <v>0.71</v>
          </cell>
          <cell r="AF861">
            <v>94.97</v>
          </cell>
          <cell r="AG861">
            <v>0</v>
          </cell>
          <cell r="AH861" t="e">
            <v>#DIV/0!</v>
          </cell>
          <cell r="AI861" t="e">
            <v>#DIV/0!</v>
          </cell>
          <cell r="AJ861" t="e">
            <v>#DIV/0!</v>
          </cell>
          <cell r="AK861" t="e">
            <v>#DIV/0!</v>
          </cell>
          <cell r="AL861" t="e">
            <v>#DIV/0!</v>
          </cell>
          <cell r="AM861" t="e">
            <v>#DIV/0!</v>
          </cell>
          <cell r="AN861" t="e">
            <v>#DIV/0!</v>
          </cell>
          <cell r="AO861" t="e">
            <v>#REF!</v>
          </cell>
          <cell r="AP861" t="e">
            <v>#REF!</v>
          </cell>
          <cell r="AQ861" t="e">
            <v>#REF!</v>
          </cell>
          <cell r="AR861" t="e">
            <v>#REF!</v>
          </cell>
          <cell r="AS861" t="e">
            <v>#REF!</v>
          </cell>
          <cell r="AT861" t="e">
            <v>#REF!</v>
          </cell>
          <cell r="AU861" t="e">
            <v>#REF!</v>
          </cell>
          <cell r="AV861" t="e">
            <v>#REF!</v>
          </cell>
          <cell r="AW861" t="e">
            <v>#DIV/0!</v>
          </cell>
          <cell r="AX861" t="e">
            <v>#DIV/0!</v>
          </cell>
          <cell r="AY861" t="e">
            <v>#DIV/0!</v>
          </cell>
          <cell r="AZ861" t="e">
            <v>#DIV/0!</v>
          </cell>
          <cell r="BE861" t="e">
            <v>#DIV/0!</v>
          </cell>
          <cell r="BF861" t="e">
            <v>#DIV/0!</v>
          </cell>
        </row>
        <row r="862">
          <cell r="A862" t="str">
            <v>-0</v>
          </cell>
          <cell r="B862" t="str">
            <v xml:space="preserve">-0  , </v>
          </cell>
          <cell r="C862"/>
          <cell r="D862"/>
          <cell r="E862"/>
          <cell r="F862"/>
          <cell r="G862"/>
          <cell r="H862"/>
          <cell r="I862"/>
          <cell r="J862"/>
          <cell r="K862"/>
          <cell r="L862"/>
          <cell r="M862"/>
          <cell r="N862"/>
          <cell r="O862"/>
          <cell r="P862"/>
          <cell r="Q862"/>
          <cell r="R862"/>
          <cell r="S862"/>
          <cell r="T862"/>
          <cell r="U862"/>
          <cell r="V862"/>
          <cell r="W862"/>
          <cell r="X862">
            <v>0</v>
          </cell>
          <cell r="Y862">
            <v>0</v>
          </cell>
          <cell r="Z862">
            <v>0</v>
          </cell>
          <cell r="AA862" t="str">
            <v>,</v>
          </cell>
          <cell r="AB862" t="str">
            <v>,</v>
          </cell>
          <cell r="AC862" t="e">
            <v>#DIV/0!</v>
          </cell>
          <cell r="AD862" t="e">
            <v>#DIV/0!</v>
          </cell>
          <cell r="AE862">
            <v>0.71</v>
          </cell>
          <cell r="AF862">
            <v>94.97</v>
          </cell>
          <cell r="AG862">
            <v>0</v>
          </cell>
          <cell r="AH862" t="e">
            <v>#DIV/0!</v>
          </cell>
          <cell r="AI862" t="e">
            <v>#DIV/0!</v>
          </cell>
          <cell r="AJ862" t="e">
            <v>#DIV/0!</v>
          </cell>
          <cell r="AK862" t="e">
            <v>#DIV/0!</v>
          </cell>
          <cell r="AL862" t="e">
            <v>#DIV/0!</v>
          </cell>
          <cell r="AM862" t="e">
            <v>#DIV/0!</v>
          </cell>
          <cell r="AN862" t="e">
            <v>#DIV/0!</v>
          </cell>
          <cell r="AO862" t="e">
            <v>#REF!</v>
          </cell>
          <cell r="AP862" t="e">
            <v>#REF!</v>
          </cell>
          <cell r="AQ862" t="e">
            <v>#REF!</v>
          </cell>
          <cell r="AR862" t="e">
            <v>#REF!</v>
          </cell>
          <cell r="AS862" t="e">
            <v>#REF!</v>
          </cell>
          <cell r="AT862" t="e">
            <v>#REF!</v>
          </cell>
          <cell r="AU862" t="e">
            <v>#REF!</v>
          </cell>
          <cell r="AV862" t="e">
            <v>#REF!</v>
          </cell>
          <cell r="AW862" t="e">
            <v>#DIV/0!</v>
          </cell>
          <cell r="AX862" t="e">
            <v>#DIV/0!</v>
          </cell>
          <cell r="AY862" t="e">
            <v>#DIV/0!</v>
          </cell>
          <cell r="AZ862" t="e">
            <v>#DIV/0!</v>
          </cell>
          <cell r="BE862" t="e">
            <v>#DIV/0!</v>
          </cell>
          <cell r="BF862" t="e">
            <v>#DIV/0!</v>
          </cell>
        </row>
        <row r="863">
          <cell r="A863" t="str">
            <v>-0</v>
          </cell>
          <cell r="B863" t="str">
            <v xml:space="preserve">-0  , </v>
          </cell>
          <cell r="C863"/>
          <cell r="D863"/>
          <cell r="E863"/>
          <cell r="F863"/>
          <cell r="G863"/>
          <cell r="H863"/>
          <cell r="I863"/>
          <cell r="J863"/>
          <cell r="K863"/>
          <cell r="L863"/>
          <cell r="M863"/>
          <cell r="N863"/>
          <cell r="O863"/>
          <cell r="P863"/>
          <cell r="Q863"/>
          <cell r="R863"/>
          <cell r="S863"/>
          <cell r="T863"/>
          <cell r="U863"/>
          <cell r="V863"/>
          <cell r="W863"/>
          <cell r="X863">
            <v>0</v>
          </cell>
          <cell r="Y863">
            <v>0</v>
          </cell>
          <cell r="Z863">
            <v>0</v>
          </cell>
          <cell r="AA863" t="str">
            <v>,</v>
          </cell>
          <cell r="AB863" t="str">
            <v>,</v>
          </cell>
          <cell r="AC863" t="e">
            <v>#DIV/0!</v>
          </cell>
          <cell r="AD863" t="e">
            <v>#DIV/0!</v>
          </cell>
          <cell r="AE863">
            <v>0.71</v>
          </cell>
          <cell r="AF863">
            <v>94.97</v>
          </cell>
          <cell r="AG863">
            <v>0</v>
          </cell>
          <cell r="AH863" t="e">
            <v>#DIV/0!</v>
          </cell>
          <cell r="AI863" t="e">
            <v>#DIV/0!</v>
          </cell>
          <cell r="AJ863" t="e">
            <v>#DIV/0!</v>
          </cell>
          <cell r="AK863" t="e">
            <v>#DIV/0!</v>
          </cell>
          <cell r="AL863" t="e">
            <v>#DIV/0!</v>
          </cell>
          <cell r="AM863" t="e">
            <v>#DIV/0!</v>
          </cell>
          <cell r="AN863" t="e">
            <v>#DIV/0!</v>
          </cell>
          <cell r="AO863" t="e">
            <v>#REF!</v>
          </cell>
          <cell r="AP863" t="e">
            <v>#REF!</v>
          </cell>
          <cell r="AQ863" t="e">
            <v>#REF!</v>
          </cell>
          <cell r="AR863" t="e">
            <v>#REF!</v>
          </cell>
          <cell r="AS863" t="e">
            <v>#REF!</v>
          </cell>
          <cell r="AT863" t="e">
            <v>#REF!</v>
          </cell>
          <cell r="AU863" t="e">
            <v>#REF!</v>
          </cell>
          <cell r="AV863" t="e">
            <v>#REF!</v>
          </cell>
          <cell r="AW863" t="e">
            <v>#DIV/0!</v>
          </cell>
          <cell r="AX863" t="e">
            <v>#DIV/0!</v>
          </cell>
          <cell r="AY863" t="e">
            <v>#DIV/0!</v>
          </cell>
          <cell r="AZ863" t="e">
            <v>#DIV/0!</v>
          </cell>
          <cell r="BE863" t="e">
            <v>#DIV/0!</v>
          </cell>
          <cell r="BF863" t="e">
            <v>#DIV/0!</v>
          </cell>
        </row>
        <row r="864">
          <cell r="A864" t="str">
            <v>-0</v>
          </cell>
          <cell r="B864" t="str">
            <v xml:space="preserve">-0  , </v>
          </cell>
          <cell r="C864"/>
          <cell r="D864"/>
          <cell r="E864"/>
          <cell r="F864"/>
          <cell r="G864"/>
          <cell r="H864"/>
          <cell r="I864"/>
          <cell r="J864"/>
          <cell r="K864"/>
          <cell r="L864"/>
          <cell r="M864"/>
          <cell r="N864"/>
          <cell r="O864"/>
          <cell r="P864"/>
          <cell r="Q864"/>
          <cell r="R864"/>
          <cell r="S864"/>
          <cell r="T864"/>
          <cell r="U864"/>
          <cell r="V864"/>
          <cell r="W864"/>
          <cell r="X864">
            <v>0</v>
          </cell>
          <cell r="Y864">
            <v>0</v>
          </cell>
          <cell r="Z864">
            <v>0</v>
          </cell>
          <cell r="AA864" t="str">
            <v>,</v>
          </cell>
          <cell r="AB864" t="str">
            <v>,</v>
          </cell>
          <cell r="AC864" t="e">
            <v>#DIV/0!</v>
          </cell>
          <cell r="AD864" t="e">
            <v>#DIV/0!</v>
          </cell>
          <cell r="AE864">
            <v>0.71</v>
          </cell>
          <cell r="AF864">
            <v>94.97</v>
          </cell>
          <cell r="AG864">
            <v>0</v>
          </cell>
          <cell r="AH864" t="e">
            <v>#DIV/0!</v>
          </cell>
          <cell r="AI864" t="e">
            <v>#DIV/0!</v>
          </cell>
          <cell r="AJ864" t="e">
            <v>#DIV/0!</v>
          </cell>
          <cell r="AK864" t="e">
            <v>#DIV/0!</v>
          </cell>
          <cell r="AL864" t="e">
            <v>#DIV/0!</v>
          </cell>
          <cell r="AM864" t="e">
            <v>#DIV/0!</v>
          </cell>
          <cell r="AN864" t="e">
            <v>#DIV/0!</v>
          </cell>
          <cell r="AO864" t="e">
            <v>#REF!</v>
          </cell>
          <cell r="AP864" t="e">
            <v>#REF!</v>
          </cell>
          <cell r="AQ864" t="e">
            <v>#REF!</v>
          </cell>
          <cell r="AR864" t="e">
            <v>#REF!</v>
          </cell>
          <cell r="AS864" t="e">
            <v>#REF!</v>
          </cell>
          <cell r="AT864" t="e">
            <v>#REF!</v>
          </cell>
          <cell r="AU864" t="e">
            <v>#REF!</v>
          </cell>
          <cell r="AV864" t="e">
            <v>#REF!</v>
          </cell>
          <cell r="AW864" t="e">
            <v>#DIV/0!</v>
          </cell>
          <cell r="AX864" t="e">
            <v>#DIV/0!</v>
          </cell>
          <cell r="AY864" t="e">
            <v>#DIV/0!</v>
          </cell>
          <cell r="AZ864" t="e">
            <v>#DIV/0!</v>
          </cell>
          <cell r="BE864" t="e">
            <v>#DIV/0!</v>
          </cell>
          <cell r="BF864" t="e">
            <v>#DIV/0!</v>
          </cell>
        </row>
        <row r="865">
          <cell r="A865" t="str">
            <v>-0</v>
          </cell>
          <cell r="B865" t="str">
            <v xml:space="preserve">-0  , </v>
          </cell>
          <cell r="C865"/>
          <cell r="D865"/>
          <cell r="E865"/>
          <cell r="F865"/>
          <cell r="G865"/>
          <cell r="H865"/>
          <cell r="I865"/>
          <cell r="J865"/>
          <cell r="K865"/>
          <cell r="L865"/>
          <cell r="M865"/>
          <cell r="N865"/>
          <cell r="O865"/>
          <cell r="P865"/>
          <cell r="Q865"/>
          <cell r="R865"/>
          <cell r="S865"/>
          <cell r="T865"/>
          <cell r="U865"/>
          <cell r="V865"/>
          <cell r="W865"/>
          <cell r="X865">
            <v>0</v>
          </cell>
          <cell r="Y865">
            <v>0</v>
          </cell>
          <cell r="Z865">
            <v>0</v>
          </cell>
          <cell r="AA865" t="str">
            <v>,</v>
          </cell>
          <cell r="AB865" t="str">
            <v>,</v>
          </cell>
          <cell r="AC865" t="e">
            <v>#DIV/0!</v>
          </cell>
          <cell r="AD865" t="e">
            <v>#DIV/0!</v>
          </cell>
          <cell r="AE865">
            <v>0.71</v>
          </cell>
          <cell r="AF865">
            <v>94.97</v>
          </cell>
          <cell r="AG865">
            <v>0</v>
          </cell>
          <cell r="AH865" t="e">
            <v>#DIV/0!</v>
          </cell>
          <cell r="AI865" t="e">
            <v>#DIV/0!</v>
          </cell>
          <cell r="AJ865" t="e">
            <v>#DIV/0!</v>
          </cell>
          <cell r="AK865" t="e">
            <v>#DIV/0!</v>
          </cell>
          <cell r="AL865" t="e">
            <v>#DIV/0!</v>
          </cell>
          <cell r="AM865" t="e">
            <v>#DIV/0!</v>
          </cell>
          <cell r="AN865" t="e">
            <v>#DIV/0!</v>
          </cell>
          <cell r="AO865" t="e">
            <v>#REF!</v>
          </cell>
          <cell r="AP865" t="e">
            <v>#REF!</v>
          </cell>
          <cell r="AQ865" t="e">
            <v>#REF!</v>
          </cell>
          <cell r="AR865" t="e">
            <v>#REF!</v>
          </cell>
          <cell r="AS865" t="e">
            <v>#REF!</v>
          </cell>
          <cell r="AT865" t="e">
            <v>#REF!</v>
          </cell>
          <cell r="AU865" t="e">
            <v>#REF!</v>
          </cell>
          <cell r="AV865" t="e">
            <v>#REF!</v>
          </cell>
          <cell r="AW865" t="e">
            <v>#DIV/0!</v>
          </cell>
          <cell r="AX865" t="e">
            <v>#DIV/0!</v>
          </cell>
          <cell r="AY865" t="e">
            <v>#DIV/0!</v>
          </cell>
          <cell r="AZ865" t="e">
            <v>#DIV/0!</v>
          </cell>
          <cell r="BE865" t="e">
            <v>#DIV/0!</v>
          </cell>
          <cell r="BF865" t="e">
            <v>#DIV/0!</v>
          </cell>
        </row>
        <row r="866">
          <cell r="A866" t="str">
            <v>-0</v>
          </cell>
          <cell r="B866" t="str">
            <v xml:space="preserve">-0  , </v>
          </cell>
          <cell r="C866"/>
          <cell r="D866"/>
          <cell r="E866"/>
          <cell r="F866"/>
          <cell r="G866"/>
          <cell r="H866"/>
          <cell r="I866"/>
          <cell r="J866"/>
          <cell r="K866"/>
          <cell r="L866"/>
          <cell r="M866"/>
          <cell r="N866"/>
          <cell r="O866"/>
          <cell r="P866"/>
          <cell r="Q866"/>
          <cell r="R866"/>
          <cell r="S866"/>
          <cell r="T866"/>
          <cell r="U866"/>
          <cell r="V866"/>
          <cell r="W866"/>
          <cell r="X866">
            <v>0</v>
          </cell>
          <cell r="Y866">
            <v>0</v>
          </cell>
          <cell r="Z866">
            <v>0</v>
          </cell>
          <cell r="AA866" t="str">
            <v>,</v>
          </cell>
          <cell r="AB866" t="str">
            <v>,</v>
          </cell>
          <cell r="AC866" t="e">
            <v>#DIV/0!</v>
          </cell>
          <cell r="AD866" t="e">
            <v>#DIV/0!</v>
          </cell>
          <cell r="AE866">
            <v>0.71</v>
          </cell>
          <cell r="AF866">
            <v>94.97</v>
          </cell>
          <cell r="AG866">
            <v>0</v>
          </cell>
          <cell r="AH866" t="e">
            <v>#DIV/0!</v>
          </cell>
          <cell r="AI866" t="e">
            <v>#DIV/0!</v>
          </cell>
          <cell r="AJ866" t="e">
            <v>#DIV/0!</v>
          </cell>
          <cell r="AK866" t="e">
            <v>#DIV/0!</v>
          </cell>
          <cell r="AL866" t="e">
            <v>#DIV/0!</v>
          </cell>
          <cell r="AM866" t="e">
            <v>#DIV/0!</v>
          </cell>
          <cell r="AN866" t="e">
            <v>#DIV/0!</v>
          </cell>
          <cell r="AO866" t="e">
            <v>#REF!</v>
          </cell>
          <cell r="AP866" t="e">
            <v>#REF!</v>
          </cell>
          <cell r="AQ866" t="e">
            <v>#REF!</v>
          </cell>
          <cell r="AR866" t="e">
            <v>#REF!</v>
          </cell>
          <cell r="AS866" t="e">
            <v>#REF!</v>
          </cell>
          <cell r="AT866" t="e">
            <v>#REF!</v>
          </cell>
          <cell r="AU866" t="e">
            <v>#REF!</v>
          </cell>
          <cell r="AV866" t="e">
            <v>#REF!</v>
          </cell>
          <cell r="AW866" t="e">
            <v>#DIV/0!</v>
          </cell>
          <cell r="AX866" t="e">
            <v>#DIV/0!</v>
          </cell>
          <cell r="AY866" t="e">
            <v>#DIV/0!</v>
          </cell>
          <cell r="AZ866" t="e">
            <v>#DIV/0!</v>
          </cell>
          <cell r="BE866" t="e">
            <v>#DIV/0!</v>
          </cell>
          <cell r="BF866" t="e">
            <v>#DIV/0!</v>
          </cell>
        </row>
        <row r="867">
          <cell r="A867" t="str">
            <v>-0</v>
          </cell>
          <cell r="B867" t="str">
            <v xml:space="preserve">-0  , </v>
          </cell>
          <cell r="C867"/>
          <cell r="D867"/>
          <cell r="E867"/>
          <cell r="F867"/>
          <cell r="G867"/>
          <cell r="H867"/>
          <cell r="I867"/>
          <cell r="J867"/>
          <cell r="K867"/>
          <cell r="L867"/>
          <cell r="M867"/>
          <cell r="N867"/>
          <cell r="O867"/>
          <cell r="P867"/>
          <cell r="Q867"/>
          <cell r="R867"/>
          <cell r="S867"/>
          <cell r="T867"/>
          <cell r="U867"/>
          <cell r="V867"/>
          <cell r="W867"/>
          <cell r="X867">
            <v>0</v>
          </cell>
          <cell r="Y867">
            <v>0</v>
          </cell>
          <cell r="Z867">
            <v>0</v>
          </cell>
          <cell r="AA867" t="str">
            <v>,</v>
          </cell>
          <cell r="AB867" t="str">
            <v>,</v>
          </cell>
          <cell r="AC867" t="e">
            <v>#DIV/0!</v>
          </cell>
          <cell r="AD867" t="e">
            <v>#DIV/0!</v>
          </cell>
          <cell r="AE867">
            <v>0.71</v>
          </cell>
          <cell r="AF867">
            <v>94.97</v>
          </cell>
          <cell r="AG867">
            <v>0</v>
          </cell>
          <cell r="AH867" t="e">
            <v>#DIV/0!</v>
          </cell>
          <cell r="AI867" t="e">
            <v>#DIV/0!</v>
          </cell>
          <cell r="AJ867" t="e">
            <v>#DIV/0!</v>
          </cell>
          <cell r="AK867" t="e">
            <v>#DIV/0!</v>
          </cell>
          <cell r="AL867" t="e">
            <v>#DIV/0!</v>
          </cell>
          <cell r="AM867" t="e">
            <v>#DIV/0!</v>
          </cell>
          <cell r="AN867" t="e">
            <v>#DIV/0!</v>
          </cell>
          <cell r="AO867" t="e">
            <v>#REF!</v>
          </cell>
          <cell r="AP867" t="e">
            <v>#REF!</v>
          </cell>
          <cell r="AQ867" t="e">
            <v>#REF!</v>
          </cell>
          <cell r="AR867" t="e">
            <v>#REF!</v>
          </cell>
          <cell r="AS867" t="e">
            <v>#REF!</v>
          </cell>
          <cell r="AT867" t="e">
            <v>#REF!</v>
          </cell>
          <cell r="AU867" t="e">
            <v>#REF!</v>
          </cell>
          <cell r="AV867" t="e">
            <v>#REF!</v>
          </cell>
          <cell r="AW867" t="e">
            <v>#DIV/0!</v>
          </cell>
          <cell r="AX867" t="e">
            <v>#DIV/0!</v>
          </cell>
          <cell r="AY867" t="e">
            <v>#DIV/0!</v>
          </cell>
          <cell r="AZ867" t="e">
            <v>#DIV/0!</v>
          </cell>
          <cell r="BE867" t="e">
            <v>#DIV/0!</v>
          </cell>
          <cell r="BF867" t="e">
            <v>#DIV/0!</v>
          </cell>
        </row>
        <row r="868">
          <cell r="A868" t="str">
            <v>-0</v>
          </cell>
          <cell r="B868" t="str">
            <v xml:space="preserve">-0  , </v>
          </cell>
          <cell r="C868"/>
          <cell r="D868"/>
          <cell r="E868"/>
          <cell r="F868"/>
          <cell r="G868"/>
          <cell r="H868"/>
          <cell r="I868"/>
          <cell r="J868"/>
          <cell r="K868"/>
          <cell r="L868"/>
          <cell r="M868"/>
          <cell r="N868"/>
          <cell r="O868"/>
          <cell r="P868"/>
          <cell r="Q868"/>
          <cell r="R868"/>
          <cell r="S868"/>
          <cell r="T868"/>
          <cell r="U868"/>
          <cell r="V868"/>
          <cell r="W868"/>
          <cell r="X868">
            <v>0</v>
          </cell>
          <cell r="Y868">
            <v>0</v>
          </cell>
          <cell r="Z868">
            <v>0</v>
          </cell>
          <cell r="AA868" t="str">
            <v>,</v>
          </cell>
          <cell r="AB868" t="str">
            <v>,</v>
          </cell>
          <cell r="AC868" t="e">
            <v>#DIV/0!</v>
          </cell>
          <cell r="AD868" t="e">
            <v>#DIV/0!</v>
          </cell>
          <cell r="AE868">
            <v>0.71</v>
          </cell>
          <cell r="AF868">
            <v>94.97</v>
          </cell>
          <cell r="AG868">
            <v>0</v>
          </cell>
          <cell r="AH868" t="e">
            <v>#DIV/0!</v>
          </cell>
          <cell r="AI868" t="e">
            <v>#DIV/0!</v>
          </cell>
          <cell r="AJ868" t="e">
            <v>#DIV/0!</v>
          </cell>
          <cell r="AK868" t="e">
            <v>#DIV/0!</v>
          </cell>
          <cell r="AL868" t="e">
            <v>#DIV/0!</v>
          </cell>
          <cell r="AM868" t="e">
            <v>#DIV/0!</v>
          </cell>
          <cell r="AN868" t="e">
            <v>#DIV/0!</v>
          </cell>
          <cell r="AO868" t="e">
            <v>#REF!</v>
          </cell>
          <cell r="AP868" t="e">
            <v>#REF!</v>
          </cell>
          <cell r="AQ868" t="e">
            <v>#REF!</v>
          </cell>
          <cell r="AR868" t="e">
            <v>#REF!</v>
          </cell>
          <cell r="AS868" t="e">
            <v>#REF!</v>
          </cell>
          <cell r="AT868" t="e">
            <v>#REF!</v>
          </cell>
          <cell r="AU868" t="e">
            <v>#REF!</v>
          </cell>
          <cell r="AV868" t="e">
            <v>#REF!</v>
          </cell>
          <cell r="AW868" t="e">
            <v>#DIV/0!</v>
          </cell>
          <cell r="AX868" t="e">
            <v>#DIV/0!</v>
          </cell>
          <cell r="AY868" t="e">
            <v>#DIV/0!</v>
          </cell>
          <cell r="AZ868" t="e">
            <v>#DIV/0!</v>
          </cell>
          <cell r="BE868" t="e">
            <v>#DIV/0!</v>
          </cell>
          <cell r="BF868" t="e">
            <v>#DIV/0!</v>
          </cell>
        </row>
        <row r="869">
          <cell r="A869" t="str">
            <v>-0</v>
          </cell>
          <cell r="B869" t="str">
            <v xml:space="preserve">-0  , </v>
          </cell>
          <cell r="C869"/>
          <cell r="D869"/>
          <cell r="E869"/>
          <cell r="F869"/>
          <cell r="G869"/>
          <cell r="H869"/>
          <cell r="I869"/>
          <cell r="J869"/>
          <cell r="K869"/>
          <cell r="L869"/>
          <cell r="M869"/>
          <cell r="N869"/>
          <cell r="O869"/>
          <cell r="P869"/>
          <cell r="Q869"/>
          <cell r="R869"/>
          <cell r="S869"/>
          <cell r="T869"/>
          <cell r="U869"/>
          <cell r="V869"/>
          <cell r="W869"/>
          <cell r="X869">
            <v>0</v>
          </cell>
          <cell r="Y869">
            <v>0</v>
          </cell>
          <cell r="Z869">
            <v>0</v>
          </cell>
          <cell r="AA869" t="str">
            <v>,</v>
          </cell>
          <cell r="AB869" t="str">
            <v>,</v>
          </cell>
          <cell r="AC869" t="e">
            <v>#DIV/0!</v>
          </cell>
          <cell r="AD869" t="e">
            <v>#DIV/0!</v>
          </cell>
          <cell r="AE869">
            <v>0.71</v>
          </cell>
          <cell r="AF869">
            <v>94.97</v>
          </cell>
          <cell r="AG869">
            <v>0</v>
          </cell>
          <cell r="AH869" t="e">
            <v>#DIV/0!</v>
          </cell>
          <cell r="AI869" t="e">
            <v>#DIV/0!</v>
          </cell>
          <cell r="AJ869" t="e">
            <v>#DIV/0!</v>
          </cell>
          <cell r="AK869" t="e">
            <v>#DIV/0!</v>
          </cell>
          <cell r="AL869" t="e">
            <v>#DIV/0!</v>
          </cell>
          <cell r="AM869" t="e">
            <v>#DIV/0!</v>
          </cell>
          <cell r="AN869" t="e">
            <v>#DIV/0!</v>
          </cell>
          <cell r="AO869" t="e">
            <v>#REF!</v>
          </cell>
          <cell r="AP869" t="e">
            <v>#REF!</v>
          </cell>
          <cell r="AQ869" t="e">
            <v>#REF!</v>
          </cell>
          <cell r="AR869" t="e">
            <v>#REF!</v>
          </cell>
          <cell r="AS869" t="e">
            <v>#REF!</v>
          </cell>
          <cell r="AT869" t="e">
            <v>#REF!</v>
          </cell>
          <cell r="AU869" t="e">
            <v>#REF!</v>
          </cell>
          <cell r="AV869" t="e">
            <v>#REF!</v>
          </cell>
          <cell r="AW869" t="e">
            <v>#DIV/0!</v>
          </cell>
          <cell r="AX869" t="e">
            <v>#DIV/0!</v>
          </cell>
          <cell r="AY869" t="e">
            <v>#DIV/0!</v>
          </cell>
          <cell r="AZ869" t="e">
            <v>#DIV/0!</v>
          </cell>
          <cell r="BE869" t="e">
            <v>#DIV/0!</v>
          </cell>
          <cell r="BF869" t="e">
            <v>#DIV/0!</v>
          </cell>
        </row>
        <row r="870">
          <cell r="A870" t="str">
            <v>-0</v>
          </cell>
          <cell r="B870" t="str">
            <v xml:space="preserve">-0  , </v>
          </cell>
          <cell r="C870"/>
          <cell r="D870"/>
          <cell r="E870"/>
          <cell r="F870"/>
          <cell r="G870"/>
          <cell r="H870"/>
          <cell r="I870"/>
          <cell r="J870"/>
          <cell r="K870"/>
          <cell r="L870"/>
          <cell r="M870"/>
          <cell r="N870"/>
          <cell r="O870"/>
          <cell r="P870"/>
          <cell r="Q870"/>
          <cell r="R870"/>
          <cell r="S870"/>
          <cell r="T870"/>
          <cell r="U870"/>
          <cell r="V870"/>
          <cell r="W870"/>
          <cell r="X870">
            <v>0</v>
          </cell>
          <cell r="Y870">
            <v>0</v>
          </cell>
          <cell r="Z870">
            <v>0</v>
          </cell>
          <cell r="AA870" t="str">
            <v>,</v>
          </cell>
          <cell r="AB870" t="str">
            <v>,</v>
          </cell>
          <cell r="AC870" t="e">
            <v>#DIV/0!</v>
          </cell>
          <cell r="AD870" t="e">
            <v>#DIV/0!</v>
          </cell>
          <cell r="AE870">
            <v>0.71</v>
          </cell>
          <cell r="AF870">
            <v>94.97</v>
          </cell>
          <cell r="AG870">
            <v>0</v>
          </cell>
          <cell r="AH870" t="e">
            <v>#DIV/0!</v>
          </cell>
          <cell r="AI870" t="e">
            <v>#DIV/0!</v>
          </cell>
          <cell r="AJ870" t="e">
            <v>#DIV/0!</v>
          </cell>
          <cell r="AK870" t="e">
            <v>#DIV/0!</v>
          </cell>
          <cell r="AL870" t="e">
            <v>#DIV/0!</v>
          </cell>
          <cell r="AM870" t="e">
            <v>#DIV/0!</v>
          </cell>
          <cell r="AN870" t="e">
            <v>#DIV/0!</v>
          </cell>
          <cell r="AO870" t="e">
            <v>#REF!</v>
          </cell>
          <cell r="AP870" t="e">
            <v>#REF!</v>
          </cell>
          <cell r="AQ870" t="e">
            <v>#REF!</v>
          </cell>
          <cell r="AR870" t="e">
            <v>#REF!</v>
          </cell>
          <cell r="AS870" t="e">
            <v>#REF!</v>
          </cell>
          <cell r="AT870" t="e">
            <v>#REF!</v>
          </cell>
          <cell r="AU870" t="e">
            <v>#REF!</v>
          </cell>
          <cell r="AV870" t="e">
            <v>#REF!</v>
          </cell>
          <cell r="AW870" t="e">
            <v>#DIV/0!</v>
          </cell>
          <cell r="AX870" t="e">
            <v>#DIV/0!</v>
          </cell>
          <cell r="AY870" t="e">
            <v>#DIV/0!</v>
          </cell>
          <cell r="AZ870" t="e">
            <v>#DIV/0!</v>
          </cell>
          <cell r="BE870" t="e">
            <v>#DIV/0!</v>
          </cell>
          <cell r="BF870" t="e">
            <v>#DIV/0!</v>
          </cell>
        </row>
        <row r="871">
          <cell r="A871" t="str">
            <v>-0</v>
          </cell>
          <cell r="B871" t="str">
            <v xml:space="preserve">-0  , </v>
          </cell>
          <cell r="C871"/>
          <cell r="D871"/>
          <cell r="E871"/>
          <cell r="F871"/>
          <cell r="G871"/>
          <cell r="H871"/>
          <cell r="I871"/>
          <cell r="J871"/>
          <cell r="K871"/>
          <cell r="L871"/>
          <cell r="M871"/>
          <cell r="N871"/>
          <cell r="O871"/>
          <cell r="P871"/>
          <cell r="Q871"/>
          <cell r="R871"/>
          <cell r="S871"/>
          <cell r="T871"/>
          <cell r="U871"/>
          <cell r="V871"/>
          <cell r="W871"/>
          <cell r="X871">
            <v>0</v>
          </cell>
          <cell r="Y871">
            <v>0</v>
          </cell>
          <cell r="Z871">
            <v>0</v>
          </cell>
          <cell r="AA871" t="str">
            <v>,</v>
          </cell>
          <cell r="AB871" t="str">
            <v>,</v>
          </cell>
          <cell r="AC871" t="e">
            <v>#DIV/0!</v>
          </cell>
          <cell r="AD871" t="e">
            <v>#DIV/0!</v>
          </cell>
          <cell r="AE871">
            <v>0.71</v>
          </cell>
          <cell r="AF871">
            <v>94.97</v>
          </cell>
          <cell r="AG871">
            <v>0</v>
          </cell>
          <cell r="AH871" t="e">
            <v>#DIV/0!</v>
          </cell>
          <cell r="AI871" t="e">
            <v>#DIV/0!</v>
          </cell>
          <cell r="AJ871" t="e">
            <v>#DIV/0!</v>
          </cell>
          <cell r="AK871" t="e">
            <v>#DIV/0!</v>
          </cell>
          <cell r="AL871" t="e">
            <v>#DIV/0!</v>
          </cell>
          <cell r="AM871" t="e">
            <v>#DIV/0!</v>
          </cell>
          <cell r="AN871" t="e">
            <v>#DIV/0!</v>
          </cell>
          <cell r="AO871" t="e">
            <v>#REF!</v>
          </cell>
          <cell r="AP871" t="e">
            <v>#REF!</v>
          </cell>
          <cell r="AQ871" t="e">
            <v>#REF!</v>
          </cell>
          <cell r="AR871" t="e">
            <v>#REF!</v>
          </cell>
          <cell r="AS871" t="e">
            <v>#REF!</v>
          </cell>
          <cell r="AT871" t="e">
            <v>#REF!</v>
          </cell>
          <cell r="AU871" t="e">
            <v>#REF!</v>
          </cell>
          <cell r="AV871" t="e">
            <v>#REF!</v>
          </cell>
          <cell r="AW871" t="e">
            <v>#DIV/0!</v>
          </cell>
          <cell r="AX871" t="e">
            <v>#DIV/0!</v>
          </cell>
          <cell r="AY871" t="e">
            <v>#DIV/0!</v>
          </cell>
          <cell r="AZ871" t="e">
            <v>#DIV/0!</v>
          </cell>
          <cell r="BE871" t="e">
            <v>#DIV/0!</v>
          </cell>
          <cell r="BF871" t="e">
            <v>#DIV/0!</v>
          </cell>
        </row>
        <row r="872">
          <cell r="A872" t="str">
            <v>-0</v>
          </cell>
          <cell r="B872" t="str">
            <v xml:space="preserve">-0  , </v>
          </cell>
          <cell r="C872"/>
          <cell r="D872"/>
          <cell r="E872"/>
          <cell r="F872"/>
          <cell r="G872"/>
          <cell r="H872"/>
          <cell r="I872"/>
          <cell r="J872"/>
          <cell r="K872"/>
          <cell r="L872"/>
          <cell r="M872"/>
          <cell r="N872"/>
          <cell r="O872"/>
          <cell r="P872"/>
          <cell r="Q872"/>
          <cell r="R872"/>
          <cell r="S872"/>
          <cell r="T872"/>
          <cell r="U872"/>
          <cell r="V872"/>
          <cell r="W872"/>
          <cell r="X872">
            <v>0</v>
          </cell>
          <cell r="Y872">
            <v>0</v>
          </cell>
          <cell r="Z872">
            <v>0</v>
          </cell>
          <cell r="AA872" t="str">
            <v>,</v>
          </cell>
          <cell r="AB872" t="str">
            <v>,</v>
          </cell>
          <cell r="AC872" t="e">
            <v>#DIV/0!</v>
          </cell>
          <cell r="AD872" t="e">
            <v>#DIV/0!</v>
          </cell>
          <cell r="AE872">
            <v>0.71</v>
          </cell>
          <cell r="AF872">
            <v>94.97</v>
          </cell>
          <cell r="AG872">
            <v>0</v>
          </cell>
          <cell r="AH872" t="e">
            <v>#DIV/0!</v>
          </cell>
          <cell r="AI872" t="e">
            <v>#DIV/0!</v>
          </cell>
          <cell r="AJ872" t="e">
            <v>#DIV/0!</v>
          </cell>
          <cell r="AK872" t="e">
            <v>#DIV/0!</v>
          </cell>
          <cell r="AL872" t="e">
            <v>#DIV/0!</v>
          </cell>
          <cell r="AM872" t="e">
            <v>#DIV/0!</v>
          </cell>
          <cell r="AN872" t="e">
            <v>#DIV/0!</v>
          </cell>
          <cell r="AO872" t="e">
            <v>#REF!</v>
          </cell>
          <cell r="AP872" t="e">
            <v>#REF!</v>
          </cell>
          <cell r="AQ872" t="e">
            <v>#REF!</v>
          </cell>
          <cell r="AR872" t="e">
            <v>#REF!</v>
          </cell>
          <cell r="AS872" t="e">
            <v>#REF!</v>
          </cell>
          <cell r="AT872" t="e">
            <v>#REF!</v>
          </cell>
          <cell r="AU872" t="e">
            <v>#REF!</v>
          </cell>
          <cell r="AV872" t="e">
            <v>#REF!</v>
          </cell>
          <cell r="AW872" t="e">
            <v>#DIV/0!</v>
          </cell>
          <cell r="AX872" t="e">
            <v>#DIV/0!</v>
          </cell>
          <cell r="AY872" t="e">
            <v>#DIV/0!</v>
          </cell>
          <cell r="AZ872" t="e">
            <v>#DIV/0!</v>
          </cell>
          <cell r="BE872" t="e">
            <v>#DIV/0!</v>
          </cell>
          <cell r="BF872" t="e">
            <v>#DIV/0!</v>
          </cell>
        </row>
        <row r="873">
          <cell r="A873" t="str">
            <v>-0</v>
          </cell>
          <cell r="B873" t="str">
            <v xml:space="preserve">-0  , </v>
          </cell>
          <cell r="C873"/>
          <cell r="D873"/>
          <cell r="E873"/>
          <cell r="F873"/>
          <cell r="G873"/>
          <cell r="H873"/>
          <cell r="I873"/>
          <cell r="J873"/>
          <cell r="K873"/>
          <cell r="L873"/>
          <cell r="M873"/>
          <cell r="N873"/>
          <cell r="O873"/>
          <cell r="P873"/>
          <cell r="Q873"/>
          <cell r="R873"/>
          <cell r="S873"/>
          <cell r="T873"/>
          <cell r="U873"/>
          <cell r="V873"/>
          <cell r="W873"/>
          <cell r="X873">
            <v>0</v>
          </cell>
          <cell r="Y873">
            <v>0</v>
          </cell>
          <cell r="Z873">
            <v>0</v>
          </cell>
          <cell r="AA873" t="str">
            <v>,</v>
          </cell>
          <cell r="AB873" t="str">
            <v>,</v>
          </cell>
          <cell r="AC873" t="e">
            <v>#DIV/0!</v>
          </cell>
          <cell r="AD873" t="e">
            <v>#DIV/0!</v>
          </cell>
          <cell r="AE873">
            <v>0.71</v>
          </cell>
          <cell r="AF873">
            <v>94.97</v>
          </cell>
          <cell r="AG873">
            <v>0</v>
          </cell>
          <cell r="AH873" t="e">
            <v>#DIV/0!</v>
          </cell>
          <cell r="AI873" t="e">
            <v>#DIV/0!</v>
          </cell>
          <cell r="AJ873" t="e">
            <v>#DIV/0!</v>
          </cell>
          <cell r="AK873" t="e">
            <v>#DIV/0!</v>
          </cell>
          <cell r="AL873" t="e">
            <v>#DIV/0!</v>
          </cell>
          <cell r="AM873" t="e">
            <v>#DIV/0!</v>
          </cell>
          <cell r="AN873" t="e">
            <v>#DIV/0!</v>
          </cell>
          <cell r="AO873" t="e">
            <v>#REF!</v>
          </cell>
          <cell r="AP873" t="e">
            <v>#REF!</v>
          </cell>
          <cell r="AQ873" t="e">
            <v>#REF!</v>
          </cell>
          <cell r="AR873" t="e">
            <v>#REF!</v>
          </cell>
          <cell r="AS873" t="e">
            <v>#REF!</v>
          </cell>
          <cell r="AT873" t="e">
            <v>#REF!</v>
          </cell>
          <cell r="AU873" t="e">
            <v>#REF!</v>
          </cell>
          <cell r="AV873" t="e">
            <v>#REF!</v>
          </cell>
          <cell r="AW873" t="e">
            <v>#DIV/0!</v>
          </cell>
          <cell r="AX873" t="e">
            <v>#DIV/0!</v>
          </cell>
          <cell r="AY873" t="e">
            <v>#DIV/0!</v>
          </cell>
          <cell r="AZ873" t="e">
            <v>#DIV/0!</v>
          </cell>
          <cell r="BE873" t="e">
            <v>#DIV/0!</v>
          </cell>
          <cell r="BF873" t="e">
            <v>#DIV/0!</v>
          </cell>
        </row>
        <row r="874">
          <cell r="A874" t="str">
            <v>-0</v>
          </cell>
          <cell r="B874" t="str">
            <v xml:space="preserve">-0  , </v>
          </cell>
          <cell r="C874"/>
          <cell r="D874"/>
          <cell r="E874"/>
          <cell r="F874"/>
          <cell r="G874"/>
          <cell r="H874"/>
          <cell r="I874"/>
          <cell r="J874"/>
          <cell r="K874"/>
          <cell r="L874"/>
          <cell r="M874"/>
          <cell r="N874"/>
          <cell r="O874"/>
          <cell r="P874"/>
          <cell r="Q874"/>
          <cell r="R874"/>
          <cell r="S874"/>
          <cell r="T874"/>
          <cell r="U874"/>
          <cell r="V874"/>
          <cell r="W874"/>
          <cell r="X874">
            <v>0</v>
          </cell>
          <cell r="Y874">
            <v>0</v>
          </cell>
          <cell r="Z874">
            <v>0</v>
          </cell>
          <cell r="AA874" t="str">
            <v>,</v>
          </cell>
          <cell r="AB874" t="str">
            <v>,</v>
          </cell>
          <cell r="AC874" t="e">
            <v>#DIV/0!</v>
          </cell>
          <cell r="AD874" t="e">
            <v>#DIV/0!</v>
          </cell>
          <cell r="AE874">
            <v>0.71</v>
          </cell>
          <cell r="AF874">
            <v>94.97</v>
          </cell>
          <cell r="AG874">
            <v>0</v>
          </cell>
          <cell r="AH874" t="e">
            <v>#DIV/0!</v>
          </cell>
          <cell r="AI874" t="e">
            <v>#DIV/0!</v>
          </cell>
          <cell r="AJ874" t="e">
            <v>#DIV/0!</v>
          </cell>
          <cell r="AK874" t="e">
            <v>#DIV/0!</v>
          </cell>
          <cell r="AL874" t="e">
            <v>#DIV/0!</v>
          </cell>
          <cell r="AM874" t="e">
            <v>#DIV/0!</v>
          </cell>
          <cell r="AN874" t="e">
            <v>#DIV/0!</v>
          </cell>
          <cell r="AO874" t="e">
            <v>#REF!</v>
          </cell>
          <cell r="AP874" t="e">
            <v>#REF!</v>
          </cell>
          <cell r="AQ874" t="e">
            <v>#REF!</v>
          </cell>
          <cell r="AR874" t="e">
            <v>#REF!</v>
          </cell>
          <cell r="AS874" t="e">
            <v>#REF!</v>
          </cell>
          <cell r="AT874" t="e">
            <v>#REF!</v>
          </cell>
          <cell r="AU874" t="e">
            <v>#REF!</v>
          </cell>
          <cell r="AV874" t="e">
            <v>#REF!</v>
          </cell>
          <cell r="AW874" t="e">
            <v>#DIV/0!</v>
          </cell>
          <cell r="AX874" t="e">
            <v>#DIV/0!</v>
          </cell>
          <cell r="AY874" t="e">
            <v>#DIV/0!</v>
          </cell>
          <cell r="AZ874" t="e">
            <v>#DIV/0!</v>
          </cell>
          <cell r="BE874" t="e">
            <v>#DIV/0!</v>
          </cell>
          <cell r="BF874" t="e">
            <v>#DIV/0!</v>
          </cell>
        </row>
        <row r="875">
          <cell r="A875" t="str">
            <v>-0</v>
          </cell>
          <cell r="B875" t="str">
            <v xml:space="preserve">-0  , </v>
          </cell>
          <cell r="C875"/>
          <cell r="D875"/>
          <cell r="E875"/>
          <cell r="F875"/>
          <cell r="G875"/>
          <cell r="H875"/>
          <cell r="I875"/>
          <cell r="J875"/>
          <cell r="K875"/>
          <cell r="L875"/>
          <cell r="M875"/>
          <cell r="N875"/>
          <cell r="O875"/>
          <cell r="P875"/>
          <cell r="Q875"/>
          <cell r="R875"/>
          <cell r="S875"/>
          <cell r="T875"/>
          <cell r="U875"/>
          <cell r="V875"/>
          <cell r="W875"/>
          <cell r="X875">
            <v>0</v>
          </cell>
          <cell r="Y875">
            <v>0</v>
          </cell>
          <cell r="Z875">
            <v>0</v>
          </cell>
          <cell r="AA875" t="str">
            <v>,</v>
          </cell>
          <cell r="AB875" t="str">
            <v>,</v>
          </cell>
          <cell r="AC875" t="e">
            <v>#DIV/0!</v>
          </cell>
          <cell r="AD875" t="e">
            <v>#DIV/0!</v>
          </cell>
          <cell r="AE875">
            <v>0.71</v>
          </cell>
          <cell r="AF875">
            <v>94.97</v>
          </cell>
          <cell r="AG875">
            <v>0</v>
          </cell>
          <cell r="AH875" t="e">
            <v>#DIV/0!</v>
          </cell>
          <cell r="AI875" t="e">
            <v>#DIV/0!</v>
          </cell>
          <cell r="AJ875" t="e">
            <v>#DIV/0!</v>
          </cell>
          <cell r="AK875" t="e">
            <v>#DIV/0!</v>
          </cell>
          <cell r="AL875" t="e">
            <v>#DIV/0!</v>
          </cell>
          <cell r="AM875" t="e">
            <v>#DIV/0!</v>
          </cell>
          <cell r="AN875" t="e">
            <v>#DIV/0!</v>
          </cell>
          <cell r="AO875" t="e">
            <v>#REF!</v>
          </cell>
          <cell r="AP875" t="e">
            <v>#REF!</v>
          </cell>
          <cell r="AQ875" t="e">
            <v>#REF!</v>
          </cell>
          <cell r="AR875" t="e">
            <v>#REF!</v>
          </cell>
          <cell r="AS875" t="e">
            <v>#REF!</v>
          </cell>
          <cell r="AT875" t="e">
            <v>#REF!</v>
          </cell>
          <cell r="AU875" t="e">
            <v>#REF!</v>
          </cell>
          <cell r="AV875" t="e">
            <v>#REF!</v>
          </cell>
          <cell r="AW875" t="e">
            <v>#DIV/0!</v>
          </cell>
          <cell r="AX875" t="e">
            <v>#DIV/0!</v>
          </cell>
          <cell r="AY875" t="e">
            <v>#DIV/0!</v>
          </cell>
          <cell r="AZ875" t="e">
            <v>#DIV/0!</v>
          </cell>
          <cell r="BE875" t="e">
            <v>#DIV/0!</v>
          </cell>
          <cell r="BF875" t="e">
            <v>#DIV/0!</v>
          </cell>
        </row>
        <row r="876">
          <cell r="A876" t="str">
            <v>-0</v>
          </cell>
          <cell r="B876" t="str">
            <v xml:space="preserve">-0  , </v>
          </cell>
          <cell r="C876"/>
          <cell r="D876"/>
          <cell r="E876"/>
          <cell r="F876"/>
          <cell r="G876"/>
          <cell r="H876"/>
          <cell r="I876"/>
          <cell r="J876"/>
          <cell r="K876"/>
          <cell r="L876"/>
          <cell r="M876"/>
          <cell r="N876"/>
          <cell r="O876"/>
          <cell r="P876"/>
          <cell r="Q876"/>
          <cell r="R876"/>
          <cell r="S876"/>
          <cell r="T876"/>
          <cell r="U876"/>
          <cell r="V876"/>
          <cell r="W876"/>
          <cell r="X876">
            <v>0</v>
          </cell>
          <cell r="Y876">
            <v>0</v>
          </cell>
          <cell r="Z876">
            <v>0</v>
          </cell>
          <cell r="AA876" t="str">
            <v>,</v>
          </cell>
          <cell r="AB876" t="str">
            <v>,</v>
          </cell>
          <cell r="AC876" t="e">
            <v>#DIV/0!</v>
          </cell>
          <cell r="AD876" t="e">
            <v>#DIV/0!</v>
          </cell>
          <cell r="AE876">
            <v>0.71</v>
          </cell>
          <cell r="AF876">
            <v>94.97</v>
          </cell>
          <cell r="AG876">
            <v>0</v>
          </cell>
          <cell r="AH876" t="e">
            <v>#DIV/0!</v>
          </cell>
          <cell r="AI876" t="e">
            <v>#DIV/0!</v>
          </cell>
          <cell r="AJ876" t="e">
            <v>#DIV/0!</v>
          </cell>
          <cell r="AK876" t="e">
            <v>#DIV/0!</v>
          </cell>
          <cell r="AL876" t="e">
            <v>#DIV/0!</v>
          </cell>
          <cell r="AM876" t="e">
            <v>#DIV/0!</v>
          </cell>
          <cell r="AN876" t="e">
            <v>#DIV/0!</v>
          </cell>
          <cell r="AO876" t="e">
            <v>#REF!</v>
          </cell>
          <cell r="AP876" t="e">
            <v>#REF!</v>
          </cell>
          <cell r="AQ876" t="e">
            <v>#REF!</v>
          </cell>
          <cell r="AR876" t="e">
            <v>#REF!</v>
          </cell>
          <cell r="AS876" t="e">
            <v>#REF!</v>
          </cell>
          <cell r="AT876" t="e">
            <v>#REF!</v>
          </cell>
          <cell r="AU876" t="e">
            <v>#REF!</v>
          </cell>
          <cell r="AV876" t="e">
            <v>#REF!</v>
          </cell>
          <cell r="AW876" t="e">
            <v>#DIV/0!</v>
          </cell>
          <cell r="AX876" t="e">
            <v>#DIV/0!</v>
          </cell>
          <cell r="AY876" t="e">
            <v>#DIV/0!</v>
          </cell>
          <cell r="AZ876" t="e">
            <v>#DIV/0!</v>
          </cell>
          <cell r="BE876" t="e">
            <v>#DIV/0!</v>
          </cell>
          <cell r="BF876" t="e">
            <v>#DIV/0!</v>
          </cell>
        </row>
        <row r="877">
          <cell r="A877" t="str">
            <v>-0</v>
          </cell>
          <cell r="B877" t="str">
            <v xml:space="preserve">-0  , </v>
          </cell>
          <cell r="C877"/>
          <cell r="D877"/>
          <cell r="E877"/>
          <cell r="F877"/>
          <cell r="G877"/>
          <cell r="H877"/>
          <cell r="I877"/>
          <cell r="J877"/>
          <cell r="K877"/>
          <cell r="L877"/>
          <cell r="M877"/>
          <cell r="N877"/>
          <cell r="O877"/>
          <cell r="P877"/>
          <cell r="Q877"/>
          <cell r="R877"/>
          <cell r="S877"/>
          <cell r="T877"/>
          <cell r="U877"/>
          <cell r="V877"/>
          <cell r="W877"/>
          <cell r="X877">
            <v>0</v>
          </cell>
          <cell r="Y877">
            <v>0</v>
          </cell>
          <cell r="Z877">
            <v>0</v>
          </cell>
          <cell r="AA877" t="str">
            <v>,</v>
          </cell>
          <cell r="AB877" t="str">
            <v>,</v>
          </cell>
          <cell r="AC877" t="e">
            <v>#DIV/0!</v>
          </cell>
          <cell r="AD877" t="e">
            <v>#DIV/0!</v>
          </cell>
          <cell r="AE877">
            <v>0.71</v>
          </cell>
          <cell r="AF877">
            <v>94.97</v>
          </cell>
          <cell r="AG877">
            <v>0</v>
          </cell>
          <cell r="AH877" t="e">
            <v>#DIV/0!</v>
          </cell>
          <cell r="AI877" t="e">
            <v>#DIV/0!</v>
          </cell>
          <cell r="AJ877" t="e">
            <v>#DIV/0!</v>
          </cell>
          <cell r="AK877" t="e">
            <v>#DIV/0!</v>
          </cell>
          <cell r="AL877" t="e">
            <v>#DIV/0!</v>
          </cell>
          <cell r="AM877" t="e">
            <v>#DIV/0!</v>
          </cell>
          <cell r="AN877" t="e">
            <v>#DIV/0!</v>
          </cell>
          <cell r="AO877" t="e">
            <v>#REF!</v>
          </cell>
          <cell r="AP877" t="e">
            <v>#REF!</v>
          </cell>
          <cell r="AQ877" t="e">
            <v>#REF!</v>
          </cell>
          <cell r="AR877" t="e">
            <v>#REF!</v>
          </cell>
          <cell r="AS877" t="e">
            <v>#REF!</v>
          </cell>
          <cell r="AT877" t="e">
            <v>#REF!</v>
          </cell>
          <cell r="AU877" t="e">
            <v>#REF!</v>
          </cell>
          <cell r="AV877" t="e">
            <v>#REF!</v>
          </cell>
          <cell r="AW877" t="e">
            <v>#DIV/0!</v>
          </cell>
          <cell r="AX877" t="e">
            <v>#DIV/0!</v>
          </cell>
          <cell r="AY877" t="e">
            <v>#DIV/0!</v>
          </cell>
          <cell r="AZ877" t="e">
            <v>#DIV/0!</v>
          </cell>
          <cell r="BE877" t="e">
            <v>#DIV/0!</v>
          </cell>
          <cell r="BF877" t="e">
            <v>#DIV/0!</v>
          </cell>
        </row>
        <row r="878">
          <cell r="A878" t="str">
            <v>-0</v>
          </cell>
          <cell r="B878" t="str">
            <v xml:space="preserve">-0  , </v>
          </cell>
          <cell r="C878"/>
          <cell r="D878"/>
          <cell r="E878"/>
          <cell r="F878"/>
          <cell r="G878"/>
          <cell r="H878"/>
          <cell r="I878"/>
          <cell r="J878"/>
          <cell r="K878"/>
          <cell r="L878"/>
          <cell r="M878"/>
          <cell r="N878"/>
          <cell r="O878"/>
          <cell r="P878"/>
          <cell r="Q878"/>
          <cell r="R878"/>
          <cell r="S878"/>
          <cell r="T878"/>
          <cell r="U878"/>
          <cell r="V878"/>
          <cell r="W878"/>
          <cell r="X878">
            <v>0</v>
          </cell>
          <cell r="Y878">
            <v>0</v>
          </cell>
          <cell r="Z878">
            <v>0</v>
          </cell>
          <cell r="AA878" t="str">
            <v>,</v>
          </cell>
          <cell r="AB878" t="str">
            <v>,</v>
          </cell>
          <cell r="AC878" t="e">
            <v>#DIV/0!</v>
          </cell>
          <cell r="AD878" t="e">
            <v>#DIV/0!</v>
          </cell>
          <cell r="AE878">
            <v>0.71</v>
          </cell>
          <cell r="AF878">
            <v>94.97</v>
          </cell>
          <cell r="AG878">
            <v>0</v>
          </cell>
          <cell r="AH878" t="e">
            <v>#DIV/0!</v>
          </cell>
          <cell r="AI878" t="e">
            <v>#DIV/0!</v>
          </cell>
          <cell r="AJ878" t="e">
            <v>#DIV/0!</v>
          </cell>
          <cell r="AK878" t="e">
            <v>#DIV/0!</v>
          </cell>
          <cell r="AL878" t="e">
            <v>#DIV/0!</v>
          </cell>
          <cell r="AM878" t="e">
            <v>#DIV/0!</v>
          </cell>
          <cell r="AN878" t="e">
            <v>#DIV/0!</v>
          </cell>
          <cell r="AO878" t="e">
            <v>#REF!</v>
          </cell>
          <cell r="AP878" t="e">
            <v>#REF!</v>
          </cell>
          <cell r="AQ878" t="e">
            <v>#REF!</v>
          </cell>
          <cell r="AR878" t="e">
            <v>#REF!</v>
          </cell>
          <cell r="AS878" t="e">
            <v>#REF!</v>
          </cell>
          <cell r="AT878" t="e">
            <v>#REF!</v>
          </cell>
          <cell r="AU878" t="e">
            <v>#REF!</v>
          </cell>
          <cell r="AV878" t="e">
            <v>#REF!</v>
          </cell>
          <cell r="AW878" t="e">
            <v>#DIV/0!</v>
          </cell>
          <cell r="AX878" t="e">
            <v>#DIV/0!</v>
          </cell>
          <cell r="AY878" t="e">
            <v>#DIV/0!</v>
          </cell>
          <cell r="AZ878" t="e">
            <v>#DIV/0!</v>
          </cell>
          <cell r="BE878" t="e">
            <v>#DIV/0!</v>
          </cell>
          <cell r="BF878" t="e">
            <v>#DIV/0!</v>
          </cell>
        </row>
        <row r="879">
          <cell r="A879" t="str">
            <v>-0</v>
          </cell>
          <cell r="B879" t="str">
            <v xml:space="preserve">-0  , </v>
          </cell>
          <cell r="C879"/>
          <cell r="D879"/>
          <cell r="E879"/>
          <cell r="F879"/>
          <cell r="G879"/>
          <cell r="H879"/>
          <cell r="I879"/>
          <cell r="J879"/>
          <cell r="K879"/>
          <cell r="L879"/>
          <cell r="M879"/>
          <cell r="N879"/>
          <cell r="O879"/>
          <cell r="P879"/>
          <cell r="Q879"/>
          <cell r="R879"/>
          <cell r="S879"/>
          <cell r="T879"/>
          <cell r="U879"/>
          <cell r="V879"/>
          <cell r="W879"/>
          <cell r="X879">
            <v>0</v>
          </cell>
          <cell r="Y879">
            <v>0</v>
          </cell>
          <cell r="Z879">
            <v>0</v>
          </cell>
          <cell r="AA879" t="str">
            <v>,</v>
          </cell>
          <cell r="AB879" t="str">
            <v>,</v>
          </cell>
          <cell r="AC879" t="e">
            <v>#DIV/0!</v>
          </cell>
          <cell r="AD879" t="e">
            <v>#DIV/0!</v>
          </cell>
          <cell r="AE879">
            <v>0.71</v>
          </cell>
          <cell r="AF879">
            <v>94.97</v>
          </cell>
          <cell r="AG879">
            <v>0</v>
          </cell>
          <cell r="AH879" t="e">
            <v>#DIV/0!</v>
          </cell>
          <cell r="AI879" t="e">
            <v>#DIV/0!</v>
          </cell>
          <cell r="AJ879" t="e">
            <v>#DIV/0!</v>
          </cell>
          <cell r="AK879" t="e">
            <v>#DIV/0!</v>
          </cell>
          <cell r="AL879" t="e">
            <v>#DIV/0!</v>
          </cell>
          <cell r="AM879" t="e">
            <v>#DIV/0!</v>
          </cell>
          <cell r="AN879" t="e">
            <v>#DIV/0!</v>
          </cell>
          <cell r="AO879" t="e">
            <v>#REF!</v>
          </cell>
          <cell r="AP879" t="e">
            <v>#REF!</v>
          </cell>
          <cell r="AQ879" t="e">
            <v>#REF!</v>
          </cell>
          <cell r="AR879" t="e">
            <v>#REF!</v>
          </cell>
          <cell r="AS879" t="e">
            <v>#REF!</v>
          </cell>
          <cell r="AT879" t="e">
            <v>#REF!</v>
          </cell>
          <cell r="AU879" t="e">
            <v>#REF!</v>
          </cell>
          <cell r="AV879" t="e">
            <v>#REF!</v>
          </cell>
          <cell r="AW879" t="e">
            <v>#DIV/0!</v>
          </cell>
          <cell r="AX879" t="e">
            <v>#DIV/0!</v>
          </cell>
          <cell r="AY879" t="e">
            <v>#DIV/0!</v>
          </cell>
          <cell r="AZ879" t="e">
            <v>#DIV/0!</v>
          </cell>
          <cell r="BE879" t="e">
            <v>#DIV/0!</v>
          </cell>
          <cell r="BF879" t="e">
            <v>#DIV/0!</v>
          </cell>
        </row>
        <row r="880">
          <cell r="A880" t="str">
            <v>-0</v>
          </cell>
          <cell r="B880" t="str">
            <v xml:space="preserve">-0  , </v>
          </cell>
          <cell r="C880"/>
          <cell r="D880"/>
          <cell r="E880"/>
          <cell r="F880"/>
          <cell r="G880"/>
          <cell r="H880"/>
          <cell r="I880"/>
          <cell r="J880"/>
          <cell r="K880"/>
          <cell r="L880"/>
          <cell r="M880"/>
          <cell r="N880"/>
          <cell r="O880"/>
          <cell r="P880"/>
          <cell r="Q880"/>
          <cell r="R880"/>
          <cell r="S880"/>
          <cell r="T880"/>
          <cell r="U880"/>
          <cell r="V880"/>
          <cell r="W880"/>
          <cell r="X880">
            <v>0</v>
          </cell>
          <cell r="Y880">
            <v>0</v>
          </cell>
          <cell r="Z880">
            <v>0</v>
          </cell>
          <cell r="AA880" t="str">
            <v>,</v>
          </cell>
          <cell r="AB880" t="str">
            <v>,</v>
          </cell>
          <cell r="AC880" t="e">
            <v>#DIV/0!</v>
          </cell>
          <cell r="AD880" t="e">
            <v>#DIV/0!</v>
          </cell>
          <cell r="AE880">
            <v>0.71</v>
          </cell>
          <cell r="AF880">
            <v>94.97</v>
          </cell>
          <cell r="AG880">
            <v>0</v>
          </cell>
          <cell r="AH880" t="e">
            <v>#DIV/0!</v>
          </cell>
          <cell r="AI880" t="e">
            <v>#DIV/0!</v>
          </cell>
          <cell r="AJ880" t="e">
            <v>#DIV/0!</v>
          </cell>
          <cell r="AK880" t="e">
            <v>#DIV/0!</v>
          </cell>
          <cell r="AL880" t="e">
            <v>#DIV/0!</v>
          </cell>
          <cell r="AM880" t="e">
            <v>#DIV/0!</v>
          </cell>
          <cell r="AN880" t="e">
            <v>#DIV/0!</v>
          </cell>
          <cell r="AO880" t="e">
            <v>#REF!</v>
          </cell>
          <cell r="AP880" t="e">
            <v>#REF!</v>
          </cell>
          <cell r="AQ880" t="e">
            <v>#REF!</v>
          </cell>
          <cell r="AR880" t="e">
            <v>#REF!</v>
          </cell>
          <cell r="AS880" t="e">
            <v>#REF!</v>
          </cell>
          <cell r="AT880" t="e">
            <v>#REF!</v>
          </cell>
          <cell r="AU880" t="e">
            <v>#REF!</v>
          </cell>
          <cell r="AV880" t="e">
            <v>#REF!</v>
          </cell>
          <cell r="AW880" t="e">
            <v>#DIV/0!</v>
          </cell>
          <cell r="AX880" t="e">
            <v>#DIV/0!</v>
          </cell>
          <cell r="AY880" t="e">
            <v>#DIV/0!</v>
          </cell>
          <cell r="AZ880" t="e">
            <v>#DIV/0!</v>
          </cell>
          <cell r="BE880" t="e">
            <v>#DIV/0!</v>
          </cell>
          <cell r="BF880" t="e">
            <v>#DIV/0!</v>
          </cell>
        </row>
        <row r="881">
          <cell r="A881" t="str">
            <v>-0</v>
          </cell>
          <cell r="B881" t="str">
            <v xml:space="preserve">-0  , </v>
          </cell>
          <cell r="C881"/>
          <cell r="D881"/>
          <cell r="E881"/>
          <cell r="F881"/>
          <cell r="G881"/>
          <cell r="H881"/>
          <cell r="I881"/>
          <cell r="J881"/>
          <cell r="K881"/>
          <cell r="L881"/>
          <cell r="M881"/>
          <cell r="N881"/>
          <cell r="O881"/>
          <cell r="P881"/>
          <cell r="Q881"/>
          <cell r="R881"/>
          <cell r="S881"/>
          <cell r="T881"/>
          <cell r="U881"/>
          <cell r="V881"/>
          <cell r="W881"/>
          <cell r="X881">
            <v>0</v>
          </cell>
          <cell r="Y881">
            <v>0</v>
          </cell>
          <cell r="Z881">
            <v>0</v>
          </cell>
          <cell r="AA881" t="str">
            <v>,</v>
          </cell>
          <cell r="AB881" t="str">
            <v>,</v>
          </cell>
          <cell r="AC881" t="e">
            <v>#DIV/0!</v>
          </cell>
          <cell r="AD881" t="e">
            <v>#DIV/0!</v>
          </cell>
          <cell r="AE881">
            <v>0.71</v>
          </cell>
          <cell r="AF881">
            <v>94.97</v>
          </cell>
          <cell r="AG881">
            <v>0</v>
          </cell>
          <cell r="AH881" t="e">
            <v>#DIV/0!</v>
          </cell>
          <cell r="AI881" t="e">
            <v>#DIV/0!</v>
          </cell>
          <cell r="AJ881" t="e">
            <v>#DIV/0!</v>
          </cell>
          <cell r="AK881" t="e">
            <v>#DIV/0!</v>
          </cell>
          <cell r="AL881" t="e">
            <v>#DIV/0!</v>
          </cell>
          <cell r="AM881" t="e">
            <v>#DIV/0!</v>
          </cell>
          <cell r="AN881" t="e">
            <v>#DIV/0!</v>
          </cell>
          <cell r="AO881" t="e">
            <v>#REF!</v>
          </cell>
          <cell r="AP881" t="e">
            <v>#REF!</v>
          </cell>
          <cell r="AQ881" t="e">
            <v>#REF!</v>
          </cell>
          <cell r="AR881" t="e">
            <v>#REF!</v>
          </cell>
          <cell r="AS881" t="e">
            <v>#REF!</v>
          </cell>
          <cell r="AT881" t="e">
            <v>#REF!</v>
          </cell>
          <cell r="AU881" t="e">
            <v>#REF!</v>
          </cell>
          <cell r="AV881" t="e">
            <v>#REF!</v>
          </cell>
          <cell r="AW881" t="e">
            <v>#DIV/0!</v>
          </cell>
          <cell r="AX881" t="e">
            <v>#DIV/0!</v>
          </cell>
          <cell r="AY881" t="e">
            <v>#DIV/0!</v>
          </cell>
          <cell r="AZ881" t="e">
            <v>#DIV/0!</v>
          </cell>
          <cell r="BE881" t="e">
            <v>#DIV/0!</v>
          </cell>
          <cell r="BF881" t="e">
            <v>#DIV/0!</v>
          </cell>
        </row>
        <row r="882">
          <cell r="A882" t="str">
            <v>-0</v>
          </cell>
          <cell r="B882" t="str">
            <v xml:space="preserve">-0  , </v>
          </cell>
          <cell r="C882"/>
          <cell r="D882"/>
          <cell r="E882"/>
          <cell r="F882"/>
          <cell r="G882"/>
          <cell r="H882"/>
          <cell r="I882"/>
          <cell r="J882"/>
          <cell r="K882"/>
          <cell r="L882"/>
          <cell r="M882"/>
          <cell r="N882"/>
          <cell r="O882"/>
          <cell r="P882"/>
          <cell r="Q882"/>
          <cell r="R882"/>
          <cell r="S882"/>
          <cell r="T882"/>
          <cell r="U882"/>
          <cell r="V882"/>
          <cell r="W882"/>
          <cell r="X882">
            <v>0</v>
          </cell>
          <cell r="Y882">
            <v>0</v>
          </cell>
          <cell r="Z882">
            <v>0</v>
          </cell>
          <cell r="AA882" t="str">
            <v>,</v>
          </cell>
          <cell r="AB882" t="str">
            <v>,</v>
          </cell>
          <cell r="AC882" t="e">
            <v>#DIV/0!</v>
          </cell>
          <cell r="AD882" t="e">
            <v>#DIV/0!</v>
          </cell>
          <cell r="AE882">
            <v>0.71</v>
          </cell>
          <cell r="AF882">
            <v>94.97</v>
          </cell>
          <cell r="AG882">
            <v>0</v>
          </cell>
          <cell r="AH882" t="e">
            <v>#DIV/0!</v>
          </cell>
          <cell r="AI882" t="e">
            <v>#DIV/0!</v>
          </cell>
          <cell r="AJ882" t="e">
            <v>#DIV/0!</v>
          </cell>
          <cell r="AK882" t="e">
            <v>#DIV/0!</v>
          </cell>
          <cell r="AL882" t="e">
            <v>#DIV/0!</v>
          </cell>
          <cell r="AM882" t="e">
            <v>#DIV/0!</v>
          </cell>
          <cell r="AN882" t="e">
            <v>#DIV/0!</v>
          </cell>
          <cell r="AO882" t="e">
            <v>#REF!</v>
          </cell>
          <cell r="AP882" t="e">
            <v>#REF!</v>
          </cell>
          <cell r="AQ882" t="e">
            <v>#REF!</v>
          </cell>
          <cell r="AR882" t="e">
            <v>#REF!</v>
          </cell>
          <cell r="AS882" t="e">
            <v>#REF!</v>
          </cell>
          <cell r="AT882" t="e">
            <v>#REF!</v>
          </cell>
          <cell r="AU882" t="e">
            <v>#REF!</v>
          </cell>
          <cell r="AV882" t="e">
            <v>#REF!</v>
          </cell>
          <cell r="AW882" t="e">
            <v>#DIV/0!</v>
          </cell>
          <cell r="AX882" t="e">
            <v>#DIV/0!</v>
          </cell>
          <cell r="AY882" t="e">
            <v>#DIV/0!</v>
          </cell>
          <cell r="AZ882" t="e">
            <v>#DIV/0!</v>
          </cell>
          <cell r="BE882" t="e">
            <v>#DIV/0!</v>
          </cell>
          <cell r="BF882" t="e">
            <v>#DIV/0!</v>
          </cell>
        </row>
        <row r="883">
          <cell r="A883" t="str">
            <v>-0</v>
          </cell>
          <cell r="B883" t="str">
            <v xml:space="preserve">-0  , </v>
          </cell>
          <cell r="C883"/>
          <cell r="D883"/>
          <cell r="E883"/>
          <cell r="F883"/>
          <cell r="G883"/>
          <cell r="H883"/>
          <cell r="I883"/>
          <cell r="J883"/>
          <cell r="K883"/>
          <cell r="L883"/>
          <cell r="M883"/>
          <cell r="N883"/>
          <cell r="O883"/>
          <cell r="P883"/>
          <cell r="Q883"/>
          <cell r="R883"/>
          <cell r="S883"/>
          <cell r="T883"/>
          <cell r="U883"/>
          <cell r="V883"/>
          <cell r="W883"/>
          <cell r="X883">
            <v>0</v>
          </cell>
          <cell r="Y883">
            <v>0</v>
          </cell>
          <cell r="Z883">
            <v>0</v>
          </cell>
          <cell r="AA883" t="str">
            <v>,</v>
          </cell>
          <cell r="AB883" t="str">
            <v>,</v>
          </cell>
          <cell r="AC883" t="e">
            <v>#DIV/0!</v>
          </cell>
          <cell r="AD883" t="e">
            <v>#DIV/0!</v>
          </cell>
          <cell r="AE883">
            <v>0.71</v>
          </cell>
          <cell r="AF883">
            <v>94.97</v>
          </cell>
          <cell r="AG883">
            <v>0</v>
          </cell>
          <cell r="AH883" t="e">
            <v>#DIV/0!</v>
          </cell>
          <cell r="AI883" t="e">
            <v>#DIV/0!</v>
          </cell>
          <cell r="AJ883" t="e">
            <v>#DIV/0!</v>
          </cell>
          <cell r="AK883" t="e">
            <v>#DIV/0!</v>
          </cell>
          <cell r="AL883" t="e">
            <v>#DIV/0!</v>
          </cell>
          <cell r="AM883" t="e">
            <v>#DIV/0!</v>
          </cell>
          <cell r="AN883" t="e">
            <v>#DIV/0!</v>
          </cell>
          <cell r="AO883" t="e">
            <v>#REF!</v>
          </cell>
          <cell r="AP883" t="e">
            <v>#REF!</v>
          </cell>
          <cell r="AQ883" t="e">
            <v>#REF!</v>
          </cell>
          <cell r="AR883" t="e">
            <v>#REF!</v>
          </cell>
          <cell r="AS883" t="e">
            <v>#REF!</v>
          </cell>
          <cell r="AT883" t="e">
            <v>#REF!</v>
          </cell>
          <cell r="AU883" t="e">
            <v>#REF!</v>
          </cell>
          <cell r="AV883" t="e">
            <v>#REF!</v>
          </cell>
          <cell r="AW883" t="e">
            <v>#DIV/0!</v>
          </cell>
          <cell r="AX883" t="e">
            <v>#DIV/0!</v>
          </cell>
          <cell r="AY883" t="e">
            <v>#DIV/0!</v>
          </cell>
          <cell r="AZ883" t="e">
            <v>#DIV/0!</v>
          </cell>
          <cell r="BE883" t="e">
            <v>#DIV/0!</v>
          </cell>
          <cell r="BF883" t="e">
            <v>#DIV/0!</v>
          </cell>
        </row>
        <row r="884">
          <cell r="A884" t="str">
            <v>-0</v>
          </cell>
          <cell r="B884" t="str">
            <v xml:space="preserve">-0  , </v>
          </cell>
          <cell r="C884"/>
          <cell r="D884"/>
          <cell r="E884"/>
          <cell r="F884"/>
          <cell r="G884"/>
          <cell r="H884"/>
          <cell r="I884"/>
          <cell r="J884"/>
          <cell r="K884"/>
          <cell r="L884"/>
          <cell r="M884"/>
          <cell r="N884"/>
          <cell r="O884"/>
          <cell r="P884"/>
          <cell r="Q884"/>
          <cell r="R884"/>
          <cell r="S884"/>
          <cell r="T884"/>
          <cell r="U884"/>
          <cell r="V884"/>
          <cell r="W884"/>
          <cell r="X884">
            <v>0</v>
          </cell>
          <cell r="Y884">
            <v>0</v>
          </cell>
          <cell r="Z884">
            <v>0</v>
          </cell>
          <cell r="AA884" t="str">
            <v>,</v>
          </cell>
          <cell r="AB884" t="str">
            <v>,</v>
          </cell>
          <cell r="AC884" t="e">
            <v>#DIV/0!</v>
          </cell>
          <cell r="AD884" t="e">
            <v>#DIV/0!</v>
          </cell>
          <cell r="AE884">
            <v>0.71</v>
          </cell>
          <cell r="AF884">
            <v>94.97</v>
          </cell>
          <cell r="AG884">
            <v>0</v>
          </cell>
          <cell r="AH884" t="e">
            <v>#DIV/0!</v>
          </cell>
          <cell r="AI884" t="e">
            <v>#DIV/0!</v>
          </cell>
          <cell r="AJ884" t="e">
            <v>#DIV/0!</v>
          </cell>
          <cell r="AK884" t="e">
            <v>#DIV/0!</v>
          </cell>
          <cell r="AL884" t="e">
            <v>#DIV/0!</v>
          </cell>
          <cell r="AM884" t="e">
            <v>#DIV/0!</v>
          </cell>
          <cell r="AN884" t="e">
            <v>#DIV/0!</v>
          </cell>
          <cell r="AO884" t="e">
            <v>#REF!</v>
          </cell>
          <cell r="AP884" t="e">
            <v>#REF!</v>
          </cell>
          <cell r="AQ884" t="e">
            <v>#REF!</v>
          </cell>
          <cell r="AR884" t="e">
            <v>#REF!</v>
          </cell>
          <cell r="AS884" t="e">
            <v>#REF!</v>
          </cell>
          <cell r="AT884" t="e">
            <v>#REF!</v>
          </cell>
          <cell r="AU884" t="e">
            <v>#REF!</v>
          </cell>
          <cell r="AV884" t="e">
            <v>#REF!</v>
          </cell>
          <cell r="AW884" t="e">
            <v>#DIV/0!</v>
          </cell>
          <cell r="AX884" t="e">
            <v>#DIV/0!</v>
          </cell>
          <cell r="AY884" t="e">
            <v>#DIV/0!</v>
          </cell>
          <cell r="AZ884" t="e">
            <v>#DIV/0!</v>
          </cell>
          <cell r="BE884" t="e">
            <v>#DIV/0!</v>
          </cell>
          <cell r="BF884" t="e">
            <v>#DIV/0!</v>
          </cell>
        </row>
        <row r="885">
          <cell r="A885" t="str">
            <v>-0</v>
          </cell>
          <cell r="B885" t="str">
            <v xml:space="preserve">-0  , </v>
          </cell>
          <cell r="C885"/>
          <cell r="D885"/>
          <cell r="E885"/>
          <cell r="F885"/>
          <cell r="G885"/>
          <cell r="H885"/>
          <cell r="I885"/>
          <cell r="J885"/>
          <cell r="K885"/>
          <cell r="L885"/>
          <cell r="M885"/>
          <cell r="N885"/>
          <cell r="O885"/>
          <cell r="P885"/>
          <cell r="Q885"/>
          <cell r="R885"/>
          <cell r="S885"/>
          <cell r="T885"/>
          <cell r="U885"/>
          <cell r="V885"/>
          <cell r="W885"/>
          <cell r="X885">
            <v>0</v>
          </cell>
          <cell r="Y885">
            <v>0</v>
          </cell>
          <cell r="Z885">
            <v>0</v>
          </cell>
          <cell r="AA885" t="str">
            <v>,</v>
          </cell>
          <cell r="AB885" t="str">
            <v>,</v>
          </cell>
          <cell r="AC885" t="e">
            <v>#DIV/0!</v>
          </cell>
          <cell r="AD885" t="e">
            <v>#DIV/0!</v>
          </cell>
          <cell r="AE885">
            <v>0.71</v>
          </cell>
          <cell r="AF885">
            <v>94.97</v>
          </cell>
          <cell r="AG885">
            <v>0</v>
          </cell>
          <cell r="AH885" t="e">
            <v>#DIV/0!</v>
          </cell>
          <cell r="AI885" t="e">
            <v>#DIV/0!</v>
          </cell>
          <cell r="AJ885" t="e">
            <v>#DIV/0!</v>
          </cell>
          <cell r="AK885" t="e">
            <v>#DIV/0!</v>
          </cell>
          <cell r="AL885" t="e">
            <v>#DIV/0!</v>
          </cell>
          <cell r="AM885" t="e">
            <v>#DIV/0!</v>
          </cell>
          <cell r="AN885" t="e">
            <v>#DIV/0!</v>
          </cell>
          <cell r="AO885" t="e">
            <v>#REF!</v>
          </cell>
          <cell r="AP885" t="e">
            <v>#REF!</v>
          </cell>
          <cell r="AQ885" t="e">
            <v>#REF!</v>
          </cell>
          <cell r="AR885" t="e">
            <v>#REF!</v>
          </cell>
          <cell r="AS885" t="e">
            <v>#REF!</v>
          </cell>
          <cell r="AT885" t="e">
            <v>#REF!</v>
          </cell>
          <cell r="AU885" t="e">
            <v>#REF!</v>
          </cell>
          <cell r="AV885" t="e">
            <v>#REF!</v>
          </cell>
          <cell r="AW885" t="e">
            <v>#DIV/0!</v>
          </cell>
          <cell r="AX885" t="e">
            <v>#DIV/0!</v>
          </cell>
          <cell r="AY885" t="e">
            <v>#DIV/0!</v>
          </cell>
          <cell r="AZ885" t="e">
            <v>#DIV/0!</v>
          </cell>
          <cell r="BE885" t="e">
            <v>#DIV/0!</v>
          </cell>
          <cell r="BF885" t="e">
            <v>#DIV/0!</v>
          </cell>
        </row>
        <row r="886">
          <cell r="A886" t="str">
            <v>-0</v>
          </cell>
          <cell r="B886" t="str">
            <v xml:space="preserve">-0  , </v>
          </cell>
          <cell r="C886"/>
          <cell r="D886"/>
          <cell r="E886"/>
          <cell r="F886"/>
          <cell r="G886"/>
          <cell r="H886"/>
          <cell r="I886"/>
          <cell r="J886"/>
          <cell r="K886"/>
          <cell r="L886"/>
          <cell r="M886"/>
          <cell r="N886"/>
          <cell r="O886"/>
          <cell r="P886"/>
          <cell r="Q886"/>
          <cell r="R886"/>
          <cell r="S886"/>
          <cell r="T886"/>
          <cell r="U886"/>
          <cell r="V886"/>
          <cell r="W886"/>
          <cell r="X886">
            <v>0</v>
          </cell>
          <cell r="Y886">
            <v>0</v>
          </cell>
          <cell r="Z886">
            <v>0</v>
          </cell>
          <cell r="AA886" t="str">
            <v>,</v>
          </cell>
          <cell r="AB886" t="str">
            <v>,</v>
          </cell>
          <cell r="AC886" t="e">
            <v>#DIV/0!</v>
          </cell>
          <cell r="AD886" t="e">
            <v>#DIV/0!</v>
          </cell>
          <cell r="AE886">
            <v>0.71</v>
          </cell>
          <cell r="AF886">
            <v>94.97</v>
          </cell>
          <cell r="AG886">
            <v>0</v>
          </cell>
          <cell r="AH886" t="e">
            <v>#DIV/0!</v>
          </cell>
          <cell r="AI886" t="e">
            <v>#DIV/0!</v>
          </cell>
          <cell r="AJ886" t="e">
            <v>#DIV/0!</v>
          </cell>
          <cell r="AK886" t="e">
            <v>#DIV/0!</v>
          </cell>
          <cell r="AL886" t="e">
            <v>#DIV/0!</v>
          </cell>
          <cell r="AM886" t="e">
            <v>#DIV/0!</v>
          </cell>
          <cell r="AN886" t="e">
            <v>#DIV/0!</v>
          </cell>
          <cell r="AO886" t="e">
            <v>#REF!</v>
          </cell>
          <cell r="AP886" t="e">
            <v>#REF!</v>
          </cell>
          <cell r="AQ886" t="e">
            <v>#REF!</v>
          </cell>
          <cell r="AR886" t="e">
            <v>#REF!</v>
          </cell>
          <cell r="AS886" t="e">
            <v>#REF!</v>
          </cell>
          <cell r="AT886" t="e">
            <v>#REF!</v>
          </cell>
          <cell r="AU886" t="e">
            <v>#REF!</v>
          </cell>
          <cell r="AV886" t="e">
            <v>#REF!</v>
          </cell>
          <cell r="AW886" t="e">
            <v>#DIV/0!</v>
          </cell>
          <cell r="AX886" t="e">
            <v>#DIV/0!</v>
          </cell>
          <cell r="AY886" t="e">
            <v>#DIV/0!</v>
          </cell>
          <cell r="AZ886" t="e">
            <v>#DIV/0!</v>
          </cell>
          <cell r="BE886" t="e">
            <v>#DIV/0!</v>
          </cell>
          <cell r="BF886" t="e">
            <v>#DIV/0!</v>
          </cell>
        </row>
        <row r="887">
          <cell r="A887" t="str">
            <v>-0</v>
          </cell>
          <cell r="B887" t="str">
            <v xml:space="preserve">-0  , </v>
          </cell>
          <cell r="C887"/>
          <cell r="D887"/>
          <cell r="E887"/>
          <cell r="F887"/>
          <cell r="G887"/>
          <cell r="H887"/>
          <cell r="I887"/>
          <cell r="J887"/>
          <cell r="K887"/>
          <cell r="L887"/>
          <cell r="M887"/>
          <cell r="N887"/>
          <cell r="O887"/>
          <cell r="P887"/>
          <cell r="Q887"/>
          <cell r="R887"/>
          <cell r="S887"/>
          <cell r="T887"/>
          <cell r="U887"/>
          <cell r="V887"/>
          <cell r="W887"/>
          <cell r="X887">
            <v>0</v>
          </cell>
          <cell r="Y887">
            <v>0</v>
          </cell>
          <cell r="Z887">
            <v>0</v>
          </cell>
          <cell r="AA887" t="str">
            <v>,</v>
          </cell>
          <cell r="AB887" t="str">
            <v>,</v>
          </cell>
          <cell r="AC887" t="e">
            <v>#DIV/0!</v>
          </cell>
          <cell r="AD887" t="e">
            <v>#DIV/0!</v>
          </cell>
          <cell r="AE887">
            <v>0.71</v>
          </cell>
          <cell r="AF887">
            <v>94.97</v>
          </cell>
          <cell r="AG887">
            <v>0</v>
          </cell>
          <cell r="AH887" t="e">
            <v>#DIV/0!</v>
          </cell>
          <cell r="AI887" t="e">
            <v>#DIV/0!</v>
          </cell>
          <cell r="AJ887" t="e">
            <v>#DIV/0!</v>
          </cell>
          <cell r="AK887" t="e">
            <v>#DIV/0!</v>
          </cell>
          <cell r="AL887" t="e">
            <v>#DIV/0!</v>
          </cell>
          <cell r="AM887" t="e">
            <v>#DIV/0!</v>
          </cell>
          <cell r="AN887" t="e">
            <v>#DIV/0!</v>
          </cell>
          <cell r="AO887" t="e">
            <v>#REF!</v>
          </cell>
          <cell r="AP887" t="e">
            <v>#REF!</v>
          </cell>
          <cell r="AQ887" t="e">
            <v>#REF!</v>
          </cell>
          <cell r="AR887" t="e">
            <v>#REF!</v>
          </cell>
          <cell r="AS887" t="e">
            <v>#REF!</v>
          </cell>
          <cell r="AT887" t="e">
            <v>#REF!</v>
          </cell>
          <cell r="AU887" t="e">
            <v>#REF!</v>
          </cell>
          <cell r="AV887" t="e">
            <v>#REF!</v>
          </cell>
          <cell r="AW887" t="e">
            <v>#DIV/0!</v>
          </cell>
          <cell r="AX887" t="e">
            <v>#DIV/0!</v>
          </cell>
          <cell r="AY887" t="e">
            <v>#DIV/0!</v>
          </cell>
          <cell r="AZ887" t="e">
            <v>#DIV/0!</v>
          </cell>
          <cell r="BE887" t="e">
            <v>#DIV/0!</v>
          </cell>
          <cell r="BF887" t="e">
            <v>#DIV/0!</v>
          </cell>
        </row>
        <row r="888">
          <cell r="A888" t="str">
            <v>-0</v>
          </cell>
          <cell r="B888" t="str">
            <v xml:space="preserve">-0  , </v>
          </cell>
          <cell r="C888"/>
          <cell r="D888"/>
          <cell r="E888"/>
          <cell r="F888"/>
          <cell r="G888"/>
          <cell r="H888"/>
          <cell r="I888"/>
          <cell r="J888"/>
          <cell r="K888"/>
          <cell r="L888"/>
          <cell r="M888"/>
          <cell r="N888"/>
          <cell r="O888"/>
          <cell r="P888"/>
          <cell r="Q888"/>
          <cell r="R888"/>
          <cell r="S888"/>
          <cell r="T888"/>
          <cell r="U888"/>
          <cell r="V888"/>
          <cell r="W888"/>
          <cell r="X888">
            <v>0</v>
          </cell>
          <cell r="Y888">
            <v>0</v>
          </cell>
          <cell r="Z888">
            <v>0</v>
          </cell>
          <cell r="AA888" t="str">
            <v>,</v>
          </cell>
          <cell r="AB888" t="str">
            <v>,</v>
          </cell>
          <cell r="AC888" t="e">
            <v>#DIV/0!</v>
          </cell>
          <cell r="AD888" t="e">
            <v>#DIV/0!</v>
          </cell>
          <cell r="AE888">
            <v>0.71</v>
          </cell>
          <cell r="AF888">
            <v>94.97</v>
          </cell>
          <cell r="AG888">
            <v>0</v>
          </cell>
          <cell r="AH888" t="e">
            <v>#DIV/0!</v>
          </cell>
          <cell r="AI888" t="e">
            <v>#DIV/0!</v>
          </cell>
          <cell r="AJ888" t="e">
            <v>#DIV/0!</v>
          </cell>
          <cell r="AK888" t="e">
            <v>#DIV/0!</v>
          </cell>
          <cell r="AL888" t="e">
            <v>#DIV/0!</v>
          </cell>
          <cell r="AM888" t="e">
            <v>#DIV/0!</v>
          </cell>
          <cell r="AN888" t="e">
            <v>#DIV/0!</v>
          </cell>
          <cell r="AO888" t="e">
            <v>#REF!</v>
          </cell>
          <cell r="AP888" t="e">
            <v>#REF!</v>
          </cell>
          <cell r="AQ888" t="e">
            <v>#REF!</v>
          </cell>
          <cell r="AR888" t="e">
            <v>#REF!</v>
          </cell>
          <cell r="AS888" t="e">
            <v>#REF!</v>
          </cell>
          <cell r="AT888" t="e">
            <v>#REF!</v>
          </cell>
          <cell r="AU888" t="e">
            <v>#REF!</v>
          </cell>
          <cell r="AV888" t="e">
            <v>#REF!</v>
          </cell>
          <cell r="AW888" t="e">
            <v>#DIV/0!</v>
          </cell>
          <cell r="AX888" t="e">
            <v>#DIV/0!</v>
          </cell>
          <cell r="AY888" t="e">
            <v>#DIV/0!</v>
          </cell>
          <cell r="AZ888" t="e">
            <v>#DIV/0!</v>
          </cell>
          <cell r="BE888" t="e">
            <v>#DIV/0!</v>
          </cell>
          <cell r="BF888" t="e">
            <v>#DIV/0!</v>
          </cell>
        </row>
        <row r="889">
          <cell r="A889" t="str">
            <v>-0</v>
          </cell>
          <cell r="B889" t="str">
            <v xml:space="preserve">-0  , </v>
          </cell>
          <cell r="C889"/>
          <cell r="D889"/>
          <cell r="E889"/>
          <cell r="F889"/>
          <cell r="G889"/>
          <cell r="H889"/>
          <cell r="I889"/>
          <cell r="J889"/>
          <cell r="K889"/>
          <cell r="L889"/>
          <cell r="M889"/>
          <cell r="N889"/>
          <cell r="O889"/>
          <cell r="P889"/>
          <cell r="Q889"/>
          <cell r="R889"/>
          <cell r="S889"/>
          <cell r="T889"/>
          <cell r="U889"/>
          <cell r="V889"/>
          <cell r="W889"/>
          <cell r="X889">
            <v>0</v>
          </cell>
          <cell r="Y889">
            <v>0</v>
          </cell>
          <cell r="Z889">
            <v>0</v>
          </cell>
          <cell r="AA889" t="str">
            <v>,</v>
          </cell>
          <cell r="AB889" t="str">
            <v>,</v>
          </cell>
          <cell r="AC889" t="e">
            <v>#DIV/0!</v>
          </cell>
          <cell r="AD889" t="e">
            <v>#DIV/0!</v>
          </cell>
          <cell r="AE889">
            <v>0.71</v>
          </cell>
          <cell r="AF889">
            <v>94.97</v>
          </cell>
          <cell r="AG889">
            <v>0</v>
          </cell>
          <cell r="AH889" t="e">
            <v>#DIV/0!</v>
          </cell>
          <cell r="AI889" t="e">
            <v>#DIV/0!</v>
          </cell>
          <cell r="AJ889" t="e">
            <v>#DIV/0!</v>
          </cell>
          <cell r="AK889" t="e">
            <v>#DIV/0!</v>
          </cell>
          <cell r="AL889" t="e">
            <v>#DIV/0!</v>
          </cell>
          <cell r="AM889" t="e">
            <v>#DIV/0!</v>
          </cell>
          <cell r="AN889" t="e">
            <v>#DIV/0!</v>
          </cell>
          <cell r="AO889" t="e">
            <v>#REF!</v>
          </cell>
          <cell r="AP889" t="e">
            <v>#REF!</v>
          </cell>
          <cell r="AQ889" t="e">
            <v>#REF!</v>
          </cell>
          <cell r="AR889" t="e">
            <v>#REF!</v>
          </cell>
          <cell r="AS889" t="e">
            <v>#REF!</v>
          </cell>
          <cell r="AT889" t="e">
            <v>#REF!</v>
          </cell>
          <cell r="AU889" t="e">
            <v>#REF!</v>
          </cell>
          <cell r="AV889" t="e">
            <v>#REF!</v>
          </cell>
          <cell r="AW889" t="e">
            <v>#DIV/0!</v>
          </cell>
          <cell r="AX889" t="e">
            <v>#DIV/0!</v>
          </cell>
          <cell r="AY889" t="e">
            <v>#DIV/0!</v>
          </cell>
          <cell r="AZ889" t="e">
            <v>#DIV/0!</v>
          </cell>
          <cell r="BE889" t="e">
            <v>#DIV/0!</v>
          </cell>
          <cell r="BF889" t="e">
            <v>#DIV/0!</v>
          </cell>
        </row>
        <row r="890">
          <cell r="A890" t="str">
            <v>-0</v>
          </cell>
          <cell r="B890" t="str">
            <v xml:space="preserve">-0  , </v>
          </cell>
          <cell r="C890"/>
          <cell r="D890"/>
          <cell r="E890"/>
          <cell r="F890"/>
          <cell r="G890"/>
          <cell r="H890"/>
          <cell r="I890"/>
          <cell r="J890"/>
          <cell r="K890"/>
          <cell r="L890"/>
          <cell r="M890"/>
          <cell r="N890"/>
          <cell r="O890"/>
          <cell r="P890"/>
          <cell r="Q890"/>
          <cell r="R890"/>
          <cell r="S890"/>
          <cell r="T890"/>
          <cell r="U890"/>
          <cell r="V890"/>
          <cell r="W890"/>
          <cell r="X890">
            <v>0</v>
          </cell>
          <cell r="Y890">
            <v>0</v>
          </cell>
          <cell r="Z890">
            <v>0</v>
          </cell>
          <cell r="AA890" t="str">
            <v>,</v>
          </cell>
          <cell r="AB890" t="str">
            <v>,</v>
          </cell>
          <cell r="AC890" t="e">
            <v>#DIV/0!</v>
          </cell>
          <cell r="AD890" t="e">
            <v>#DIV/0!</v>
          </cell>
          <cell r="AE890">
            <v>0.71</v>
          </cell>
          <cell r="AF890">
            <v>94.97</v>
          </cell>
          <cell r="AG890">
            <v>0</v>
          </cell>
          <cell r="AH890" t="e">
            <v>#DIV/0!</v>
          </cell>
          <cell r="AI890" t="e">
            <v>#DIV/0!</v>
          </cell>
          <cell r="AJ890" t="e">
            <v>#DIV/0!</v>
          </cell>
          <cell r="AK890" t="e">
            <v>#DIV/0!</v>
          </cell>
          <cell r="AL890" t="e">
            <v>#DIV/0!</v>
          </cell>
          <cell r="AM890" t="e">
            <v>#DIV/0!</v>
          </cell>
          <cell r="AN890" t="e">
            <v>#DIV/0!</v>
          </cell>
          <cell r="AO890" t="e">
            <v>#REF!</v>
          </cell>
          <cell r="AP890" t="e">
            <v>#REF!</v>
          </cell>
          <cell r="AQ890" t="e">
            <v>#REF!</v>
          </cell>
          <cell r="AR890" t="e">
            <v>#REF!</v>
          </cell>
          <cell r="AS890" t="e">
            <v>#REF!</v>
          </cell>
          <cell r="AT890" t="e">
            <v>#REF!</v>
          </cell>
          <cell r="AU890" t="e">
            <v>#REF!</v>
          </cell>
          <cell r="AV890" t="e">
            <v>#REF!</v>
          </cell>
          <cell r="AW890" t="e">
            <v>#DIV/0!</v>
          </cell>
          <cell r="AX890" t="e">
            <v>#DIV/0!</v>
          </cell>
          <cell r="AY890" t="e">
            <v>#DIV/0!</v>
          </cell>
          <cell r="AZ890" t="e">
            <v>#DIV/0!</v>
          </cell>
          <cell r="BE890" t="e">
            <v>#DIV/0!</v>
          </cell>
          <cell r="BF890" t="e">
            <v>#DIV/0!</v>
          </cell>
        </row>
        <row r="891">
          <cell r="A891" t="str">
            <v>-0</v>
          </cell>
          <cell r="B891" t="str">
            <v xml:space="preserve">-0  , </v>
          </cell>
          <cell r="C891"/>
          <cell r="D891"/>
          <cell r="E891"/>
          <cell r="F891"/>
          <cell r="G891"/>
          <cell r="H891"/>
          <cell r="I891"/>
          <cell r="J891"/>
          <cell r="K891"/>
          <cell r="L891"/>
          <cell r="M891"/>
          <cell r="N891"/>
          <cell r="O891"/>
          <cell r="P891"/>
          <cell r="Q891"/>
          <cell r="R891"/>
          <cell r="S891"/>
          <cell r="T891"/>
          <cell r="U891"/>
          <cell r="V891"/>
          <cell r="W891"/>
          <cell r="X891">
            <v>0</v>
          </cell>
          <cell r="Y891">
            <v>0</v>
          </cell>
          <cell r="Z891">
            <v>0</v>
          </cell>
          <cell r="AA891" t="str">
            <v>,</v>
          </cell>
          <cell r="AB891" t="str">
            <v>,</v>
          </cell>
          <cell r="AC891" t="e">
            <v>#DIV/0!</v>
          </cell>
          <cell r="AD891" t="e">
            <v>#DIV/0!</v>
          </cell>
          <cell r="AE891">
            <v>0.71</v>
          </cell>
          <cell r="AF891">
            <v>94.97</v>
          </cell>
          <cell r="AG891">
            <v>0</v>
          </cell>
          <cell r="AH891" t="e">
            <v>#DIV/0!</v>
          </cell>
          <cell r="AI891" t="e">
            <v>#DIV/0!</v>
          </cell>
          <cell r="AJ891" t="e">
            <v>#DIV/0!</v>
          </cell>
          <cell r="AK891" t="e">
            <v>#DIV/0!</v>
          </cell>
          <cell r="AL891" t="e">
            <v>#DIV/0!</v>
          </cell>
          <cell r="AM891" t="e">
            <v>#DIV/0!</v>
          </cell>
          <cell r="AN891" t="e">
            <v>#DIV/0!</v>
          </cell>
          <cell r="AO891" t="e">
            <v>#REF!</v>
          </cell>
          <cell r="AP891" t="e">
            <v>#REF!</v>
          </cell>
          <cell r="AQ891" t="e">
            <v>#REF!</v>
          </cell>
          <cell r="AR891" t="e">
            <v>#REF!</v>
          </cell>
          <cell r="AS891" t="e">
            <v>#REF!</v>
          </cell>
          <cell r="AT891" t="e">
            <v>#REF!</v>
          </cell>
          <cell r="AU891" t="e">
            <v>#REF!</v>
          </cell>
          <cell r="AV891" t="e">
            <v>#REF!</v>
          </cell>
          <cell r="AW891" t="e">
            <v>#DIV/0!</v>
          </cell>
          <cell r="AX891" t="e">
            <v>#DIV/0!</v>
          </cell>
          <cell r="AY891" t="e">
            <v>#DIV/0!</v>
          </cell>
          <cell r="AZ891" t="e">
            <v>#DIV/0!</v>
          </cell>
          <cell r="BE891" t="e">
            <v>#DIV/0!</v>
          </cell>
          <cell r="BF891" t="e">
            <v>#DIV/0!</v>
          </cell>
        </row>
        <row r="892">
          <cell r="A892" t="str">
            <v>-0</v>
          </cell>
          <cell r="B892" t="str">
            <v xml:space="preserve">-0  , </v>
          </cell>
          <cell r="C892"/>
          <cell r="D892"/>
          <cell r="E892"/>
          <cell r="F892"/>
          <cell r="G892"/>
          <cell r="H892"/>
          <cell r="I892"/>
          <cell r="J892"/>
          <cell r="K892"/>
          <cell r="L892"/>
          <cell r="M892"/>
          <cell r="N892"/>
          <cell r="O892"/>
          <cell r="P892"/>
          <cell r="Q892"/>
          <cell r="R892"/>
          <cell r="S892"/>
          <cell r="T892"/>
          <cell r="U892"/>
          <cell r="V892"/>
          <cell r="W892"/>
          <cell r="X892">
            <v>0</v>
          </cell>
          <cell r="Y892">
            <v>0</v>
          </cell>
          <cell r="Z892">
            <v>0</v>
          </cell>
          <cell r="AA892" t="str">
            <v>,</v>
          </cell>
          <cell r="AB892" t="str">
            <v>,</v>
          </cell>
          <cell r="AC892" t="e">
            <v>#DIV/0!</v>
          </cell>
          <cell r="AD892" t="e">
            <v>#DIV/0!</v>
          </cell>
          <cell r="AE892">
            <v>0.71</v>
          </cell>
          <cell r="AF892">
            <v>94.97</v>
          </cell>
          <cell r="AG892">
            <v>0</v>
          </cell>
          <cell r="AH892" t="e">
            <v>#DIV/0!</v>
          </cell>
          <cell r="AI892" t="e">
            <v>#DIV/0!</v>
          </cell>
          <cell r="AJ892" t="e">
            <v>#DIV/0!</v>
          </cell>
          <cell r="AK892" t="e">
            <v>#DIV/0!</v>
          </cell>
          <cell r="AL892" t="e">
            <v>#DIV/0!</v>
          </cell>
          <cell r="AM892" t="e">
            <v>#DIV/0!</v>
          </cell>
          <cell r="AN892" t="e">
            <v>#DIV/0!</v>
          </cell>
          <cell r="AO892" t="e">
            <v>#REF!</v>
          </cell>
          <cell r="AP892" t="e">
            <v>#REF!</v>
          </cell>
          <cell r="AQ892" t="e">
            <v>#REF!</v>
          </cell>
          <cell r="AR892" t="e">
            <v>#REF!</v>
          </cell>
          <cell r="AS892" t="e">
            <v>#REF!</v>
          </cell>
          <cell r="AT892" t="e">
            <v>#REF!</v>
          </cell>
          <cell r="AU892" t="e">
            <v>#REF!</v>
          </cell>
          <cell r="AV892" t="e">
            <v>#REF!</v>
          </cell>
          <cell r="AW892" t="e">
            <v>#DIV/0!</v>
          </cell>
          <cell r="AX892" t="e">
            <v>#DIV/0!</v>
          </cell>
          <cell r="AY892" t="e">
            <v>#DIV/0!</v>
          </cell>
          <cell r="AZ892" t="e">
            <v>#DIV/0!</v>
          </cell>
          <cell r="BE892" t="e">
            <v>#DIV/0!</v>
          </cell>
          <cell r="BF892" t="e">
            <v>#DIV/0!</v>
          </cell>
        </row>
        <row r="893">
          <cell r="A893" t="str">
            <v>-0</v>
          </cell>
          <cell r="B893" t="str">
            <v xml:space="preserve">-0  , </v>
          </cell>
          <cell r="C893"/>
          <cell r="D893"/>
          <cell r="E893"/>
          <cell r="F893"/>
          <cell r="G893"/>
          <cell r="H893"/>
          <cell r="I893"/>
          <cell r="J893"/>
          <cell r="K893"/>
          <cell r="L893"/>
          <cell r="M893"/>
          <cell r="N893"/>
          <cell r="O893"/>
          <cell r="P893"/>
          <cell r="Q893"/>
          <cell r="R893"/>
          <cell r="S893"/>
          <cell r="T893"/>
          <cell r="U893"/>
          <cell r="V893"/>
          <cell r="W893"/>
          <cell r="X893">
            <v>0</v>
          </cell>
          <cell r="Y893">
            <v>0</v>
          </cell>
          <cell r="Z893">
            <v>0</v>
          </cell>
          <cell r="AA893" t="str">
            <v>,</v>
          </cell>
          <cell r="AB893" t="str">
            <v>,</v>
          </cell>
          <cell r="AC893" t="e">
            <v>#DIV/0!</v>
          </cell>
          <cell r="AD893" t="e">
            <v>#DIV/0!</v>
          </cell>
          <cell r="AE893">
            <v>0.71</v>
          </cell>
          <cell r="AF893">
            <v>94.97</v>
          </cell>
          <cell r="AG893">
            <v>0</v>
          </cell>
          <cell r="AH893" t="e">
            <v>#DIV/0!</v>
          </cell>
          <cell r="AI893" t="e">
            <v>#DIV/0!</v>
          </cell>
          <cell r="AJ893" t="e">
            <v>#DIV/0!</v>
          </cell>
          <cell r="AK893" t="e">
            <v>#DIV/0!</v>
          </cell>
          <cell r="AL893" t="e">
            <v>#DIV/0!</v>
          </cell>
          <cell r="AM893" t="e">
            <v>#DIV/0!</v>
          </cell>
          <cell r="AN893" t="e">
            <v>#DIV/0!</v>
          </cell>
          <cell r="AO893" t="e">
            <v>#REF!</v>
          </cell>
          <cell r="AP893" t="e">
            <v>#REF!</v>
          </cell>
          <cell r="AQ893" t="e">
            <v>#REF!</v>
          </cell>
          <cell r="AR893" t="e">
            <v>#REF!</v>
          </cell>
          <cell r="AS893" t="e">
            <v>#REF!</v>
          </cell>
          <cell r="AT893" t="e">
            <v>#REF!</v>
          </cell>
          <cell r="AU893" t="e">
            <v>#REF!</v>
          </cell>
          <cell r="AV893" t="e">
            <v>#REF!</v>
          </cell>
          <cell r="AW893" t="e">
            <v>#DIV/0!</v>
          </cell>
          <cell r="AX893" t="e">
            <v>#DIV/0!</v>
          </cell>
          <cell r="AY893" t="e">
            <v>#DIV/0!</v>
          </cell>
          <cell r="AZ893" t="e">
            <v>#DIV/0!</v>
          </cell>
          <cell r="BE893" t="e">
            <v>#DIV/0!</v>
          </cell>
          <cell r="BF893" t="e">
            <v>#DIV/0!</v>
          </cell>
        </row>
        <row r="894">
          <cell r="A894" t="str">
            <v>-0</v>
          </cell>
          <cell r="B894" t="str">
            <v xml:space="preserve">-0  , </v>
          </cell>
          <cell r="C894"/>
          <cell r="D894"/>
          <cell r="E894"/>
          <cell r="F894"/>
          <cell r="G894"/>
          <cell r="H894"/>
          <cell r="I894"/>
          <cell r="J894"/>
          <cell r="K894"/>
          <cell r="L894"/>
          <cell r="M894"/>
          <cell r="N894"/>
          <cell r="O894"/>
          <cell r="P894"/>
          <cell r="Q894"/>
          <cell r="R894"/>
          <cell r="S894"/>
          <cell r="T894"/>
          <cell r="U894"/>
          <cell r="V894"/>
          <cell r="W894"/>
          <cell r="X894">
            <v>0</v>
          </cell>
          <cell r="Y894">
            <v>0</v>
          </cell>
          <cell r="Z894">
            <v>0</v>
          </cell>
          <cell r="AA894" t="str">
            <v>,</v>
          </cell>
          <cell r="AB894" t="str">
            <v>,</v>
          </cell>
          <cell r="AC894" t="e">
            <v>#DIV/0!</v>
          </cell>
          <cell r="AD894" t="e">
            <v>#DIV/0!</v>
          </cell>
          <cell r="AE894">
            <v>0.71</v>
          </cell>
          <cell r="AF894">
            <v>94.97</v>
          </cell>
          <cell r="AG894">
            <v>0</v>
          </cell>
          <cell r="AH894" t="e">
            <v>#DIV/0!</v>
          </cell>
          <cell r="AI894" t="e">
            <v>#DIV/0!</v>
          </cell>
          <cell r="AJ894" t="e">
            <v>#DIV/0!</v>
          </cell>
          <cell r="AK894" t="e">
            <v>#DIV/0!</v>
          </cell>
          <cell r="AL894" t="e">
            <v>#DIV/0!</v>
          </cell>
          <cell r="AM894" t="e">
            <v>#DIV/0!</v>
          </cell>
          <cell r="AN894" t="e">
            <v>#DIV/0!</v>
          </cell>
          <cell r="AO894" t="e">
            <v>#REF!</v>
          </cell>
          <cell r="AP894" t="e">
            <v>#REF!</v>
          </cell>
          <cell r="AQ894" t="e">
            <v>#REF!</v>
          </cell>
          <cell r="AR894" t="e">
            <v>#REF!</v>
          </cell>
          <cell r="AS894" t="e">
            <v>#REF!</v>
          </cell>
          <cell r="AT894" t="e">
            <v>#REF!</v>
          </cell>
          <cell r="AU894" t="e">
            <v>#REF!</v>
          </cell>
          <cell r="AV894" t="e">
            <v>#REF!</v>
          </cell>
          <cell r="AW894" t="e">
            <v>#DIV/0!</v>
          </cell>
          <cell r="AX894" t="e">
            <v>#DIV/0!</v>
          </cell>
          <cell r="AY894" t="e">
            <v>#DIV/0!</v>
          </cell>
          <cell r="AZ894" t="e">
            <v>#DIV/0!</v>
          </cell>
          <cell r="BE894" t="e">
            <v>#DIV/0!</v>
          </cell>
          <cell r="BF894" t="e">
            <v>#DIV/0!</v>
          </cell>
        </row>
        <row r="895">
          <cell r="A895" t="str">
            <v>-0</v>
          </cell>
          <cell r="B895" t="str">
            <v xml:space="preserve">-0  , </v>
          </cell>
          <cell r="C895"/>
          <cell r="D895"/>
          <cell r="E895"/>
          <cell r="F895"/>
          <cell r="G895"/>
          <cell r="H895"/>
          <cell r="I895"/>
          <cell r="J895"/>
          <cell r="K895"/>
          <cell r="L895"/>
          <cell r="M895"/>
          <cell r="N895"/>
          <cell r="O895"/>
          <cell r="P895"/>
          <cell r="Q895"/>
          <cell r="R895"/>
          <cell r="S895"/>
          <cell r="T895"/>
          <cell r="U895"/>
          <cell r="V895"/>
          <cell r="W895"/>
          <cell r="X895">
            <v>0</v>
          </cell>
          <cell r="Y895">
            <v>0</v>
          </cell>
          <cell r="Z895">
            <v>0</v>
          </cell>
          <cell r="AA895" t="str">
            <v>,</v>
          </cell>
          <cell r="AB895" t="str">
            <v>,</v>
          </cell>
          <cell r="AC895" t="e">
            <v>#DIV/0!</v>
          </cell>
          <cell r="AD895" t="e">
            <v>#DIV/0!</v>
          </cell>
          <cell r="AE895">
            <v>0.71</v>
          </cell>
          <cell r="AF895">
            <v>94.97</v>
          </cell>
          <cell r="AG895">
            <v>0</v>
          </cell>
          <cell r="AH895" t="e">
            <v>#DIV/0!</v>
          </cell>
          <cell r="AI895" t="e">
            <v>#DIV/0!</v>
          </cell>
          <cell r="AJ895" t="e">
            <v>#DIV/0!</v>
          </cell>
          <cell r="AK895" t="e">
            <v>#DIV/0!</v>
          </cell>
          <cell r="AL895" t="e">
            <v>#DIV/0!</v>
          </cell>
          <cell r="AM895" t="e">
            <v>#DIV/0!</v>
          </cell>
          <cell r="AN895" t="e">
            <v>#DIV/0!</v>
          </cell>
          <cell r="AO895" t="e">
            <v>#REF!</v>
          </cell>
          <cell r="AP895" t="e">
            <v>#REF!</v>
          </cell>
          <cell r="AQ895" t="e">
            <v>#REF!</v>
          </cell>
          <cell r="AR895" t="e">
            <v>#REF!</v>
          </cell>
          <cell r="AS895" t="e">
            <v>#REF!</v>
          </cell>
          <cell r="AT895" t="e">
            <v>#REF!</v>
          </cell>
          <cell r="AU895" t="e">
            <v>#REF!</v>
          </cell>
          <cell r="AV895" t="e">
            <v>#REF!</v>
          </cell>
          <cell r="AW895" t="e">
            <v>#DIV/0!</v>
          </cell>
          <cell r="AX895" t="e">
            <v>#DIV/0!</v>
          </cell>
          <cell r="AY895" t="e">
            <v>#DIV/0!</v>
          </cell>
          <cell r="AZ895" t="e">
            <v>#DIV/0!</v>
          </cell>
          <cell r="BE895" t="e">
            <v>#DIV/0!</v>
          </cell>
          <cell r="BF895" t="e">
            <v>#DIV/0!</v>
          </cell>
        </row>
        <row r="896">
          <cell r="A896" t="str">
            <v>-0</v>
          </cell>
          <cell r="B896" t="str">
            <v xml:space="preserve">-0  , </v>
          </cell>
          <cell r="C896"/>
          <cell r="D896"/>
          <cell r="E896"/>
          <cell r="F896"/>
          <cell r="G896"/>
          <cell r="H896"/>
          <cell r="I896"/>
          <cell r="J896"/>
          <cell r="K896"/>
          <cell r="L896"/>
          <cell r="M896"/>
          <cell r="N896"/>
          <cell r="O896"/>
          <cell r="P896"/>
          <cell r="Q896"/>
          <cell r="R896"/>
          <cell r="S896"/>
          <cell r="T896"/>
          <cell r="U896"/>
          <cell r="V896"/>
          <cell r="W896"/>
          <cell r="X896">
            <v>0</v>
          </cell>
          <cell r="Y896">
            <v>0</v>
          </cell>
          <cell r="Z896">
            <v>0</v>
          </cell>
          <cell r="AA896" t="str">
            <v>,</v>
          </cell>
          <cell r="AB896" t="str">
            <v>,</v>
          </cell>
          <cell r="AC896" t="e">
            <v>#DIV/0!</v>
          </cell>
          <cell r="AD896" t="e">
            <v>#DIV/0!</v>
          </cell>
          <cell r="AE896">
            <v>0.71</v>
          </cell>
          <cell r="AF896">
            <v>94.97</v>
          </cell>
          <cell r="AG896">
            <v>0</v>
          </cell>
          <cell r="AH896" t="e">
            <v>#DIV/0!</v>
          </cell>
          <cell r="AI896" t="e">
            <v>#DIV/0!</v>
          </cell>
          <cell r="AJ896" t="e">
            <v>#DIV/0!</v>
          </cell>
          <cell r="AK896" t="e">
            <v>#DIV/0!</v>
          </cell>
          <cell r="AL896" t="e">
            <v>#DIV/0!</v>
          </cell>
          <cell r="AM896" t="e">
            <v>#DIV/0!</v>
          </cell>
          <cell r="AN896" t="e">
            <v>#DIV/0!</v>
          </cell>
          <cell r="AO896" t="e">
            <v>#REF!</v>
          </cell>
          <cell r="AP896" t="e">
            <v>#REF!</v>
          </cell>
          <cell r="AQ896" t="e">
            <v>#REF!</v>
          </cell>
          <cell r="AR896" t="e">
            <v>#REF!</v>
          </cell>
          <cell r="AS896" t="e">
            <v>#REF!</v>
          </cell>
          <cell r="AT896" t="e">
            <v>#REF!</v>
          </cell>
          <cell r="AU896" t="e">
            <v>#REF!</v>
          </cell>
          <cell r="AV896" t="e">
            <v>#REF!</v>
          </cell>
          <cell r="AW896" t="e">
            <v>#DIV/0!</v>
          </cell>
          <cell r="AX896" t="e">
            <v>#DIV/0!</v>
          </cell>
          <cell r="AY896" t="e">
            <v>#DIV/0!</v>
          </cell>
          <cell r="AZ896" t="e">
            <v>#DIV/0!</v>
          </cell>
          <cell r="BE896" t="e">
            <v>#DIV/0!</v>
          </cell>
          <cell r="BF896" t="e">
            <v>#DIV/0!</v>
          </cell>
        </row>
        <row r="897">
          <cell r="A897" t="str">
            <v>-0</v>
          </cell>
          <cell r="B897" t="str">
            <v xml:space="preserve">-0  , </v>
          </cell>
          <cell r="C897"/>
          <cell r="D897"/>
          <cell r="E897"/>
          <cell r="F897"/>
          <cell r="G897"/>
          <cell r="H897"/>
          <cell r="I897"/>
          <cell r="J897"/>
          <cell r="K897"/>
          <cell r="L897"/>
          <cell r="M897"/>
          <cell r="N897"/>
          <cell r="O897"/>
          <cell r="P897"/>
          <cell r="Q897"/>
          <cell r="R897"/>
          <cell r="S897"/>
          <cell r="T897"/>
          <cell r="U897"/>
          <cell r="V897"/>
          <cell r="W897"/>
          <cell r="X897">
            <v>0</v>
          </cell>
          <cell r="Y897">
            <v>0</v>
          </cell>
          <cell r="Z897">
            <v>0</v>
          </cell>
          <cell r="AA897" t="str">
            <v>,</v>
          </cell>
          <cell r="AB897" t="str">
            <v>,</v>
          </cell>
          <cell r="AC897" t="e">
            <v>#DIV/0!</v>
          </cell>
          <cell r="AD897" t="e">
            <v>#DIV/0!</v>
          </cell>
          <cell r="AE897">
            <v>0.71</v>
          </cell>
          <cell r="AF897">
            <v>94.97</v>
          </cell>
          <cell r="AG897">
            <v>0</v>
          </cell>
          <cell r="AH897" t="e">
            <v>#DIV/0!</v>
          </cell>
          <cell r="AI897" t="e">
            <v>#DIV/0!</v>
          </cell>
          <cell r="AJ897" t="e">
            <v>#DIV/0!</v>
          </cell>
          <cell r="AK897" t="e">
            <v>#DIV/0!</v>
          </cell>
          <cell r="AL897" t="e">
            <v>#DIV/0!</v>
          </cell>
          <cell r="AM897" t="e">
            <v>#DIV/0!</v>
          </cell>
          <cell r="AN897" t="e">
            <v>#DIV/0!</v>
          </cell>
          <cell r="AO897" t="e">
            <v>#REF!</v>
          </cell>
          <cell r="AP897" t="e">
            <v>#REF!</v>
          </cell>
          <cell r="AQ897" t="e">
            <v>#REF!</v>
          </cell>
          <cell r="AR897" t="e">
            <v>#REF!</v>
          </cell>
          <cell r="AS897" t="e">
            <v>#REF!</v>
          </cell>
          <cell r="AT897" t="e">
            <v>#REF!</v>
          </cell>
          <cell r="AU897" t="e">
            <v>#REF!</v>
          </cell>
          <cell r="AV897" t="e">
            <v>#REF!</v>
          </cell>
          <cell r="AW897" t="e">
            <v>#DIV/0!</v>
          </cell>
          <cell r="AX897" t="e">
            <v>#DIV/0!</v>
          </cell>
          <cell r="AY897" t="e">
            <v>#DIV/0!</v>
          </cell>
          <cell r="AZ897" t="e">
            <v>#DIV/0!</v>
          </cell>
          <cell r="BE897" t="e">
            <v>#DIV/0!</v>
          </cell>
          <cell r="BF897" t="e">
            <v>#DIV/0!</v>
          </cell>
        </row>
        <row r="898">
          <cell r="A898" t="str">
            <v>-0</v>
          </cell>
          <cell r="B898" t="str">
            <v xml:space="preserve">-0  , </v>
          </cell>
          <cell r="C898"/>
          <cell r="D898"/>
          <cell r="E898"/>
          <cell r="F898"/>
          <cell r="G898"/>
          <cell r="H898"/>
          <cell r="I898"/>
          <cell r="J898"/>
          <cell r="K898"/>
          <cell r="L898"/>
          <cell r="M898"/>
          <cell r="N898"/>
          <cell r="O898"/>
          <cell r="P898"/>
          <cell r="Q898"/>
          <cell r="R898"/>
          <cell r="S898"/>
          <cell r="T898"/>
          <cell r="U898"/>
          <cell r="V898"/>
          <cell r="W898"/>
          <cell r="X898">
            <v>0</v>
          </cell>
          <cell r="Y898">
            <v>0</v>
          </cell>
          <cell r="Z898">
            <v>0</v>
          </cell>
          <cell r="AA898" t="str">
            <v>,</v>
          </cell>
          <cell r="AB898" t="str">
            <v>,</v>
          </cell>
          <cell r="AC898" t="e">
            <v>#DIV/0!</v>
          </cell>
          <cell r="AD898" t="e">
            <v>#DIV/0!</v>
          </cell>
          <cell r="AE898">
            <v>0.71</v>
          </cell>
          <cell r="AF898">
            <v>94.97</v>
          </cell>
          <cell r="AG898">
            <v>0</v>
          </cell>
          <cell r="AH898" t="e">
            <v>#DIV/0!</v>
          </cell>
          <cell r="AI898" t="e">
            <v>#DIV/0!</v>
          </cell>
          <cell r="AJ898" t="e">
            <v>#DIV/0!</v>
          </cell>
          <cell r="AK898" t="e">
            <v>#DIV/0!</v>
          </cell>
          <cell r="AL898" t="e">
            <v>#DIV/0!</v>
          </cell>
          <cell r="AM898" t="e">
            <v>#DIV/0!</v>
          </cell>
          <cell r="AN898" t="e">
            <v>#DIV/0!</v>
          </cell>
          <cell r="AO898" t="e">
            <v>#REF!</v>
          </cell>
          <cell r="AP898" t="e">
            <v>#REF!</v>
          </cell>
          <cell r="AQ898" t="e">
            <v>#REF!</v>
          </cell>
          <cell r="AR898" t="e">
            <v>#REF!</v>
          </cell>
          <cell r="AS898" t="e">
            <v>#REF!</v>
          </cell>
          <cell r="AT898" t="e">
            <v>#REF!</v>
          </cell>
          <cell r="AU898" t="e">
            <v>#REF!</v>
          </cell>
          <cell r="AV898" t="e">
            <v>#REF!</v>
          </cell>
          <cell r="AW898" t="e">
            <v>#DIV/0!</v>
          </cell>
          <cell r="AX898" t="e">
            <v>#DIV/0!</v>
          </cell>
          <cell r="AY898" t="e">
            <v>#DIV/0!</v>
          </cell>
          <cell r="AZ898" t="e">
            <v>#DIV/0!</v>
          </cell>
          <cell r="BE898" t="e">
            <v>#DIV/0!</v>
          </cell>
          <cell r="BF898" t="e">
            <v>#DIV/0!</v>
          </cell>
        </row>
        <row r="899">
          <cell r="A899" t="str">
            <v>-0</v>
          </cell>
          <cell r="B899" t="str">
            <v xml:space="preserve">-0  , </v>
          </cell>
          <cell r="C899"/>
          <cell r="D899"/>
          <cell r="E899"/>
          <cell r="F899"/>
          <cell r="G899"/>
          <cell r="H899"/>
          <cell r="I899"/>
          <cell r="J899"/>
          <cell r="K899"/>
          <cell r="L899"/>
          <cell r="M899"/>
          <cell r="N899"/>
          <cell r="O899"/>
          <cell r="P899"/>
          <cell r="Q899"/>
          <cell r="R899"/>
          <cell r="S899"/>
          <cell r="T899"/>
          <cell r="U899"/>
          <cell r="V899"/>
          <cell r="W899"/>
          <cell r="X899">
            <v>0</v>
          </cell>
          <cell r="Y899">
            <v>0</v>
          </cell>
          <cell r="Z899">
            <v>0</v>
          </cell>
          <cell r="AA899" t="str">
            <v>,</v>
          </cell>
          <cell r="AB899" t="str">
            <v>,</v>
          </cell>
          <cell r="AC899" t="e">
            <v>#DIV/0!</v>
          </cell>
          <cell r="AD899" t="e">
            <v>#DIV/0!</v>
          </cell>
          <cell r="AE899">
            <v>0.71</v>
          </cell>
          <cell r="AF899">
            <v>94.97</v>
          </cell>
          <cell r="AG899">
            <v>0</v>
          </cell>
          <cell r="AH899" t="e">
            <v>#DIV/0!</v>
          </cell>
          <cell r="AI899" t="e">
            <v>#DIV/0!</v>
          </cell>
          <cell r="AJ899" t="e">
            <v>#DIV/0!</v>
          </cell>
          <cell r="AK899" t="e">
            <v>#DIV/0!</v>
          </cell>
          <cell r="AL899" t="e">
            <v>#DIV/0!</v>
          </cell>
          <cell r="AM899" t="e">
            <v>#DIV/0!</v>
          </cell>
          <cell r="AN899" t="e">
            <v>#DIV/0!</v>
          </cell>
          <cell r="AO899" t="e">
            <v>#REF!</v>
          </cell>
          <cell r="AP899" t="e">
            <v>#REF!</v>
          </cell>
          <cell r="AQ899" t="e">
            <v>#REF!</v>
          </cell>
          <cell r="AR899" t="e">
            <v>#REF!</v>
          </cell>
          <cell r="AS899" t="e">
            <v>#REF!</v>
          </cell>
          <cell r="AT899" t="e">
            <v>#REF!</v>
          </cell>
          <cell r="AU899" t="e">
            <v>#REF!</v>
          </cell>
          <cell r="AV899" t="e">
            <v>#REF!</v>
          </cell>
          <cell r="AW899" t="e">
            <v>#DIV/0!</v>
          </cell>
          <cell r="AX899" t="e">
            <v>#DIV/0!</v>
          </cell>
          <cell r="AY899" t="e">
            <v>#DIV/0!</v>
          </cell>
          <cell r="AZ899" t="e">
            <v>#DIV/0!</v>
          </cell>
          <cell r="BE899" t="e">
            <v>#DIV/0!</v>
          </cell>
          <cell r="BF899" t="e">
            <v>#DIV/0!</v>
          </cell>
        </row>
        <row r="900">
          <cell r="A900" t="str">
            <v>-0</v>
          </cell>
          <cell r="B900" t="str">
            <v xml:space="preserve">-0  , </v>
          </cell>
          <cell r="C900"/>
          <cell r="D900"/>
          <cell r="E900"/>
          <cell r="F900"/>
          <cell r="G900"/>
          <cell r="H900"/>
          <cell r="I900"/>
          <cell r="J900"/>
          <cell r="K900"/>
          <cell r="L900"/>
          <cell r="M900"/>
          <cell r="N900"/>
          <cell r="O900"/>
          <cell r="P900"/>
          <cell r="Q900"/>
          <cell r="R900"/>
          <cell r="S900"/>
          <cell r="T900"/>
          <cell r="U900"/>
          <cell r="V900"/>
          <cell r="W900"/>
          <cell r="X900">
            <v>0</v>
          </cell>
          <cell r="Y900">
            <v>0</v>
          </cell>
          <cell r="Z900">
            <v>0</v>
          </cell>
          <cell r="AA900" t="str">
            <v>,</v>
          </cell>
          <cell r="AB900" t="str">
            <v>,</v>
          </cell>
          <cell r="AC900" t="e">
            <v>#DIV/0!</v>
          </cell>
          <cell r="AD900" t="e">
            <v>#DIV/0!</v>
          </cell>
          <cell r="AE900">
            <v>0.71</v>
          </cell>
          <cell r="AF900">
            <v>94.97</v>
          </cell>
          <cell r="AG900">
            <v>0</v>
          </cell>
          <cell r="AH900" t="e">
            <v>#DIV/0!</v>
          </cell>
          <cell r="AI900" t="e">
            <v>#DIV/0!</v>
          </cell>
          <cell r="AJ900" t="e">
            <v>#DIV/0!</v>
          </cell>
          <cell r="AK900" t="e">
            <v>#DIV/0!</v>
          </cell>
          <cell r="AL900" t="e">
            <v>#DIV/0!</v>
          </cell>
          <cell r="AM900" t="e">
            <v>#DIV/0!</v>
          </cell>
          <cell r="AN900" t="e">
            <v>#DIV/0!</v>
          </cell>
          <cell r="AO900" t="e">
            <v>#REF!</v>
          </cell>
          <cell r="AP900" t="e">
            <v>#REF!</v>
          </cell>
          <cell r="AQ900" t="e">
            <v>#REF!</v>
          </cell>
          <cell r="AR900" t="e">
            <v>#REF!</v>
          </cell>
          <cell r="AS900" t="e">
            <v>#REF!</v>
          </cell>
          <cell r="AT900" t="e">
            <v>#REF!</v>
          </cell>
          <cell r="AU900" t="e">
            <v>#REF!</v>
          </cell>
          <cell r="AV900" t="e">
            <v>#REF!</v>
          </cell>
          <cell r="AW900" t="e">
            <v>#DIV/0!</v>
          </cell>
          <cell r="AX900" t="e">
            <v>#DIV/0!</v>
          </cell>
          <cell r="AY900" t="e">
            <v>#DIV/0!</v>
          </cell>
          <cell r="AZ900" t="e">
            <v>#DIV/0!</v>
          </cell>
          <cell r="BE900" t="e">
            <v>#DIV/0!</v>
          </cell>
          <cell r="BF900" t="e">
            <v>#DIV/0!</v>
          </cell>
        </row>
        <row r="901">
          <cell r="A901" t="str">
            <v>-0</v>
          </cell>
          <cell r="B901" t="str">
            <v xml:space="preserve">-0  , </v>
          </cell>
          <cell r="C901"/>
          <cell r="D901"/>
          <cell r="E901"/>
          <cell r="F901"/>
          <cell r="G901"/>
          <cell r="H901"/>
          <cell r="I901"/>
          <cell r="J901"/>
          <cell r="K901"/>
          <cell r="L901"/>
          <cell r="M901"/>
          <cell r="N901"/>
          <cell r="O901"/>
          <cell r="P901"/>
          <cell r="Q901"/>
          <cell r="R901"/>
          <cell r="S901"/>
          <cell r="T901"/>
          <cell r="U901"/>
          <cell r="V901"/>
          <cell r="W901"/>
          <cell r="X901">
            <v>0</v>
          </cell>
          <cell r="Y901">
            <v>0</v>
          </cell>
          <cell r="Z901">
            <v>0</v>
          </cell>
          <cell r="AA901" t="str">
            <v>,</v>
          </cell>
          <cell r="AB901" t="str">
            <v>,</v>
          </cell>
          <cell r="AC901" t="e">
            <v>#DIV/0!</v>
          </cell>
          <cell r="AD901" t="e">
            <v>#DIV/0!</v>
          </cell>
          <cell r="AE901">
            <v>0.71</v>
          </cell>
          <cell r="AF901">
            <v>94.97</v>
          </cell>
          <cell r="AG901">
            <v>0</v>
          </cell>
          <cell r="AH901" t="e">
            <v>#DIV/0!</v>
          </cell>
          <cell r="AI901" t="e">
            <v>#DIV/0!</v>
          </cell>
          <cell r="AJ901" t="e">
            <v>#DIV/0!</v>
          </cell>
          <cell r="AK901" t="e">
            <v>#DIV/0!</v>
          </cell>
          <cell r="AL901" t="e">
            <v>#DIV/0!</v>
          </cell>
          <cell r="AM901" t="e">
            <v>#DIV/0!</v>
          </cell>
          <cell r="AN901" t="e">
            <v>#DIV/0!</v>
          </cell>
          <cell r="AO901" t="e">
            <v>#REF!</v>
          </cell>
          <cell r="AP901" t="e">
            <v>#REF!</v>
          </cell>
          <cell r="AQ901" t="e">
            <v>#REF!</v>
          </cell>
          <cell r="AR901" t="e">
            <v>#REF!</v>
          </cell>
          <cell r="AS901" t="e">
            <v>#REF!</v>
          </cell>
          <cell r="AT901" t="e">
            <v>#REF!</v>
          </cell>
          <cell r="AU901" t="e">
            <v>#REF!</v>
          </cell>
          <cell r="AV901" t="e">
            <v>#REF!</v>
          </cell>
          <cell r="AW901" t="e">
            <v>#DIV/0!</v>
          </cell>
          <cell r="AX901" t="e">
            <v>#DIV/0!</v>
          </cell>
          <cell r="AY901" t="e">
            <v>#DIV/0!</v>
          </cell>
          <cell r="AZ901" t="e">
            <v>#DIV/0!</v>
          </cell>
          <cell r="BE901" t="e">
            <v>#DIV/0!</v>
          </cell>
          <cell r="BF901" t="e">
            <v>#DIV/0!</v>
          </cell>
        </row>
        <row r="902">
          <cell r="A902" t="str">
            <v>-0</v>
          </cell>
          <cell r="B902" t="str">
            <v xml:space="preserve">-0  , </v>
          </cell>
          <cell r="C902"/>
          <cell r="D902"/>
          <cell r="E902"/>
          <cell r="F902"/>
          <cell r="G902"/>
          <cell r="H902"/>
          <cell r="I902"/>
          <cell r="J902"/>
          <cell r="K902"/>
          <cell r="L902"/>
          <cell r="M902"/>
          <cell r="N902"/>
          <cell r="O902"/>
          <cell r="P902"/>
          <cell r="Q902"/>
          <cell r="R902"/>
          <cell r="S902"/>
          <cell r="T902"/>
          <cell r="U902"/>
          <cell r="V902"/>
          <cell r="W902"/>
          <cell r="X902">
            <v>0</v>
          </cell>
          <cell r="Y902">
            <v>0</v>
          </cell>
          <cell r="Z902">
            <v>0</v>
          </cell>
          <cell r="AA902" t="str">
            <v>,</v>
          </cell>
          <cell r="AB902" t="str">
            <v>,</v>
          </cell>
          <cell r="AC902" t="e">
            <v>#DIV/0!</v>
          </cell>
          <cell r="AD902" t="e">
            <v>#DIV/0!</v>
          </cell>
          <cell r="AE902">
            <v>0.71</v>
          </cell>
          <cell r="AF902">
            <v>94.97</v>
          </cell>
          <cell r="AG902">
            <v>0</v>
          </cell>
          <cell r="AH902" t="e">
            <v>#DIV/0!</v>
          </cell>
          <cell r="AI902" t="e">
            <v>#DIV/0!</v>
          </cell>
          <cell r="AJ902" t="e">
            <v>#DIV/0!</v>
          </cell>
          <cell r="AK902" t="e">
            <v>#DIV/0!</v>
          </cell>
          <cell r="AL902" t="e">
            <v>#DIV/0!</v>
          </cell>
          <cell r="AM902" t="e">
            <v>#DIV/0!</v>
          </cell>
          <cell r="AN902" t="e">
            <v>#DIV/0!</v>
          </cell>
          <cell r="AO902" t="e">
            <v>#REF!</v>
          </cell>
          <cell r="AP902" t="e">
            <v>#REF!</v>
          </cell>
          <cell r="AQ902" t="e">
            <v>#REF!</v>
          </cell>
          <cell r="AR902" t="e">
            <v>#REF!</v>
          </cell>
          <cell r="AS902" t="e">
            <v>#REF!</v>
          </cell>
          <cell r="AT902" t="e">
            <v>#REF!</v>
          </cell>
          <cell r="AU902" t="e">
            <v>#REF!</v>
          </cell>
          <cell r="AV902" t="e">
            <v>#REF!</v>
          </cell>
          <cell r="AW902" t="e">
            <v>#DIV/0!</v>
          </cell>
          <cell r="AX902" t="e">
            <v>#DIV/0!</v>
          </cell>
          <cell r="AY902" t="e">
            <v>#DIV/0!</v>
          </cell>
          <cell r="AZ902" t="e">
            <v>#DIV/0!</v>
          </cell>
          <cell r="BE902" t="e">
            <v>#DIV/0!</v>
          </cell>
          <cell r="BF902" t="e">
            <v>#DIV/0!</v>
          </cell>
        </row>
        <row r="903">
          <cell r="A903" t="str">
            <v>-0</v>
          </cell>
          <cell r="B903" t="str">
            <v xml:space="preserve">-0  , </v>
          </cell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  <cell r="M903"/>
          <cell r="N903"/>
          <cell r="O903"/>
          <cell r="P903"/>
          <cell r="Q903"/>
          <cell r="R903"/>
          <cell r="S903"/>
          <cell r="T903"/>
          <cell r="U903"/>
          <cell r="V903"/>
          <cell r="W903"/>
          <cell r="X903">
            <v>0</v>
          </cell>
          <cell r="Y903">
            <v>0</v>
          </cell>
          <cell r="Z903">
            <v>0</v>
          </cell>
          <cell r="AA903" t="str">
            <v>,</v>
          </cell>
          <cell r="AB903" t="str">
            <v>,</v>
          </cell>
          <cell r="AC903" t="e">
            <v>#DIV/0!</v>
          </cell>
          <cell r="AD903" t="e">
            <v>#DIV/0!</v>
          </cell>
          <cell r="AE903">
            <v>0.71</v>
          </cell>
          <cell r="AF903">
            <v>94.97</v>
          </cell>
          <cell r="AG903">
            <v>0</v>
          </cell>
          <cell r="AH903" t="e">
            <v>#DIV/0!</v>
          </cell>
          <cell r="AI903" t="e">
            <v>#DIV/0!</v>
          </cell>
          <cell r="AJ903" t="e">
            <v>#DIV/0!</v>
          </cell>
          <cell r="AK903" t="e">
            <v>#DIV/0!</v>
          </cell>
          <cell r="AL903" t="e">
            <v>#DIV/0!</v>
          </cell>
          <cell r="AM903" t="e">
            <v>#DIV/0!</v>
          </cell>
          <cell r="AN903" t="e">
            <v>#DIV/0!</v>
          </cell>
          <cell r="AO903" t="e">
            <v>#REF!</v>
          </cell>
          <cell r="AP903" t="e">
            <v>#REF!</v>
          </cell>
          <cell r="AQ903" t="e">
            <v>#REF!</v>
          </cell>
          <cell r="AR903" t="e">
            <v>#REF!</v>
          </cell>
          <cell r="AS903" t="e">
            <v>#REF!</v>
          </cell>
          <cell r="AT903" t="e">
            <v>#REF!</v>
          </cell>
          <cell r="AU903" t="e">
            <v>#REF!</v>
          </cell>
          <cell r="AV903" t="e">
            <v>#REF!</v>
          </cell>
          <cell r="AW903" t="e">
            <v>#DIV/0!</v>
          </cell>
          <cell r="AX903" t="e">
            <v>#DIV/0!</v>
          </cell>
          <cell r="AY903" t="e">
            <v>#DIV/0!</v>
          </cell>
          <cell r="AZ903" t="e">
            <v>#DIV/0!</v>
          </cell>
          <cell r="BE903" t="e">
            <v>#DIV/0!</v>
          </cell>
          <cell r="BF903" t="e">
            <v>#DIV/0!</v>
          </cell>
        </row>
        <row r="904">
          <cell r="A904" t="str">
            <v>-0</v>
          </cell>
          <cell r="B904" t="str">
            <v xml:space="preserve">-0  , </v>
          </cell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  <cell r="M904"/>
          <cell r="N904"/>
          <cell r="O904"/>
          <cell r="P904"/>
          <cell r="Q904"/>
          <cell r="R904"/>
          <cell r="S904"/>
          <cell r="T904"/>
          <cell r="U904"/>
          <cell r="V904"/>
          <cell r="W904"/>
          <cell r="X904">
            <v>0</v>
          </cell>
          <cell r="Y904">
            <v>0</v>
          </cell>
          <cell r="Z904">
            <v>0</v>
          </cell>
          <cell r="AA904" t="str">
            <v>,</v>
          </cell>
          <cell r="AB904" t="str">
            <v>,</v>
          </cell>
          <cell r="AC904" t="e">
            <v>#DIV/0!</v>
          </cell>
          <cell r="AD904" t="e">
            <v>#DIV/0!</v>
          </cell>
          <cell r="AE904">
            <v>0.71</v>
          </cell>
          <cell r="AF904">
            <v>94.97</v>
          </cell>
          <cell r="AG904">
            <v>0</v>
          </cell>
          <cell r="AH904" t="e">
            <v>#DIV/0!</v>
          </cell>
          <cell r="AI904" t="e">
            <v>#DIV/0!</v>
          </cell>
          <cell r="AJ904" t="e">
            <v>#DIV/0!</v>
          </cell>
          <cell r="AK904" t="e">
            <v>#DIV/0!</v>
          </cell>
          <cell r="AL904" t="e">
            <v>#DIV/0!</v>
          </cell>
          <cell r="AM904" t="e">
            <v>#DIV/0!</v>
          </cell>
          <cell r="AN904" t="e">
            <v>#DIV/0!</v>
          </cell>
          <cell r="AO904" t="e">
            <v>#REF!</v>
          </cell>
          <cell r="AP904" t="e">
            <v>#REF!</v>
          </cell>
          <cell r="AQ904" t="e">
            <v>#REF!</v>
          </cell>
          <cell r="AR904" t="e">
            <v>#REF!</v>
          </cell>
          <cell r="AS904" t="e">
            <v>#REF!</v>
          </cell>
          <cell r="AT904" t="e">
            <v>#REF!</v>
          </cell>
          <cell r="AU904" t="e">
            <v>#REF!</v>
          </cell>
          <cell r="AV904" t="e">
            <v>#REF!</v>
          </cell>
          <cell r="AW904" t="e">
            <v>#DIV/0!</v>
          </cell>
          <cell r="AX904" t="e">
            <v>#DIV/0!</v>
          </cell>
          <cell r="AY904" t="e">
            <v>#DIV/0!</v>
          </cell>
          <cell r="AZ904" t="e">
            <v>#DIV/0!</v>
          </cell>
          <cell r="BE904" t="e">
            <v>#DIV/0!</v>
          </cell>
          <cell r="BF904" t="e">
            <v>#DIV/0!</v>
          </cell>
        </row>
        <row r="905">
          <cell r="A905" t="str">
            <v>-0</v>
          </cell>
          <cell r="B905" t="str">
            <v xml:space="preserve">-0  , </v>
          </cell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  <cell r="M905"/>
          <cell r="N905"/>
          <cell r="O905"/>
          <cell r="P905"/>
          <cell r="Q905"/>
          <cell r="R905"/>
          <cell r="S905"/>
          <cell r="T905"/>
          <cell r="U905"/>
          <cell r="V905"/>
          <cell r="W905"/>
          <cell r="X905">
            <v>0</v>
          </cell>
          <cell r="Y905">
            <v>0</v>
          </cell>
          <cell r="Z905">
            <v>0</v>
          </cell>
          <cell r="AA905" t="str">
            <v>,</v>
          </cell>
          <cell r="AB905" t="str">
            <v>,</v>
          </cell>
          <cell r="AC905" t="e">
            <v>#DIV/0!</v>
          </cell>
          <cell r="AD905" t="e">
            <v>#DIV/0!</v>
          </cell>
          <cell r="AE905">
            <v>0.71</v>
          </cell>
          <cell r="AF905">
            <v>94.97</v>
          </cell>
          <cell r="AG905">
            <v>0</v>
          </cell>
          <cell r="AH905" t="e">
            <v>#DIV/0!</v>
          </cell>
          <cell r="AI905" t="e">
            <v>#DIV/0!</v>
          </cell>
          <cell r="AJ905" t="e">
            <v>#DIV/0!</v>
          </cell>
          <cell r="AK905" t="e">
            <v>#DIV/0!</v>
          </cell>
          <cell r="AL905" t="e">
            <v>#DIV/0!</v>
          </cell>
          <cell r="AM905" t="e">
            <v>#DIV/0!</v>
          </cell>
          <cell r="AN905" t="e">
            <v>#DIV/0!</v>
          </cell>
          <cell r="AO905" t="e">
            <v>#REF!</v>
          </cell>
          <cell r="AP905" t="e">
            <v>#REF!</v>
          </cell>
          <cell r="AQ905" t="e">
            <v>#REF!</v>
          </cell>
          <cell r="AR905" t="e">
            <v>#REF!</v>
          </cell>
          <cell r="AS905" t="e">
            <v>#REF!</v>
          </cell>
          <cell r="AT905" t="e">
            <v>#REF!</v>
          </cell>
          <cell r="AU905" t="e">
            <v>#REF!</v>
          </cell>
          <cell r="AV905" t="e">
            <v>#REF!</v>
          </cell>
          <cell r="AW905" t="e">
            <v>#DIV/0!</v>
          </cell>
          <cell r="AX905" t="e">
            <v>#DIV/0!</v>
          </cell>
          <cell r="AY905" t="e">
            <v>#DIV/0!</v>
          </cell>
          <cell r="AZ905" t="e">
            <v>#DIV/0!</v>
          </cell>
          <cell r="BE905" t="e">
            <v>#DIV/0!</v>
          </cell>
          <cell r="BF905" t="e">
            <v>#DIV/0!</v>
          </cell>
        </row>
        <row r="906">
          <cell r="A906" t="str">
            <v>-0</v>
          </cell>
          <cell r="B906" t="str">
            <v xml:space="preserve">-0  , </v>
          </cell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  <cell r="M906"/>
          <cell r="N906"/>
          <cell r="O906"/>
          <cell r="P906"/>
          <cell r="Q906"/>
          <cell r="R906"/>
          <cell r="S906"/>
          <cell r="T906"/>
          <cell r="U906"/>
          <cell r="V906"/>
          <cell r="W906"/>
          <cell r="X906">
            <v>0</v>
          </cell>
          <cell r="Y906">
            <v>0</v>
          </cell>
          <cell r="Z906">
            <v>0</v>
          </cell>
          <cell r="AA906" t="str">
            <v>,</v>
          </cell>
          <cell r="AB906" t="str">
            <v>,</v>
          </cell>
          <cell r="AC906" t="e">
            <v>#DIV/0!</v>
          </cell>
          <cell r="AD906" t="e">
            <v>#DIV/0!</v>
          </cell>
          <cell r="AE906">
            <v>0.71</v>
          </cell>
          <cell r="AF906">
            <v>94.97</v>
          </cell>
          <cell r="AG906">
            <v>0</v>
          </cell>
          <cell r="AH906" t="e">
            <v>#DIV/0!</v>
          </cell>
          <cell r="AI906" t="e">
            <v>#DIV/0!</v>
          </cell>
          <cell r="AJ906" t="e">
            <v>#DIV/0!</v>
          </cell>
          <cell r="AK906" t="e">
            <v>#DIV/0!</v>
          </cell>
          <cell r="AL906" t="e">
            <v>#DIV/0!</v>
          </cell>
          <cell r="AM906" t="e">
            <v>#DIV/0!</v>
          </cell>
          <cell r="AN906" t="e">
            <v>#DIV/0!</v>
          </cell>
          <cell r="AO906" t="e">
            <v>#REF!</v>
          </cell>
          <cell r="AP906" t="e">
            <v>#REF!</v>
          </cell>
          <cell r="AQ906" t="e">
            <v>#REF!</v>
          </cell>
          <cell r="AR906" t="e">
            <v>#REF!</v>
          </cell>
          <cell r="AS906" t="e">
            <v>#REF!</v>
          </cell>
          <cell r="AT906" t="e">
            <v>#REF!</v>
          </cell>
          <cell r="AU906" t="e">
            <v>#REF!</v>
          </cell>
          <cell r="AV906" t="e">
            <v>#REF!</v>
          </cell>
          <cell r="AW906" t="e">
            <v>#DIV/0!</v>
          </cell>
          <cell r="AX906" t="e">
            <v>#DIV/0!</v>
          </cell>
          <cell r="AY906" t="e">
            <v>#DIV/0!</v>
          </cell>
          <cell r="AZ906" t="e">
            <v>#DIV/0!</v>
          </cell>
          <cell r="BE906" t="e">
            <v>#DIV/0!</v>
          </cell>
          <cell r="BF906" t="e">
            <v>#DIV/0!</v>
          </cell>
        </row>
        <row r="907">
          <cell r="A907" t="str">
            <v>-0</v>
          </cell>
          <cell r="B907" t="str">
            <v xml:space="preserve">-0  , </v>
          </cell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  <cell r="M907"/>
          <cell r="N907"/>
          <cell r="O907"/>
          <cell r="P907"/>
          <cell r="Q907"/>
          <cell r="R907"/>
          <cell r="S907"/>
          <cell r="T907"/>
          <cell r="U907"/>
          <cell r="V907"/>
          <cell r="W907"/>
          <cell r="X907">
            <v>0</v>
          </cell>
          <cell r="Y907">
            <v>0</v>
          </cell>
          <cell r="Z907">
            <v>0</v>
          </cell>
          <cell r="AA907" t="str">
            <v>,</v>
          </cell>
          <cell r="AB907" t="str">
            <v>,</v>
          </cell>
          <cell r="AC907" t="e">
            <v>#DIV/0!</v>
          </cell>
          <cell r="AD907" t="e">
            <v>#DIV/0!</v>
          </cell>
          <cell r="AE907">
            <v>0.71</v>
          </cell>
          <cell r="AF907">
            <v>94.97</v>
          </cell>
          <cell r="AG907">
            <v>0</v>
          </cell>
          <cell r="AH907" t="e">
            <v>#DIV/0!</v>
          </cell>
          <cell r="AI907" t="e">
            <v>#DIV/0!</v>
          </cell>
          <cell r="AJ907" t="e">
            <v>#DIV/0!</v>
          </cell>
          <cell r="AK907" t="e">
            <v>#DIV/0!</v>
          </cell>
          <cell r="AL907" t="e">
            <v>#DIV/0!</v>
          </cell>
          <cell r="AM907" t="e">
            <v>#DIV/0!</v>
          </cell>
          <cell r="AN907" t="e">
            <v>#DIV/0!</v>
          </cell>
          <cell r="AO907" t="e">
            <v>#REF!</v>
          </cell>
          <cell r="AP907" t="e">
            <v>#REF!</v>
          </cell>
          <cell r="AQ907" t="e">
            <v>#REF!</v>
          </cell>
          <cell r="AR907" t="e">
            <v>#REF!</v>
          </cell>
          <cell r="AS907" t="e">
            <v>#REF!</v>
          </cell>
          <cell r="AT907" t="e">
            <v>#REF!</v>
          </cell>
          <cell r="AU907" t="e">
            <v>#REF!</v>
          </cell>
          <cell r="AV907" t="e">
            <v>#REF!</v>
          </cell>
          <cell r="AW907" t="e">
            <v>#DIV/0!</v>
          </cell>
          <cell r="AX907" t="e">
            <v>#DIV/0!</v>
          </cell>
          <cell r="AY907" t="e">
            <v>#DIV/0!</v>
          </cell>
          <cell r="AZ907" t="e">
            <v>#DIV/0!</v>
          </cell>
          <cell r="BE907" t="e">
            <v>#DIV/0!</v>
          </cell>
          <cell r="BF907" t="e">
            <v>#DIV/0!</v>
          </cell>
        </row>
        <row r="908">
          <cell r="A908" t="str">
            <v>-0</v>
          </cell>
          <cell r="B908" t="str">
            <v xml:space="preserve">-0  , </v>
          </cell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  <cell r="M908"/>
          <cell r="N908"/>
          <cell r="O908"/>
          <cell r="P908"/>
          <cell r="Q908"/>
          <cell r="R908"/>
          <cell r="S908"/>
          <cell r="T908"/>
          <cell r="U908"/>
          <cell r="V908"/>
          <cell r="W908"/>
          <cell r="X908">
            <v>0</v>
          </cell>
          <cell r="Y908">
            <v>0</v>
          </cell>
          <cell r="Z908">
            <v>0</v>
          </cell>
          <cell r="AA908" t="str">
            <v>,</v>
          </cell>
          <cell r="AB908" t="str">
            <v>,</v>
          </cell>
          <cell r="AC908" t="e">
            <v>#DIV/0!</v>
          </cell>
          <cell r="AD908" t="e">
            <v>#DIV/0!</v>
          </cell>
          <cell r="AE908">
            <v>0.71</v>
          </cell>
          <cell r="AF908">
            <v>94.97</v>
          </cell>
          <cell r="AG908">
            <v>0</v>
          </cell>
          <cell r="AH908" t="e">
            <v>#DIV/0!</v>
          </cell>
          <cell r="AI908" t="e">
            <v>#DIV/0!</v>
          </cell>
          <cell r="AJ908" t="e">
            <v>#DIV/0!</v>
          </cell>
          <cell r="AK908" t="e">
            <v>#DIV/0!</v>
          </cell>
          <cell r="AL908" t="e">
            <v>#DIV/0!</v>
          </cell>
          <cell r="AM908" t="e">
            <v>#DIV/0!</v>
          </cell>
          <cell r="AN908" t="e">
            <v>#DIV/0!</v>
          </cell>
          <cell r="AO908" t="e">
            <v>#REF!</v>
          </cell>
          <cell r="AP908" t="e">
            <v>#REF!</v>
          </cell>
          <cell r="AQ908" t="e">
            <v>#REF!</v>
          </cell>
          <cell r="AR908" t="e">
            <v>#REF!</v>
          </cell>
          <cell r="AS908" t="e">
            <v>#REF!</v>
          </cell>
          <cell r="AT908" t="e">
            <v>#REF!</v>
          </cell>
          <cell r="AU908" t="e">
            <v>#REF!</v>
          </cell>
          <cell r="AV908" t="e">
            <v>#REF!</v>
          </cell>
          <cell r="AW908" t="e">
            <v>#DIV/0!</v>
          </cell>
          <cell r="AX908" t="e">
            <v>#DIV/0!</v>
          </cell>
          <cell r="AY908" t="e">
            <v>#DIV/0!</v>
          </cell>
          <cell r="AZ908" t="e">
            <v>#DIV/0!</v>
          </cell>
          <cell r="BE908" t="e">
            <v>#DIV/0!</v>
          </cell>
          <cell r="BF908" t="e">
            <v>#DIV/0!</v>
          </cell>
        </row>
        <row r="909">
          <cell r="A909" t="str">
            <v>-0</v>
          </cell>
          <cell r="B909" t="str">
            <v xml:space="preserve">-0  , </v>
          </cell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  <cell r="M909"/>
          <cell r="N909"/>
          <cell r="O909"/>
          <cell r="P909"/>
          <cell r="Q909"/>
          <cell r="R909"/>
          <cell r="S909"/>
          <cell r="T909"/>
          <cell r="U909"/>
          <cell r="V909"/>
          <cell r="W909"/>
          <cell r="X909">
            <v>0</v>
          </cell>
          <cell r="Y909">
            <v>0</v>
          </cell>
          <cell r="Z909">
            <v>0</v>
          </cell>
          <cell r="AA909" t="str">
            <v>,</v>
          </cell>
          <cell r="AB909" t="str">
            <v>,</v>
          </cell>
          <cell r="AC909" t="e">
            <v>#DIV/0!</v>
          </cell>
          <cell r="AD909" t="e">
            <v>#DIV/0!</v>
          </cell>
          <cell r="AE909">
            <v>0.71</v>
          </cell>
          <cell r="AF909">
            <v>94.97</v>
          </cell>
          <cell r="AG909">
            <v>0</v>
          </cell>
          <cell r="AH909" t="e">
            <v>#DIV/0!</v>
          </cell>
          <cell r="AI909" t="e">
            <v>#DIV/0!</v>
          </cell>
          <cell r="AJ909" t="e">
            <v>#DIV/0!</v>
          </cell>
          <cell r="AK909" t="e">
            <v>#DIV/0!</v>
          </cell>
          <cell r="AL909" t="e">
            <v>#DIV/0!</v>
          </cell>
          <cell r="AM909" t="e">
            <v>#DIV/0!</v>
          </cell>
          <cell r="AN909" t="e">
            <v>#DIV/0!</v>
          </cell>
          <cell r="AO909" t="e">
            <v>#REF!</v>
          </cell>
          <cell r="AP909" t="e">
            <v>#REF!</v>
          </cell>
          <cell r="AQ909" t="e">
            <v>#REF!</v>
          </cell>
          <cell r="AR909" t="e">
            <v>#REF!</v>
          </cell>
          <cell r="AS909" t="e">
            <v>#REF!</v>
          </cell>
          <cell r="AT909" t="e">
            <v>#REF!</v>
          </cell>
          <cell r="AU909" t="e">
            <v>#REF!</v>
          </cell>
          <cell r="AV909" t="e">
            <v>#REF!</v>
          </cell>
          <cell r="AW909" t="e">
            <v>#DIV/0!</v>
          </cell>
          <cell r="AX909" t="e">
            <v>#DIV/0!</v>
          </cell>
          <cell r="AY909" t="e">
            <v>#DIV/0!</v>
          </cell>
          <cell r="AZ909" t="e">
            <v>#DIV/0!</v>
          </cell>
          <cell r="BE909" t="e">
            <v>#DIV/0!</v>
          </cell>
          <cell r="BF909" t="e">
            <v>#DIV/0!</v>
          </cell>
        </row>
        <row r="910">
          <cell r="A910" t="str">
            <v>-0</v>
          </cell>
          <cell r="B910" t="str">
            <v xml:space="preserve">-0  , </v>
          </cell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  <cell r="M910"/>
          <cell r="N910"/>
          <cell r="O910"/>
          <cell r="P910"/>
          <cell r="Q910"/>
          <cell r="R910"/>
          <cell r="S910"/>
          <cell r="T910"/>
          <cell r="U910"/>
          <cell r="V910"/>
          <cell r="W910"/>
          <cell r="X910">
            <v>0</v>
          </cell>
          <cell r="Y910">
            <v>0</v>
          </cell>
          <cell r="Z910">
            <v>0</v>
          </cell>
          <cell r="AA910" t="str">
            <v>,</v>
          </cell>
          <cell r="AB910" t="str">
            <v>,</v>
          </cell>
          <cell r="AC910" t="e">
            <v>#DIV/0!</v>
          </cell>
          <cell r="AD910" t="e">
            <v>#DIV/0!</v>
          </cell>
          <cell r="AE910">
            <v>0.71</v>
          </cell>
          <cell r="AF910">
            <v>94.97</v>
          </cell>
          <cell r="AG910">
            <v>0</v>
          </cell>
          <cell r="AH910" t="e">
            <v>#DIV/0!</v>
          </cell>
          <cell r="AI910" t="e">
            <v>#DIV/0!</v>
          </cell>
          <cell r="AJ910" t="e">
            <v>#DIV/0!</v>
          </cell>
          <cell r="AK910" t="e">
            <v>#DIV/0!</v>
          </cell>
          <cell r="AL910" t="e">
            <v>#DIV/0!</v>
          </cell>
          <cell r="AM910" t="e">
            <v>#DIV/0!</v>
          </cell>
          <cell r="AN910" t="e">
            <v>#DIV/0!</v>
          </cell>
          <cell r="AO910" t="e">
            <v>#REF!</v>
          </cell>
          <cell r="AP910" t="e">
            <v>#REF!</v>
          </cell>
          <cell r="AQ910" t="e">
            <v>#REF!</v>
          </cell>
          <cell r="AR910" t="e">
            <v>#REF!</v>
          </cell>
          <cell r="AS910" t="e">
            <v>#REF!</v>
          </cell>
          <cell r="AT910" t="e">
            <v>#REF!</v>
          </cell>
          <cell r="AU910" t="e">
            <v>#REF!</v>
          </cell>
          <cell r="AV910" t="e">
            <v>#REF!</v>
          </cell>
          <cell r="AW910" t="e">
            <v>#DIV/0!</v>
          </cell>
          <cell r="AX910" t="e">
            <v>#DIV/0!</v>
          </cell>
          <cell r="AY910" t="e">
            <v>#DIV/0!</v>
          </cell>
          <cell r="AZ910" t="e">
            <v>#DIV/0!</v>
          </cell>
          <cell r="BE910" t="e">
            <v>#DIV/0!</v>
          </cell>
          <cell r="BF910" t="e">
            <v>#DIV/0!</v>
          </cell>
        </row>
        <row r="911">
          <cell r="A911" t="str">
            <v>-0</v>
          </cell>
          <cell r="B911" t="str">
            <v xml:space="preserve">-0  , </v>
          </cell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  <cell r="M911"/>
          <cell r="N911"/>
          <cell r="O911"/>
          <cell r="P911"/>
          <cell r="Q911"/>
          <cell r="R911"/>
          <cell r="S911"/>
          <cell r="T911"/>
          <cell r="U911"/>
          <cell r="V911"/>
          <cell r="W911"/>
          <cell r="X911">
            <v>0</v>
          </cell>
          <cell r="Y911">
            <v>0</v>
          </cell>
          <cell r="Z911">
            <v>0</v>
          </cell>
          <cell r="AA911" t="str">
            <v>,</v>
          </cell>
          <cell r="AB911" t="str">
            <v>,</v>
          </cell>
          <cell r="AC911" t="e">
            <v>#DIV/0!</v>
          </cell>
          <cell r="AD911" t="e">
            <v>#DIV/0!</v>
          </cell>
          <cell r="AE911">
            <v>0.71</v>
          </cell>
          <cell r="AF911">
            <v>94.97</v>
          </cell>
          <cell r="AG911">
            <v>0</v>
          </cell>
          <cell r="AH911" t="e">
            <v>#DIV/0!</v>
          </cell>
          <cell r="AI911" t="e">
            <v>#DIV/0!</v>
          </cell>
          <cell r="AJ911" t="e">
            <v>#DIV/0!</v>
          </cell>
          <cell r="AK911" t="e">
            <v>#DIV/0!</v>
          </cell>
          <cell r="AL911" t="e">
            <v>#DIV/0!</v>
          </cell>
          <cell r="AM911" t="e">
            <v>#DIV/0!</v>
          </cell>
          <cell r="AN911" t="e">
            <v>#DIV/0!</v>
          </cell>
          <cell r="AO911" t="e">
            <v>#REF!</v>
          </cell>
          <cell r="AP911" t="e">
            <v>#REF!</v>
          </cell>
          <cell r="AQ911" t="e">
            <v>#REF!</v>
          </cell>
          <cell r="AR911" t="e">
            <v>#REF!</v>
          </cell>
          <cell r="AS911" t="e">
            <v>#REF!</v>
          </cell>
          <cell r="AT911" t="e">
            <v>#REF!</v>
          </cell>
          <cell r="AU911" t="e">
            <v>#REF!</v>
          </cell>
          <cell r="AV911" t="e">
            <v>#REF!</v>
          </cell>
          <cell r="AW911" t="e">
            <v>#DIV/0!</v>
          </cell>
          <cell r="AX911" t="e">
            <v>#DIV/0!</v>
          </cell>
          <cell r="AY911" t="e">
            <v>#DIV/0!</v>
          </cell>
          <cell r="AZ911" t="e">
            <v>#DIV/0!</v>
          </cell>
          <cell r="BE911" t="e">
            <v>#DIV/0!</v>
          </cell>
          <cell r="BF911" t="e">
            <v>#DIV/0!</v>
          </cell>
        </row>
        <row r="912">
          <cell r="A912" t="str">
            <v>-0</v>
          </cell>
          <cell r="B912" t="str">
            <v xml:space="preserve">-0  , </v>
          </cell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  <cell r="M912"/>
          <cell r="N912"/>
          <cell r="O912"/>
          <cell r="P912"/>
          <cell r="Q912"/>
          <cell r="R912"/>
          <cell r="S912"/>
          <cell r="T912"/>
          <cell r="U912"/>
          <cell r="V912"/>
          <cell r="W912"/>
          <cell r="X912">
            <v>0</v>
          </cell>
          <cell r="Y912">
            <v>0</v>
          </cell>
          <cell r="Z912">
            <v>0</v>
          </cell>
          <cell r="AA912" t="str">
            <v>,</v>
          </cell>
          <cell r="AB912" t="str">
            <v>,</v>
          </cell>
          <cell r="AC912" t="e">
            <v>#DIV/0!</v>
          </cell>
          <cell r="AD912" t="e">
            <v>#DIV/0!</v>
          </cell>
          <cell r="AE912">
            <v>0.71</v>
          </cell>
          <cell r="AF912">
            <v>94.97</v>
          </cell>
          <cell r="AG912">
            <v>0</v>
          </cell>
          <cell r="AH912" t="e">
            <v>#DIV/0!</v>
          </cell>
          <cell r="AI912" t="e">
            <v>#DIV/0!</v>
          </cell>
          <cell r="AJ912" t="e">
            <v>#DIV/0!</v>
          </cell>
          <cell r="AK912" t="e">
            <v>#DIV/0!</v>
          </cell>
          <cell r="AL912" t="e">
            <v>#DIV/0!</v>
          </cell>
          <cell r="AM912" t="e">
            <v>#DIV/0!</v>
          </cell>
          <cell r="AN912" t="e">
            <v>#DIV/0!</v>
          </cell>
          <cell r="AO912" t="e">
            <v>#REF!</v>
          </cell>
          <cell r="AP912" t="e">
            <v>#REF!</v>
          </cell>
          <cell r="AQ912" t="e">
            <v>#REF!</v>
          </cell>
          <cell r="AR912" t="e">
            <v>#REF!</v>
          </cell>
          <cell r="AS912" t="e">
            <v>#REF!</v>
          </cell>
          <cell r="AT912" t="e">
            <v>#REF!</v>
          </cell>
          <cell r="AU912" t="e">
            <v>#REF!</v>
          </cell>
          <cell r="AV912" t="e">
            <v>#REF!</v>
          </cell>
          <cell r="AW912" t="e">
            <v>#DIV/0!</v>
          </cell>
          <cell r="AX912" t="e">
            <v>#DIV/0!</v>
          </cell>
          <cell r="AY912" t="e">
            <v>#DIV/0!</v>
          </cell>
          <cell r="AZ912" t="e">
            <v>#DIV/0!</v>
          </cell>
          <cell r="BE912" t="e">
            <v>#DIV/0!</v>
          </cell>
          <cell r="BF912" t="e">
            <v>#DIV/0!</v>
          </cell>
        </row>
        <row r="913">
          <cell r="A913" t="str">
            <v>-0</v>
          </cell>
          <cell r="B913" t="str">
            <v xml:space="preserve">-0  , </v>
          </cell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  <cell r="M913"/>
          <cell r="N913"/>
          <cell r="O913"/>
          <cell r="P913"/>
          <cell r="Q913"/>
          <cell r="R913"/>
          <cell r="S913"/>
          <cell r="T913"/>
          <cell r="U913"/>
          <cell r="V913"/>
          <cell r="W913"/>
          <cell r="X913">
            <v>0</v>
          </cell>
          <cell r="Y913">
            <v>0</v>
          </cell>
          <cell r="Z913">
            <v>0</v>
          </cell>
          <cell r="AA913" t="str">
            <v>,</v>
          </cell>
          <cell r="AB913" t="str">
            <v>,</v>
          </cell>
          <cell r="AC913" t="e">
            <v>#DIV/0!</v>
          </cell>
          <cell r="AD913" t="e">
            <v>#DIV/0!</v>
          </cell>
          <cell r="AE913">
            <v>0.71</v>
          </cell>
          <cell r="AF913">
            <v>94.97</v>
          </cell>
          <cell r="AG913">
            <v>0</v>
          </cell>
          <cell r="AH913" t="e">
            <v>#DIV/0!</v>
          </cell>
          <cell r="AI913" t="e">
            <v>#DIV/0!</v>
          </cell>
          <cell r="AJ913" t="e">
            <v>#DIV/0!</v>
          </cell>
          <cell r="AK913" t="e">
            <v>#DIV/0!</v>
          </cell>
          <cell r="AL913" t="e">
            <v>#DIV/0!</v>
          </cell>
          <cell r="AM913" t="e">
            <v>#DIV/0!</v>
          </cell>
          <cell r="AN913" t="e">
            <v>#DIV/0!</v>
          </cell>
          <cell r="AO913" t="e">
            <v>#REF!</v>
          </cell>
          <cell r="AP913" t="e">
            <v>#REF!</v>
          </cell>
          <cell r="AQ913" t="e">
            <v>#REF!</v>
          </cell>
          <cell r="AR913" t="e">
            <v>#REF!</v>
          </cell>
          <cell r="AS913" t="e">
            <v>#REF!</v>
          </cell>
          <cell r="AT913" t="e">
            <v>#REF!</v>
          </cell>
          <cell r="AU913" t="e">
            <v>#REF!</v>
          </cell>
          <cell r="AV913" t="e">
            <v>#REF!</v>
          </cell>
          <cell r="AW913" t="e">
            <v>#DIV/0!</v>
          </cell>
          <cell r="AX913" t="e">
            <v>#DIV/0!</v>
          </cell>
          <cell r="AY913" t="e">
            <v>#DIV/0!</v>
          </cell>
          <cell r="AZ913" t="e">
            <v>#DIV/0!</v>
          </cell>
          <cell r="BE913" t="e">
            <v>#DIV/0!</v>
          </cell>
          <cell r="BF913" t="e">
            <v>#DIV/0!</v>
          </cell>
        </row>
        <row r="914">
          <cell r="A914" t="str">
            <v>-0</v>
          </cell>
          <cell r="B914" t="str">
            <v xml:space="preserve">-0  , </v>
          </cell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  <cell r="M914"/>
          <cell r="N914"/>
          <cell r="O914"/>
          <cell r="P914"/>
          <cell r="Q914"/>
          <cell r="R914"/>
          <cell r="S914"/>
          <cell r="T914"/>
          <cell r="U914"/>
          <cell r="V914"/>
          <cell r="W914"/>
          <cell r="X914">
            <v>0</v>
          </cell>
          <cell r="Y914">
            <v>0</v>
          </cell>
          <cell r="Z914">
            <v>0</v>
          </cell>
          <cell r="AA914" t="str">
            <v>,</v>
          </cell>
          <cell r="AB914" t="str">
            <v>,</v>
          </cell>
          <cell r="AC914" t="e">
            <v>#DIV/0!</v>
          </cell>
          <cell r="AD914" t="e">
            <v>#DIV/0!</v>
          </cell>
          <cell r="AE914">
            <v>0.71</v>
          </cell>
          <cell r="AF914">
            <v>94.97</v>
          </cell>
          <cell r="AG914">
            <v>0</v>
          </cell>
          <cell r="AH914" t="e">
            <v>#DIV/0!</v>
          </cell>
          <cell r="AI914" t="e">
            <v>#DIV/0!</v>
          </cell>
          <cell r="AJ914" t="e">
            <v>#DIV/0!</v>
          </cell>
          <cell r="AK914" t="e">
            <v>#DIV/0!</v>
          </cell>
          <cell r="AL914" t="e">
            <v>#DIV/0!</v>
          </cell>
          <cell r="AM914" t="e">
            <v>#DIV/0!</v>
          </cell>
          <cell r="AN914" t="e">
            <v>#DIV/0!</v>
          </cell>
          <cell r="AO914" t="e">
            <v>#REF!</v>
          </cell>
          <cell r="AP914" t="e">
            <v>#REF!</v>
          </cell>
          <cell r="AQ914" t="e">
            <v>#REF!</v>
          </cell>
          <cell r="AR914" t="e">
            <v>#REF!</v>
          </cell>
          <cell r="AS914" t="e">
            <v>#REF!</v>
          </cell>
          <cell r="AT914" t="e">
            <v>#REF!</v>
          </cell>
          <cell r="AU914" t="e">
            <v>#REF!</v>
          </cell>
          <cell r="AV914" t="e">
            <v>#REF!</v>
          </cell>
          <cell r="AW914" t="e">
            <v>#DIV/0!</v>
          </cell>
          <cell r="AX914" t="e">
            <v>#DIV/0!</v>
          </cell>
          <cell r="AY914" t="e">
            <v>#DIV/0!</v>
          </cell>
          <cell r="AZ914" t="e">
            <v>#DIV/0!</v>
          </cell>
          <cell r="BE914" t="e">
            <v>#DIV/0!</v>
          </cell>
          <cell r="BF914" t="e">
            <v>#DIV/0!</v>
          </cell>
        </row>
        <row r="915">
          <cell r="A915" t="str">
            <v>-0</v>
          </cell>
          <cell r="B915" t="str">
            <v xml:space="preserve">-0  , </v>
          </cell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  <cell r="M915"/>
          <cell r="N915"/>
          <cell r="O915"/>
          <cell r="P915"/>
          <cell r="Q915"/>
          <cell r="R915"/>
          <cell r="S915"/>
          <cell r="T915"/>
          <cell r="U915"/>
          <cell r="V915"/>
          <cell r="W915"/>
          <cell r="X915">
            <v>0</v>
          </cell>
          <cell r="Y915">
            <v>0</v>
          </cell>
          <cell r="Z915">
            <v>0</v>
          </cell>
          <cell r="AA915" t="str">
            <v>,</v>
          </cell>
          <cell r="AB915" t="str">
            <v>,</v>
          </cell>
          <cell r="AC915" t="e">
            <v>#DIV/0!</v>
          </cell>
          <cell r="AD915" t="e">
            <v>#DIV/0!</v>
          </cell>
          <cell r="AE915">
            <v>0.71</v>
          </cell>
          <cell r="AF915">
            <v>94.97</v>
          </cell>
          <cell r="AG915">
            <v>0</v>
          </cell>
          <cell r="AH915" t="e">
            <v>#DIV/0!</v>
          </cell>
          <cell r="AI915" t="e">
            <v>#DIV/0!</v>
          </cell>
          <cell r="AJ915" t="e">
            <v>#DIV/0!</v>
          </cell>
          <cell r="AK915" t="e">
            <v>#DIV/0!</v>
          </cell>
          <cell r="AL915" t="e">
            <v>#DIV/0!</v>
          </cell>
          <cell r="AM915" t="e">
            <v>#DIV/0!</v>
          </cell>
          <cell r="AN915" t="e">
            <v>#DIV/0!</v>
          </cell>
          <cell r="AO915" t="e">
            <v>#REF!</v>
          </cell>
          <cell r="AP915" t="e">
            <v>#REF!</v>
          </cell>
          <cell r="AQ915" t="e">
            <v>#REF!</v>
          </cell>
          <cell r="AR915" t="e">
            <v>#REF!</v>
          </cell>
          <cell r="AS915" t="e">
            <v>#REF!</v>
          </cell>
          <cell r="AT915" t="e">
            <v>#REF!</v>
          </cell>
          <cell r="AU915" t="e">
            <v>#REF!</v>
          </cell>
          <cell r="AV915" t="e">
            <v>#REF!</v>
          </cell>
          <cell r="AW915" t="e">
            <v>#DIV/0!</v>
          </cell>
          <cell r="AX915" t="e">
            <v>#DIV/0!</v>
          </cell>
          <cell r="AY915" t="e">
            <v>#DIV/0!</v>
          </cell>
          <cell r="AZ915" t="e">
            <v>#DIV/0!</v>
          </cell>
          <cell r="BE915" t="e">
            <v>#DIV/0!</v>
          </cell>
          <cell r="BF915" t="e">
            <v>#DIV/0!</v>
          </cell>
        </row>
        <row r="916">
          <cell r="A916" t="str">
            <v>-0</v>
          </cell>
          <cell r="B916" t="str">
            <v xml:space="preserve">-0  , </v>
          </cell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  <cell r="M916"/>
          <cell r="N916"/>
          <cell r="O916"/>
          <cell r="P916"/>
          <cell r="Q916"/>
          <cell r="R916"/>
          <cell r="S916"/>
          <cell r="T916"/>
          <cell r="U916"/>
          <cell r="V916"/>
          <cell r="W916"/>
          <cell r="X916">
            <v>0</v>
          </cell>
          <cell r="Y916">
            <v>0</v>
          </cell>
          <cell r="Z916">
            <v>0</v>
          </cell>
          <cell r="AA916" t="str">
            <v>,</v>
          </cell>
          <cell r="AB916" t="str">
            <v>,</v>
          </cell>
          <cell r="AC916" t="e">
            <v>#DIV/0!</v>
          </cell>
          <cell r="AD916" t="e">
            <v>#DIV/0!</v>
          </cell>
          <cell r="AE916">
            <v>0.71</v>
          </cell>
          <cell r="AF916">
            <v>94.97</v>
          </cell>
          <cell r="AG916">
            <v>0</v>
          </cell>
          <cell r="AH916" t="e">
            <v>#DIV/0!</v>
          </cell>
          <cell r="AI916" t="e">
            <v>#DIV/0!</v>
          </cell>
          <cell r="AJ916" t="e">
            <v>#DIV/0!</v>
          </cell>
          <cell r="AK916" t="e">
            <v>#DIV/0!</v>
          </cell>
          <cell r="AL916" t="e">
            <v>#DIV/0!</v>
          </cell>
          <cell r="AM916" t="e">
            <v>#DIV/0!</v>
          </cell>
          <cell r="AN916" t="e">
            <v>#DIV/0!</v>
          </cell>
          <cell r="AO916" t="e">
            <v>#REF!</v>
          </cell>
          <cell r="AP916" t="e">
            <v>#REF!</v>
          </cell>
          <cell r="AQ916" t="e">
            <v>#REF!</v>
          </cell>
          <cell r="AR916" t="e">
            <v>#REF!</v>
          </cell>
          <cell r="AS916" t="e">
            <v>#REF!</v>
          </cell>
          <cell r="AT916" t="e">
            <v>#REF!</v>
          </cell>
          <cell r="AU916" t="e">
            <v>#REF!</v>
          </cell>
          <cell r="AV916" t="e">
            <v>#REF!</v>
          </cell>
          <cell r="AW916" t="e">
            <v>#DIV/0!</v>
          </cell>
          <cell r="AX916" t="e">
            <v>#DIV/0!</v>
          </cell>
          <cell r="AY916" t="e">
            <v>#DIV/0!</v>
          </cell>
          <cell r="AZ916" t="e">
            <v>#DIV/0!</v>
          </cell>
          <cell r="BE916" t="e">
            <v>#DIV/0!</v>
          </cell>
          <cell r="BF916" t="e">
            <v>#DIV/0!</v>
          </cell>
        </row>
        <row r="917">
          <cell r="A917" t="str">
            <v>-0</v>
          </cell>
          <cell r="B917" t="str">
            <v xml:space="preserve">-0  , </v>
          </cell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  <cell r="M917"/>
          <cell r="N917"/>
          <cell r="O917"/>
          <cell r="P917"/>
          <cell r="Q917"/>
          <cell r="R917"/>
          <cell r="S917"/>
          <cell r="T917"/>
          <cell r="U917"/>
          <cell r="V917"/>
          <cell r="W917"/>
          <cell r="X917">
            <v>0</v>
          </cell>
          <cell r="Y917">
            <v>0</v>
          </cell>
          <cell r="Z917">
            <v>0</v>
          </cell>
          <cell r="AA917" t="str">
            <v>,</v>
          </cell>
          <cell r="AB917" t="str">
            <v>,</v>
          </cell>
          <cell r="AC917" t="e">
            <v>#DIV/0!</v>
          </cell>
          <cell r="AD917" t="e">
            <v>#DIV/0!</v>
          </cell>
          <cell r="AE917">
            <v>0.71</v>
          </cell>
          <cell r="AF917">
            <v>94.97</v>
          </cell>
          <cell r="AG917">
            <v>0</v>
          </cell>
          <cell r="AH917" t="e">
            <v>#DIV/0!</v>
          </cell>
          <cell r="AI917" t="e">
            <v>#DIV/0!</v>
          </cell>
          <cell r="AJ917" t="e">
            <v>#DIV/0!</v>
          </cell>
          <cell r="AK917" t="e">
            <v>#DIV/0!</v>
          </cell>
          <cell r="AL917" t="e">
            <v>#DIV/0!</v>
          </cell>
          <cell r="AM917" t="e">
            <v>#DIV/0!</v>
          </cell>
          <cell r="AN917" t="e">
            <v>#DIV/0!</v>
          </cell>
          <cell r="AO917" t="e">
            <v>#REF!</v>
          </cell>
          <cell r="AP917" t="e">
            <v>#REF!</v>
          </cell>
          <cell r="AQ917" t="e">
            <v>#REF!</v>
          </cell>
          <cell r="AR917" t="e">
            <v>#REF!</v>
          </cell>
          <cell r="AS917" t="e">
            <v>#REF!</v>
          </cell>
          <cell r="AT917" t="e">
            <v>#REF!</v>
          </cell>
          <cell r="AU917" t="e">
            <v>#REF!</v>
          </cell>
          <cell r="AV917" t="e">
            <v>#REF!</v>
          </cell>
          <cell r="AW917" t="e">
            <v>#DIV/0!</v>
          </cell>
          <cell r="AX917" t="e">
            <v>#DIV/0!</v>
          </cell>
          <cell r="AY917" t="e">
            <v>#DIV/0!</v>
          </cell>
          <cell r="AZ917" t="e">
            <v>#DIV/0!</v>
          </cell>
          <cell r="BE917" t="e">
            <v>#DIV/0!</v>
          </cell>
          <cell r="BF917" t="e">
            <v>#DIV/0!</v>
          </cell>
        </row>
        <row r="918">
          <cell r="A918" t="str">
            <v>-0</v>
          </cell>
          <cell r="B918" t="str">
            <v xml:space="preserve">-0  , </v>
          </cell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  <cell r="M918"/>
          <cell r="N918"/>
          <cell r="O918"/>
          <cell r="P918"/>
          <cell r="Q918"/>
          <cell r="R918"/>
          <cell r="S918"/>
          <cell r="T918"/>
          <cell r="U918"/>
          <cell r="V918"/>
          <cell r="W918"/>
          <cell r="X918">
            <v>0</v>
          </cell>
          <cell r="Y918">
            <v>0</v>
          </cell>
          <cell r="Z918">
            <v>0</v>
          </cell>
          <cell r="AA918" t="str">
            <v>,</v>
          </cell>
          <cell r="AB918" t="str">
            <v>,</v>
          </cell>
          <cell r="AC918" t="e">
            <v>#DIV/0!</v>
          </cell>
          <cell r="AD918" t="e">
            <v>#DIV/0!</v>
          </cell>
          <cell r="AE918">
            <v>0.71</v>
          </cell>
          <cell r="AF918">
            <v>94.97</v>
          </cell>
          <cell r="AG918">
            <v>0</v>
          </cell>
          <cell r="AH918" t="e">
            <v>#DIV/0!</v>
          </cell>
          <cell r="AI918" t="e">
            <v>#DIV/0!</v>
          </cell>
          <cell r="AJ918" t="e">
            <v>#DIV/0!</v>
          </cell>
          <cell r="AK918" t="e">
            <v>#DIV/0!</v>
          </cell>
          <cell r="AL918" t="e">
            <v>#DIV/0!</v>
          </cell>
          <cell r="AM918" t="e">
            <v>#DIV/0!</v>
          </cell>
          <cell r="AN918" t="e">
            <v>#DIV/0!</v>
          </cell>
          <cell r="AO918" t="e">
            <v>#REF!</v>
          </cell>
          <cell r="AP918" t="e">
            <v>#REF!</v>
          </cell>
          <cell r="AQ918" t="e">
            <v>#REF!</v>
          </cell>
          <cell r="AR918" t="e">
            <v>#REF!</v>
          </cell>
          <cell r="AS918" t="e">
            <v>#REF!</v>
          </cell>
          <cell r="AT918" t="e">
            <v>#REF!</v>
          </cell>
          <cell r="AU918" t="e">
            <v>#REF!</v>
          </cell>
          <cell r="AV918" t="e">
            <v>#REF!</v>
          </cell>
          <cell r="AW918" t="e">
            <v>#DIV/0!</v>
          </cell>
          <cell r="AX918" t="e">
            <v>#DIV/0!</v>
          </cell>
          <cell r="AY918" t="e">
            <v>#DIV/0!</v>
          </cell>
          <cell r="AZ918" t="e">
            <v>#DIV/0!</v>
          </cell>
          <cell r="BE918" t="e">
            <v>#DIV/0!</v>
          </cell>
          <cell r="BF918" t="e">
            <v>#DIV/0!</v>
          </cell>
        </row>
        <row r="919">
          <cell r="A919" t="str">
            <v>-0</v>
          </cell>
          <cell r="B919" t="str">
            <v xml:space="preserve">-0  , </v>
          </cell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  <cell r="M919"/>
          <cell r="N919"/>
          <cell r="O919"/>
          <cell r="P919"/>
          <cell r="Q919"/>
          <cell r="R919"/>
          <cell r="S919"/>
          <cell r="T919"/>
          <cell r="U919"/>
          <cell r="V919"/>
          <cell r="W919"/>
          <cell r="X919">
            <v>0</v>
          </cell>
          <cell r="Y919">
            <v>0</v>
          </cell>
          <cell r="Z919">
            <v>0</v>
          </cell>
          <cell r="AA919" t="str">
            <v>,</v>
          </cell>
          <cell r="AB919" t="str">
            <v>,</v>
          </cell>
          <cell r="AC919" t="e">
            <v>#DIV/0!</v>
          </cell>
          <cell r="AD919" t="e">
            <v>#DIV/0!</v>
          </cell>
          <cell r="AE919">
            <v>0.71</v>
          </cell>
          <cell r="AF919">
            <v>94.97</v>
          </cell>
          <cell r="AG919">
            <v>0</v>
          </cell>
          <cell r="AH919" t="e">
            <v>#DIV/0!</v>
          </cell>
          <cell r="AI919" t="e">
            <v>#DIV/0!</v>
          </cell>
          <cell r="AJ919" t="e">
            <v>#DIV/0!</v>
          </cell>
          <cell r="AK919" t="e">
            <v>#DIV/0!</v>
          </cell>
          <cell r="AL919" t="e">
            <v>#DIV/0!</v>
          </cell>
          <cell r="AM919" t="e">
            <v>#DIV/0!</v>
          </cell>
          <cell r="AN919" t="e">
            <v>#DIV/0!</v>
          </cell>
          <cell r="AO919" t="e">
            <v>#REF!</v>
          </cell>
          <cell r="AP919" t="e">
            <v>#REF!</v>
          </cell>
          <cell r="AQ919" t="e">
            <v>#REF!</v>
          </cell>
          <cell r="AR919" t="e">
            <v>#REF!</v>
          </cell>
          <cell r="AS919" t="e">
            <v>#REF!</v>
          </cell>
          <cell r="AT919" t="e">
            <v>#REF!</v>
          </cell>
          <cell r="AU919" t="e">
            <v>#REF!</v>
          </cell>
          <cell r="AV919" t="e">
            <v>#REF!</v>
          </cell>
          <cell r="AW919" t="e">
            <v>#DIV/0!</v>
          </cell>
          <cell r="AX919" t="e">
            <v>#DIV/0!</v>
          </cell>
          <cell r="AY919" t="e">
            <v>#DIV/0!</v>
          </cell>
          <cell r="AZ919" t="e">
            <v>#DIV/0!</v>
          </cell>
          <cell r="BE919" t="e">
            <v>#DIV/0!</v>
          </cell>
          <cell r="BF919" t="e">
            <v>#DIV/0!</v>
          </cell>
        </row>
        <row r="920">
          <cell r="A920" t="str">
            <v>-0</v>
          </cell>
          <cell r="B920" t="str">
            <v xml:space="preserve">-0  , </v>
          </cell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  <cell r="M920"/>
          <cell r="N920"/>
          <cell r="O920"/>
          <cell r="P920"/>
          <cell r="Q920"/>
          <cell r="R920"/>
          <cell r="S920"/>
          <cell r="T920"/>
          <cell r="U920"/>
          <cell r="V920"/>
          <cell r="W920"/>
          <cell r="X920">
            <v>0</v>
          </cell>
          <cell r="Y920">
            <v>0</v>
          </cell>
          <cell r="Z920">
            <v>0</v>
          </cell>
          <cell r="AA920" t="str">
            <v>,</v>
          </cell>
          <cell r="AB920" t="str">
            <v>,</v>
          </cell>
          <cell r="AC920" t="e">
            <v>#DIV/0!</v>
          </cell>
          <cell r="AD920" t="e">
            <v>#DIV/0!</v>
          </cell>
          <cell r="AE920">
            <v>0.71</v>
          </cell>
          <cell r="AF920">
            <v>94.97</v>
          </cell>
          <cell r="AG920">
            <v>0</v>
          </cell>
          <cell r="AH920" t="e">
            <v>#DIV/0!</v>
          </cell>
          <cell r="AI920" t="e">
            <v>#DIV/0!</v>
          </cell>
          <cell r="AJ920" t="e">
            <v>#DIV/0!</v>
          </cell>
          <cell r="AK920" t="e">
            <v>#DIV/0!</v>
          </cell>
          <cell r="AL920" t="e">
            <v>#DIV/0!</v>
          </cell>
          <cell r="AM920" t="e">
            <v>#DIV/0!</v>
          </cell>
          <cell r="AN920" t="e">
            <v>#DIV/0!</v>
          </cell>
          <cell r="AO920" t="e">
            <v>#REF!</v>
          </cell>
          <cell r="AP920" t="e">
            <v>#REF!</v>
          </cell>
          <cell r="AQ920" t="e">
            <v>#REF!</v>
          </cell>
          <cell r="AR920" t="e">
            <v>#REF!</v>
          </cell>
          <cell r="AS920" t="e">
            <v>#REF!</v>
          </cell>
          <cell r="AT920" t="e">
            <v>#REF!</v>
          </cell>
          <cell r="AU920" t="e">
            <v>#REF!</v>
          </cell>
          <cell r="AV920" t="e">
            <v>#REF!</v>
          </cell>
          <cell r="AW920" t="e">
            <v>#DIV/0!</v>
          </cell>
          <cell r="AX920" t="e">
            <v>#DIV/0!</v>
          </cell>
          <cell r="AY920" t="e">
            <v>#DIV/0!</v>
          </cell>
          <cell r="AZ920" t="e">
            <v>#DIV/0!</v>
          </cell>
          <cell r="BE920" t="e">
            <v>#DIV/0!</v>
          </cell>
          <cell r="BF920" t="e">
            <v>#DIV/0!</v>
          </cell>
        </row>
        <row r="921">
          <cell r="A921" t="str">
            <v>-0</v>
          </cell>
          <cell r="B921" t="str">
            <v xml:space="preserve">-0  , </v>
          </cell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  <cell r="M921"/>
          <cell r="N921"/>
          <cell r="O921"/>
          <cell r="P921"/>
          <cell r="Q921"/>
          <cell r="R921"/>
          <cell r="S921"/>
          <cell r="T921"/>
          <cell r="U921"/>
          <cell r="V921"/>
          <cell r="W921"/>
          <cell r="X921">
            <v>0</v>
          </cell>
          <cell r="Y921">
            <v>0</v>
          </cell>
          <cell r="Z921">
            <v>0</v>
          </cell>
          <cell r="AA921" t="str">
            <v>,</v>
          </cell>
          <cell r="AB921" t="str">
            <v>,</v>
          </cell>
          <cell r="AC921" t="e">
            <v>#DIV/0!</v>
          </cell>
          <cell r="AD921" t="e">
            <v>#DIV/0!</v>
          </cell>
          <cell r="AE921">
            <v>0.71</v>
          </cell>
          <cell r="AF921">
            <v>94.97</v>
          </cell>
          <cell r="AG921">
            <v>0</v>
          </cell>
          <cell r="AH921" t="e">
            <v>#DIV/0!</v>
          </cell>
          <cell r="AI921" t="e">
            <v>#DIV/0!</v>
          </cell>
          <cell r="AJ921" t="e">
            <v>#DIV/0!</v>
          </cell>
          <cell r="AK921" t="e">
            <v>#DIV/0!</v>
          </cell>
          <cell r="AL921" t="e">
            <v>#DIV/0!</v>
          </cell>
          <cell r="AM921" t="e">
            <v>#DIV/0!</v>
          </cell>
          <cell r="AN921" t="e">
            <v>#DIV/0!</v>
          </cell>
          <cell r="AO921" t="e">
            <v>#REF!</v>
          </cell>
          <cell r="AP921" t="e">
            <v>#REF!</v>
          </cell>
          <cell r="AQ921" t="e">
            <v>#REF!</v>
          </cell>
          <cell r="AR921" t="e">
            <v>#REF!</v>
          </cell>
          <cell r="AS921" t="e">
            <v>#REF!</v>
          </cell>
          <cell r="AT921" t="e">
            <v>#REF!</v>
          </cell>
          <cell r="AU921" t="e">
            <v>#REF!</v>
          </cell>
          <cell r="AV921" t="e">
            <v>#REF!</v>
          </cell>
          <cell r="AW921" t="e">
            <v>#DIV/0!</v>
          </cell>
          <cell r="AX921" t="e">
            <v>#DIV/0!</v>
          </cell>
          <cell r="AY921" t="e">
            <v>#DIV/0!</v>
          </cell>
          <cell r="AZ921" t="e">
            <v>#DIV/0!</v>
          </cell>
          <cell r="BE921" t="e">
            <v>#DIV/0!</v>
          </cell>
          <cell r="BF921" t="e">
            <v>#DIV/0!</v>
          </cell>
        </row>
        <row r="922">
          <cell r="A922" t="str">
            <v>-0</v>
          </cell>
          <cell r="B922" t="str">
            <v xml:space="preserve">-0  , </v>
          </cell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  <cell r="M922"/>
          <cell r="N922"/>
          <cell r="O922"/>
          <cell r="P922"/>
          <cell r="Q922"/>
          <cell r="R922"/>
          <cell r="S922"/>
          <cell r="T922"/>
          <cell r="U922"/>
          <cell r="V922"/>
          <cell r="W922"/>
          <cell r="X922">
            <v>0</v>
          </cell>
          <cell r="Y922">
            <v>0</v>
          </cell>
          <cell r="Z922">
            <v>0</v>
          </cell>
          <cell r="AA922" t="str">
            <v>,</v>
          </cell>
          <cell r="AB922" t="str">
            <v>,</v>
          </cell>
          <cell r="AC922" t="e">
            <v>#DIV/0!</v>
          </cell>
          <cell r="AD922" t="e">
            <v>#DIV/0!</v>
          </cell>
          <cell r="AE922">
            <v>0.71</v>
          </cell>
          <cell r="AF922">
            <v>94.97</v>
          </cell>
          <cell r="AG922">
            <v>0</v>
          </cell>
          <cell r="AH922" t="e">
            <v>#DIV/0!</v>
          </cell>
          <cell r="AI922" t="e">
            <v>#DIV/0!</v>
          </cell>
          <cell r="AJ922" t="e">
            <v>#DIV/0!</v>
          </cell>
          <cell r="AK922" t="e">
            <v>#DIV/0!</v>
          </cell>
          <cell r="AL922" t="e">
            <v>#DIV/0!</v>
          </cell>
          <cell r="AM922" t="e">
            <v>#DIV/0!</v>
          </cell>
          <cell r="AN922" t="e">
            <v>#DIV/0!</v>
          </cell>
          <cell r="AO922" t="e">
            <v>#REF!</v>
          </cell>
          <cell r="AP922" t="e">
            <v>#REF!</v>
          </cell>
          <cell r="AQ922" t="e">
            <v>#REF!</v>
          </cell>
          <cell r="AR922" t="e">
            <v>#REF!</v>
          </cell>
          <cell r="AS922" t="e">
            <v>#REF!</v>
          </cell>
          <cell r="AT922" t="e">
            <v>#REF!</v>
          </cell>
          <cell r="AU922" t="e">
            <v>#REF!</v>
          </cell>
          <cell r="AV922" t="e">
            <v>#REF!</v>
          </cell>
          <cell r="AW922" t="e">
            <v>#DIV/0!</v>
          </cell>
          <cell r="AX922" t="e">
            <v>#DIV/0!</v>
          </cell>
          <cell r="AY922" t="e">
            <v>#DIV/0!</v>
          </cell>
          <cell r="AZ922" t="e">
            <v>#DIV/0!</v>
          </cell>
          <cell r="BE922" t="e">
            <v>#DIV/0!</v>
          </cell>
          <cell r="BF922" t="e">
            <v>#DIV/0!</v>
          </cell>
        </row>
        <row r="923">
          <cell r="A923" t="str">
            <v>-0</v>
          </cell>
          <cell r="B923" t="str">
            <v xml:space="preserve">-0  , </v>
          </cell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  <cell r="M923"/>
          <cell r="N923"/>
          <cell r="O923"/>
          <cell r="P923"/>
          <cell r="Q923"/>
          <cell r="R923"/>
          <cell r="S923"/>
          <cell r="T923"/>
          <cell r="U923"/>
          <cell r="V923"/>
          <cell r="W923"/>
          <cell r="X923">
            <v>0</v>
          </cell>
          <cell r="Y923">
            <v>0</v>
          </cell>
          <cell r="Z923">
            <v>0</v>
          </cell>
          <cell r="AA923" t="str">
            <v>,</v>
          </cell>
          <cell r="AB923" t="str">
            <v>,</v>
          </cell>
          <cell r="AC923" t="e">
            <v>#DIV/0!</v>
          </cell>
          <cell r="AD923" t="e">
            <v>#DIV/0!</v>
          </cell>
          <cell r="AE923">
            <v>0.71</v>
          </cell>
          <cell r="AF923">
            <v>94.97</v>
          </cell>
          <cell r="AG923">
            <v>0</v>
          </cell>
          <cell r="AH923" t="e">
            <v>#DIV/0!</v>
          </cell>
          <cell r="AI923" t="e">
            <v>#DIV/0!</v>
          </cell>
          <cell r="AJ923" t="e">
            <v>#DIV/0!</v>
          </cell>
          <cell r="AK923" t="e">
            <v>#DIV/0!</v>
          </cell>
          <cell r="AL923" t="e">
            <v>#DIV/0!</v>
          </cell>
          <cell r="AM923" t="e">
            <v>#DIV/0!</v>
          </cell>
          <cell r="AN923" t="e">
            <v>#DIV/0!</v>
          </cell>
          <cell r="AO923" t="e">
            <v>#REF!</v>
          </cell>
          <cell r="AP923" t="e">
            <v>#REF!</v>
          </cell>
          <cell r="AQ923" t="e">
            <v>#REF!</v>
          </cell>
          <cell r="AR923" t="e">
            <v>#REF!</v>
          </cell>
          <cell r="AS923" t="e">
            <v>#REF!</v>
          </cell>
          <cell r="AT923" t="e">
            <v>#REF!</v>
          </cell>
          <cell r="AU923" t="e">
            <v>#REF!</v>
          </cell>
          <cell r="AV923" t="e">
            <v>#REF!</v>
          </cell>
          <cell r="AW923" t="e">
            <v>#DIV/0!</v>
          </cell>
          <cell r="AX923" t="e">
            <v>#DIV/0!</v>
          </cell>
          <cell r="AY923" t="e">
            <v>#DIV/0!</v>
          </cell>
          <cell r="AZ923" t="e">
            <v>#DIV/0!</v>
          </cell>
          <cell r="BE923" t="e">
            <v>#DIV/0!</v>
          </cell>
          <cell r="BF923" t="e">
            <v>#DIV/0!</v>
          </cell>
        </row>
        <row r="924">
          <cell r="A924" t="str">
            <v>-0</v>
          </cell>
          <cell r="B924" t="str">
            <v xml:space="preserve">-0  , </v>
          </cell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  <cell r="M924"/>
          <cell r="N924"/>
          <cell r="O924"/>
          <cell r="P924"/>
          <cell r="Q924"/>
          <cell r="R924"/>
          <cell r="S924"/>
          <cell r="T924"/>
          <cell r="U924"/>
          <cell r="V924"/>
          <cell r="W924"/>
          <cell r="X924">
            <v>0</v>
          </cell>
          <cell r="Y924">
            <v>0</v>
          </cell>
          <cell r="Z924">
            <v>0</v>
          </cell>
          <cell r="AA924" t="str">
            <v>,</v>
          </cell>
          <cell r="AB924" t="str">
            <v>,</v>
          </cell>
          <cell r="AC924" t="e">
            <v>#DIV/0!</v>
          </cell>
          <cell r="AD924" t="e">
            <v>#DIV/0!</v>
          </cell>
          <cell r="AE924">
            <v>0.71</v>
          </cell>
          <cell r="AF924">
            <v>94.97</v>
          </cell>
          <cell r="AG924">
            <v>0</v>
          </cell>
          <cell r="AH924" t="e">
            <v>#DIV/0!</v>
          </cell>
          <cell r="AI924" t="e">
            <v>#DIV/0!</v>
          </cell>
          <cell r="AJ924" t="e">
            <v>#DIV/0!</v>
          </cell>
          <cell r="AK924" t="e">
            <v>#DIV/0!</v>
          </cell>
          <cell r="AL924" t="e">
            <v>#DIV/0!</v>
          </cell>
          <cell r="AM924" t="e">
            <v>#DIV/0!</v>
          </cell>
          <cell r="AN924" t="e">
            <v>#DIV/0!</v>
          </cell>
          <cell r="AO924" t="e">
            <v>#REF!</v>
          </cell>
          <cell r="AP924" t="e">
            <v>#REF!</v>
          </cell>
          <cell r="AQ924" t="e">
            <v>#REF!</v>
          </cell>
          <cell r="AR924" t="e">
            <v>#REF!</v>
          </cell>
          <cell r="AS924" t="e">
            <v>#REF!</v>
          </cell>
          <cell r="AT924" t="e">
            <v>#REF!</v>
          </cell>
          <cell r="AU924" t="e">
            <v>#REF!</v>
          </cell>
          <cell r="AV924" t="e">
            <v>#REF!</v>
          </cell>
          <cell r="AW924" t="e">
            <v>#DIV/0!</v>
          </cell>
          <cell r="AX924" t="e">
            <v>#DIV/0!</v>
          </cell>
          <cell r="AY924" t="e">
            <v>#DIV/0!</v>
          </cell>
          <cell r="AZ924" t="e">
            <v>#DIV/0!</v>
          </cell>
          <cell r="BE924" t="e">
            <v>#DIV/0!</v>
          </cell>
          <cell r="BF924" t="e">
            <v>#DIV/0!</v>
          </cell>
        </row>
        <row r="925">
          <cell r="A925" t="str">
            <v>-0</v>
          </cell>
          <cell r="B925" t="str">
            <v xml:space="preserve">-0  , </v>
          </cell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  <cell r="M925"/>
          <cell r="N925"/>
          <cell r="O925"/>
          <cell r="P925"/>
          <cell r="Q925"/>
          <cell r="R925"/>
          <cell r="S925"/>
          <cell r="T925"/>
          <cell r="U925"/>
          <cell r="V925"/>
          <cell r="W925"/>
          <cell r="X925">
            <v>0</v>
          </cell>
          <cell r="Y925">
            <v>0</v>
          </cell>
          <cell r="Z925">
            <v>0</v>
          </cell>
          <cell r="AA925" t="str">
            <v>,</v>
          </cell>
          <cell r="AB925" t="str">
            <v>,</v>
          </cell>
          <cell r="AC925" t="e">
            <v>#DIV/0!</v>
          </cell>
          <cell r="AD925" t="e">
            <v>#DIV/0!</v>
          </cell>
          <cell r="AE925">
            <v>0.71</v>
          </cell>
          <cell r="AF925">
            <v>94.97</v>
          </cell>
          <cell r="AG925">
            <v>0</v>
          </cell>
          <cell r="AH925" t="e">
            <v>#DIV/0!</v>
          </cell>
          <cell r="AI925" t="e">
            <v>#DIV/0!</v>
          </cell>
          <cell r="AJ925" t="e">
            <v>#DIV/0!</v>
          </cell>
          <cell r="AK925" t="e">
            <v>#DIV/0!</v>
          </cell>
          <cell r="AL925" t="e">
            <v>#DIV/0!</v>
          </cell>
          <cell r="AM925" t="e">
            <v>#DIV/0!</v>
          </cell>
          <cell r="AN925" t="e">
            <v>#DIV/0!</v>
          </cell>
          <cell r="AO925" t="e">
            <v>#REF!</v>
          </cell>
          <cell r="AP925" t="e">
            <v>#REF!</v>
          </cell>
          <cell r="AQ925" t="e">
            <v>#REF!</v>
          </cell>
          <cell r="AR925" t="e">
            <v>#REF!</v>
          </cell>
          <cell r="AS925" t="e">
            <v>#REF!</v>
          </cell>
          <cell r="AT925" t="e">
            <v>#REF!</v>
          </cell>
          <cell r="AU925" t="e">
            <v>#REF!</v>
          </cell>
          <cell r="AV925" t="e">
            <v>#REF!</v>
          </cell>
          <cell r="AW925" t="e">
            <v>#DIV/0!</v>
          </cell>
          <cell r="AX925" t="e">
            <v>#DIV/0!</v>
          </cell>
          <cell r="AY925" t="e">
            <v>#DIV/0!</v>
          </cell>
          <cell r="AZ925" t="e">
            <v>#DIV/0!</v>
          </cell>
          <cell r="BE925" t="e">
            <v>#DIV/0!</v>
          </cell>
          <cell r="BF925" t="e">
            <v>#DIV/0!</v>
          </cell>
        </row>
        <row r="926">
          <cell r="A926" t="str">
            <v>-0</v>
          </cell>
          <cell r="B926" t="str">
            <v xml:space="preserve">-0  , </v>
          </cell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  <cell r="M926"/>
          <cell r="N926"/>
          <cell r="O926"/>
          <cell r="P926"/>
          <cell r="Q926"/>
          <cell r="R926"/>
          <cell r="S926"/>
          <cell r="T926"/>
          <cell r="U926"/>
          <cell r="V926"/>
          <cell r="W926"/>
          <cell r="X926">
            <v>0</v>
          </cell>
          <cell r="Y926">
            <v>0</v>
          </cell>
          <cell r="Z926">
            <v>0</v>
          </cell>
          <cell r="AA926" t="str">
            <v>,</v>
          </cell>
          <cell r="AB926" t="str">
            <v>,</v>
          </cell>
          <cell r="AC926" t="e">
            <v>#DIV/0!</v>
          </cell>
          <cell r="AD926" t="e">
            <v>#DIV/0!</v>
          </cell>
          <cell r="AE926">
            <v>0.71</v>
          </cell>
          <cell r="AF926">
            <v>94.97</v>
          </cell>
          <cell r="AG926">
            <v>0</v>
          </cell>
          <cell r="AH926" t="e">
            <v>#DIV/0!</v>
          </cell>
          <cell r="AI926" t="e">
            <v>#DIV/0!</v>
          </cell>
          <cell r="AJ926" t="e">
            <v>#DIV/0!</v>
          </cell>
          <cell r="AK926" t="e">
            <v>#DIV/0!</v>
          </cell>
          <cell r="AL926" t="e">
            <v>#DIV/0!</v>
          </cell>
          <cell r="AM926" t="e">
            <v>#DIV/0!</v>
          </cell>
          <cell r="AN926" t="e">
            <v>#DIV/0!</v>
          </cell>
          <cell r="AO926" t="e">
            <v>#REF!</v>
          </cell>
          <cell r="AP926" t="e">
            <v>#REF!</v>
          </cell>
          <cell r="AQ926" t="e">
            <v>#REF!</v>
          </cell>
          <cell r="AR926" t="e">
            <v>#REF!</v>
          </cell>
          <cell r="AS926" t="e">
            <v>#REF!</v>
          </cell>
          <cell r="AT926" t="e">
            <v>#REF!</v>
          </cell>
          <cell r="AU926" t="e">
            <v>#REF!</v>
          </cell>
          <cell r="AV926" t="e">
            <v>#REF!</v>
          </cell>
          <cell r="AW926" t="e">
            <v>#DIV/0!</v>
          </cell>
          <cell r="AX926" t="e">
            <v>#DIV/0!</v>
          </cell>
          <cell r="AY926" t="e">
            <v>#DIV/0!</v>
          </cell>
          <cell r="AZ926" t="e">
            <v>#DIV/0!</v>
          </cell>
          <cell r="BE926" t="e">
            <v>#DIV/0!</v>
          </cell>
          <cell r="BF926" t="e">
            <v>#DIV/0!</v>
          </cell>
        </row>
        <row r="927">
          <cell r="A927" t="str">
            <v>-0</v>
          </cell>
          <cell r="B927" t="str">
            <v xml:space="preserve">-0  , </v>
          </cell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  <cell r="M927"/>
          <cell r="N927"/>
          <cell r="O927"/>
          <cell r="P927"/>
          <cell r="Q927"/>
          <cell r="R927"/>
          <cell r="S927"/>
          <cell r="T927"/>
          <cell r="U927"/>
          <cell r="V927"/>
          <cell r="W927"/>
          <cell r="X927">
            <v>0</v>
          </cell>
          <cell r="Y927">
            <v>0</v>
          </cell>
          <cell r="Z927">
            <v>0</v>
          </cell>
          <cell r="AA927" t="str">
            <v>,</v>
          </cell>
          <cell r="AB927" t="str">
            <v>,</v>
          </cell>
          <cell r="AC927" t="e">
            <v>#DIV/0!</v>
          </cell>
          <cell r="AD927" t="e">
            <v>#DIV/0!</v>
          </cell>
          <cell r="AE927">
            <v>0.71</v>
          </cell>
          <cell r="AF927">
            <v>94.97</v>
          </cell>
          <cell r="AG927">
            <v>0</v>
          </cell>
          <cell r="AH927" t="e">
            <v>#DIV/0!</v>
          </cell>
          <cell r="AI927" t="e">
            <v>#DIV/0!</v>
          </cell>
          <cell r="AJ927" t="e">
            <v>#DIV/0!</v>
          </cell>
          <cell r="AK927" t="e">
            <v>#DIV/0!</v>
          </cell>
          <cell r="AL927" t="e">
            <v>#DIV/0!</v>
          </cell>
          <cell r="AM927" t="e">
            <v>#DIV/0!</v>
          </cell>
          <cell r="AN927" t="e">
            <v>#DIV/0!</v>
          </cell>
          <cell r="AO927" t="e">
            <v>#REF!</v>
          </cell>
          <cell r="AP927" t="e">
            <v>#REF!</v>
          </cell>
          <cell r="AQ927" t="e">
            <v>#REF!</v>
          </cell>
          <cell r="AR927" t="e">
            <v>#REF!</v>
          </cell>
          <cell r="AS927" t="e">
            <v>#REF!</v>
          </cell>
          <cell r="AT927" t="e">
            <v>#REF!</v>
          </cell>
          <cell r="AU927" t="e">
            <v>#REF!</v>
          </cell>
          <cell r="AV927" t="e">
            <v>#REF!</v>
          </cell>
          <cell r="AW927" t="e">
            <v>#DIV/0!</v>
          </cell>
          <cell r="AX927" t="e">
            <v>#DIV/0!</v>
          </cell>
          <cell r="AY927" t="e">
            <v>#DIV/0!</v>
          </cell>
          <cell r="AZ927" t="e">
            <v>#DIV/0!</v>
          </cell>
          <cell r="BE927" t="e">
            <v>#DIV/0!</v>
          </cell>
          <cell r="BF927" t="e">
            <v>#DIV/0!</v>
          </cell>
        </row>
        <row r="928">
          <cell r="A928" t="str">
            <v>-0</v>
          </cell>
          <cell r="B928" t="str">
            <v xml:space="preserve">-0  , </v>
          </cell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  <cell r="M928"/>
          <cell r="N928"/>
          <cell r="O928"/>
          <cell r="P928"/>
          <cell r="Q928"/>
          <cell r="R928"/>
          <cell r="S928"/>
          <cell r="T928"/>
          <cell r="U928"/>
          <cell r="V928"/>
          <cell r="W928"/>
          <cell r="X928">
            <v>0</v>
          </cell>
          <cell r="Y928">
            <v>0</v>
          </cell>
          <cell r="Z928">
            <v>0</v>
          </cell>
          <cell r="AA928" t="str">
            <v>,</v>
          </cell>
          <cell r="AB928" t="str">
            <v>,</v>
          </cell>
          <cell r="AC928" t="e">
            <v>#DIV/0!</v>
          </cell>
          <cell r="AD928" t="e">
            <v>#DIV/0!</v>
          </cell>
          <cell r="AE928">
            <v>0.71</v>
          </cell>
          <cell r="AF928">
            <v>94.97</v>
          </cell>
          <cell r="AG928">
            <v>0</v>
          </cell>
          <cell r="AH928" t="e">
            <v>#DIV/0!</v>
          </cell>
          <cell r="AI928" t="e">
            <v>#DIV/0!</v>
          </cell>
          <cell r="AJ928" t="e">
            <v>#DIV/0!</v>
          </cell>
          <cell r="AK928" t="e">
            <v>#DIV/0!</v>
          </cell>
          <cell r="AL928" t="e">
            <v>#DIV/0!</v>
          </cell>
          <cell r="AM928" t="e">
            <v>#DIV/0!</v>
          </cell>
          <cell r="AN928" t="e">
            <v>#DIV/0!</v>
          </cell>
          <cell r="AO928" t="e">
            <v>#REF!</v>
          </cell>
          <cell r="AP928" t="e">
            <v>#REF!</v>
          </cell>
          <cell r="AQ928" t="e">
            <v>#REF!</v>
          </cell>
          <cell r="AR928" t="e">
            <v>#REF!</v>
          </cell>
          <cell r="AS928" t="e">
            <v>#REF!</v>
          </cell>
          <cell r="AT928" t="e">
            <v>#REF!</v>
          </cell>
          <cell r="AU928" t="e">
            <v>#REF!</v>
          </cell>
          <cell r="AV928" t="e">
            <v>#REF!</v>
          </cell>
          <cell r="AW928" t="e">
            <v>#DIV/0!</v>
          </cell>
          <cell r="AX928" t="e">
            <v>#DIV/0!</v>
          </cell>
          <cell r="AY928" t="e">
            <v>#DIV/0!</v>
          </cell>
          <cell r="AZ928" t="e">
            <v>#DIV/0!</v>
          </cell>
          <cell r="BE928" t="e">
            <v>#DIV/0!</v>
          </cell>
          <cell r="BF928" t="e">
            <v>#DIV/0!</v>
          </cell>
        </row>
        <row r="929">
          <cell r="A929" t="str">
            <v>-0</v>
          </cell>
          <cell r="B929" t="str">
            <v xml:space="preserve">-0  , </v>
          </cell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  <cell r="M929"/>
          <cell r="N929"/>
          <cell r="O929"/>
          <cell r="P929"/>
          <cell r="Q929"/>
          <cell r="R929"/>
          <cell r="S929"/>
          <cell r="T929"/>
          <cell r="U929"/>
          <cell r="V929"/>
          <cell r="W929"/>
          <cell r="X929">
            <v>0</v>
          </cell>
          <cell r="Y929">
            <v>0</v>
          </cell>
          <cell r="Z929">
            <v>0</v>
          </cell>
          <cell r="AA929" t="str">
            <v>,</v>
          </cell>
          <cell r="AB929" t="str">
            <v>,</v>
          </cell>
          <cell r="AC929" t="e">
            <v>#DIV/0!</v>
          </cell>
          <cell r="AD929" t="e">
            <v>#DIV/0!</v>
          </cell>
          <cell r="AE929">
            <v>0.71</v>
          </cell>
          <cell r="AF929">
            <v>94.97</v>
          </cell>
          <cell r="AG929">
            <v>0</v>
          </cell>
          <cell r="AH929" t="e">
            <v>#DIV/0!</v>
          </cell>
          <cell r="AI929" t="e">
            <v>#DIV/0!</v>
          </cell>
          <cell r="AJ929" t="e">
            <v>#DIV/0!</v>
          </cell>
          <cell r="AK929" t="e">
            <v>#DIV/0!</v>
          </cell>
          <cell r="AL929" t="e">
            <v>#DIV/0!</v>
          </cell>
          <cell r="AM929" t="e">
            <v>#DIV/0!</v>
          </cell>
          <cell r="AN929" t="e">
            <v>#DIV/0!</v>
          </cell>
          <cell r="AO929" t="e">
            <v>#REF!</v>
          </cell>
          <cell r="AP929" t="e">
            <v>#REF!</v>
          </cell>
          <cell r="AQ929" t="e">
            <v>#REF!</v>
          </cell>
          <cell r="AR929" t="e">
            <v>#REF!</v>
          </cell>
          <cell r="AS929" t="e">
            <v>#REF!</v>
          </cell>
          <cell r="AT929" t="e">
            <v>#REF!</v>
          </cell>
          <cell r="AU929" t="e">
            <v>#REF!</v>
          </cell>
          <cell r="AV929" t="e">
            <v>#REF!</v>
          </cell>
          <cell r="AW929" t="e">
            <v>#DIV/0!</v>
          </cell>
          <cell r="AX929" t="e">
            <v>#DIV/0!</v>
          </cell>
          <cell r="AY929" t="e">
            <v>#DIV/0!</v>
          </cell>
          <cell r="AZ929" t="e">
            <v>#DIV/0!</v>
          </cell>
          <cell r="BE929" t="e">
            <v>#DIV/0!</v>
          </cell>
          <cell r="BF929" t="e">
            <v>#DIV/0!</v>
          </cell>
        </row>
        <row r="930">
          <cell r="A930" t="str">
            <v>-0</v>
          </cell>
          <cell r="B930" t="str">
            <v xml:space="preserve">-0  , </v>
          </cell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  <cell r="M930"/>
          <cell r="N930"/>
          <cell r="O930"/>
          <cell r="P930"/>
          <cell r="Q930"/>
          <cell r="R930"/>
          <cell r="S930"/>
          <cell r="T930"/>
          <cell r="U930"/>
          <cell r="V930"/>
          <cell r="W930"/>
          <cell r="X930">
            <v>0</v>
          </cell>
          <cell r="Y930">
            <v>0</v>
          </cell>
          <cell r="Z930">
            <v>0</v>
          </cell>
          <cell r="AA930" t="str">
            <v>,</v>
          </cell>
          <cell r="AB930" t="str">
            <v>,</v>
          </cell>
          <cell r="AC930" t="e">
            <v>#DIV/0!</v>
          </cell>
          <cell r="AD930" t="e">
            <v>#DIV/0!</v>
          </cell>
          <cell r="AE930">
            <v>0.71</v>
          </cell>
          <cell r="AF930">
            <v>94.97</v>
          </cell>
          <cell r="AG930">
            <v>0</v>
          </cell>
          <cell r="AH930" t="e">
            <v>#DIV/0!</v>
          </cell>
          <cell r="AI930" t="e">
            <v>#DIV/0!</v>
          </cell>
          <cell r="AJ930" t="e">
            <v>#DIV/0!</v>
          </cell>
          <cell r="AK930" t="e">
            <v>#DIV/0!</v>
          </cell>
          <cell r="AL930" t="e">
            <v>#DIV/0!</v>
          </cell>
          <cell r="AM930" t="e">
            <v>#DIV/0!</v>
          </cell>
          <cell r="AN930" t="e">
            <v>#DIV/0!</v>
          </cell>
          <cell r="AO930" t="e">
            <v>#REF!</v>
          </cell>
          <cell r="AP930" t="e">
            <v>#REF!</v>
          </cell>
          <cell r="AQ930" t="e">
            <v>#REF!</v>
          </cell>
          <cell r="AR930" t="e">
            <v>#REF!</v>
          </cell>
          <cell r="AS930" t="e">
            <v>#REF!</v>
          </cell>
          <cell r="AT930" t="e">
            <v>#REF!</v>
          </cell>
          <cell r="AU930" t="e">
            <v>#REF!</v>
          </cell>
          <cell r="AV930" t="e">
            <v>#REF!</v>
          </cell>
          <cell r="AW930" t="e">
            <v>#DIV/0!</v>
          </cell>
          <cell r="AX930" t="e">
            <v>#DIV/0!</v>
          </cell>
          <cell r="AY930" t="e">
            <v>#DIV/0!</v>
          </cell>
          <cell r="AZ930" t="e">
            <v>#DIV/0!</v>
          </cell>
          <cell r="BE930" t="e">
            <v>#DIV/0!</v>
          </cell>
          <cell r="BF930" t="e">
            <v>#DIV/0!</v>
          </cell>
        </row>
        <row r="931">
          <cell r="A931" t="str">
            <v>-0</v>
          </cell>
          <cell r="B931" t="str">
            <v xml:space="preserve">-0  , </v>
          </cell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  <cell r="M931"/>
          <cell r="N931"/>
          <cell r="O931"/>
          <cell r="P931"/>
          <cell r="Q931"/>
          <cell r="R931"/>
          <cell r="S931"/>
          <cell r="T931"/>
          <cell r="U931"/>
          <cell r="V931"/>
          <cell r="W931"/>
          <cell r="X931">
            <v>0</v>
          </cell>
          <cell r="Y931">
            <v>0</v>
          </cell>
          <cell r="Z931">
            <v>0</v>
          </cell>
          <cell r="AA931" t="str">
            <v>,</v>
          </cell>
          <cell r="AB931" t="str">
            <v>,</v>
          </cell>
          <cell r="AC931" t="e">
            <v>#DIV/0!</v>
          </cell>
          <cell r="AD931" t="e">
            <v>#DIV/0!</v>
          </cell>
          <cell r="AE931">
            <v>0.71</v>
          </cell>
          <cell r="AF931">
            <v>94.97</v>
          </cell>
          <cell r="AG931">
            <v>0</v>
          </cell>
          <cell r="AH931" t="e">
            <v>#DIV/0!</v>
          </cell>
          <cell r="AI931" t="e">
            <v>#DIV/0!</v>
          </cell>
          <cell r="AJ931" t="e">
            <v>#DIV/0!</v>
          </cell>
          <cell r="AK931" t="e">
            <v>#DIV/0!</v>
          </cell>
          <cell r="AL931" t="e">
            <v>#DIV/0!</v>
          </cell>
          <cell r="AM931" t="e">
            <v>#DIV/0!</v>
          </cell>
          <cell r="AN931" t="e">
            <v>#DIV/0!</v>
          </cell>
          <cell r="AO931" t="e">
            <v>#REF!</v>
          </cell>
          <cell r="AP931" t="e">
            <v>#REF!</v>
          </cell>
          <cell r="AQ931" t="e">
            <v>#REF!</v>
          </cell>
          <cell r="AR931" t="e">
            <v>#REF!</v>
          </cell>
          <cell r="AS931" t="e">
            <v>#REF!</v>
          </cell>
          <cell r="AT931" t="e">
            <v>#REF!</v>
          </cell>
          <cell r="AU931" t="e">
            <v>#REF!</v>
          </cell>
          <cell r="AV931" t="e">
            <v>#REF!</v>
          </cell>
          <cell r="AW931" t="e">
            <v>#DIV/0!</v>
          </cell>
          <cell r="AX931" t="e">
            <v>#DIV/0!</v>
          </cell>
          <cell r="AY931" t="e">
            <v>#DIV/0!</v>
          </cell>
          <cell r="AZ931" t="e">
            <v>#DIV/0!</v>
          </cell>
          <cell r="BE931" t="e">
            <v>#DIV/0!</v>
          </cell>
          <cell r="BF931" t="e">
            <v>#DIV/0!</v>
          </cell>
        </row>
        <row r="932">
          <cell r="A932" t="str">
            <v>-0</v>
          </cell>
          <cell r="B932" t="str">
            <v xml:space="preserve">-0  , </v>
          </cell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  <cell r="M932"/>
          <cell r="N932"/>
          <cell r="O932"/>
          <cell r="P932"/>
          <cell r="Q932"/>
          <cell r="R932"/>
          <cell r="S932"/>
          <cell r="T932"/>
          <cell r="U932"/>
          <cell r="V932"/>
          <cell r="W932"/>
          <cell r="X932">
            <v>0</v>
          </cell>
          <cell r="Y932">
            <v>0</v>
          </cell>
          <cell r="Z932">
            <v>0</v>
          </cell>
          <cell r="AA932" t="str">
            <v>,</v>
          </cell>
          <cell r="AB932" t="str">
            <v>,</v>
          </cell>
          <cell r="AC932" t="e">
            <v>#DIV/0!</v>
          </cell>
          <cell r="AD932" t="e">
            <v>#DIV/0!</v>
          </cell>
          <cell r="AE932">
            <v>0.71</v>
          </cell>
          <cell r="AF932">
            <v>94.97</v>
          </cell>
          <cell r="AG932">
            <v>0</v>
          </cell>
          <cell r="AH932" t="e">
            <v>#DIV/0!</v>
          </cell>
          <cell r="AI932" t="e">
            <v>#DIV/0!</v>
          </cell>
          <cell r="AJ932" t="e">
            <v>#DIV/0!</v>
          </cell>
          <cell r="AK932" t="e">
            <v>#DIV/0!</v>
          </cell>
          <cell r="AL932" t="e">
            <v>#DIV/0!</v>
          </cell>
          <cell r="AM932" t="e">
            <v>#DIV/0!</v>
          </cell>
          <cell r="AN932" t="e">
            <v>#DIV/0!</v>
          </cell>
          <cell r="AO932" t="e">
            <v>#REF!</v>
          </cell>
          <cell r="AP932" t="e">
            <v>#REF!</v>
          </cell>
          <cell r="AQ932" t="e">
            <v>#REF!</v>
          </cell>
          <cell r="AR932" t="e">
            <v>#REF!</v>
          </cell>
          <cell r="AS932" t="e">
            <v>#REF!</v>
          </cell>
          <cell r="AT932" t="e">
            <v>#REF!</v>
          </cell>
          <cell r="AU932" t="e">
            <v>#REF!</v>
          </cell>
          <cell r="AV932" t="e">
            <v>#REF!</v>
          </cell>
          <cell r="AW932" t="e">
            <v>#DIV/0!</v>
          </cell>
          <cell r="AX932" t="e">
            <v>#DIV/0!</v>
          </cell>
          <cell r="AY932" t="e">
            <v>#DIV/0!</v>
          </cell>
          <cell r="AZ932" t="e">
            <v>#DIV/0!</v>
          </cell>
          <cell r="BE932" t="e">
            <v>#DIV/0!</v>
          </cell>
          <cell r="BF932" t="e">
            <v>#DIV/0!</v>
          </cell>
        </row>
        <row r="933">
          <cell r="A933" t="str">
            <v>-0</v>
          </cell>
          <cell r="B933" t="str">
            <v xml:space="preserve">-0  , </v>
          </cell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  <cell r="M933"/>
          <cell r="N933"/>
          <cell r="O933"/>
          <cell r="P933"/>
          <cell r="Q933"/>
          <cell r="R933"/>
          <cell r="S933"/>
          <cell r="T933"/>
          <cell r="U933"/>
          <cell r="V933"/>
          <cell r="W933"/>
          <cell r="X933">
            <v>0</v>
          </cell>
          <cell r="Y933">
            <v>0</v>
          </cell>
          <cell r="Z933">
            <v>0</v>
          </cell>
          <cell r="AA933" t="str">
            <v>,</v>
          </cell>
          <cell r="AB933" t="str">
            <v>,</v>
          </cell>
          <cell r="AC933" t="e">
            <v>#DIV/0!</v>
          </cell>
          <cell r="AD933" t="e">
            <v>#DIV/0!</v>
          </cell>
          <cell r="AE933">
            <v>0.71</v>
          </cell>
          <cell r="AF933">
            <v>94.97</v>
          </cell>
          <cell r="AG933">
            <v>0</v>
          </cell>
          <cell r="AH933" t="e">
            <v>#DIV/0!</v>
          </cell>
          <cell r="AI933" t="e">
            <v>#DIV/0!</v>
          </cell>
          <cell r="AJ933" t="e">
            <v>#DIV/0!</v>
          </cell>
          <cell r="AK933" t="e">
            <v>#DIV/0!</v>
          </cell>
          <cell r="AL933" t="e">
            <v>#DIV/0!</v>
          </cell>
          <cell r="AM933" t="e">
            <v>#DIV/0!</v>
          </cell>
          <cell r="AN933" t="e">
            <v>#DIV/0!</v>
          </cell>
          <cell r="AO933" t="e">
            <v>#REF!</v>
          </cell>
          <cell r="AP933" t="e">
            <v>#REF!</v>
          </cell>
          <cell r="AQ933" t="e">
            <v>#REF!</v>
          </cell>
          <cell r="AR933" t="e">
            <v>#REF!</v>
          </cell>
          <cell r="AS933" t="e">
            <v>#REF!</v>
          </cell>
          <cell r="AT933" t="e">
            <v>#REF!</v>
          </cell>
          <cell r="AU933" t="e">
            <v>#REF!</v>
          </cell>
          <cell r="AV933" t="e">
            <v>#REF!</v>
          </cell>
          <cell r="AW933" t="e">
            <v>#DIV/0!</v>
          </cell>
          <cell r="AX933" t="e">
            <v>#DIV/0!</v>
          </cell>
          <cell r="AY933" t="e">
            <v>#DIV/0!</v>
          </cell>
          <cell r="AZ933" t="e">
            <v>#DIV/0!</v>
          </cell>
          <cell r="BE933" t="e">
            <v>#DIV/0!</v>
          </cell>
          <cell r="BF933" t="e">
            <v>#DIV/0!</v>
          </cell>
        </row>
        <row r="934">
          <cell r="A934" t="str">
            <v>-0</v>
          </cell>
          <cell r="B934" t="str">
            <v xml:space="preserve">-0  , </v>
          </cell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  <cell r="M934"/>
          <cell r="N934"/>
          <cell r="O934"/>
          <cell r="P934"/>
          <cell r="Q934"/>
          <cell r="R934"/>
          <cell r="S934"/>
          <cell r="T934"/>
          <cell r="U934"/>
          <cell r="V934"/>
          <cell r="W934"/>
          <cell r="X934">
            <v>0</v>
          </cell>
          <cell r="Y934">
            <v>0</v>
          </cell>
          <cell r="Z934">
            <v>0</v>
          </cell>
          <cell r="AA934" t="str">
            <v>,</v>
          </cell>
          <cell r="AB934" t="str">
            <v>,</v>
          </cell>
          <cell r="AC934" t="e">
            <v>#DIV/0!</v>
          </cell>
          <cell r="AD934" t="e">
            <v>#DIV/0!</v>
          </cell>
          <cell r="AE934">
            <v>0.71</v>
          </cell>
          <cell r="AF934">
            <v>94.97</v>
          </cell>
          <cell r="AG934">
            <v>0</v>
          </cell>
          <cell r="AH934" t="e">
            <v>#DIV/0!</v>
          </cell>
          <cell r="AI934" t="e">
            <v>#DIV/0!</v>
          </cell>
          <cell r="AJ934" t="e">
            <v>#DIV/0!</v>
          </cell>
          <cell r="AK934" t="e">
            <v>#DIV/0!</v>
          </cell>
          <cell r="AL934" t="e">
            <v>#DIV/0!</v>
          </cell>
          <cell r="AM934" t="e">
            <v>#DIV/0!</v>
          </cell>
          <cell r="AN934" t="e">
            <v>#DIV/0!</v>
          </cell>
          <cell r="AO934" t="e">
            <v>#REF!</v>
          </cell>
          <cell r="AP934" t="e">
            <v>#REF!</v>
          </cell>
          <cell r="AQ934" t="e">
            <v>#REF!</v>
          </cell>
          <cell r="AR934" t="e">
            <v>#REF!</v>
          </cell>
          <cell r="AS934" t="e">
            <v>#REF!</v>
          </cell>
          <cell r="AT934" t="e">
            <v>#REF!</v>
          </cell>
          <cell r="AU934" t="e">
            <v>#REF!</v>
          </cell>
          <cell r="AV934" t="e">
            <v>#REF!</v>
          </cell>
          <cell r="AW934" t="e">
            <v>#DIV/0!</v>
          </cell>
          <cell r="AX934" t="e">
            <v>#DIV/0!</v>
          </cell>
          <cell r="AY934" t="e">
            <v>#DIV/0!</v>
          </cell>
          <cell r="AZ934" t="e">
            <v>#DIV/0!</v>
          </cell>
          <cell r="BE934" t="e">
            <v>#DIV/0!</v>
          </cell>
          <cell r="BF934" t="e">
            <v>#DIV/0!</v>
          </cell>
        </row>
        <row r="935">
          <cell r="A935" t="str">
            <v>-0</v>
          </cell>
          <cell r="B935" t="str">
            <v xml:space="preserve">-0  , </v>
          </cell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  <cell r="M935"/>
          <cell r="N935"/>
          <cell r="O935"/>
          <cell r="P935"/>
          <cell r="Q935"/>
          <cell r="R935"/>
          <cell r="S935"/>
          <cell r="T935"/>
          <cell r="U935"/>
          <cell r="V935"/>
          <cell r="W935"/>
          <cell r="X935">
            <v>0</v>
          </cell>
          <cell r="Y935">
            <v>0</v>
          </cell>
          <cell r="Z935">
            <v>0</v>
          </cell>
          <cell r="AA935" t="str">
            <v>,</v>
          </cell>
          <cell r="AB935" t="str">
            <v>,</v>
          </cell>
          <cell r="AC935" t="e">
            <v>#DIV/0!</v>
          </cell>
          <cell r="AD935" t="e">
            <v>#DIV/0!</v>
          </cell>
          <cell r="AE935">
            <v>0.71</v>
          </cell>
          <cell r="AF935">
            <v>94.97</v>
          </cell>
          <cell r="AG935">
            <v>0</v>
          </cell>
          <cell r="AH935" t="e">
            <v>#DIV/0!</v>
          </cell>
          <cell r="AI935" t="e">
            <v>#DIV/0!</v>
          </cell>
          <cell r="AJ935" t="e">
            <v>#DIV/0!</v>
          </cell>
          <cell r="AK935" t="e">
            <v>#DIV/0!</v>
          </cell>
          <cell r="AL935" t="e">
            <v>#DIV/0!</v>
          </cell>
          <cell r="AM935" t="e">
            <v>#DIV/0!</v>
          </cell>
          <cell r="AN935" t="e">
            <v>#DIV/0!</v>
          </cell>
          <cell r="AO935" t="e">
            <v>#REF!</v>
          </cell>
          <cell r="AP935" t="e">
            <v>#REF!</v>
          </cell>
          <cell r="AQ935" t="e">
            <v>#REF!</v>
          </cell>
          <cell r="AR935" t="e">
            <v>#REF!</v>
          </cell>
          <cell r="AS935" t="e">
            <v>#REF!</v>
          </cell>
          <cell r="AT935" t="e">
            <v>#REF!</v>
          </cell>
          <cell r="AU935" t="e">
            <v>#REF!</v>
          </cell>
          <cell r="AV935" t="e">
            <v>#REF!</v>
          </cell>
          <cell r="AW935" t="e">
            <v>#DIV/0!</v>
          </cell>
          <cell r="AX935" t="e">
            <v>#DIV/0!</v>
          </cell>
          <cell r="AY935" t="e">
            <v>#DIV/0!</v>
          </cell>
          <cell r="AZ935" t="e">
            <v>#DIV/0!</v>
          </cell>
          <cell r="BE935" t="e">
            <v>#DIV/0!</v>
          </cell>
          <cell r="BF935" t="e">
            <v>#DIV/0!</v>
          </cell>
        </row>
        <row r="936">
          <cell r="A936" t="str">
            <v>-0</v>
          </cell>
          <cell r="B936" t="str">
            <v xml:space="preserve">-0  , </v>
          </cell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  <cell r="M936"/>
          <cell r="N936"/>
          <cell r="O936"/>
          <cell r="P936"/>
          <cell r="Q936"/>
          <cell r="R936"/>
          <cell r="S936"/>
          <cell r="T936"/>
          <cell r="U936"/>
          <cell r="V936"/>
          <cell r="W936"/>
          <cell r="X936">
            <v>0</v>
          </cell>
          <cell r="Y936">
            <v>0</v>
          </cell>
          <cell r="Z936">
            <v>0</v>
          </cell>
          <cell r="AA936" t="str">
            <v>,</v>
          </cell>
          <cell r="AB936" t="str">
            <v>,</v>
          </cell>
          <cell r="AC936" t="e">
            <v>#DIV/0!</v>
          </cell>
          <cell r="AD936" t="e">
            <v>#DIV/0!</v>
          </cell>
          <cell r="AE936">
            <v>0.71</v>
          </cell>
          <cell r="AF936">
            <v>94.97</v>
          </cell>
          <cell r="AG936">
            <v>0</v>
          </cell>
          <cell r="AH936" t="e">
            <v>#DIV/0!</v>
          </cell>
          <cell r="AI936" t="e">
            <v>#DIV/0!</v>
          </cell>
          <cell r="AJ936" t="e">
            <v>#DIV/0!</v>
          </cell>
          <cell r="AK936" t="e">
            <v>#DIV/0!</v>
          </cell>
          <cell r="AL936" t="e">
            <v>#DIV/0!</v>
          </cell>
          <cell r="AM936" t="e">
            <v>#DIV/0!</v>
          </cell>
          <cell r="AN936" t="e">
            <v>#DIV/0!</v>
          </cell>
          <cell r="AO936" t="e">
            <v>#REF!</v>
          </cell>
          <cell r="AP936" t="e">
            <v>#REF!</v>
          </cell>
          <cell r="AQ936" t="e">
            <v>#REF!</v>
          </cell>
          <cell r="AR936" t="e">
            <v>#REF!</v>
          </cell>
          <cell r="AS936" t="e">
            <v>#REF!</v>
          </cell>
          <cell r="AT936" t="e">
            <v>#REF!</v>
          </cell>
          <cell r="AU936" t="e">
            <v>#REF!</v>
          </cell>
          <cell r="AV936" t="e">
            <v>#REF!</v>
          </cell>
          <cell r="AW936" t="e">
            <v>#DIV/0!</v>
          </cell>
          <cell r="AX936" t="e">
            <v>#DIV/0!</v>
          </cell>
          <cell r="AY936" t="e">
            <v>#DIV/0!</v>
          </cell>
          <cell r="AZ936" t="e">
            <v>#DIV/0!</v>
          </cell>
          <cell r="BE936" t="e">
            <v>#DIV/0!</v>
          </cell>
          <cell r="BF936" t="e">
            <v>#DIV/0!</v>
          </cell>
        </row>
        <row r="937">
          <cell r="A937" t="str">
            <v>-0</v>
          </cell>
          <cell r="B937" t="str">
            <v xml:space="preserve">-0  , </v>
          </cell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  <cell r="M937"/>
          <cell r="N937"/>
          <cell r="O937"/>
          <cell r="P937"/>
          <cell r="Q937"/>
          <cell r="R937"/>
          <cell r="S937"/>
          <cell r="T937"/>
          <cell r="U937"/>
          <cell r="V937"/>
          <cell r="W937"/>
          <cell r="X937">
            <v>0</v>
          </cell>
          <cell r="Y937">
            <v>0</v>
          </cell>
          <cell r="Z937">
            <v>0</v>
          </cell>
          <cell r="AA937" t="str">
            <v>,</v>
          </cell>
          <cell r="AB937" t="str">
            <v>,</v>
          </cell>
          <cell r="AC937" t="e">
            <v>#DIV/0!</v>
          </cell>
          <cell r="AD937" t="e">
            <v>#DIV/0!</v>
          </cell>
          <cell r="AE937">
            <v>0.71</v>
          </cell>
          <cell r="AF937">
            <v>94.97</v>
          </cell>
          <cell r="AG937">
            <v>0</v>
          </cell>
          <cell r="AH937" t="e">
            <v>#DIV/0!</v>
          </cell>
          <cell r="AI937" t="e">
            <v>#DIV/0!</v>
          </cell>
          <cell r="AJ937" t="e">
            <v>#DIV/0!</v>
          </cell>
          <cell r="AK937" t="e">
            <v>#DIV/0!</v>
          </cell>
          <cell r="AL937" t="e">
            <v>#DIV/0!</v>
          </cell>
          <cell r="AM937" t="e">
            <v>#DIV/0!</v>
          </cell>
          <cell r="AN937" t="e">
            <v>#DIV/0!</v>
          </cell>
          <cell r="AO937" t="e">
            <v>#REF!</v>
          </cell>
          <cell r="AP937" t="e">
            <v>#REF!</v>
          </cell>
          <cell r="AQ937" t="e">
            <v>#REF!</v>
          </cell>
          <cell r="AR937" t="e">
            <v>#REF!</v>
          </cell>
          <cell r="AS937" t="e">
            <v>#REF!</v>
          </cell>
          <cell r="AT937" t="e">
            <v>#REF!</v>
          </cell>
          <cell r="AU937" t="e">
            <v>#REF!</v>
          </cell>
          <cell r="AV937" t="e">
            <v>#REF!</v>
          </cell>
          <cell r="AW937" t="e">
            <v>#DIV/0!</v>
          </cell>
          <cell r="AX937" t="e">
            <v>#DIV/0!</v>
          </cell>
          <cell r="AY937" t="e">
            <v>#DIV/0!</v>
          </cell>
          <cell r="AZ937" t="e">
            <v>#DIV/0!</v>
          </cell>
          <cell r="BE937" t="e">
            <v>#DIV/0!</v>
          </cell>
          <cell r="BF937" t="e">
            <v>#DIV/0!</v>
          </cell>
        </row>
        <row r="938">
          <cell r="A938" t="str">
            <v>-0</v>
          </cell>
          <cell r="B938" t="str">
            <v xml:space="preserve">-0  , </v>
          </cell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  <cell r="M938"/>
          <cell r="N938"/>
          <cell r="O938"/>
          <cell r="P938"/>
          <cell r="Q938"/>
          <cell r="R938"/>
          <cell r="S938"/>
          <cell r="T938"/>
          <cell r="U938"/>
          <cell r="V938"/>
          <cell r="W938"/>
          <cell r="X938">
            <v>0</v>
          </cell>
          <cell r="Y938">
            <v>0</v>
          </cell>
          <cell r="Z938">
            <v>0</v>
          </cell>
          <cell r="AA938" t="str">
            <v>,</v>
          </cell>
          <cell r="AB938" t="str">
            <v>,</v>
          </cell>
          <cell r="AC938" t="e">
            <v>#DIV/0!</v>
          </cell>
          <cell r="AD938" t="e">
            <v>#DIV/0!</v>
          </cell>
          <cell r="AE938">
            <v>0.71</v>
          </cell>
          <cell r="AF938">
            <v>94.97</v>
          </cell>
          <cell r="AG938">
            <v>0</v>
          </cell>
          <cell r="AH938" t="e">
            <v>#DIV/0!</v>
          </cell>
          <cell r="AI938" t="e">
            <v>#DIV/0!</v>
          </cell>
          <cell r="AJ938" t="e">
            <v>#DIV/0!</v>
          </cell>
          <cell r="AK938" t="e">
            <v>#DIV/0!</v>
          </cell>
          <cell r="AL938" t="e">
            <v>#DIV/0!</v>
          </cell>
          <cell r="AM938" t="e">
            <v>#DIV/0!</v>
          </cell>
          <cell r="AN938" t="e">
            <v>#DIV/0!</v>
          </cell>
          <cell r="AO938" t="e">
            <v>#REF!</v>
          </cell>
          <cell r="AP938" t="e">
            <v>#REF!</v>
          </cell>
          <cell r="AQ938" t="e">
            <v>#REF!</v>
          </cell>
          <cell r="AR938" t="e">
            <v>#REF!</v>
          </cell>
          <cell r="AS938" t="e">
            <v>#REF!</v>
          </cell>
          <cell r="AT938" t="e">
            <v>#REF!</v>
          </cell>
          <cell r="AU938" t="e">
            <v>#REF!</v>
          </cell>
          <cell r="AV938" t="e">
            <v>#REF!</v>
          </cell>
          <cell r="AW938" t="e">
            <v>#DIV/0!</v>
          </cell>
          <cell r="AX938" t="e">
            <v>#DIV/0!</v>
          </cell>
          <cell r="AY938" t="e">
            <v>#DIV/0!</v>
          </cell>
          <cell r="AZ938" t="e">
            <v>#DIV/0!</v>
          </cell>
          <cell r="BE938" t="e">
            <v>#DIV/0!</v>
          </cell>
          <cell r="BF938" t="e">
            <v>#DIV/0!</v>
          </cell>
        </row>
        <row r="939">
          <cell r="A939" t="str">
            <v>-0</v>
          </cell>
          <cell r="B939" t="str">
            <v xml:space="preserve">-0  , </v>
          </cell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  <cell r="M939"/>
          <cell r="N939"/>
          <cell r="O939"/>
          <cell r="P939"/>
          <cell r="Q939"/>
          <cell r="R939"/>
          <cell r="S939"/>
          <cell r="T939"/>
          <cell r="U939"/>
          <cell r="V939"/>
          <cell r="W939"/>
          <cell r="X939">
            <v>0</v>
          </cell>
          <cell r="Y939">
            <v>0</v>
          </cell>
          <cell r="Z939">
            <v>0</v>
          </cell>
          <cell r="AA939" t="str">
            <v>,</v>
          </cell>
          <cell r="AB939" t="str">
            <v>,</v>
          </cell>
          <cell r="AC939" t="e">
            <v>#DIV/0!</v>
          </cell>
          <cell r="AD939" t="e">
            <v>#DIV/0!</v>
          </cell>
          <cell r="AE939">
            <v>0.71</v>
          </cell>
          <cell r="AF939">
            <v>94.97</v>
          </cell>
          <cell r="AG939">
            <v>0</v>
          </cell>
          <cell r="AH939" t="e">
            <v>#DIV/0!</v>
          </cell>
          <cell r="AI939" t="e">
            <v>#DIV/0!</v>
          </cell>
          <cell r="AJ939" t="e">
            <v>#DIV/0!</v>
          </cell>
          <cell r="AK939" t="e">
            <v>#DIV/0!</v>
          </cell>
          <cell r="AL939" t="e">
            <v>#DIV/0!</v>
          </cell>
          <cell r="AM939" t="e">
            <v>#DIV/0!</v>
          </cell>
          <cell r="AN939" t="e">
            <v>#DIV/0!</v>
          </cell>
          <cell r="AO939" t="e">
            <v>#REF!</v>
          </cell>
          <cell r="AP939" t="e">
            <v>#REF!</v>
          </cell>
          <cell r="AQ939" t="e">
            <v>#REF!</v>
          </cell>
          <cell r="AR939" t="e">
            <v>#REF!</v>
          </cell>
          <cell r="AS939" t="e">
            <v>#REF!</v>
          </cell>
          <cell r="AT939" t="e">
            <v>#REF!</v>
          </cell>
          <cell r="AU939" t="e">
            <v>#REF!</v>
          </cell>
          <cell r="AV939" t="e">
            <v>#REF!</v>
          </cell>
          <cell r="AW939" t="e">
            <v>#DIV/0!</v>
          </cell>
          <cell r="AX939" t="e">
            <v>#DIV/0!</v>
          </cell>
          <cell r="AY939" t="e">
            <v>#DIV/0!</v>
          </cell>
          <cell r="AZ939" t="e">
            <v>#DIV/0!</v>
          </cell>
          <cell r="BE939" t="e">
            <v>#DIV/0!</v>
          </cell>
          <cell r="BF939" t="e">
            <v>#DIV/0!</v>
          </cell>
        </row>
        <row r="940">
          <cell r="A940" t="str">
            <v>-0</v>
          </cell>
          <cell r="B940" t="str">
            <v xml:space="preserve">-0  , </v>
          </cell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  <cell r="M940"/>
          <cell r="N940"/>
          <cell r="O940"/>
          <cell r="P940"/>
          <cell r="Q940"/>
          <cell r="R940"/>
          <cell r="S940"/>
          <cell r="T940"/>
          <cell r="U940"/>
          <cell r="V940"/>
          <cell r="W940"/>
          <cell r="X940">
            <v>0</v>
          </cell>
          <cell r="Y940">
            <v>0</v>
          </cell>
          <cell r="Z940">
            <v>0</v>
          </cell>
          <cell r="AA940" t="str">
            <v>,</v>
          </cell>
          <cell r="AB940" t="str">
            <v>,</v>
          </cell>
          <cell r="AC940" t="e">
            <v>#DIV/0!</v>
          </cell>
          <cell r="AD940" t="e">
            <v>#DIV/0!</v>
          </cell>
          <cell r="AE940">
            <v>0.71</v>
          </cell>
          <cell r="AF940">
            <v>94.97</v>
          </cell>
          <cell r="AG940">
            <v>0</v>
          </cell>
          <cell r="AH940" t="e">
            <v>#DIV/0!</v>
          </cell>
          <cell r="AI940" t="e">
            <v>#DIV/0!</v>
          </cell>
          <cell r="AJ940" t="e">
            <v>#DIV/0!</v>
          </cell>
          <cell r="AK940" t="e">
            <v>#DIV/0!</v>
          </cell>
          <cell r="AL940" t="e">
            <v>#DIV/0!</v>
          </cell>
          <cell r="AM940" t="e">
            <v>#DIV/0!</v>
          </cell>
          <cell r="AN940" t="e">
            <v>#DIV/0!</v>
          </cell>
          <cell r="AO940" t="e">
            <v>#REF!</v>
          </cell>
          <cell r="AP940" t="e">
            <v>#REF!</v>
          </cell>
          <cell r="AQ940" t="e">
            <v>#REF!</v>
          </cell>
          <cell r="AR940" t="e">
            <v>#REF!</v>
          </cell>
          <cell r="AS940" t="e">
            <v>#REF!</v>
          </cell>
          <cell r="AT940" t="e">
            <v>#REF!</v>
          </cell>
          <cell r="AU940" t="e">
            <v>#REF!</v>
          </cell>
          <cell r="AV940" t="e">
            <v>#REF!</v>
          </cell>
          <cell r="AW940" t="e">
            <v>#DIV/0!</v>
          </cell>
          <cell r="AX940" t="e">
            <v>#DIV/0!</v>
          </cell>
          <cell r="AY940" t="e">
            <v>#DIV/0!</v>
          </cell>
          <cell r="AZ940" t="e">
            <v>#DIV/0!</v>
          </cell>
          <cell r="BE940" t="e">
            <v>#DIV/0!</v>
          </cell>
          <cell r="BF940" t="e">
            <v>#DIV/0!</v>
          </cell>
        </row>
        <row r="941">
          <cell r="A941" t="str">
            <v>-0</v>
          </cell>
          <cell r="B941" t="str">
            <v xml:space="preserve">-0  , </v>
          </cell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  <cell r="M941"/>
          <cell r="N941"/>
          <cell r="O941"/>
          <cell r="P941"/>
          <cell r="Q941"/>
          <cell r="R941"/>
          <cell r="S941"/>
          <cell r="T941"/>
          <cell r="U941"/>
          <cell r="V941"/>
          <cell r="W941"/>
          <cell r="X941">
            <v>0</v>
          </cell>
          <cell r="Y941">
            <v>0</v>
          </cell>
          <cell r="Z941">
            <v>0</v>
          </cell>
          <cell r="AA941" t="str">
            <v>,</v>
          </cell>
          <cell r="AB941" t="str">
            <v>,</v>
          </cell>
          <cell r="AC941" t="e">
            <v>#DIV/0!</v>
          </cell>
          <cell r="AD941" t="e">
            <v>#DIV/0!</v>
          </cell>
          <cell r="AE941">
            <v>0.71</v>
          </cell>
          <cell r="AF941">
            <v>94.97</v>
          </cell>
          <cell r="AG941">
            <v>0</v>
          </cell>
          <cell r="AH941" t="e">
            <v>#DIV/0!</v>
          </cell>
          <cell r="AI941" t="e">
            <v>#DIV/0!</v>
          </cell>
          <cell r="AJ941" t="e">
            <v>#DIV/0!</v>
          </cell>
          <cell r="AK941" t="e">
            <v>#DIV/0!</v>
          </cell>
          <cell r="AL941" t="e">
            <v>#DIV/0!</v>
          </cell>
          <cell r="AM941" t="e">
            <v>#DIV/0!</v>
          </cell>
          <cell r="AN941" t="e">
            <v>#DIV/0!</v>
          </cell>
          <cell r="AO941" t="e">
            <v>#REF!</v>
          </cell>
          <cell r="AP941" t="e">
            <v>#REF!</v>
          </cell>
          <cell r="AQ941" t="e">
            <v>#REF!</v>
          </cell>
          <cell r="AR941" t="e">
            <v>#REF!</v>
          </cell>
          <cell r="AS941" t="e">
            <v>#REF!</v>
          </cell>
          <cell r="AT941" t="e">
            <v>#REF!</v>
          </cell>
          <cell r="AU941" t="e">
            <v>#REF!</v>
          </cell>
          <cell r="AV941" t="e">
            <v>#REF!</v>
          </cell>
          <cell r="AW941" t="e">
            <v>#DIV/0!</v>
          </cell>
          <cell r="AX941" t="e">
            <v>#DIV/0!</v>
          </cell>
          <cell r="AY941" t="e">
            <v>#DIV/0!</v>
          </cell>
          <cell r="AZ941" t="e">
            <v>#DIV/0!</v>
          </cell>
          <cell r="BE941" t="e">
            <v>#DIV/0!</v>
          </cell>
          <cell r="BF941" t="e">
            <v>#DIV/0!</v>
          </cell>
        </row>
        <row r="942">
          <cell r="A942" t="str">
            <v>-0</v>
          </cell>
          <cell r="B942" t="str">
            <v xml:space="preserve">-0  , </v>
          </cell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  <cell r="M942"/>
          <cell r="N942"/>
          <cell r="O942"/>
          <cell r="P942"/>
          <cell r="Q942"/>
          <cell r="R942"/>
          <cell r="S942"/>
          <cell r="T942"/>
          <cell r="U942"/>
          <cell r="V942"/>
          <cell r="W942"/>
          <cell r="X942">
            <v>0</v>
          </cell>
          <cell r="Y942">
            <v>0</v>
          </cell>
          <cell r="Z942">
            <v>0</v>
          </cell>
          <cell r="AA942" t="str">
            <v>,</v>
          </cell>
          <cell r="AB942" t="str">
            <v>,</v>
          </cell>
          <cell r="AC942" t="e">
            <v>#DIV/0!</v>
          </cell>
          <cell r="AD942" t="e">
            <v>#DIV/0!</v>
          </cell>
          <cell r="AE942">
            <v>0.71</v>
          </cell>
          <cell r="AF942">
            <v>94.97</v>
          </cell>
          <cell r="AG942">
            <v>0</v>
          </cell>
          <cell r="AH942" t="e">
            <v>#DIV/0!</v>
          </cell>
          <cell r="AI942" t="e">
            <v>#DIV/0!</v>
          </cell>
          <cell r="AJ942" t="e">
            <v>#DIV/0!</v>
          </cell>
          <cell r="AK942" t="e">
            <v>#DIV/0!</v>
          </cell>
          <cell r="AL942" t="e">
            <v>#DIV/0!</v>
          </cell>
          <cell r="AM942" t="e">
            <v>#DIV/0!</v>
          </cell>
          <cell r="AN942" t="e">
            <v>#DIV/0!</v>
          </cell>
          <cell r="AO942" t="e">
            <v>#REF!</v>
          </cell>
          <cell r="AP942" t="e">
            <v>#REF!</v>
          </cell>
          <cell r="AQ942" t="e">
            <v>#REF!</v>
          </cell>
          <cell r="AR942" t="e">
            <v>#REF!</v>
          </cell>
          <cell r="AS942" t="e">
            <v>#REF!</v>
          </cell>
          <cell r="AT942" t="e">
            <v>#REF!</v>
          </cell>
          <cell r="AU942" t="e">
            <v>#REF!</v>
          </cell>
          <cell r="AV942" t="e">
            <v>#REF!</v>
          </cell>
          <cell r="AW942" t="e">
            <v>#DIV/0!</v>
          </cell>
          <cell r="AX942" t="e">
            <v>#DIV/0!</v>
          </cell>
          <cell r="AY942" t="e">
            <v>#DIV/0!</v>
          </cell>
          <cell r="AZ942" t="e">
            <v>#DIV/0!</v>
          </cell>
          <cell r="BE942" t="e">
            <v>#DIV/0!</v>
          </cell>
          <cell r="BF942" t="e">
            <v>#DIV/0!</v>
          </cell>
        </row>
        <row r="943">
          <cell r="A943" t="str">
            <v>-0</v>
          </cell>
          <cell r="B943" t="str">
            <v xml:space="preserve">-0  , </v>
          </cell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  <cell r="M943"/>
          <cell r="N943"/>
          <cell r="O943"/>
          <cell r="P943"/>
          <cell r="Q943"/>
          <cell r="R943"/>
          <cell r="S943"/>
          <cell r="T943"/>
          <cell r="U943"/>
          <cell r="V943"/>
          <cell r="W943"/>
          <cell r="X943">
            <v>0</v>
          </cell>
          <cell r="Y943">
            <v>0</v>
          </cell>
          <cell r="Z943">
            <v>0</v>
          </cell>
          <cell r="AA943" t="str">
            <v>,</v>
          </cell>
          <cell r="AB943" t="str">
            <v>,</v>
          </cell>
          <cell r="AC943" t="e">
            <v>#DIV/0!</v>
          </cell>
          <cell r="AD943" t="e">
            <v>#DIV/0!</v>
          </cell>
          <cell r="AE943">
            <v>0.71</v>
          </cell>
          <cell r="AF943">
            <v>94.97</v>
          </cell>
          <cell r="AG943">
            <v>0</v>
          </cell>
          <cell r="AH943" t="e">
            <v>#DIV/0!</v>
          </cell>
          <cell r="AI943" t="e">
            <v>#DIV/0!</v>
          </cell>
          <cell r="AJ943" t="e">
            <v>#DIV/0!</v>
          </cell>
          <cell r="AK943" t="e">
            <v>#DIV/0!</v>
          </cell>
          <cell r="AL943" t="e">
            <v>#DIV/0!</v>
          </cell>
          <cell r="AM943" t="e">
            <v>#DIV/0!</v>
          </cell>
          <cell r="AN943" t="e">
            <v>#DIV/0!</v>
          </cell>
          <cell r="AO943" t="e">
            <v>#REF!</v>
          </cell>
          <cell r="AP943" t="e">
            <v>#REF!</v>
          </cell>
          <cell r="AQ943" t="e">
            <v>#REF!</v>
          </cell>
          <cell r="AR943" t="e">
            <v>#REF!</v>
          </cell>
          <cell r="AS943" t="e">
            <v>#REF!</v>
          </cell>
          <cell r="AT943" t="e">
            <v>#REF!</v>
          </cell>
          <cell r="AU943" t="e">
            <v>#REF!</v>
          </cell>
          <cell r="AV943" t="e">
            <v>#REF!</v>
          </cell>
          <cell r="AW943" t="e">
            <v>#DIV/0!</v>
          </cell>
          <cell r="AX943" t="e">
            <v>#DIV/0!</v>
          </cell>
          <cell r="AY943" t="e">
            <v>#DIV/0!</v>
          </cell>
          <cell r="AZ943" t="e">
            <v>#DIV/0!</v>
          </cell>
          <cell r="BE943" t="e">
            <v>#DIV/0!</v>
          </cell>
          <cell r="BF943" t="e">
            <v>#DIV/0!</v>
          </cell>
        </row>
        <row r="944">
          <cell r="A944" t="str">
            <v>-0</v>
          </cell>
          <cell r="B944" t="str">
            <v xml:space="preserve">-0  , </v>
          </cell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  <cell r="M944"/>
          <cell r="N944"/>
          <cell r="O944"/>
          <cell r="P944"/>
          <cell r="Q944"/>
          <cell r="R944"/>
          <cell r="S944"/>
          <cell r="T944"/>
          <cell r="U944"/>
          <cell r="V944"/>
          <cell r="W944"/>
          <cell r="X944">
            <v>0</v>
          </cell>
          <cell r="Y944">
            <v>0</v>
          </cell>
          <cell r="Z944">
            <v>0</v>
          </cell>
          <cell r="AA944" t="str">
            <v>,</v>
          </cell>
          <cell r="AB944" t="str">
            <v>,</v>
          </cell>
          <cell r="AC944" t="e">
            <v>#DIV/0!</v>
          </cell>
          <cell r="AD944" t="e">
            <v>#DIV/0!</v>
          </cell>
          <cell r="AE944">
            <v>0.71</v>
          </cell>
          <cell r="AF944">
            <v>94.97</v>
          </cell>
          <cell r="AG944">
            <v>0</v>
          </cell>
          <cell r="AH944" t="e">
            <v>#DIV/0!</v>
          </cell>
          <cell r="AI944" t="e">
            <v>#DIV/0!</v>
          </cell>
          <cell r="AJ944" t="e">
            <v>#DIV/0!</v>
          </cell>
          <cell r="AK944" t="e">
            <v>#DIV/0!</v>
          </cell>
          <cell r="AL944" t="e">
            <v>#DIV/0!</v>
          </cell>
          <cell r="AM944" t="e">
            <v>#DIV/0!</v>
          </cell>
          <cell r="AN944" t="e">
            <v>#DIV/0!</v>
          </cell>
          <cell r="AO944" t="e">
            <v>#REF!</v>
          </cell>
          <cell r="AP944" t="e">
            <v>#REF!</v>
          </cell>
          <cell r="AQ944" t="e">
            <v>#REF!</v>
          </cell>
          <cell r="AR944" t="e">
            <v>#REF!</v>
          </cell>
          <cell r="AS944" t="e">
            <v>#REF!</v>
          </cell>
          <cell r="AT944" t="e">
            <v>#REF!</v>
          </cell>
          <cell r="AU944" t="e">
            <v>#REF!</v>
          </cell>
          <cell r="AV944" t="e">
            <v>#REF!</v>
          </cell>
          <cell r="AW944" t="e">
            <v>#DIV/0!</v>
          </cell>
          <cell r="AX944" t="e">
            <v>#DIV/0!</v>
          </cell>
          <cell r="AY944" t="e">
            <v>#DIV/0!</v>
          </cell>
          <cell r="AZ944" t="e">
            <v>#DIV/0!</v>
          </cell>
          <cell r="BE944" t="e">
            <v>#DIV/0!</v>
          </cell>
          <cell r="BF944" t="e">
            <v>#DIV/0!</v>
          </cell>
        </row>
        <row r="945">
          <cell r="A945" t="str">
            <v>-0</v>
          </cell>
          <cell r="B945" t="str">
            <v xml:space="preserve">-0  , </v>
          </cell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  <cell r="M945"/>
          <cell r="N945"/>
          <cell r="O945"/>
          <cell r="P945"/>
          <cell r="Q945"/>
          <cell r="R945"/>
          <cell r="S945"/>
          <cell r="T945"/>
          <cell r="U945"/>
          <cell r="V945"/>
          <cell r="W945"/>
          <cell r="X945">
            <v>0</v>
          </cell>
          <cell r="Y945">
            <v>0</v>
          </cell>
          <cell r="Z945">
            <v>0</v>
          </cell>
          <cell r="AA945" t="str">
            <v>,</v>
          </cell>
          <cell r="AB945" t="str">
            <v>,</v>
          </cell>
          <cell r="AC945" t="e">
            <v>#DIV/0!</v>
          </cell>
          <cell r="AD945" t="e">
            <v>#DIV/0!</v>
          </cell>
          <cell r="AE945">
            <v>0.71</v>
          </cell>
          <cell r="AF945">
            <v>94.97</v>
          </cell>
          <cell r="AG945">
            <v>0</v>
          </cell>
          <cell r="AH945" t="e">
            <v>#DIV/0!</v>
          </cell>
          <cell r="AI945" t="e">
            <v>#DIV/0!</v>
          </cell>
          <cell r="AJ945" t="e">
            <v>#DIV/0!</v>
          </cell>
          <cell r="AK945" t="e">
            <v>#DIV/0!</v>
          </cell>
          <cell r="AL945" t="e">
            <v>#DIV/0!</v>
          </cell>
          <cell r="AM945" t="e">
            <v>#DIV/0!</v>
          </cell>
          <cell r="AN945" t="e">
            <v>#DIV/0!</v>
          </cell>
          <cell r="AO945" t="e">
            <v>#REF!</v>
          </cell>
          <cell r="AP945" t="e">
            <v>#REF!</v>
          </cell>
          <cell r="AQ945" t="e">
            <v>#REF!</v>
          </cell>
          <cell r="AR945" t="e">
            <v>#REF!</v>
          </cell>
          <cell r="AS945" t="e">
            <v>#REF!</v>
          </cell>
          <cell r="AT945" t="e">
            <v>#REF!</v>
          </cell>
          <cell r="AU945" t="e">
            <v>#REF!</v>
          </cell>
          <cell r="AV945" t="e">
            <v>#REF!</v>
          </cell>
          <cell r="AW945" t="e">
            <v>#DIV/0!</v>
          </cell>
          <cell r="AX945" t="e">
            <v>#DIV/0!</v>
          </cell>
          <cell r="AY945" t="e">
            <v>#DIV/0!</v>
          </cell>
          <cell r="AZ945" t="e">
            <v>#DIV/0!</v>
          </cell>
          <cell r="BE945" t="e">
            <v>#DIV/0!</v>
          </cell>
          <cell r="BF945" t="e">
            <v>#DIV/0!</v>
          </cell>
        </row>
        <row r="946">
          <cell r="A946" t="str">
            <v>-0</v>
          </cell>
          <cell r="B946" t="str">
            <v xml:space="preserve">-0  , </v>
          </cell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  <cell r="M946"/>
          <cell r="N946"/>
          <cell r="O946"/>
          <cell r="P946"/>
          <cell r="Q946"/>
          <cell r="R946"/>
          <cell r="S946"/>
          <cell r="T946"/>
          <cell r="U946"/>
          <cell r="V946"/>
          <cell r="W946"/>
          <cell r="X946">
            <v>0</v>
          </cell>
          <cell r="Y946">
            <v>0</v>
          </cell>
          <cell r="Z946">
            <v>0</v>
          </cell>
          <cell r="AA946" t="str">
            <v>,</v>
          </cell>
          <cell r="AB946" t="str">
            <v>,</v>
          </cell>
          <cell r="AC946" t="e">
            <v>#DIV/0!</v>
          </cell>
          <cell r="AD946" t="e">
            <v>#DIV/0!</v>
          </cell>
          <cell r="AE946">
            <v>0.71</v>
          </cell>
          <cell r="AF946">
            <v>94.97</v>
          </cell>
          <cell r="AG946">
            <v>0</v>
          </cell>
          <cell r="AH946" t="e">
            <v>#DIV/0!</v>
          </cell>
          <cell r="AI946" t="e">
            <v>#DIV/0!</v>
          </cell>
          <cell r="AJ946" t="e">
            <v>#DIV/0!</v>
          </cell>
          <cell r="AK946" t="e">
            <v>#DIV/0!</v>
          </cell>
          <cell r="AL946" t="e">
            <v>#DIV/0!</v>
          </cell>
          <cell r="AM946" t="e">
            <v>#DIV/0!</v>
          </cell>
          <cell r="AN946" t="e">
            <v>#DIV/0!</v>
          </cell>
          <cell r="AO946" t="e">
            <v>#REF!</v>
          </cell>
          <cell r="AP946" t="e">
            <v>#REF!</v>
          </cell>
          <cell r="AQ946" t="e">
            <v>#REF!</v>
          </cell>
          <cell r="AR946" t="e">
            <v>#REF!</v>
          </cell>
          <cell r="AS946" t="e">
            <v>#REF!</v>
          </cell>
          <cell r="AT946" t="e">
            <v>#REF!</v>
          </cell>
          <cell r="AU946" t="e">
            <v>#REF!</v>
          </cell>
          <cell r="AV946" t="e">
            <v>#REF!</v>
          </cell>
          <cell r="AW946" t="e">
            <v>#DIV/0!</v>
          </cell>
          <cell r="AX946" t="e">
            <v>#DIV/0!</v>
          </cell>
          <cell r="AY946" t="e">
            <v>#DIV/0!</v>
          </cell>
          <cell r="AZ946" t="e">
            <v>#DIV/0!</v>
          </cell>
          <cell r="BE946" t="e">
            <v>#DIV/0!</v>
          </cell>
          <cell r="BF946" t="e">
            <v>#DIV/0!</v>
          </cell>
        </row>
        <row r="947">
          <cell r="A947" t="str">
            <v>-0</v>
          </cell>
          <cell r="B947" t="str">
            <v xml:space="preserve">-0  , </v>
          </cell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  <cell r="M947"/>
          <cell r="N947"/>
          <cell r="O947"/>
          <cell r="P947"/>
          <cell r="Q947"/>
          <cell r="R947"/>
          <cell r="S947"/>
          <cell r="T947"/>
          <cell r="U947"/>
          <cell r="V947"/>
          <cell r="W947"/>
          <cell r="X947">
            <v>0</v>
          </cell>
          <cell r="Y947">
            <v>0</v>
          </cell>
          <cell r="Z947">
            <v>0</v>
          </cell>
          <cell r="AA947" t="str">
            <v>,</v>
          </cell>
          <cell r="AB947" t="str">
            <v>,</v>
          </cell>
          <cell r="AC947" t="e">
            <v>#DIV/0!</v>
          </cell>
          <cell r="AD947" t="e">
            <v>#DIV/0!</v>
          </cell>
          <cell r="AE947">
            <v>0.71</v>
          </cell>
          <cell r="AF947">
            <v>94.97</v>
          </cell>
          <cell r="AG947">
            <v>0</v>
          </cell>
          <cell r="AH947" t="e">
            <v>#DIV/0!</v>
          </cell>
          <cell r="AI947" t="e">
            <v>#DIV/0!</v>
          </cell>
          <cell r="AJ947" t="e">
            <v>#DIV/0!</v>
          </cell>
          <cell r="AK947" t="e">
            <v>#DIV/0!</v>
          </cell>
          <cell r="AL947" t="e">
            <v>#DIV/0!</v>
          </cell>
          <cell r="AM947" t="e">
            <v>#DIV/0!</v>
          </cell>
          <cell r="AN947" t="e">
            <v>#DIV/0!</v>
          </cell>
          <cell r="AO947" t="e">
            <v>#REF!</v>
          </cell>
          <cell r="AP947" t="e">
            <v>#REF!</v>
          </cell>
          <cell r="AQ947" t="e">
            <v>#REF!</v>
          </cell>
          <cell r="AR947" t="e">
            <v>#REF!</v>
          </cell>
          <cell r="AS947" t="e">
            <v>#REF!</v>
          </cell>
          <cell r="AT947" t="e">
            <v>#REF!</v>
          </cell>
          <cell r="AU947" t="e">
            <v>#REF!</v>
          </cell>
          <cell r="AV947" t="e">
            <v>#REF!</v>
          </cell>
          <cell r="AW947" t="e">
            <v>#DIV/0!</v>
          </cell>
          <cell r="AX947" t="e">
            <v>#DIV/0!</v>
          </cell>
          <cell r="AY947" t="e">
            <v>#DIV/0!</v>
          </cell>
          <cell r="AZ947" t="e">
            <v>#DIV/0!</v>
          </cell>
          <cell r="BE947" t="e">
            <v>#DIV/0!</v>
          </cell>
          <cell r="BF947" t="e">
            <v>#DIV/0!</v>
          </cell>
        </row>
        <row r="948">
          <cell r="A948" t="str">
            <v>-0</v>
          </cell>
          <cell r="B948" t="str">
            <v xml:space="preserve">-0  , </v>
          </cell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  <cell r="M948"/>
          <cell r="N948"/>
          <cell r="O948"/>
          <cell r="P948"/>
          <cell r="Q948"/>
          <cell r="R948"/>
          <cell r="S948"/>
          <cell r="T948"/>
          <cell r="U948"/>
          <cell r="V948"/>
          <cell r="W948"/>
          <cell r="X948">
            <v>0</v>
          </cell>
          <cell r="Y948">
            <v>0</v>
          </cell>
          <cell r="Z948">
            <v>0</v>
          </cell>
          <cell r="AA948" t="str">
            <v>,</v>
          </cell>
          <cell r="AB948" t="str">
            <v>,</v>
          </cell>
          <cell r="AC948" t="e">
            <v>#DIV/0!</v>
          </cell>
          <cell r="AD948" t="e">
            <v>#DIV/0!</v>
          </cell>
          <cell r="AE948">
            <v>0.71</v>
          </cell>
          <cell r="AF948">
            <v>94.97</v>
          </cell>
          <cell r="AG948">
            <v>0</v>
          </cell>
          <cell r="AH948" t="e">
            <v>#DIV/0!</v>
          </cell>
          <cell r="AI948" t="e">
            <v>#DIV/0!</v>
          </cell>
          <cell r="AJ948" t="e">
            <v>#DIV/0!</v>
          </cell>
          <cell r="AK948" t="e">
            <v>#DIV/0!</v>
          </cell>
          <cell r="AL948" t="e">
            <v>#DIV/0!</v>
          </cell>
          <cell r="AM948" t="e">
            <v>#DIV/0!</v>
          </cell>
          <cell r="AN948" t="e">
            <v>#DIV/0!</v>
          </cell>
          <cell r="AO948" t="e">
            <v>#REF!</v>
          </cell>
          <cell r="AP948" t="e">
            <v>#REF!</v>
          </cell>
          <cell r="AQ948" t="e">
            <v>#REF!</v>
          </cell>
          <cell r="AR948" t="e">
            <v>#REF!</v>
          </cell>
          <cell r="AS948" t="e">
            <v>#REF!</v>
          </cell>
          <cell r="AT948" t="e">
            <v>#REF!</v>
          </cell>
          <cell r="AU948" t="e">
            <v>#REF!</v>
          </cell>
          <cell r="AV948" t="e">
            <v>#REF!</v>
          </cell>
          <cell r="AW948" t="e">
            <v>#DIV/0!</v>
          </cell>
          <cell r="AX948" t="e">
            <v>#DIV/0!</v>
          </cell>
          <cell r="AY948" t="e">
            <v>#DIV/0!</v>
          </cell>
          <cell r="AZ948" t="e">
            <v>#DIV/0!</v>
          </cell>
          <cell r="BE948" t="e">
            <v>#DIV/0!</v>
          </cell>
          <cell r="BF948" t="e">
            <v>#DIV/0!</v>
          </cell>
        </row>
        <row r="949">
          <cell r="A949" t="str">
            <v>-0</v>
          </cell>
          <cell r="B949" t="str">
            <v xml:space="preserve">-0  , </v>
          </cell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  <cell r="M949"/>
          <cell r="N949"/>
          <cell r="O949"/>
          <cell r="P949"/>
          <cell r="Q949"/>
          <cell r="R949"/>
          <cell r="S949"/>
          <cell r="T949"/>
          <cell r="U949"/>
          <cell r="V949"/>
          <cell r="W949"/>
          <cell r="X949">
            <v>0</v>
          </cell>
          <cell r="Y949">
            <v>0</v>
          </cell>
          <cell r="Z949">
            <v>0</v>
          </cell>
          <cell r="AA949" t="str">
            <v>,</v>
          </cell>
          <cell r="AB949" t="str">
            <v>,</v>
          </cell>
          <cell r="AC949" t="e">
            <v>#DIV/0!</v>
          </cell>
          <cell r="AD949" t="e">
            <v>#DIV/0!</v>
          </cell>
          <cell r="AE949">
            <v>0.71</v>
          </cell>
          <cell r="AF949">
            <v>94.97</v>
          </cell>
          <cell r="AG949">
            <v>0</v>
          </cell>
          <cell r="AH949" t="e">
            <v>#DIV/0!</v>
          </cell>
          <cell r="AI949" t="e">
            <v>#DIV/0!</v>
          </cell>
          <cell r="AJ949" t="e">
            <v>#DIV/0!</v>
          </cell>
          <cell r="AK949" t="e">
            <v>#DIV/0!</v>
          </cell>
          <cell r="AL949" t="e">
            <v>#DIV/0!</v>
          </cell>
          <cell r="AM949" t="e">
            <v>#DIV/0!</v>
          </cell>
          <cell r="AN949" t="e">
            <v>#DIV/0!</v>
          </cell>
          <cell r="AO949" t="e">
            <v>#REF!</v>
          </cell>
          <cell r="AP949" t="e">
            <v>#REF!</v>
          </cell>
          <cell r="AQ949" t="e">
            <v>#REF!</v>
          </cell>
          <cell r="AR949" t="e">
            <v>#REF!</v>
          </cell>
          <cell r="AS949" t="e">
            <v>#REF!</v>
          </cell>
          <cell r="AT949" t="e">
            <v>#REF!</v>
          </cell>
          <cell r="AU949" t="e">
            <v>#REF!</v>
          </cell>
          <cell r="AV949" t="e">
            <v>#REF!</v>
          </cell>
          <cell r="AW949" t="e">
            <v>#DIV/0!</v>
          </cell>
          <cell r="AX949" t="e">
            <v>#DIV/0!</v>
          </cell>
          <cell r="AY949" t="e">
            <v>#DIV/0!</v>
          </cell>
          <cell r="AZ949" t="e">
            <v>#DIV/0!</v>
          </cell>
          <cell r="BE949" t="e">
            <v>#DIV/0!</v>
          </cell>
          <cell r="BF949" t="e">
            <v>#DIV/0!</v>
          </cell>
        </row>
        <row r="950">
          <cell r="A950" t="str">
            <v>-0</v>
          </cell>
          <cell r="B950" t="str">
            <v xml:space="preserve">-0  , </v>
          </cell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  <cell r="M950"/>
          <cell r="N950"/>
          <cell r="O950"/>
          <cell r="P950"/>
          <cell r="Q950"/>
          <cell r="R950"/>
          <cell r="S950"/>
          <cell r="T950"/>
          <cell r="U950"/>
          <cell r="V950"/>
          <cell r="W950"/>
          <cell r="X950">
            <v>0</v>
          </cell>
          <cell r="Y950">
            <v>0</v>
          </cell>
          <cell r="Z950">
            <v>0</v>
          </cell>
          <cell r="AA950" t="str">
            <v>,</v>
          </cell>
          <cell r="AB950" t="str">
            <v>,</v>
          </cell>
          <cell r="AC950" t="e">
            <v>#DIV/0!</v>
          </cell>
          <cell r="AD950" t="e">
            <v>#DIV/0!</v>
          </cell>
          <cell r="AE950">
            <v>0.71</v>
          </cell>
          <cell r="AF950">
            <v>94.97</v>
          </cell>
          <cell r="AG950">
            <v>0</v>
          </cell>
          <cell r="AH950" t="e">
            <v>#DIV/0!</v>
          </cell>
          <cell r="AI950" t="e">
            <v>#DIV/0!</v>
          </cell>
          <cell r="AJ950" t="e">
            <v>#DIV/0!</v>
          </cell>
          <cell r="AK950" t="e">
            <v>#DIV/0!</v>
          </cell>
          <cell r="AL950" t="e">
            <v>#DIV/0!</v>
          </cell>
          <cell r="AM950" t="e">
            <v>#DIV/0!</v>
          </cell>
          <cell r="AN950" t="e">
            <v>#DIV/0!</v>
          </cell>
          <cell r="AO950" t="e">
            <v>#REF!</v>
          </cell>
          <cell r="AP950" t="e">
            <v>#REF!</v>
          </cell>
          <cell r="AQ950" t="e">
            <v>#REF!</v>
          </cell>
          <cell r="AR950" t="e">
            <v>#REF!</v>
          </cell>
          <cell r="AS950" t="e">
            <v>#REF!</v>
          </cell>
          <cell r="AT950" t="e">
            <v>#REF!</v>
          </cell>
          <cell r="AU950" t="e">
            <v>#REF!</v>
          </cell>
          <cell r="AV950" t="e">
            <v>#REF!</v>
          </cell>
          <cell r="AW950" t="e">
            <v>#DIV/0!</v>
          </cell>
          <cell r="AX950" t="e">
            <v>#DIV/0!</v>
          </cell>
          <cell r="AY950" t="e">
            <v>#DIV/0!</v>
          </cell>
          <cell r="AZ950" t="e">
            <v>#DIV/0!</v>
          </cell>
          <cell r="BE950" t="e">
            <v>#DIV/0!</v>
          </cell>
          <cell r="BF950" t="e">
            <v>#DIV/0!</v>
          </cell>
        </row>
        <row r="951">
          <cell r="A951" t="str">
            <v>-0</v>
          </cell>
          <cell r="B951" t="str">
            <v xml:space="preserve">-0  , </v>
          </cell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  <cell r="M951"/>
          <cell r="N951"/>
          <cell r="O951"/>
          <cell r="P951"/>
          <cell r="Q951"/>
          <cell r="R951"/>
          <cell r="S951"/>
          <cell r="T951"/>
          <cell r="U951"/>
          <cell r="V951"/>
          <cell r="W951"/>
          <cell r="X951">
            <v>0</v>
          </cell>
          <cell r="Y951">
            <v>0</v>
          </cell>
          <cell r="Z951">
            <v>0</v>
          </cell>
          <cell r="AA951" t="str">
            <v>,</v>
          </cell>
          <cell r="AB951" t="str">
            <v>,</v>
          </cell>
          <cell r="AC951" t="e">
            <v>#DIV/0!</v>
          </cell>
          <cell r="AD951" t="e">
            <v>#DIV/0!</v>
          </cell>
          <cell r="AE951">
            <v>0.71</v>
          </cell>
          <cell r="AF951">
            <v>94.97</v>
          </cell>
          <cell r="AG951">
            <v>0</v>
          </cell>
          <cell r="AH951" t="e">
            <v>#DIV/0!</v>
          </cell>
          <cell r="AI951" t="e">
            <v>#DIV/0!</v>
          </cell>
          <cell r="AJ951" t="e">
            <v>#DIV/0!</v>
          </cell>
          <cell r="AK951" t="e">
            <v>#DIV/0!</v>
          </cell>
          <cell r="AL951" t="e">
            <v>#DIV/0!</v>
          </cell>
          <cell r="AM951" t="e">
            <v>#DIV/0!</v>
          </cell>
          <cell r="AN951" t="e">
            <v>#DIV/0!</v>
          </cell>
          <cell r="AO951" t="e">
            <v>#REF!</v>
          </cell>
          <cell r="AP951" t="e">
            <v>#REF!</v>
          </cell>
          <cell r="AQ951" t="e">
            <v>#REF!</v>
          </cell>
          <cell r="AR951" t="e">
            <v>#REF!</v>
          </cell>
          <cell r="AS951" t="e">
            <v>#REF!</v>
          </cell>
          <cell r="AT951" t="e">
            <v>#REF!</v>
          </cell>
          <cell r="AU951" t="e">
            <v>#REF!</v>
          </cell>
          <cell r="AV951" t="e">
            <v>#REF!</v>
          </cell>
          <cell r="AW951" t="e">
            <v>#DIV/0!</v>
          </cell>
          <cell r="AX951" t="e">
            <v>#DIV/0!</v>
          </cell>
          <cell r="AY951" t="e">
            <v>#DIV/0!</v>
          </cell>
          <cell r="AZ951" t="e">
            <v>#DIV/0!</v>
          </cell>
          <cell r="BE951" t="e">
            <v>#DIV/0!</v>
          </cell>
          <cell r="BF951" t="e">
            <v>#DIV/0!</v>
          </cell>
        </row>
        <row r="952">
          <cell r="A952" t="str">
            <v>-0</v>
          </cell>
          <cell r="B952" t="str">
            <v xml:space="preserve">-0  , </v>
          </cell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  <cell r="M952"/>
          <cell r="N952"/>
          <cell r="O952"/>
          <cell r="P952"/>
          <cell r="Q952"/>
          <cell r="R952"/>
          <cell r="S952"/>
          <cell r="T952"/>
          <cell r="U952"/>
          <cell r="V952"/>
          <cell r="W952"/>
          <cell r="X952">
            <v>0</v>
          </cell>
          <cell r="Y952">
            <v>0</v>
          </cell>
          <cell r="Z952">
            <v>0</v>
          </cell>
          <cell r="AA952" t="str">
            <v>,</v>
          </cell>
          <cell r="AB952" t="str">
            <v>,</v>
          </cell>
          <cell r="AC952" t="e">
            <v>#DIV/0!</v>
          </cell>
          <cell r="AD952" t="e">
            <v>#DIV/0!</v>
          </cell>
          <cell r="AE952">
            <v>0.71</v>
          </cell>
          <cell r="AF952">
            <v>94.97</v>
          </cell>
          <cell r="AG952">
            <v>0</v>
          </cell>
          <cell r="AH952" t="e">
            <v>#DIV/0!</v>
          </cell>
          <cell r="AI952" t="e">
            <v>#DIV/0!</v>
          </cell>
          <cell r="AJ952" t="e">
            <v>#DIV/0!</v>
          </cell>
          <cell r="AK952" t="e">
            <v>#DIV/0!</v>
          </cell>
          <cell r="AL952" t="e">
            <v>#DIV/0!</v>
          </cell>
          <cell r="AM952" t="e">
            <v>#DIV/0!</v>
          </cell>
          <cell r="AN952" t="e">
            <v>#DIV/0!</v>
          </cell>
          <cell r="AO952" t="e">
            <v>#REF!</v>
          </cell>
          <cell r="AP952" t="e">
            <v>#REF!</v>
          </cell>
          <cell r="AQ952" t="e">
            <v>#REF!</v>
          </cell>
          <cell r="AR952" t="e">
            <v>#REF!</v>
          </cell>
          <cell r="AS952" t="e">
            <v>#REF!</v>
          </cell>
          <cell r="AT952" t="e">
            <v>#REF!</v>
          </cell>
          <cell r="AU952" t="e">
            <v>#REF!</v>
          </cell>
          <cell r="AV952" t="e">
            <v>#REF!</v>
          </cell>
          <cell r="AW952" t="e">
            <v>#DIV/0!</v>
          </cell>
          <cell r="AX952" t="e">
            <v>#DIV/0!</v>
          </cell>
          <cell r="AY952" t="e">
            <v>#DIV/0!</v>
          </cell>
          <cell r="AZ952" t="e">
            <v>#DIV/0!</v>
          </cell>
          <cell r="BE952" t="e">
            <v>#DIV/0!</v>
          </cell>
          <cell r="BF952" t="e">
            <v>#DIV/0!</v>
          </cell>
        </row>
        <row r="953">
          <cell r="A953" t="str">
            <v>-0</v>
          </cell>
          <cell r="B953" t="str">
            <v xml:space="preserve">-0  , </v>
          </cell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  <cell r="M953"/>
          <cell r="N953"/>
          <cell r="O953"/>
          <cell r="P953"/>
          <cell r="Q953"/>
          <cell r="R953"/>
          <cell r="S953"/>
          <cell r="T953"/>
          <cell r="U953"/>
          <cell r="V953"/>
          <cell r="W953"/>
          <cell r="X953">
            <v>0</v>
          </cell>
          <cell r="Y953">
            <v>0</v>
          </cell>
          <cell r="Z953">
            <v>0</v>
          </cell>
          <cell r="AA953" t="str">
            <v>,</v>
          </cell>
          <cell r="AB953" t="str">
            <v>,</v>
          </cell>
          <cell r="AC953" t="e">
            <v>#DIV/0!</v>
          </cell>
          <cell r="AD953" t="e">
            <v>#DIV/0!</v>
          </cell>
          <cell r="AE953">
            <v>0.71</v>
          </cell>
          <cell r="AF953">
            <v>94.97</v>
          </cell>
          <cell r="AG953">
            <v>0</v>
          </cell>
          <cell r="AH953" t="e">
            <v>#DIV/0!</v>
          </cell>
          <cell r="AI953" t="e">
            <v>#DIV/0!</v>
          </cell>
          <cell r="AJ953" t="e">
            <v>#DIV/0!</v>
          </cell>
          <cell r="AK953" t="e">
            <v>#DIV/0!</v>
          </cell>
          <cell r="AL953" t="e">
            <v>#DIV/0!</v>
          </cell>
          <cell r="AM953" t="e">
            <v>#DIV/0!</v>
          </cell>
          <cell r="AN953" t="e">
            <v>#DIV/0!</v>
          </cell>
          <cell r="AO953" t="e">
            <v>#REF!</v>
          </cell>
          <cell r="AP953" t="e">
            <v>#REF!</v>
          </cell>
          <cell r="AQ953" t="e">
            <v>#REF!</v>
          </cell>
          <cell r="AR953" t="e">
            <v>#REF!</v>
          </cell>
          <cell r="AS953" t="e">
            <v>#REF!</v>
          </cell>
          <cell r="AT953" t="e">
            <v>#REF!</v>
          </cell>
          <cell r="AU953" t="e">
            <v>#REF!</v>
          </cell>
          <cell r="AV953" t="e">
            <v>#REF!</v>
          </cell>
          <cell r="AW953" t="e">
            <v>#DIV/0!</v>
          </cell>
          <cell r="AX953" t="e">
            <v>#DIV/0!</v>
          </cell>
          <cell r="AY953" t="e">
            <v>#DIV/0!</v>
          </cell>
          <cell r="AZ953" t="e">
            <v>#DIV/0!</v>
          </cell>
          <cell r="BE953" t="e">
            <v>#DIV/0!</v>
          </cell>
          <cell r="BF953" t="e">
            <v>#DIV/0!</v>
          </cell>
        </row>
        <row r="954">
          <cell r="A954" t="str">
            <v>-0</v>
          </cell>
          <cell r="B954" t="str">
            <v xml:space="preserve">-0  , </v>
          </cell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  <cell r="M954"/>
          <cell r="N954"/>
          <cell r="O954"/>
          <cell r="P954"/>
          <cell r="Q954"/>
          <cell r="R954"/>
          <cell r="S954"/>
          <cell r="T954"/>
          <cell r="U954"/>
          <cell r="V954"/>
          <cell r="W954"/>
          <cell r="X954">
            <v>0</v>
          </cell>
          <cell r="Y954">
            <v>0</v>
          </cell>
          <cell r="Z954">
            <v>0</v>
          </cell>
          <cell r="AA954" t="str">
            <v>,</v>
          </cell>
          <cell r="AB954" t="str">
            <v>,</v>
          </cell>
          <cell r="AC954" t="e">
            <v>#DIV/0!</v>
          </cell>
          <cell r="AD954" t="e">
            <v>#DIV/0!</v>
          </cell>
          <cell r="AE954">
            <v>0.71</v>
          </cell>
          <cell r="AF954">
            <v>94.97</v>
          </cell>
          <cell r="AG954">
            <v>0</v>
          </cell>
          <cell r="AH954" t="e">
            <v>#DIV/0!</v>
          </cell>
          <cell r="AI954" t="e">
            <v>#DIV/0!</v>
          </cell>
          <cell r="AJ954" t="e">
            <v>#DIV/0!</v>
          </cell>
          <cell r="AK954" t="e">
            <v>#DIV/0!</v>
          </cell>
          <cell r="AL954" t="e">
            <v>#DIV/0!</v>
          </cell>
          <cell r="AM954" t="e">
            <v>#DIV/0!</v>
          </cell>
          <cell r="AN954" t="e">
            <v>#DIV/0!</v>
          </cell>
          <cell r="AO954" t="e">
            <v>#REF!</v>
          </cell>
          <cell r="AP954" t="e">
            <v>#REF!</v>
          </cell>
          <cell r="AQ954" t="e">
            <v>#REF!</v>
          </cell>
          <cell r="AR954" t="e">
            <v>#REF!</v>
          </cell>
          <cell r="AS954" t="e">
            <v>#REF!</v>
          </cell>
          <cell r="AT954" t="e">
            <v>#REF!</v>
          </cell>
          <cell r="AU954" t="e">
            <v>#REF!</v>
          </cell>
          <cell r="AV954" t="e">
            <v>#REF!</v>
          </cell>
          <cell r="AW954" t="e">
            <v>#DIV/0!</v>
          </cell>
          <cell r="AX954" t="e">
            <v>#DIV/0!</v>
          </cell>
          <cell r="AY954" t="e">
            <v>#DIV/0!</v>
          </cell>
          <cell r="AZ954" t="e">
            <v>#DIV/0!</v>
          </cell>
          <cell r="BE954" t="e">
            <v>#DIV/0!</v>
          </cell>
          <cell r="BF954" t="e">
            <v>#DIV/0!</v>
          </cell>
        </row>
        <row r="955">
          <cell r="A955" t="str">
            <v>-0</v>
          </cell>
          <cell r="B955" t="str">
            <v xml:space="preserve">-0  , </v>
          </cell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  <cell r="M955"/>
          <cell r="N955"/>
          <cell r="O955"/>
          <cell r="P955"/>
          <cell r="Q955"/>
          <cell r="R955"/>
          <cell r="S955"/>
          <cell r="T955"/>
          <cell r="U955"/>
          <cell r="V955"/>
          <cell r="W955"/>
          <cell r="X955">
            <v>0</v>
          </cell>
          <cell r="Y955">
            <v>0</v>
          </cell>
          <cell r="Z955">
            <v>0</v>
          </cell>
          <cell r="AA955" t="str">
            <v>,</v>
          </cell>
          <cell r="AB955" t="str">
            <v>,</v>
          </cell>
          <cell r="AC955" t="e">
            <v>#DIV/0!</v>
          </cell>
          <cell r="AD955" t="e">
            <v>#DIV/0!</v>
          </cell>
          <cell r="AE955">
            <v>0.71</v>
          </cell>
          <cell r="AF955">
            <v>94.97</v>
          </cell>
          <cell r="AG955">
            <v>0</v>
          </cell>
          <cell r="AH955" t="e">
            <v>#DIV/0!</v>
          </cell>
          <cell r="AI955" t="e">
            <v>#DIV/0!</v>
          </cell>
          <cell r="AJ955" t="e">
            <v>#DIV/0!</v>
          </cell>
          <cell r="AK955" t="e">
            <v>#DIV/0!</v>
          </cell>
          <cell r="AL955" t="e">
            <v>#DIV/0!</v>
          </cell>
          <cell r="AM955" t="e">
            <v>#DIV/0!</v>
          </cell>
          <cell r="AN955" t="e">
            <v>#DIV/0!</v>
          </cell>
          <cell r="AO955" t="e">
            <v>#REF!</v>
          </cell>
          <cell r="AP955" t="e">
            <v>#REF!</v>
          </cell>
          <cell r="AQ955" t="e">
            <v>#REF!</v>
          </cell>
          <cell r="AR955" t="e">
            <v>#REF!</v>
          </cell>
          <cell r="AS955" t="e">
            <v>#REF!</v>
          </cell>
          <cell r="AT955" t="e">
            <v>#REF!</v>
          </cell>
          <cell r="AU955" t="e">
            <v>#REF!</v>
          </cell>
          <cell r="AV955" t="e">
            <v>#REF!</v>
          </cell>
          <cell r="AW955" t="e">
            <v>#DIV/0!</v>
          </cell>
          <cell r="AX955" t="e">
            <v>#DIV/0!</v>
          </cell>
          <cell r="AY955" t="e">
            <v>#DIV/0!</v>
          </cell>
          <cell r="AZ955" t="e">
            <v>#DIV/0!</v>
          </cell>
          <cell r="BE955" t="e">
            <v>#DIV/0!</v>
          </cell>
          <cell r="BF955" t="e">
            <v>#DIV/0!</v>
          </cell>
        </row>
        <row r="956">
          <cell r="A956" t="str">
            <v>-0</v>
          </cell>
          <cell r="B956" t="str">
            <v xml:space="preserve">-0  , </v>
          </cell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  <cell r="M956"/>
          <cell r="N956"/>
          <cell r="O956"/>
          <cell r="P956"/>
          <cell r="Q956"/>
          <cell r="R956"/>
          <cell r="S956"/>
          <cell r="T956"/>
          <cell r="U956"/>
          <cell r="V956"/>
          <cell r="W956"/>
          <cell r="X956">
            <v>0</v>
          </cell>
          <cell r="Y956">
            <v>0</v>
          </cell>
          <cell r="Z956">
            <v>0</v>
          </cell>
          <cell r="AA956" t="str">
            <v>,</v>
          </cell>
          <cell r="AB956" t="str">
            <v>,</v>
          </cell>
          <cell r="AC956" t="e">
            <v>#DIV/0!</v>
          </cell>
          <cell r="AD956" t="e">
            <v>#DIV/0!</v>
          </cell>
          <cell r="AE956">
            <v>0.71</v>
          </cell>
          <cell r="AF956">
            <v>94.97</v>
          </cell>
          <cell r="AG956">
            <v>0</v>
          </cell>
          <cell r="AH956" t="e">
            <v>#DIV/0!</v>
          </cell>
          <cell r="AI956" t="e">
            <v>#DIV/0!</v>
          </cell>
          <cell r="AJ956" t="e">
            <v>#DIV/0!</v>
          </cell>
          <cell r="AK956" t="e">
            <v>#DIV/0!</v>
          </cell>
          <cell r="AL956" t="e">
            <v>#DIV/0!</v>
          </cell>
          <cell r="AM956" t="e">
            <v>#DIV/0!</v>
          </cell>
          <cell r="AN956" t="e">
            <v>#DIV/0!</v>
          </cell>
          <cell r="AO956" t="e">
            <v>#REF!</v>
          </cell>
          <cell r="AP956" t="e">
            <v>#REF!</v>
          </cell>
          <cell r="AQ956" t="e">
            <v>#REF!</v>
          </cell>
          <cell r="AR956" t="e">
            <v>#REF!</v>
          </cell>
          <cell r="AS956" t="e">
            <v>#REF!</v>
          </cell>
          <cell r="AT956" t="e">
            <v>#REF!</v>
          </cell>
          <cell r="AU956" t="e">
            <v>#REF!</v>
          </cell>
          <cell r="AV956" t="e">
            <v>#REF!</v>
          </cell>
          <cell r="AW956" t="e">
            <v>#DIV/0!</v>
          </cell>
          <cell r="AX956" t="e">
            <v>#DIV/0!</v>
          </cell>
          <cell r="AY956" t="e">
            <v>#DIV/0!</v>
          </cell>
          <cell r="AZ956" t="e">
            <v>#DIV/0!</v>
          </cell>
          <cell r="BE956" t="e">
            <v>#DIV/0!</v>
          </cell>
          <cell r="BF956" t="e">
            <v>#DIV/0!</v>
          </cell>
        </row>
        <row r="957">
          <cell r="A957" t="str">
            <v>-0</v>
          </cell>
          <cell r="B957" t="str">
            <v xml:space="preserve">-0  , </v>
          </cell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  <cell r="M957"/>
          <cell r="N957"/>
          <cell r="O957"/>
          <cell r="P957"/>
          <cell r="Q957"/>
          <cell r="R957"/>
          <cell r="S957"/>
          <cell r="T957"/>
          <cell r="U957"/>
          <cell r="V957"/>
          <cell r="W957"/>
          <cell r="X957">
            <v>0</v>
          </cell>
          <cell r="Y957">
            <v>0</v>
          </cell>
          <cell r="Z957">
            <v>0</v>
          </cell>
          <cell r="AA957" t="str">
            <v>,</v>
          </cell>
          <cell r="AB957" t="str">
            <v>,</v>
          </cell>
          <cell r="AC957" t="e">
            <v>#DIV/0!</v>
          </cell>
          <cell r="AD957" t="e">
            <v>#DIV/0!</v>
          </cell>
          <cell r="AE957">
            <v>0.71</v>
          </cell>
          <cell r="AF957">
            <v>94.97</v>
          </cell>
          <cell r="AG957">
            <v>0</v>
          </cell>
          <cell r="AH957" t="e">
            <v>#DIV/0!</v>
          </cell>
          <cell r="AI957" t="e">
            <v>#DIV/0!</v>
          </cell>
          <cell r="AJ957" t="e">
            <v>#DIV/0!</v>
          </cell>
          <cell r="AK957" t="e">
            <v>#DIV/0!</v>
          </cell>
          <cell r="AL957" t="e">
            <v>#DIV/0!</v>
          </cell>
          <cell r="AM957" t="e">
            <v>#DIV/0!</v>
          </cell>
          <cell r="AN957" t="e">
            <v>#DIV/0!</v>
          </cell>
          <cell r="AO957" t="e">
            <v>#REF!</v>
          </cell>
          <cell r="AP957" t="e">
            <v>#REF!</v>
          </cell>
          <cell r="AQ957" t="e">
            <v>#REF!</v>
          </cell>
          <cell r="AR957" t="e">
            <v>#REF!</v>
          </cell>
          <cell r="AS957" t="e">
            <v>#REF!</v>
          </cell>
          <cell r="AT957" t="e">
            <v>#REF!</v>
          </cell>
          <cell r="AU957" t="e">
            <v>#REF!</v>
          </cell>
          <cell r="AV957" t="e">
            <v>#REF!</v>
          </cell>
          <cell r="AW957" t="e">
            <v>#DIV/0!</v>
          </cell>
          <cell r="AX957" t="e">
            <v>#DIV/0!</v>
          </cell>
          <cell r="AY957" t="e">
            <v>#DIV/0!</v>
          </cell>
          <cell r="AZ957" t="e">
            <v>#DIV/0!</v>
          </cell>
          <cell r="BE957" t="e">
            <v>#DIV/0!</v>
          </cell>
          <cell r="BF957" t="e">
            <v>#DIV/0!</v>
          </cell>
        </row>
        <row r="958">
          <cell r="A958" t="str">
            <v>-0</v>
          </cell>
          <cell r="B958" t="str">
            <v xml:space="preserve">-0  , </v>
          </cell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  <cell r="M958"/>
          <cell r="N958"/>
          <cell r="O958"/>
          <cell r="P958"/>
          <cell r="Q958"/>
          <cell r="R958"/>
          <cell r="S958"/>
          <cell r="T958"/>
          <cell r="U958"/>
          <cell r="V958"/>
          <cell r="W958"/>
          <cell r="X958">
            <v>0</v>
          </cell>
          <cell r="Y958">
            <v>0</v>
          </cell>
          <cell r="Z958">
            <v>0</v>
          </cell>
          <cell r="AA958" t="str">
            <v>,</v>
          </cell>
          <cell r="AB958" t="str">
            <v>,</v>
          </cell>
          <cell r="AC958" t="e">
            <v>#DIV/0!</v>
          </cell>
          <cell r="AD958" t="e">
            <v>#DIV/0!</v>
          </cell>
          <cell r="AE958">
            <v>0.71</v>
          </cell>
          <cell r="AF958">
            <v>94.97</v>
          </cell>
          <cell r="AG958">
            <v>0</v>
          </cell>
          <cell r="AH958" t="e">
            <v>#DIV/0!</v>
          </cell>
          <cell r="AI958" t="e">
            <v>#DIV/0!</v>
          </cell>
          <cell r="AJ958" t="e">
            <v>#DIV/0!</v>
          </cell>
          <cell r="AK958" t="e">
            <v>#DIV/0!</v>
          </cell>
          <cell r="AL958" t="e">
            <v>#DIV/0!</v>
          </cell>
          <cell r="AM958" t="e">
            <v>#DIV/0!</v>
          </cell>
          <cell r="AN958" t="e">
            <v>#DIV/0!</v>
          </cell>
          <cell r="AO958" t="e">
            <v>#REF!</v>
          </cell>
          <cell r="AP958" t="e">
            <v>#REF!</v>
          </cell>
          <cell r="AQ958" t="e">
            <v>#REF!</v>
          </cell>
          <cell r="AR958" t="e">
            <v>#REF!</v>
          </cell>
          <cell r="AS958" t="e">
            <v>#REF!</v>
          </cell>
          <cell r="AT958" t="e">
            <v>#REF!</v>
          </cell>
          <cell r="AU958" t="e">
            <v>#REF!</v>
          </cell>
          <cell r="AV958" t="e">
            <v>#REF!</v>
          </cell>
          <cell r="AW958" t="e">
            <v>#DIV/0!</v>
          </cell>
          <cell r="AX958" t="e">
            <v>#DIV/0!</v>
          </cell>
          <cell r="AY958" t="e">
            <v>#DIV/0!</v>
          </cell>
          <cell r="AZ958" t="e">
            <v>#DIV/0!</v>
          </cell>
          <cell r="BE958" t="e">
            <v>#DIV/0!</v>
          </cell>
          <cell r="BF958" t="e">
            <v>#DIV/0!</v>
          </cell>
        </row>
        <row r="959">
          <cell r="A959" t="str">
            <v>-0</v>
          </cell>
          <cell r="B959" t="str">
            <v xml:space="preserve">-0  , </v>
          </cell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  <cell r="M959"/>
          <cell r="N959"/>
          <cell r="O959"/>
          <cell r="P959"/>
          <cell r="Q959"/>
          <cell r="R959"/>
          <cell r="S959"/>
          <cell r="T959"/>
          <cell r="U959"/>
          <cell r="V959"/>
          <cell r="W959"/>
          <cell r="X959">
            <v>0</v>
          </cell>
          <cell r="Y959">
            <v>0</v>
          </cell>
          <cell r="Z959">
            <v>0</v>
          </cell>
          <cell r="AA959" t="str">
            <v>,</v>
          </cell>
          <cell r="AB959" t="str">
            <v>,</v>
          </cell>
          <cell r="AC959" t="e">
            <v>#DIV/0!</v>
          </cell>
          <cell r="AD959" t="e">
            <v>#DIV/0!</v>
          </cell>
          <cell r="AE959">
            <v>0.71</v>
          </cell>
          <cell r="AF959">
            <v>94.97</v>
          </cell>
          <cell r="AG959">
            <v>0</v>
          </cell>
          <cell r="AH959" t="e">
            <v>#DIV/0!</v>
          </cell>
          <cell r="AI959" t="e">
            <v>#DIV/0!</v>
          </cell>
          <cell r="AJ959" t="e">
            <v>#DIV/0!</v>
          </cell>
          <cell r="AK959" t="e">
            <v>#DIV/0!</v>
          </cell>
          <cell r="AL959" t="e">
            <v>#DIV/0!</v>
          </cell>
          <cell r="AM959" t="e">
            <v>#DIV/0!</v>
          </cell>
          <cell r="AN959" t="e">
            <v>#DIV/0!</v>
          </cell>
          <cell r="AO959" t="e">
            <v>#REF!</v>
          </cell>
          <cell r="AP959" t="e">
            <v>#REF!</v>
          </cell>
          <cell r="AQ959" t="e">
            <v>#REF!</v>
          </cell>
          <cell r="AR959" t="e">
            <v>#REF!</v>
          </cell>
          <cell r="AS959" t="e">
            <v>#REF!</v>
          </cell>
          <cell r="AT959" t="e">
            <v>#REF!</v>
          </cell>
          <cell r="AU959" t="e">
            <v>#REF!</v>
          </cell>
          <cell r="AV959" t="e">
            <v>#REF!</v>
          </cell>
          <cell r="AW959" t="e">
            <v>#DIV/0!</v>
          </cell>
          <cell r="AX959" t="e">
            <v>#DIV/0!</v>
          </cell>
          <cell r="AY959" t="e">
            <v>#DIV/0!</v>
          </cell>
          <cell r="AZ959" t="e">
            <v>#DIV/0!</v>
          </cell>
          <cell r="BE959" t="e">
            <v>#DIV/0!</v>
          </cell>
          <cell r="BF959" t="e">
            <v>#DIV/0!</v>
          </cell>
        </row>
        <row r="960">
          <cell r="A960" t="str">
            <v>-0</v>
          </cell>
          <cell r="B960" t="str">
            <v xml:space="preserve">-0  , </v>
          </cell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  <cell r="M960"/>
          <cell r="N960"/>
          <cell r="O960"/>
          <cell r="P960"/>
          <cell r="Q960"/>
          <cell r="R960"/>
          <cell r="S960"/>
          <cell r="T960"/>
          <cell r="U960"/>
          <cell r="V960"/>
          <cell r="W960"/>
          <cell r="X960">
            <v>0</v>
          </cell>
          <cell r="Y960">
            <v>0</v>
          </cell>
          <cell r="Z960">
            <v>0</v>
          </cell>
          <cell r="AA960" t="str">
            <v>,</v>
          </cell>
          <cell r="AB960" t="str">
            <v>,</v>
          </cell>
          <cell r="AC960" t="e">
            <v>#DIV/0!</v>
          </cell>
          <cell r="AD960" t="e">
            <v>#DIV/0!</v>
          </cell>
          <cell r="AE960">
            <v>0.71</v>
          </cell>
          <cell r="AF960">
            <v>94.97</v>
          </cell>
          <cell r="AG960">
            <v>0</v>
          </cell>
          <cell r="AH960" t="e">
            <v>#DIV/0!</v>
          </cell>
          <cell r="AI960" t="e">
            <v>#DIV/0!</v>
          </cell>
          <cell r="AJ960" t="e">
            <v>#DIV/0!</v>
          </cell>
          <cell r="AK960" t="e">
            <v>#DIV/0!</v>
          </cell>
          <cell r="AL960" t="e">
            <v>#DIV/0!</v>
          </cell>
          <cell r="AM960" t="e">
            <v>#DIV/0!</v>
          </cell>
          <cell r="AN960" t="e">
            <v>#DIV/0!</v>
          </cell>
          <cell r="AO960" t="e">
            <v>#REF!</v>
          </cell>
          <cell r="AP960" t="e">
            <v>#REF!</v>
          </cell>
          <cell r="AQ960" t="e">
            <v>#REF!</v>
          </cell>
          <cell r="AR960" t="e">
            <v>#REF!</v>
          </cell>
          <cell r="AS960" t="e">
            <v>#REF!</v>
          </cell>
          <cell r="AT960" t="e">
            <v>#REF!</v>
          </cell>
          <cell r="AU960" t="e">
            <v>#REF!</v>
          </cell>
          <cell r="AV960" t="e">
            <v>#REF!</v>
          </cell>
          <cell r="AW960" t="e">
            <v>#DIV/0!</v>
          </cell>
          <cell r="AX960" t="e">
            <v>#DIV/0!</v>
          </cell>
          <cell r="AY960" t="e">
            <v>#DIV/0!</v>
          </cell>
          <cell r="AZ960" t="e">
            <v>#DIV/0!</v>
          </cell>
          <cell r="BE960" t="e">
            <v>#DIV/0!</v>
          </cell>
          <cell r="BF960" t="e">
            <v>#DIV/0!</v>
          </cell>
        </row>
        <row r="961">
          <cell r="A961" t="str">
            <v>-0</v>
          </cell>
          <cell r="B961" t="str">
            <v xml:space="preserve">-0  , </v>
          </cell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  <cell r="M961"/>
          <cell r="N961"/>
          <cell r="O961"/>
          <cell r="P961"/>
          <cell r="Q961"/>
          <cell r="R961"/>
          <cell r="S961"/>
          <cell r="T961"/>
          <cell r="U961"/>
          <cell r="V961"/>
          <cell r="W961"/>
          <cell r="X961">
            <v>0</v>
          </cell>
          <cell r="Y961">
            <v>0</v>
          </cell>
          <cell r="Z961">
            <v>0</v>
          </cell>
          <cell r="AA961" t="str">
            <v>,</v>
          </cell>
          <cell r="AB961" t="str">
            <v>,</v>
          </cell>
          <cell r="AC961" t="e">
            <v>#DIV/0!</v>
          </cell>
          <cell r="AD961" t="e">
            <v>#DIV/0!</v>
          </cell>
          <cell r="AE961">
            <v>0.71</v>
          </cell>
          <cell r="AF961">
            <v>94.97</v>
          </cell>
          <cell r="AG961">
            <v>0</v>
          </cell>
          <cell r="AH961" t="e">
            <v>#DIV/0!</v>
          </cell>
          <cell r="AI961" t="e">
            <v>#DIV/0!</v>
          </cell>
          <cell r="AJ961" t="e">
            <v>#DIV/0!</v>
          </cell>
          <cell r="AK961" t="e">
            <v>#DIV/0!</v>
          </cell>
          <cell r="AL961" t="e">
            <v>#DIV/0!</v>
          </cell>
          <cell r="AM961" t="e">
            <v>#DIV/0!</v>
          </cell>
          <cell r="AN961" t="e">
            <v>#DIV/0!</v>
          </cell>
          <cell r="AO961" t="e">
            <v>#REF!</v>
          </cell>
          <cell r="AP961" t="e">
            <v>#REF!</v>
          </cell>
          <cell r="AQ961" t="e">
            <v>#REF!</v>
          </cell>
          <cell r="AR961" t="e">
            <v>#REF!</v>
          </cell>
          <cell r="AS961" t="e">
            <v>#REF!</v>
          </cell>
          <cell r="AT961" t="e">
            <v>#REF!</v>
          </cell>
          <cell r="AU961" t="e">
            <v>#REF!</v>
          </cell>
          <cell r="AV961" t="e">
            <v>#REF!</v>
          </cell>
          <cell r="AW961" t="e">
            <v>#DIV/0!</v>
          </cell>
          <cell r="AX961" t="e">
            <v>#DIV/0!</v>
          </cell>
          <cell r="AY961" t="e">
            <v>#DIV/0!</v>
          </cell>
          <cell r="AZ961" t="e">
            <v>#DIV/0!</v>
          </cell>
          <cell r="BE961" t="e">
            <v>#DIV/0!</v>
          </cell>
          <cell r="BF961" t="e">
            <v>#DIV/0!</v>
          </cell>
        </row>
        <row r="962">
          <cell r="A962" t="str">
            <v>-0</v>
          </cell>
          <cell r="B962" t="str">
            <v xml:space="preserve">-0  , </v>
          </cell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  <cell r="M962"/>
          <cell r="N962"/>
          <cell r="O962"/>
          <cell r="P962"/>
          <cell r="Q962"/>
          <cell r="R962"/>
          <cell r="S962"/>
          <cell r="T962"/>
          <cell r="U962"/>
          <cell r="V962"/>
          <cell r="W962"/>
          <cell r="X962">
            <v>0</v>
          </cell>
          <cell r="Y962">
            <v>0</v>
          </cell>
          <cell r="Z962">
            <v>0</v>
          </cell>
          <cell r="AA962" t="str">
            <v>,</v>
          </cell>
          <cell r="AB962" t="str">
            <v>,</v>
          </cell>
          <cell r="AC962" t="e">
            <v>#DIV/0!</v>
          </cell>
          <cell r="AD962" t="e">
            <v>#DIV/0!</v>
          </cell>
          <cell r="AE962">
            <v>0.71</v>
          </cell>
          <cell r="AF962">
            <v>94.97</v>
          </cell>
          <cell r="AG962">
            <v>0</v>
          </cell>
          <cell r="AH962" t="e">
            <v>#DIV/0!</v>
          </cell>
          <cell r="AI962" t="e">
            <v>#DIV/0!</v>
          </cell>
          <cell r="AJ962" t="e">
            <v>#DIV/0!</v>
          </cell>
          <cell r="AK962" t="e">
            <v>#DIV/0!</v>
          </cell>
          <cell r="AL962" t="e">
            <v>#DIV/0!</v>
          </cell>
          <cell r="AM962" t="e">
            <v>#DIV/0!</v>
          </cell>
          <cell r="AN962" t="e">
            <v>#DIV/0!</v>
          </cell>
          <cell r="AO962" t="e">
            <v>#REF!</v>
          </cell>
          <cell r="AP962" t="e">
            <v>#REF!</v>
          </cell>
          <cell r="AQ962" t="e">
            <v>#REF!</v>
          </cell>
          <cell r="AR962" t="e">
            <v>#REF!</v>
          </cell>
          <cell r="AS962" t="e">
            <v>#REF!</v>
          </cell>
          <cell r="AT962" t="e">
            <v>#REF!</v>
          </cell>
          <cell r="AU962" t="e">
            <v>#REF!</v>
          </cell>
          <cell r="AV962" t="e">
            <v>#REF!</v>
          </cell>
          <cell r="AW962" t="e">
            <v>#DIV/0!</v>
          </cell>
          <cell r="AX962" t="e">
            <v>#DIV/0!</v>
          </cell>
          <cell r="AY962" t="e">
            <v>#DIV/0!</v>
          </cell>
          <cell r="AZ962" t="e">
            <v>#DIV/0!</v>
          </cell>
          <cell r="BE962" t="e">
            <v>#DIV/0!</v>
          </cell>
          <cell r="BF962" t="e">
            <v>#DIV/0!</v>
          </cell>
        </row>
        <row r="963">
          <cell r="A963" t="str">
            <v>-0</v>
          </cell>
          <cell r="B963" t="str">
            <v xml:space="preserve">-0  , </v>
          </cell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  <cell r="M963"/>
          <cell r="N963"/>
          <cell r="O963"/>
          <cell r="P963"/>
          <cell r="Q963"/>
          <cell r="R963"/>
          <cell r="S963"/>
          <cell r="T963"/>
          <cell r="U963"/>
          <cell r="V963"/>
          <cell r="W963"/>
          <cell r="X963">
            <v>0</v>
          </cell>
          <cell r="Y963">
            <v>0</v>
          </cell>
          <cell r="Z963">
            <v>0</v>
          </cell>
          <cell r="AA963" t="str">
            <v>,</v>
          </cell>
          <cell r="AB963" t="str">
            <v>,</v>
          </cell>
          <cell r="AC963" t="e">
            <v>#DIV/0!</v>
          </cell>
          <cell r="AD963" t="e">
            <v>#DIV/0!</v>
          </cell>
          <cell r="AE963">
            <v>0.71</v>
          </cell>
          <cell r="AF963">
            <v>94.97</v>
          </cell>
          <cell r="AG963">
            <v>0</v>
          </cell>
          <cell r="AH963" t="e">
            <v>#DIV/0!</v>
          </cell>
          <cell r="AI963" t="e">
            <v>#DIV/0!</v>
          </cell>
          <cell r="AJ963" t="e">
            <v>#DIV/0!</v>
          </cell>
          <cell r="AK963" t="e">
            <v>#DIV/0!</v>
          </cell>
          <cell r="AL963" t="e">
            <v>#DIV/0!</v>
          </cell>
          <cell r="AM963" t="e">
            <v>#DIV/0!</v>
          </cell>
          <cell r="AN963" t="e">
            <v>#DIV/0!</v>
          </cell>
          <cell r="AO963" t="e">
            <v>#REF!</v>
          </cell>
          <cell r="AP963" t="e">
            <v>#REF!</v>
          </cell>
          <cell r="AQ963" t="e">
            <v>#REF!</v>
          </cell>
          <cell r="AR963" t="e">
            <v>#REF!</v>
          </cell>
          <cell r="AS963" t="e">
            <v>#REF!</v>
          </cell>
          <cell r="AT963" t="e">
            <v>#REF!</v>
          </cell>
          <cell r="AU963" t="e">
            <v>#REF!</v>
          </cell>
          <cell r="AV963" t="e">
            <v>#REF!</v>
          </cell>
          <cell r="AW963" t="e">
            <v>#DIV/0!</v>
          </cell>
          <cell r="AX963" t="e">
            <v>#DIV/0!</v>
          </cell>
          <cell r="AY963" t="e">
            <v>#DIV/0!</v>
          </cell>
          <cell r="AZ963" t="e">
            <v>#DIV/0!</v>
          </cell>
          <cell r="BE963" t="e">
            <v>#DIV/0!</v>
          </cell>
          <cell r="BF963" t="e">
            <v>#DIV/0!</v>
          </cell>
        </row>
        <row r="964">
          <cell r="A964" t="str">
            <v>-0</v>
          </cell>
          <cell r="B964" t="str">
            <v xml:space="preserve">-0  , </v>
          </cell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  <cell r="M964"/>
          <cell r="N964"/>
          <cell r="O964"/>
          <cell r="P964"/>
          <cell r="Q964"/>
          <cell r="R964"/>
          <cell r="S964"/>
          <cell r="T964"/>
          <cell r="U964"/>
          <cell r="V964"/>
          <cell r="W964"/>
          <cell r="X964">
            <v>0</v>
          </cell>
          <cell r="Y964">
            <v>0</v>
          </cell>
          <cell r="Z964">
            <v>0</v>
          </cell>
          <cell r="AA964" t="str">
            <v>,</v>
          </cell>
          <cell r="AB964" t="str">
            <v>,</v>
          </cell>
          <cell r="AC964" t="e">
            <v>#DIV/0!</v>
          </cell>
          <cell r="AD964" t="e">
            <v>#DIV/0!</v>
          </cell>
          <cell r="AE964">
            <v>0.71</v>
          </cell>
          <cell r="AF964">
            <v>94.97</v>
          </cell>
          <cell r="AG964">
            <v>0</v>
          </cell>
          <cell r="AH964" t="e">
            <v>#DIV/0!</v>
          </cell>
          <cell r="AI964" t="e">
            <v>#DIV/0!</v>
          </cell>
          <cell r="AJ964" t="e">
            <v>#DIV/0!</v>
          </cell>
          <cell r="AK964" t="e">
            <v>#DIV/0!</v>
          </cell>
          <cell r="AL964" t="e">
            <v>#DIV/0!</v>
          </cell>
          <cell r="AM964" t="e">
            <v>#DIV/0!</v>
          </cell>
          <cell r="AN964" t="e">
            <v>#DIV/0!</v>
          </cell>
          <cell r="AO964" t="e">
            <v>#REF!</v>
          </cell>
          <cell r="AP964" t="e">
            <v>#REF!</v>
          </cell>
          <cell r="AQ964" t="e">
            <v>#REF!</v>
          </cell>
          <cell r="AR964" t="e">
            <v>#REF!</v>
          </cell>
          <cell r="AS964" t="e">
            <v>#REF!</v>
          </cell>
          <cell r="AT964" t="e">
            <v>#REF!</v>
          </cell>
          <cell r="AU964" t="e">
            <v>#REF!</v>
          </cell>
          <cell r="AV964" t="e">
            <v>#REF!</v>
          </cell>
          <cell r="AW964" t="e">
            <v>#DIV/0!</v>
          </cell>
          <cell r="AX964" t="e">
            <v>#DIV/0!</v>
          </cell>
          <cell r="AY964" t="e">
            <v>#DIV/0!</v>
          </cell>
          <cell r="AZ964" t="e">
            <v>#DIV/0!</v>
          </cell>
          <cell r="BE964" t="e">
            <v>#DIV/0!</v>
          </cell>
          <cell r="BF964" t="e">
            <v>#DIV/0!</v>
          </cell>
        </row>
        <row r="965">
          <cell r="A965" t="str">
            <v>-0</v>
          </cell>
          <cell r="B965" t="str">
            <v xml:space="preserve">-0  , </v>
          </cell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  <cell r="M965"/>
          <cell r="N965"/>
          <cell r="O965"/>
          <cell r="P965"/>
          <cell r="Q965"/>
          <cell r="R965"/>
          <cell r="S965"/>
          <cell r="T965"/>
          <cell r="U965"/>
          <cell r="V965"/>
          <cell r="W965"/>
          <cell r="X965">
            <v>0</v>
          </cell>
          <cell r="Y965">
            <v>0</v>
          </cell>
          <cell r="Z965">
            <v>0</v>
          </cell>
          <cell r="AA965" t="str">
            <v>,</v>
          </cell>
          <cell r="AB965" t="str">
            <v>,</v>
          </cell>
          <cell r="AC965" t="e">
            <v>#DIV/0!</v>
          </cell>
          <cell r="AD965" t="e">
            <v>#DIV/0!</v>
          </cell>
          <cell r="AE965">
            <v>0.71</v>
          </cell>
          <cell r="AF965">
            <v>94.97</v>
          </cell>
          <cell r="AG965">
            <v>0</v>
          </cell>
          <cell r="AH965" t="e">
            <v>#DIV/0!</v>
          </cell>
          <cell r="AI965" t="e">
            <v>#DIV/0!</v>
          </cell>
          <cell r="AJ965" t="e">
            <v>#DIV/0!</v>
          </cell>
          <cell r="AK965" t="e">
            <v>#DIV/0!</v>
          </cell>
          <cell r="AL965" t="e">
            <v>#DIV/0!</v>
          </cell>
          <cell r="AM965" t="e">
            <v>#DIV/0!</v>
          </cell>
          <cell r="AN965" t="e">
            <v>#DIV/0!</v>
          </cell>
          <cell r="AO965" t="e">
            <v>#REF!</v>
          </cell>
          <cell r="AP965" t="e">
            <v>#REF!</v>
          </cell>
          <cell r="AQ965" t="e">
            <v>#REF!</v>
          </cell>
          <cell r="AR965" t="e">
            <v>#REF!</v>
          </cell>
          <cell r="AS965" t="e">
            <v>#REF!</v>
          </cell>
          <cell r="AT965" t="e">
            <v>#REF!</v>
          </cell>
          <cell r="AU965" t="e">
            <v>#REF!</v>
          </cell>
          <cell r="AV965" t="e">
            <v>#REF!</v>
          </cell>
          <cell r="AW965" t="e">
            <v>#DIV/0!</v>
          </cell>
          <cell r="AX965" t="e">
            <v>#DIV/0!</v>
          </cell>
          <cell r="AY965" t="e">
            <v>#DIV/0!</v>
          </cell>
          <cell r="AZ965" t="e">
            <v>#DIV/0!</v>
          </cell>
          <cell r="BE965" t="e">
            <v>#DIV/0!</v>
          </cell>
          <cell r="BF965" t="e">
            <v>#DIV/0!</v>
          </cell>
        </row>
        <row r="966">
          <cell r="A966" t="str">
            <v>-0</v>
          </cell>
          <cell r="B966" t="str">
            <v xml:space="preserve">-0  , </v>
          </cell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  <cell r="M966"/>
          <cell r="N966"/>
          <cell r="O966"/>
          <cell r="P966"/>
          <cell r="Q966"/>
          <cell r="R966"/>
          <cell r="S966"/>
          <cell r="T966"/>
          <cell r="U966"/>
          <cell r="V966"/>
          <cell r="W966"/>
          <cell r="X966">
            <v>0</v>
          </cell>
          <cell r="Y966">
            <v>0</v>
          </cell>
          <cell r="Z966">
            <v>0</v>
          </cell>
          <cell r="AA966" t="str">
            <v>,</v>
          </cell>
          <cell r="AB966" t="str">
            <v>,</v>
          </cell>
          <cell r="AC966" t="e">
            <v>#DIV/0!</v>
          </cell>
          <cell r="AD966" t="e">
            <v>#DIV/0!</v>
          </cell>
          <cell r="AE966">
            <v>0.71</v>
          </cell>
          <cell r="AF966">
            <v>94.97</v>
          </cell>
          <cell r="AG966">
            <v>0</v>
          </cell>
          <cell r="AH966" t="e">
            <v>#DIV/0!</v>
          </cell>
          <cell r="AI966" t="e">
            <v>#DIV/0!</v>
          </cell>
          <cell r="AJ966" t="e">
            <v>#DIV/0!</v>
          </cell>
          <cell r="AK966" t="e">
            <v>#DIV/0!</v>
          </cell>
          <cell r="AL966" t="e">
            <v>#DIV/0!</v>
          </cell>
          <cell r="AM966" t="e">
            <v>#DIV/0!</v>
          </cell>
          <cell r="AN966" t="e">
            <v>#DIV/0!</v>
          </cell>
          <cell r="AO966" t="e">
            <v>#REF!</v>
          </cell>
          <cell r="AP966" t="e">
            <v>#REF!</v>
          </cell>
          <cell r="AQ966" t="e">
            <v>#REF!</v>
          </cell>
          <cell r="AR966" t="e">
            <v>#REF!</v>
          </cell>
          <cell r="AS966" t="e">
            <v>#REF!</v>
          </cell>
          <cell r="AT966" t="e">
            <v>#REF!</v>
          </cell>
          <cell r="AU966" t="e">
            <v>#REF!</v>
          </cell>
          <cell r="AV966" t="e">
            <v>#REF!</v>
          </cell>
          <cell r="AW966" t="e">
            <v>#DIV/0!</v>
          </cell>
          <cell r="AX966" t="e">
            <v>#DIV/0!</v>
          </cell>
          <cell r="AY966" t="e">
            <v>#DIV/0!</v>
          </cell>
          <cell r="AZ966" t="e">
            <v>#DIV/0!</v>
          </cell>
          <cell r="BE966" t="e">
            <v>#DIV/0!</v>
          </cell>
          <cell r="BF966" t="e">
            <v>#DIV/0!</v>
          </cell>
        </row>
        <row r="967">
          <cell r="A967" t="str">
            <v>-0</v>
          </cell>
          <cell r="B967" t="str">
            <v xml:space="preserve">-0  , </v>
          </cell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  <cell r="M967"/>
          <cell r="N967"/>
          <cell r="O967"/>
          <cell r="P967"/>
          <cell r="Q967"/>
          <cell r="R967"/>
          <cell r="S967"/>
          <cell r="T967"/>
          <cell r="U967"/>
          <cell r="V967"/>
          <cell r="W967"/>
          <cell r="X967">
            <v>0</v>
          </cell>
          <cell r="Y967">
            <v>0</v>
          </cell>
          <cell r="Z967">
            <v>0</v>
          </cell>
          <cell r="AA967" t="str">
            <v>,</v>
          </cell>
          <cell r="AB967" t="str">
            <v>,</v>
          </cell>
          <cell r="AC967" t="e">
            <v>#DIV/0!</v>
          </cell>
          <cell r="AD967" t="e">
            <v>#DIV/0!</v>
          </cell>
          <cell r="AE967">
            <v>0.71</v>
          </cell>
          <cell r="AF967">
            <v>94.97</v>
          </cell>
          <cell r="AG967">
            <v>0</v>
          </cell>
          <cell r="AH967" t="e">
            <v>#DIV/0!</v>
          </cell>
          <cell r="AI967" t="e">
            <v>#DIV/0!</v>
          </cell>
          <cell r="AJ967" t="e">
            <v>#DIV/0!</v>
          </cell>
          <cell r="AK967" t="e">
            <v>#DIV/0!</v>
          </cell>
          <cell r="AL967" t="e">
            <v>#DIV/0!</v>
          </cell>
          <cell r="AM967" t="e">
            <v>#DIV/0!</v>
          </cell>
          <cell r="AN967" t="e">
            <v>#DIV/0!</v>
          </cell>
          <cell r="AO967" t="e">
            <v>#REF!</v>
          </cell>
          <cell r="AP967" t="e">
            <v>#REF!</v>
          </cell>
          <cell r="AQ967" t="e">
            <v>#REF!</v>
          </cell>
          <cell r="AR967" t="e">
            <v>#REF!</v>
          </cell>
          <cell r="AS967" t="e">
            <v>#REF!</v>
          </cell>
          <cell r="AT967" t="e">
            <v>#REF!</v>
          </cell>
          <cell r="AU967" t="e">
            <v>#REF!</v>
          </cell>
          <cell r="AV967" t="e">
            <v>#REF!</v>
          </cell>
          <cell r="AW967" t="e">
            <v>#DIV/0!</v>
          </cell>
          <cell r="AX967" t="e">
            <v>#DIV/0!</v>
          </cell>
          <cell r="AY967" t="e">
            <v>#DIV/0!</v>
          </cell>
          <cell r="AZ967" t="e">
            <v>#DIV/0!</v>
          </cell>
          <cell r="BE967" t="e">
            <v>#DIV/0!</v>
          </cell>
          <cell r="BF967" t="e">
            <v>#DIV/0!</v>
          </cell>
        </row>
        <row r="968">
          <cell r="A968" t="str">
            <v>-0</v>
          </cell>
          <cell r="B968" t="str">
            <v xml:space="preserve">-0  , </v>
          </cell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  <cell r="M968"/>
          <cell r="N968"/>
          <cell r="O968"/>
          <cell r="P968"/>
          <cell r="Q968"/>
          <cell r="R968"/>
          <cell r="S968"/>
          <cell r="T968"/>
          <cell r="U968"/>
          <cell r="V968"/>
          <cell r="W968"/>
          <cell r="X968">
            <v>0</v>
          </cell>
          <cell r="Y968">
            <v>0</v>
          </cell>
          <cell r="Z968">
            <v>0</v>
          </cell>
          <cell r="AA968" t="str">
            <v>,</v>
          </cell>
          <cell r="AB968" t="str">
            <v>,</v>
          </cell>
          <cell r="AC968" t="e">
            <v>#DIV/0!</v>
          </cell>
          <cell r="AD968" t="e">
            <v>#DIV/0!</v>
          </cell>
          <cell r="AE968">
            <v>0.71</v>
          </cell>
          <cell r="AF968">
            <v>94.97</v>
          </cell>
          <cell r="AG968">
            <v>0</v>
          </cell>
          <cell r="AH968" t="e">
            <v>#DIV/0!</v>
          </cell>
          <cell r="AI968" t="e">
            <v>#DIV/0!</v>
          </cell>
          <cell r="AJ968" t="e">
            <v>#DIV/0!</v>
          </cell>
          <cell r="AK968" t="e">
            <v>#DIV/0!</v>
          </cell>
          <cell r="AL968" t="e">
            <v>#DIV/0!</v>
          </cell>
          <cell r="AM968" t="e">
            <v>#DIV/0!</v>
          </cell>
          <cell r="AN968" t="e">
            <v>#DIV/0!</v>
          </cell>
          <cell r="AO968" t="e">
            <v>#REF!</v>
          </cell>
          <cell r="AP968" t="e">
            <v>#REF!</v>
          </cell>
          <cell r="AQ968" t="e">
            <v>#REF!</v>
          </cell>
          <cell r="AR968" t="e">
            <v>#REF!</v>
          </cell>
          <cell r="AS968" t="e">
            <v>#REF!</v>
          </cell>
          <cell r="AT968" t="e">
            <v>#REF!</v>
          </cell>
          <cell r="AU968" t="e">
            <v>#REF!</v>
          </cell>
          <cell r="AV968" t="e">
            <v>#REF!</v>
          </cell>
          <cell r="AW968" t="e">
            <v>#DIV/0!</v>
          </cell>
          <cell r="AX968" t="e">
            <v>#DIV/0!</v>
          </cell>
          <cell r="AY968" t="e">
            <v>#DIV/0!</v>
          </cell>
          <cell r="AZ968" t="e">
            <v>#DIV/0!</v>
          </cell>
          <cell r="BE968" t="e">
            <v>#DIV/0!</v>
          </cell>
          <cell r="BF968" t="e">
            <v>#DIV/0!</v>
          </cell>
        </row>
        <row r="969">
          <cell r="A969" t="str">
            <v>-0</v>
          </cell>
          <cell r="B969" t="str">
            <v xml:space="preserve">-0  , </v>
          </cell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  <cell r="M969"/>
          <cell r="N969"/>
          <cell r="O969"/>
          <cell r="P969"/>
          <cell r="Q969"/>
          <cell r="R969"/>
          <cell r="S969"/>
          <cell r="T969"/>
          <cell r="U969"/>
          <cell r="V969"/>
          <cell r="W969"/>
          <cell r="X969">
            <v>0</v>
          </cell>
          <cell r="Y969">
            <v>0</v>
          </cell>
          <cell r="Z969">
            <v>0</v>
          </cell>
          <cell r="AA969" t="str">
            <v>,</v>
          </cell>
          <cell r="AB969" t="str">
            <v>,</v>
          </cell>
          <cell r="AC969" t="e">
            <v>#DIV/0!</v>
          </cell>
          <cell r="AD969" t="e">
            <v>#DIV/0!</v>
          </cell>
          <cell r="AE969">
            <v>0.71</v>
          </cell>
          <cell r="AF969">
            <v>94.97</v>
          </cell>
          <cell r="AG969">
            <v>0</v>
          </cell>
          <cell r="AH969" t="e">
            <v>#DIV/0!</v>
          </cell>
          <cell r="AI969" t="e">
            <v>#DIV/0!</v>
          </cell>
          <cell r="AJ969" t="e">
            <v>#DIV/0!</v>
          </cell>
          <cell r="AK969" t="e">
            <v>#DIV/0!</v>
          </cell>
          <cell r="AL969" t="e">
            <v>#DIV/0!</v>
          </cell>
          <cell r="AM969" t="e">
            <v>#DIV/0!</v>
          </cell>
          <cell r="AN969" t="e">
            <v>#DIV/0!</v>
          </cell>
          <cell r="AO969" t="e">
            <v>#REF!</v>
          </cell>
          <cell r="AP969" t="e">
            <v>#REF!</v>
          </cell>
          <cell r="AQ969" t="e">
            <v>#REF!</v>
          </cell>
          <cell r="AR969" t="e">
            <v>#REF!</v>
          </cell>
          <cell r="AS969" t="e">
            <v>#REF!</v>
          </cell>
          <cell r="AT969" t="e">
            <v>#REF!</v>
          </cell>
          <cell r="AU969" t="e">
            <v>#REF!</v>
          </cell>
          <cell r="AV969" t="e">
            <v>#REF!</v>
          </cell>
          <cell r="AW969" t="e">
            <v>#DIV/0!</v>
          </cell>
          <cell r="AX969" t="e">
            <v>#DIV/0!</v>
          </cell>
          <cell r="AY969" t="e">
            <v>#DIV/0!</v>
          </cell>
          <cell r="AZ969" t="e">
            <v>#DIV/0!</v>
          </cell>
          <cell r="BE969" t="e">
            <v>#DIV/0!</v>
          </cell>
          <cell r="BF969" t="e">
            <v>#DIV/0!</v>
          </cell>
        </row>
        <row r="970">
          <cell r="A970" t="str">
            <v>-0</v>
          </cell>
          <cell r="B970" t="str">
            <v xml:space="preserve">-0  , </v>
          </cell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  <cell r="M970"/>
          <cell r="N970"/>
          <cell r="O970"/>
          <cell r="P970"/>
          <cell r="Q970"/>
          <cell r="R970"/>
          <cell r="S970"/>
          <cell r="T970"/>
          <cell r="U970"/>
          <cell r="V970"/>
          <cell r="W970"/>
          <cell r="X970">
            <v>0</v>
          </cell>
          <cell r="Y970">
            <v>0</v>
          </cell>
          <cell r="Z970">
            <v>0</v>
          </cell>
          <cell r="AA970" t="str">
            <v>,</v>
          </cell>
          <cell r="AB970" t="str">
            <v>,</v>
          </cell>
          <cell r="AC970" t="e">
            <v>#DIV/0!</v>
          </cell>
          <cell r="AD970" t="e">
            <v>#DIV/0!</v>
          </cell>
          <cell r="AE970">
            <v>0.71</v>
          </cell>
          <cell r="AF970">
            <v>94.97</v>
          </cell>
          <cell r="AG970">
            <v>0</v>
          </cell>
          <cell r="AH970" t="e">
            <v>#DIV/0!</v>
          </cell>
          <cell r="AI970" t="e">
            <v>#DIV/0!</v>
          </cell>
          <cell r="AJ970" t="e">
            <v>#DIV/0!</v>
          </cell>
          <cell r="AK970" t="e">
            <v>#DIV/0!</v>
          </cell>
          <cell r="AL970" t="e">
            <v>#DIV/0!</v>
          </cell>
          <cell r="AM970" t="e">
            <v>#DIV/0!</v>
          </cell>
          <cell r="AN970" t="e">
            <v>#DIV/0!</v>
          </cell>
          <cell r="AO970" t="e">
            <v>#REF!</v>
          </cell>
          <cell r="AP970" t="e">
            <v>#REF!</v>
          </cell>
          <cell r="AQ970" t="e">
            <v>#REF!</v>
          </cell>
          <cell r="AR970" t="e">
            <v>#REF!</v>
          </cell>
          <cell r="AS970" t="e">
            <v>#REF!</v>
          </cell>
          <cell r="AT970" t="e">
            <v>#REF!</v>
          </cell>
          <cell r="AU970" t="e">
            <v>#REF!</v>
          </cell>
          <cell r="AV970" t="e">
            <v>#REF!</v>
          </cell>
          <cell r="AW970" t="e">
            <v>#DIV/0!</v>
          </cell>
          <cell r="AX970" t="e">
            <v>#DIV/0!</v>
          </cell>
          <cell r="AY970" t="e">
            <v>#DIV/0!</v>
          </cell>
          <cell r="AZ970" t="e">
            <v>#DIV/0!</v>
          </cell>
          <cell r="BE970" t="e">
            <v>#DIV/0!</v>
          </cell>
          <cell r="BF970" t="e">
            <v>#DIV/0!</v>
          </cell>
        </row>
        <row r="971">
          <cell r="A971" t="str">
            <v>-0</v>
          </cell>
          <cell r="B971" t="str">
            <v xml:space="preserve">-0  , </v>
          </cell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  <cell r="M971"/>
          <cell r="N971"/>
          <cell r="O971"/>
          <cell r="P971"/>
          <cell r="Q971"/>
          <cell r="R971"/>
          <cell r="S971"/>
          <cell r="T971"/>
          <cell r="U971"/>
          <cell r="V971"/>
          <cell r="W971"/>
          <cell r="X971">
            <v>0</v>
          </cell>
          <cell r="Y971">
            <v>0</v>
          </cell>
          <cell r="Z971">
            <v>0</v>
          </cell>
          <cell r="AA971" t="str">
            <v>,</v>
          </cell>
          <cell r="AB971" t="str">
            <v>,</v>
          </cell>
          <cell r="AC971" t="e">
            <v>#DIV/0!</v>
          </cell>
          <cell r="AD971" t="e">
            <v>#DIV/0!</v>
          </cell>
          <cell r="AE971">
            <v>0.71</v>
          </cell>
          <cell r="AF971">
            <v>94.97</v>
          </cell>
          <cell r="AG971">
            <v>0</v>
          </cell>
          <cell r="AH971" t="e">
            <v>#DIV/0!</v>
          </cell>
          <cell r="AI971" t="e">
            <v>#DIV/0!</v>
          </cell>
          <cell r="AJ971" t="e">
            <v>#DIV/0!</v>
          </cell>
          <cell r="AK971" t="e">
            <v>#DIV/0!</v>
          </cell>
          <cell r="AL971" t="e">
            <v>#DIV/0!</v>
          </cell>
          <cell r="AM971" t="e">
            <v>#DIV/0!</v>
          </cell>
          <cell r="AN971" t="e">
            <v>#DIV/0!</v>
          </cell>
          <cell r="AO971" t="e">
            <v>#REF!</v>
          </cell>
          <cell r="AP971" t="e">
            <v>#REF!</v>
          </cell>
          <cell r="AQ971" t="e">
            <v>#REF!</v>
          </cell>
          <cell r="AR971" t="e">
            <v>#REF!</v>
          </cell>
          <cell r="AS971" t="e">
            <v>#REF!</v>
          </cell>
          <cell r="AT971" t="e">
            <v>#REF!</v>
          </cell>
          <cell r="AU971" t="e">
            <v>#REF!</v>
          </cell>
          <cell r="AV971" t="e">
            <v>#REF!</v>
          </cell>
          <cell r="AW971" t="e">
            <v>#DIV/0!</v>
          </cell>
          <cell r="AX971" t="e">
            <v>#DIV/0!</v>
          </cell>
          <cell r="AY971" t="e">
            <v>#DIV/0!</v>
          </cell>
          <cell r="AZ971" t="e">
            <v>#DIV/0!</v>
          </cell>
          <cell r="BE971" t="e">
            <v>#DIV/0!</v>
          </cell>
          <cell r="BF971" t="e">
            <v>#DIV/0!</v>
          </cell>
        </row>
        <row r="972">
          <cell r="A972" t="str">
            <v>-0</v>
          </cell>
          <cell r="B972" t="str">
            <v xml:space="preserve">-0  , </v>
          </cell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  <cell r="M972"/>
          <cell r="N972"/>
          <cell r="O972"/>
          <cell r="P972"/>
          <cell r="Q972"/>
          <cell r="R972"/>
          <cell r="S972"/>
          <cell r="T972"/>
          <cell r="U972"/>
          <cell r="V972"/>
          <cell r="W972"/>
          <cell r="X972">
            <v>0</v>
          </cell>
          <cell r="Y972">
            <v>0</v>
          </cell>
          <cell r="Z972">
            <v>0</v>
          </cell>
          <cell r="AA972" t="str">
            <v>,</v>
          </cell>
          <cell r="AB972" t="str">
            <v>,</v>
          </cell>
          <cell r="AC972" t="e">
            <v>#DIV/0!</v>
          </cell>
          <cell r="AD972" t="e">
            <v>#DIV/0!</v>
          </cell>
          <cell r="AE972">
            <v>0.71</v>
          </cell>
          <cell r="AF972">
            <v>94.97</v>
          </cell>
          <cell r="AG972">
            <v>0</v>
          </cell>
          <cell r="AH972" t="e">
            <v>#DIV/0!</v>
          </cell>
          <cell r="AI972" t="e">
            <v>#DIV/0!</v>
          </cell>
          <cell r="AJ972" t="e">
            <v>#DIV/0!</v>
          </cell>
          <cell r="AK972" t="e">
            <v>#DIV/0!</v>
          </cell>
          <cell r="AL972" t="e">
            <v>#DIV/0!</v>
          </cell>
          <cell r="AM972" t="e">
            <v>#DIV/0!</v>
          </cell>
          <cell r="AN972" t="e">
            <v>#DIV/0!</v>
          </cell>
          <cell r="AO972" t="e">
            <v>#REF!</v>
          </cell>
          <cell r="AP972" t="e">
            <v>#REF!</v>
          </cell>
          <cell r="AQ972" t="e">
            <v>#REF!</v>
          </cell>
          <cell r="AR972" t="e">
            <v>#REF!</v>
          </cell>
          <cell r="AS972" t="e">
            <v>#REF!</v>
          </cell>
          <cell r="AT972" t="e">
            <v>#REF!</v>
          </cell>
          <cell r="AU972" t="e">
            <v>#REF!</v>
          </cell>
          <cell r="AV972" t="e">
            <v>#REF!</v>
          </cell>
          <cell r="AW972" t="e">
            <v>#DIV/0!</v>
          </cell>
          <cell r="AX972" t="e">
            <v>#DIV/0!</v>
          </cell>
          <cell r="AY972" t="e">
            <v>#DIV/0!</v>
          </cell>
          <cell r="AZ972" t="e">
            <v>#DIV/0!</v>
          </cell>
          <cell r="BE972" t="e">
            <v>#DIV/0!</v>
          </cell>
          <cell r="BF972" t="e">
            <v>#DIV/0!</v>
          </cell>
        </row>
        <row r="973">
          <cell r="A973" t="str">
            <v>-0</v>
          </cell>
          <cell r="B973" t="str">
            <v xml:space="preserve">-0  , </v>
          </cell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  <cell r="M973"/>
          <cell r="N973"/>
          <cell r="O973"/>
          <cell r="P973"/>
          <cell r="Q973"/>
          <cell r="R973"/>
          <cell r="S973"/>
          <cell r="T973"/>
          <cell r="U973"/>
          <cell r="V973"/>
          <cell r="W973"/>
          <cell r="X973">
            <v>0</v>
          </cell>
          <cell r="Y973">
            <v>0</v>
          </cell>
          <cell r="Z973">
            <v>0</v>
          </cell>
          <cell r="AA973" t="str">
            <v>,</v>
          </cell>
          <cell r="AB973" t="str">
            <v>,</v>
          </cell>
          <cell r="AC973" t="e">
            <v>#DIV/0!</v>
          </cell>
          <cell r="AD973" t="e">
            <v>#DIV/0!</v>
          </cell>
          <cell r="AE973">
            <v>0.71</v>
          </cell>
          <cell r="AF973">
            <v>94.97</v>
          </cell>
          <cell r="AG973">
            <v>0</v>
          </cell>
          <cell r="AH973" t="e">
            <v>#DIV/0!</v>
          </cell>
          <cell r="AI973" t="e">
            <v>#DIV/0!</v>
          </cell>
          <cell r="AJ973" t="e">
            <v>#DIV/0!</v>
          </cell>
          <cell r="AK973" t="e">
            <v>#DIV/0!</v>
          </cell>
          <cell r="AL973" t="e">
            <v>#DIV/0!</v>
          </cell>
          <cell r="AM973" t="e">
            <v>#DIV/0!</v>
          </cell>
          <cell r="AN973" t="e">
            <v>#DIV/0!</v>
          </cell>
          <cell r="AO973" t="e">
            <v>#REF!</v>
          </cell>
          <cell r="AP973" t="e">
            <v>#REF!</v>
          </cell>
          <cell r="AQ973" t="e">
            <v>#REF!</v>
          </cell>
          <cell r="AR973" t="e">
            <v>#REF!</v>
          </cell>
          <cell r="AS973" t="e">
            <v>#REF!</v>
          </cell>
          <cell r="AT973" t="e">
            <v>#REF!</v>
          </cell>
          <cell r="AU973" t="e">
            <v>#REF!</v>
          </cell>
          <cell r="AV973" t="e">
            <v>#REF!</v>
          </cell>
          <cell r="AW973" t="e">
            <v>#DIV/0!</v>
          </cell>
          <cell r="AX973" t="e">
            <v>#DIV/0!</v>
          </cell>
          <cell r="AY973" t="e">
            <v>#DIV/0!</v>
          </cell>
          <cell r="AZ973" t="e">
            <v>#DIV/0!</v>
          </cell>
          <cell r="BE973" t="e">
            <v>#DIV/0!</v>
          </cell>
          <cell r="BF973" t="e">
            <v>#DIV/0!</v>
          </cell>
        </row>
        <row r="974">
          <cell r="A974" t="str">
            <v>-0</v>
          </cell>
          <cell r="B974" t="str">
            <v xml:space="preserve">-0  , </v>
          </cell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  <cell r="M974"/>
          <cell r="N974"/>
          <cell r="O974"/>
          <cell r="P974"/>
          <cell r="Q974"/>
          <cell r="R974"/>
          <cell r="S974"/>
          <cell r="T974"/>
          <cell r="U974"/>
          <cell r="V974"/>
          <cell r="W974"/>
          <cell r="X974">
            <v>0</v>
          </cell>
          <cell r="Y974">
            <v>0</v>
          </cell>
          <cell r="Z974">
            <v>0</v>
          </cell>
          <cell r="AA974" t="str">
            <v>,</v>
          </cell>
          <cell r="AB974" t="str">
            <v>,</v>
          </cell>
          <cell r="AC974" t="e">
            <v>#DIV/0!</v>
          </cell>
          <cell r="AD974" t="e">
            <v>#DIV/0!</v>
          </cell>
          <cell r="AE974">
            <v>0.71</v>
          </cell>
          <cell r="AF974">
            <v>94.97</v>
          </cell>
          <cell r="AG974">
            <v>0</v>
          </cell>
          <cell r="AH974" t="e">
            <v>#DIV/0!</v>
          </cell>
          <cell r="AI974" t="e">
            <v>#DIV/0!</v>
          </cell>
          <cell r="AJ974" t="e">
            <v>#DIV/0!</v>
          </cell>
          <cell r="AK974" t="e">
            <v>#DIV/0!</v>
          </cell>
          <cell r="AL974" t="e">
            <v>#DIV/0!</v>
          </cell>
          <cell r="AM974" t="e">
            <v>#DIV/0!</v>
          </cell>
          <cell r="AN974" t="e">
            <v>#DIV/0!</v>
          </cell>
          <cell r="AO974" t="e">
            <v>#REF!</v>
          </cell>
          <cell r="AP974" t="e">
            <v>#REF!</v>
          </cell>
          <cell r="AQ974" t="e">
            <v>#REF!</v>
          </cell>
          <cell r="AR974" t="e">
            <v>#REF!</v>
          </cell>
          <cell r="AS974" t="e">
            <v>#REF!</v>
          </cell>
          <cell r="AT974" t="e">
            <v>#REF!</v>
          </cell>
          <cell r="AU974" t="e">
            <v>#REF!</v>
          </cell>
          <cell r="AV974" t="e">
            <v>#REF!</v>
          </cell>
          <cell r="AW974" t="e">
            <v>#DIV/0!</v>
          </cell>
          <cell r="AX974" t="e">
            <v>#DIV/0!</v>
          </cell>
          <cell r="AY974" t="e">
            <v>#DIV/0!</v>
          </cell>
          <cell r="AZ974" t="e">
            <v>#DIV/0!</v>
          </cell>
          <cell r="BE974" t="e">
            <v>#DIV/0!</v>
          </cell>
          <cell r="BF974" t="e">
            <v>#DIV/0!</v>
          </cell>
        </row>
        <row r="975">
          <cell r="A975" t="str">
            <v>-0</v>
          </cell>
          <cell r="B975" t="str">
            <v xml:space="preserve">-0  , </v>
          </cell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  <cell r="M975"/>
          <cell r="N975"/>
          <cell r="O975"/>
          <cell r="P975"/>
          <cell r="Q975"/>
          <cell r="R975"/>
          <cell r="S975"/>
          <cell r="T975"/>
          <cell r="U975"/>
          <cell r="V975"/>
          <cell r="W975"/>
          <cell r="X975">
            <v>0</v>
          </cell>
          <cell r="Y975">
            <v>0</v>
          </cell>
          <cell r="Z975">
            <v>0</v>
          </cell>
          <cell r="AA975" t="str">
            <v>,</v>
          </cell>
          <cell r="AB975" t="str">
            <v>,</v>
          </cell>
          <cell r="AC975" t="e">
            <v>#DIV/0!</v>
          </cell>
          <cell r="AD975" t="e">
            <v>#DIV/0!</v>
          </cell>
          <cell r="AE975">
            <v>0.71</v>
          </cell>
          <cell r="AF975">
            <v>94.97</v>
          </cell>
          <cell r="AG975">
            <v>0</v>
          </cell>
          <cell r="AH975" t="e">
            <v>#DIV/0!</v>
          </cell>
          <cell r="AI975" t="e">
            <v>#DIV/0!</v>
          </cell>
          <cell r="AJ975" t="e">
            <v>#DIV/0!</v>
          </cell>
          <cell r="AK975" t="e">
            <v>#DIV/0!</v>
          </cell>
          <cell r="AL975" t="e">
            <v>#DIV/0!</v>
          </cell>
          <cell r="AM975" t="e">
            <v>#DIV/0!</v>
          </cell>
          <cell r="AN975" t="e">
            <v>#DIV/0!</v>
          </cell>
          <cell r="AO975" t="e">
            <v>#REF!</v>
          </cell>
          <cell r="AP975" t="e">
            <v>#REF!</v>
          </cell>
          <cell r="AQ975" t="e">
            <v>#REF!</v>
          </cell>
          <cell r="AR975" t="e">
            <v>#REF!</v>
          </cell>
          <cell r="AS975" t="e">
            <v>#REF!</v>
          </cell>
          <cell r="AT975" t="e">
            <v>#REF!</v>
          </cell>
          <cell r="AU975" t="e">
            <v>#REF!</v>
          </cell>
          <cell r="AV975" t="e">
            <v>#REF!</v>
          </cell>
          <cell r="AW975" t="e">
            <v>#DIV/0!</v>
          </cell>
          <cell r="AX975" t="e">
            <v>#DIV/0!</v>
          </cell>
          <cell r="AY975" t="e">
            <v>#DIV/0!</v>
          </cell>
          <cell r="AZ975" t="e">
            <v>#DIV/0!</v>
          </cell>
          <cell r="BE975" t="e">
            <v>#DIV/0!</v>
          </cell>
          <cell r="BF975" t="e">
            <v>#DIV/0!</v>
          </cell>
        </row>
        <row r="976">
          <cell r="A976" t="str">
            <v>-0</v>
          </cell>
          <cell r="B976" t="str">
            <v xml:space="preserve">-0  , </v>
          </cell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  <cell r="M976"/>
          <cell r="N976"/>
          <cell r="O976"/>
          <cell r="P976"/>
          <cell r="Q976"/>
          <cell r="R976"/>
          <cell r="S976"/>
          <cell r="T976"/>
          <cell r="U976"/>
          <cell r="V976"/>
          <cell r="W976"/>
          <cell r="X976">
            <v>0</v>
          </cell>
          <cell r="Y976">
            <v>0</v>
          </cell>
          <cell r="Z976">
            <v>0</v>
          </cell>
          <cell r="AA976" t="str">
            <v>,</v>
          </cell>
          <cell r="AB976" t="str">
            <v>,</v>
          </cell>
          <cell r="AC976" t="e">
            <v>#DIV/0!</v>
          </cell>
          <cell r="AD976" t="e">
            <v>#DIV/0!</v>
          </cell>
          <cell r="AE976">
            <v>0.71</v>
          </cell>
          <cell r="AF976">
            <v>94.97</v>
          </cell>
          <cell r="AG976">
            <v>0</v>
          </cell>
          <cell r="AH976" t="e">
            <v>#DIV/0!</v>
          </cell>
          <cell r="AI976" t="e">
            <v>#DIV/0!</v>
          </cell>
          <cell r="AJ976" t="e">
            <v>#DIV/0!</v>
          </cell>
          <cell r="AK976" t="e">
            <v>#DIV/0!</v>
          </cell>
          <cell r="AL976" t="e">
            <v>#DIV/0!</v>
          </cell>
          <cell r="AM976" t="e">
            <v>#DIV/0!</v>
          </cell>
          <cell r="AN976" t="e">
            <v>#DIV/0!</v>
          </cell>
          <cell r="AO976" t="e">
            <v>#REF!</v>
          </cell>
          <cell r="AP976" t="e">
            <v>#REF!</v>
          </cell>
          <cell r="AQ976" t="e">
            <v>#REF!</v>
          </cell>
          <cell r="AR976" t="e">
            <v>#REF!</v>
          </cell>
          <cell r="AS976" t="e">
            <v>#REF!</v>
          </cell>
          <cell r="AT976" t="e">
            <v>#REF!</v>
          </cell>
          <cell r="AU976" t="e">
            <v>#REF!</v>
          </cell>
          <cell r="AV976" t="e">
            <v>#REF!</v>
          </cell>
          <cell r="AW976" t="e">
            <v>#DIV/0!</v>
          </cell>
          <cell r="AX976" t="e">
            <v>#DIV/0!</v>
          </cell>
          <cell r="AY976" t="e">
            <v>#DIV/0!</v>
          </cell>
          <cell r="AZ976" t="e">
            <v>#DIV/0!</v>
          </cell>
          <cell r="BE976" t="e">
            <v>#DIV/0!</v>
          </cell>
          <cell r="BF976" t="e">
            <v>#DIV/0!</v>
          </cell>
        </row>
        <row r="977">
          <cell r="A977" t="str">
            <v>-0</v>
          </cell>
          <cell r="B977" t="str">
            <v xml:space="preserve">-0  , </v>
          </cell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  <cell r="M977"/>
          <cell r="N977"/>
          <cell r="O977"/>
          <cell r="P977"/>
          <cell r="Q977"/>
          <cell r="R977"/>
          <cell r="S977"/>
          <cell r="T977"/>
          <cell r="U977"/>
          <cell r="V977"/>
          <cell r="W977"/>
          <cell r="X977">
            <v>0</v>
          </cell>
          <cell r="Y977">
            <v>0</v>
          </cell>
          <cell r="Z977">
            <v>0</v>
          </cell>
          <cell r="AA977" t="str">
            <v>,</v>
          </cell>
          <cell r="AB977" t="str">
            <v>,</v>
          </cell>
          <cell r="AC977" t="e">
            <v>#DIV/0!</v>
          </cell>
          <cell r="AD977" t="e">
            <v>#DIV/0!</v>
          </cell>
          <cell r="AE977">
            <v>0.71</v>
          </cell>
          <cell r="AF977">
            <v>94.97</v>
          </cell>
          <cell r="AG977">
            <v>0</v>
          </cell>
          <cell r="AH977" t="e">
            <v>#DIV/0!</v>
          </cell>
          <cell r="AI977" t="e">
            <v>#DIV/0!</v>
          </cell>
          <cell r="AJ977" t="e">
            <v>#DIV/0!</v>
          </cell>
          <cell r="AK977" t="e">
            <v>#DIV/0!</v>
          </cell>
          <cell r="AL977" t="e">
            <v>#DIV/0!</v>
          </cell>
          <cell r="AM977" t="e">
            <v>#DIV/0!</v>
          </cell>
          <cell r="AN977" t="e">
            <v>#DIV/0!</v>
          </cell>
          <cell r="AO977" t="e">
            <v>#REF!</v>
          </cell>
          <cell r="AP977" t="e">
            <v>#REF!</v>
          </cell>
          <cell r="AQ977" t="e">
            <v>#REF!</v>
          </cell>
          <cell r="AR977" t="e">
            <v>#REF!</v>
          </cell>
          <cell r="AS977" t="e">
            <v>#REF!</v>
          </cell>
          <cell r="AT977" t="e">
            <v>#REF!</v>
          </cell>
          <cell r="AU977" t="e">
            <v>#REF!</v>
          </cell>
          <cell r="AV977" t="e">
            <v>#REF!</v>
          </cell>
          <cell r="AW977" t="e">
            <v>#DIV/0!</v>
          </cell>
          <cell r="AX977" t="e">
            <v>#DIV/0!</v>
          </cell>
          <cell r="AY977" t="e">
            <v>#DIV/0!</v>
          </cell>
          <cell r="AZ977" t="e">
            <v>#DIV/0!</v>
          </cell>
          <cell r="BE977" t="e">
            <v>#DIV/0!</v>
          </cell>
          <cell r="BF977" t="e">
            <v>#DIV/0!</v>
          </cell>
        </row>
        <row r="978">
          <cell r="A978" t="str">
            <v>-0</v>
          </cell>
          <cell r="B978" t="str">
            <v xml:space="preserve">-0  , </v>
          </cell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  <cell r="M978"/>
          <cell r="N978"/>
          <cell r="O978"/>
          <cell r="P978"/>
          <cell r="Q978"/>
          <cell r="R978"/>
          <cell r="S978"/>
          <cell r="T978"/>
          <cell r="U978"/>
          <cell r="V978"/>
          <cell r="W978"/>
          <cell r="X978">
            <v>0</v>
          </cell>
          <cell r="Y978">
            <v>0</v>
          </cell>
          <cell r="Z978">
            <v>0</v>
          </cell>
          <cell r="AA978" t="str">
            <v>,</v>
          </cell>
          <cell r="AB978" t="str">
            <v>,</v>
          </cell>
          <cell r="AC978" t="e">
            <v>#DIV/0!</v>
          </cell>
          <cell r="AD978" t="e">
            <v>#DIV/0!</v>
          </cell>
          <cell r="AE978">
            <v>0.71</v>
          </cell>
          <cell r="AF978">
            <v>94.97</v>
          </cell>
          <cell r="AG978">
            <v>0</v>
          </cell>
          <cell r="AH978" t="e">
            <v>#DIV/0!</v>
          </cell>
          <cell r="AI978" t="e">
            <v>#DIV/0!</v>
          </cell>
          <cell r="AJ978" t="e">
            <v>#DIV/0!</v>
          </cell>
          <cell r="AK978" t="e">
            <v>#DIV/0!</v>
          </cell>
          <cell r="AL978" t="e">
            <v>#DIV/0!</v>
          </cell>
          <cell r="AM978" t="e">
            <v>#DIV/0!</v>
          </cell>
          <cell r="AN978" t="e">
            <v>#DIV/0!</v>
          </cell>
          <cell r="AO978" t="e">
            <v>#REF!</v>
          </cell>
          <cell r="AP978" t="e">
            <v>#REF!</v>
          </cell>
          <cell r="AQ978" t="e">
            <v>#REF!</v>
          </cell>
          <cell r="AR978" t="e">
            <v>#REF!</v>
          </cell>
          <cell r="AS978" t="e">
            <v>#REF!</v>
          </cell>
          <cell r="AT978" t="e">
            <v>#REF!</v>
          </cell>
          <cell r="AU978" t="e">
            <v>#REF!</v>
          </cell>
          <cell r="AV978" t="e">
            <v>#REF!</v>
          </cell>
          <cell r="AW978" t="e">
            <v>#DIV/0!</v>
          </cell>
          <cell r="AX978" t="e">
            <v>#DIV/0!</v>
          </cell>
          <cell r="AY978" t="e">
            <v>#DIV/0!</v>
          </cell>
          <cell r="AZ978" t="e">
            <v>#DIV/0!</v>
          </cell>
          <cell r="BE978" t="e">
            <v>#DIV/0!</v>
          </cell>
          <cell r="BF978" t="e">
            <v>#DIV/0!</v>
          </cell>
        </row>
        <row r="979">
          <cell r="A979" t="str">
            <v>-0</v>
          </cell>
          <cell r="B979" t="str">
            <v xml:space="preserve">-0  , </v>
          </cell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  <cell r="M979"/>
          <cell r="N979"/>
          <cell r="O979"/>
          <cell r="P979"/>
          <cell r="Q979"/>
          <cell r="R979"/>
          <cell r="S979"/>
          <cell r="T979"/>
          <cell r="U979"/>
          <cell r="V979"/>
          <cell r="W979"/>
          <cell r="X979">
            <v>0</v>
          </cell>
          <cell r="Y979">
            <v>0</v>
          </cell>
          <cell r="Z979">
            <v>0</v>
          </cell>
          <cell r="AA979" t="str">
            <v>,</v>
          </cell>
          <cell r="AB979" t="str">
            <v>,</v>
          </cell>
          <cell r="AC979" t="e">
            <v>#DIV/0!</v>
          </cell>
          <cell r="AD979" t="e">
            <v>#DIV/0!</v>
          </cell>
          <cell r="AE979">
            <v>0.71</v>
          </cell>
          <cell r="AF979">
            <v>94.97</v>
          </cell>
          <cell r="AG979">
            <v>0</v>
          </cell>
          <cell r="AH979" t="e">
            <v>#DIV/0!</v>
          </cell>
          <cell r="AI979" t="e">
            <v>#DIV/0!</v>
          </cell>
          <cell r="AJ979" t="e">
            <v>#DIV/0!</v>
          </cell>
          <cell r="AK979" t="e">
            <v>#DIV/0!</v>
          </cell>
          <cell r="AL979" t="e">
            <v>#DIV/0!</v>
          </cell>
          <cell r="AM979" t="e">
            <v>#DIV/0!</v>
          </cell>
          <cell r="AN979" t="e">
            <v>#DIV/0!</v>
          </cell>
          <cell r="AO979" t="e">
            <v>#REF!</v>
          </cell>
          <cell r="AP979" t="e">
            <v>#REF!</v>
          </cell>
          <cell r="AQ979" t="e">
            <v>#REF!</v>
          </cell>
          <cell r="AR979" t="e">
            <v>#REF!</v>
          </cell>
          <cell r="AS979" t="e">
            <v>#REF!</v>
          </cell>
          <cell r="AT979" t="e">
            <v>#REF!</v>
          </cell>
          <cell r="AU979" t="e">
            <v>#REF!</v>
          </cell>
          <cell r="AV979" t="e">
            <v>#REF!</v>
          </cell>
          <cell r="AW979" t="e">
            <v>#DIV/0!</v>
          </cell>
          <cell r="AX979" t="e">
            <v>#DIV/0!</v>
          </cell>
          <cell r="AY979" t="e">
            <v>#DIV/0!</v>
          </cell>
          <cell r="AZ979" t="e">
            <v>#DIV/0!</v>
          </cell>
          <cell r="BE979" t="e">
            <v>#DIV/0!</v>
          </cell>
          <cell r="BF979" t="e">
            <v>#DIV/0!</v>
          </cell>
        </row>
        <row r="980">
          <cell r="A980" t="str">
            <v>-0</v>
          </cell>
          <cell r="B980" t="str">
            <v xml:space="preserve">-0  , </v>
          </cell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  <cell r="M980"/>
          <cell r="N980"/>
          <cell r="O980"/>
          <cell r="P980"/>
          <cell r="Q980"/>
          <cell r="R980"/>
          <cell r="S980"/>
          <cell r="T980"/>
          <cell r="U980"/>
          <cell r="V980"/>
          <cell r="W980"/>
          <cell r="X980">
            <v>0</v>
          </cell>
          <cell r="Y980">
            <v>0</v>
          </cell>
          <cell r="Z980">
            <v>0</v>
          </cell>
          <cell r="AA980" t="str">
            <v>,</v>
          </cell>
          <cell r="AB980" t="str">
            <v>,</v>
          </cell>
          <cell r="AC980" t="e">
            <v>#DIV/0!</v>
          </cell>
          <cell r="AD980" t="e">
            <v>#DIV/0!</v>
          </cell>
          <cell r="AE980">
            <v>0.71</v>
          </cell>
          <cell r="AF980">
            <v>94.97</v>
          </cell>
          <cell r="AG980">
            <v>0</v>
          </cell>
          <cell r="AH980" t="e">
            <v>#DIV/0!</v>
          </cell>
          <cell r="AI980" t="e">
            <v>#DIV/0!</v>
          </cell>
          <cell r="AJ980" t="e">
            <v>#DIV/0!</v>
          </cell>
          <cell r="AK980" t="e">
            <v>#DIV/0!</v>
          </cell>
          <cell r="AL980" t="e">
            <v>#DIV/0!</v>
          </cell>
          <cell r="AM980" t="e">
            <v>#DIV/0!</v>
          </cell>
          <cell r="AN980" t="e">
            <v>#DIV/0!</v>
          </cell>
          <cell r="AO980" t="e">
            <v>#REF!</v>
          </cell>
          <cell r="AP980" t="e">
            <v>#REF!</v>
          </cell>
          <cell r="AQ980" t="e">
            <v>#REF!</v>
          </cell>
          <cell r="AR980" t="e">
            <v>#REF!</v>
          </cell>
          <cell r="AS980" t="e">
            <v>#REF!</v>
          </cell>
          <cell r="AT980" t="e">
            <v>#REF!</v>
          </cell>
          <cell r="AU980" t="e">
            <v>#REF!</v>
          </cell>
          <cell r="AV980" t="e">
            <v>#REF!</v>
          </cell>
          <cell r="AW980" t="e">
            <v>#DIV/0!</v>
          </cell>
          <cell r="AX980" t="e">
            <v>#DIV/0!</v>
          </cell>
          <cell r="AY980" t="e">
            <v>#DIV/0!</v>
          </cell>
          <cell r="AZ980" t="e">
            <v>#DIV/0!</v>
          </cell>
          <cell r="BE980" t="e">
            <v>#DIV/0!</v>
          </cell>
          <cell r="BF980" t="e">
            <v>#DIV/0!</v>
          </cell>
        </row>
        <row r="981">
          <cell r="A981" t="str">
            <v>-0</v>
          </cell>
          <cell r="B981" t="str">
            <v xml:space="preserve">-0  , </v>
          </cell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  <cell r="M981"/>
          <cell r="N981"/>
          <cell r="O981"/>
          <cell r="P981"/>
          <cell r="Q981"/>
          <cell r="R981"/>
          <cell r="S981"/>
          <cell r="T981"/>
          <cell r="U981"/>
          <cell r="V981"/>
          <cell r="W981"/>
          <cell r="X981">
            <v>0</v>
          </cell>
          <cell r="Y981">
            <v>0</v>
          </cell>
          <cell r="Z981">
            <v>0</v>
          </cell>
          <cell r="AA981" t="str">
            <v>,</v>
          </cell>
          <cell r="AB981" t="str">
            <v>,</v>
          </cell>
          <cell r="AC981" t="e">
            <v>#DIV/0!</v>
          </cell>
          <cell r="AD981" t="e">
            <v>#DIV/0!</v>
          </cell>
          <cell r="AE981">
            <v>0.71</v>
          </cell>
          <cell r="AF981">
            <v>94.97</v>
          </cell>
          <cell r="AG981">
            <v>0</v>
          </cell>
          <cell r="AH981" t="e">
            <v>#DIV/0!</v>
          </cell>
          <cell r="AI981" t="e">
            <v>#DIV/0!</v>
          </cell>
          <cell r="AJ981" t="e">
            <v>#DIV/0!</v>
          </cell>
          <cell r="AK981" t="e">
            <v>#DIV/0!</v>
          </cell>
          <cell r="AL981" t="e">
            <v>#DIV/0!</v>
          </cell>
          <cell r="AM981" t="e">
            <v>#DIV/0!</v>
          </cell>
          <cell r="AN981" t="e">
            <v>#DIV/0!</v>
          </cell>
          <cell r="AO981" t="e">
            <v>#REF!</v>
          </cell>
          <cell r="AP981" t="e">
            <v>#REF!</v>
          </cell>
          <cell r="AQ981" t="e">
            <v>#REF!</v>
          </cell>
          <cell r="AR981" t="e">
            <v>#REF!</v>
          </cell>
          <cell r="AS981" t="e">
            <v>#REF!</v>
          </cell>
          <cell r="AT981" t="e">
            <v>#REF!</v>
          </cell>
          <cell r="AU981" t="e">
            <v>#REF!</v>
          </cell>
          <cell r="AV981" t="e">
            <v>#REF!</v>
          </cell>
          <cell r="AW981" t="e">
            <v>#DIV/0!</v>
          </cell>
          <cell r="AX981" t="e">
            <v>#DIV/0!</v>
          </cell>
          <cell r="AY981" t="e">
            <v>#DIV/0!</v>
          </cell>
          <cell r="AZ981" t="e">
            <v>#DIV/0!</v>
          </cell>
          <cell r="BE981" t="e">
            <v>#DIV/0!</v>
          </cell>
          <cell r="BF981" t="e">
            <v>#DIV/0!</v>
          </cell>
        </row>
        <row r="982">
          <cell r="A982" t="str">
            <v>-0</v>
          </cell>
          <cell r="B982" t="str">
            <v xml:space="preserve">-0  , </v>
          </cell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  <cell r="M982"/>
          <cell r="N982"/>
          <cell r="O982"/>
          <cell r="P982"/>
          <cell r="Q982"/>
          <cell r="R982"/>
          <cell r="S982"/>
          <cell r="T982"/>
          <cell r="U982"/>
          <cell r="V982"/>
          <cell r="W982"/>
          <cell r="X982">
            <v>0</v>
          </cell>
          <cell r="Y982">
            <v>0</v>
          </cell>
          <cell r="Z982">
            <v>0</v>
          </cell>
          <cell r="AA982" t="str">
            <v>,</v>
          </cell>
          <cell r="AB982" t="str">
            <v>,</v>
          </cell>
          <cell r="AC982" t="e">
            <v>#DIV/0!</v>
          </cell>
          <cell r="AD982" t="e">
            <v>#DIV/0!</v>
          </cell>
          <cell r="AE982">
            <v>0.71</v>
          </cell>
          <cell r="AF982">
            <v>94.97</v>
          </cell>
          <cell r="AG982">
            <v>0</v>
          </cell>
          <cell r="AH982" t="e">
            <v>#DIV/0!</v>
          </cell>
          <cell r="AI982" t="e">
            <v>#DIV/0!</v>
          </cell>
          <cell r="AJ982" t="e">
            <v>#DIV/0!</v>
          </cell>
          <cell r="AK982" t="e">
            <v>#DIV/0!</v>
          </cell>
          <cell r="AL982" t="e">
            <v>#DIV/0!</v>
          </cell>
          <cell r="AM982" t="e">
            <v>#DIV/0!</v>
          </cell>
          <cell r="AN982" t="e">
            <v>#DIV/0!</v>
          </cell>
          <cell r="AO982" t="e">
            <v>#REF!</v>
          </cell>
          <cell r="AP982" t="e">
            <v>#REF!</v>
          </cell>
          <cell r="AQ982" t="e">
            <v>#REF!</v>
          </cell>
          <cell r="AR982" t="e">
            <v>#REF!</v>
          </cell>
          <cell r="AS982" t="e">
            <v>#REF!</v>
          </cell>
          <cell r="AT982" t="e">
            <v>#REF!</v>
          </cell>
          <cell r="AU982" t="e">
            <v>#REF!</v>
          </cell>
          <cell r="AV982" t="e">
            <v>#REF!</v>
          </cell>
          <cell r="AW982" t="e">
            <v>#DIV/0!</v>
          </cell>
          <cell r="AX982" t="e">
            <v>#DIV/0!</v>
          </cell>
          <cell r="AY982" t="e">
            <v>#DIV/0!</v>
          </cell>
          <cell r="AZ982" t="e">
            <v>#DIV/0!</v>
          </cell>
          <cell r="BE982" t="e">
            <v>#DIV/0!</v>
          </cell>
          <cell r="BF982" t="e">
            <v>#DIV/0!</v>
          </cell>
        </row>
        <row r="983">
          <cell r="A983" t="str">
            <v>-0</v>
          </cell>
          <cell r="B983" t="str">
            <v xml:space="preserve">-0  , </v>
          </cell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  <cell r="M983"/>
          <cell r="N983"/>
          <cell r="O983"/>
          <cell r="P983"/>
          <cell r="Q983"/>
          <cell r="R983"/>
          <cell r="S983"/>
          <cell r="T983"/>
          <cell r="U983"/>
          <cell r="V983"/>
          <cell r="W983"/>
          <cell r="X983">
            <v>0</v>
          </cell>
          <cell r="Y983">
            <v>0</v>
          </cell>
          <cell r="Z983">
            <v>0</v>
          </cell>
          <cell r="AA983" t="str">
            <v>,</v>
          </cell>
          <cell r="AB983" t="str">
            <v>,</v>
          </cell>
          <cell r="AC983" t="e">
            <v>#DIV/0!</v>
          </cell>
          <cell r="AD983" t="e">
            <v>#DIV/0!</v>
          </cell>
          <cell r="AE983">
            <v>0.71</v>
          </cell>
          <cell r="AF983">
            <v>94.97</v>
          </cell>
          <cell r="AG983">
            <v>0</v>
          </cell>
          <cell r="AH983" t="e">
            <v>#DIV/0!</v>
          </cell>
          <cell r="AI983" t="e">
            <v>#DIV/0!</v>
          </cell>
          <cell r="AJ983" t="e">
            <v>#DIV/0!</v>
          </cell>
          <cell r="AK983" t="e">
            <v>#DIV/0!</v>
          </cell>
          <cell r="AL983" t="e">
            <v>#DIV/0!</v>
          </cell>
          <cell r="AM983" t="e">
            <v>#DIV/0!</v>
          </cell>
          <cell r="AN983" t="e">
            <v>#DIV/0!</v>
          </cell>
          <cell r="AO983" t="e">
            <v>#REF!</v>
          </cell>
          <cell r="AP983" t="e">
            <v>#REF!</v>
          </cell>
          <cell r="AQ983" t="e">
            <v>#REF!</v>
          </cell>
          <cell r="AR983" t="e">
            <v>#REF!</v>
          </cell>
          <cell r="AS983" t="e">
            <v>#REF!</v>
          </cell>
          <cell r="AT983" t="e">
            <v>#REF!</v>
          </cell>
          <cell r="AU983" t="e">
            <v>#REF!</v>
          </cell>
          <cell r="AV983" t="e">
            <v>#REF!</v>
          </cell>
          <cell r="AW983" t="e">
            <v>#DIV/0!</v>
          </cell>
          <cell r="AX983" t="e">
            <v>#DIV/0!</v>
          </cell>
          <cell r="AY983" t="e">
            <v>#DIV/0!</v>
          </cell>
          <cell r="AZ983" t="e">
            <v>#DIV/0!</v>
          </cell>
          <cell r="BE983" t="e">
            <v>#DIV/0!</v>
          </cell>
          <cell r="BF983" t="e">
            <v>#DIV/0!</v>
          </cell>
        </row>
        <row r="984">
          <cell r="A984" t="str">
            <v>-0</v>
          </cell>
          <cell r="B984" t="str">
            <v xml:space="preserve">-0  , </v>
          </cell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  <cell r="M984"/>
          <cell r="N984"/>
          <cell r="O984"/>
          <cell r="P984"/>
          <cell r="Q984"/>
          <cell r="R984"/>
          <cell r="S984"/>
          <cell r="T984"/>
          <cell r="U984"/>
          <cell r="V984"/>
          <cell r="W984"/>
          <cell r="X984">
            <v>0</v>
          </cell>
          <cell r="Y984">
            <v>0</v>
          </cell>
          <cell r="Z984">
            <v>0</v>
          </cell>
          <cell r="AA984" t="str">
            <v>,</v>
          </cell>
          <cell r="AB984" t="str">
            <v>,</v>
          </cell>
          <cell r="AC984" t="e">
            <v>#DIV/0!</v>
          </cell>
          <cell r="AD984" t="e">
            <v>#DIV/0!</v>
          </cell>
          <cell r="AE984">
            <v>0.71</v>
          </cell>
          <cell r="AF984">
            <v>94.97</v>
          </cell>
          <cell r="AG984">
            <v>0</v>
          </cell>
          <cell r="AH984" t="e">
            <v>#DIV/0!</v>
          </cell>
          <cell r="AI984" t="e">
            <v>#DIV/0!</v>
          </cell>
          <cell r="AJ984" t="e">
            <v>#DIV/0!</v>
          </cell>
          <cell r="AK984" t="e">
            <v>#DIV/0!</v>
          </cell>
          <cell r="AL984" t="e">
            <v>#DIV/0!</v>
          </cell>
          <cell r="AM984" t="e">
            <v>#DIV/0!</v>
          </cell>
          <cell r="AN984" t="e">
            <v>#DIV/0!</v>
          </cell>
          <cell r="AO984" t="e">
            <v>#REF!</v>
          </cell>
          <cell r="AP984" t="e">
            <v>#REF!</v>
          </cell>
          <cell r="AQ984" t="e">
            <v>#REF!</v>
          </cell>
          <cell r="AR984" t="e">
            <v>#REF!</v>
          </cell>
          <cell r="AS984" t="e">
            <v>#REF!</v>
          </cell>
          <cell r="AT984" t="e">
            <v>#REF!</v>
          </cell>
          <cell r="AU984" t="e">
            <v>#REF!</v>
          </cell>
          <cell r="AV984" t="e">
            <v>#REF!</v>
          </cell>
          <cell r="AW984" t="e">
            <v>#DIV/0!</v>
          </cell>
          <cell r="AX984" t="e">
            <v>#DIV/0!</v>
          </cell>
          <cell r="AY984" t="e">
            <v>#DIV/0!</v>
          </cell>
          <cell r="AZ984" t="e">
            <v>#DIV/0!</v>
          </cell>
          <cell r="BE984" t="e">
            <v>#DIV/0!</v>
          </cell>
          <cell r="BF984" t="e">
            <v>#DIV/0!</v>
          </cell>
        </row>
        <row r="985">
          <cell r="A985" t="str">
            <v>-0</v>
          </cell>
          <cell r="B985" t="str">
            <v xml:space="preserve">-0  , </v>
          </cell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  <cell r="M985"/>
          <cell r="N985"/>
          <cell r="O985"/>
          <cell r="P985"/>
          <cell r="Q985"/>
          <cell r="R985"/>
          <cell r="S985"/>
          <cell r="T985"/>
          <cell r="U985"/>
          <cell r="V985"/>
          <cell r="W985"/>
          <cell r="X985">
            <v>0</v>
          </cell>
          <cell r="Y985">
            <v>0</v>
          </cell>
          <cell r="Z985">
            <v>0</v>
          </cell>
          <cell r="AA985" t="str">
            <v>,</v>
          </cell>
          <cell r="AB985" t="str">
            <v>,</v>
          </cell>
          <cell r="AC985" t="e">
            <v>#DIV/0!</v>
          </cell>
          <cell r="AD985" t="e">
            <v>#DIV/0!</v>
          </cell>
          <cell r="AE985">
            <v>0.71</v>
          </cell>
          <cell r="AF985">
            <v>94.97</v>
          </cell>
          <cell r="AG985">
            <v>0</v>
          </cell>
          <cell r="AH985" t="e">
            <v>#DIV/0!</v>
          </cell>
          <cell r="AI985" t="e">
            <v>#DIV/0!</v>
          </cell>
          <cell r="AJ985" t="e">
            <v>#DIV/0!</v>
          </cell>
          <cell r="AK985" t="e">
            <v>#DIV/0!</v>
          </cell>
          <cell r="AL985" t="e">
            <v>#DIV/0!</v>
          </cell>
          <cell r="AM985" t="e">
            <v>#DIV/0!</v>
          </cell>
          <cell r="AN985" t="e">
            <v>#DIV/0!</v>
          </cell>
          <cell r="AO985" t="e">
            <v>#REF!</v>
          </cell>
          <cell r="AP985" t="e">
            <v>#REF!</v>
          </cell>
          <cell r="AQ985" t="e">
            <v>#REF!</v>
          </cell>
          <cell r="AR985" t="e">
            <v>#REF!</v>
          </cell>
          <cell r="AS985" t="e">
            <v>#REF!</v>
          </cell>
          <cell r="AT985" t="e">
            <v>#REF!</v>
          </cell>
          <cell r="AU985" t="e">
            <v>#REF!</v>
          </cell>
          <cell r="AV985" t="e">
            <v>#REF!</v>
          </cell>
          <cell r="AW985" t="e">
            <v>#DIV/0!</v>
          </cell>
          <cell r="AX985" t="e">
            <v>#DIV/0!</v>
          </cell>
          <cell r="AY985" t="e">
            <v>#DIV/0!</v>
          </cell>
          <cell r="AZ985" t="e">
            <v>#DIV/0!</v>
          </cell>
          <cell r="BE985" t="e">
            <v>#DIV/0!</v>
          </cell>
          <cell r="BF985" t="e">
            <v>#DIV/0!</v>
          </cell>
        </row>
        <row r="986">
          <cell r="A986" t="str">
            <v>-0</v>
          </cell>
          <cell r="B986" t="str">
            <v xml:space="preserve">-0  , </v>
          </cell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  <cell r="M986"/>
          <cell r="N986"/>
          <cell r="O986"/>
          <cell r="P986"/>
          <cell r="Q986"/>
          <cell r="R986"/>
          <cell r="S986"/>
          <cell r="T986"/>
          <cell r="U986"/>
          <cell r="V986"/>
          <cell r="W986"/>
          <cell r="X986">
            <v>0</v>
          </cell>
          <cell r="Y986">
            <v>0</v>
          </cell>
          <cell r="Z986">
            <v>0</v>
          </cell>
          <cell r="AA986" t="str">
            <v>,</v>
          </cell>
          <cell r="AB986" t="str">
            <v>,</v>
          </cell>
          <cell r="AC986" t="e">
            <v>#DIV/0!</v>
          </cell>
          <cell r="AD986" t="e">
            <v>#DIV/0!</v>
          </cell>
          <cell r="AE986">
            <v>0.71</v>
          </cell>
          <cell r="AF986">
            <v>94.97</v>
          </cell>
          <cell r="AG986">
            <v>0</v>
          </cell>
          <cell r="AH986" t="e">
            <v>#DIV/0!</v>
          </cell>
          <cell r="AI986" t="e">
            <v>#DIV/0!</v>
          </cell>
          <cell r="AJ986" t="e">
            <v>#DIV/0!</v>
          </cell>
          <cell r="AK986" t="e">
            <v>#DIV/0!</v>
          </cell>
          <cell r="AL986" t="e">
            <v>#DIV/0!</v>
          </cell>
          <cell r="AM986" t="e">
            <v>#DIV/0!</v>
          </cell>
          <cell r="AN986" t="e">
            <v>#DIV/0!</v>
          </cell>
          <cell r="AO986" t="e">
            <v>#REF!</v>
          </cell>
          <cell r="AP986" t="e">
            <v>#REF!</v>
          </cell>
          <cell r="AQ986" t="e">
            <v>#REF!</v>
          </cell>
          <cell r="AR986" t="e">
            <v>#REF!</v>
          </cell>
          <cell r="AS986" t="e">
            <v>#REF!</v>
          </cell>
          <cell r="AT986" t="e">
            <v>#REF!</v>
          </cell>
          <cell r="AU986" t="e">
            <v>#REF!</v>
          </cell>
          <cell r="AV986" t="e">
            <v>#REF!</v>
          </cell>
          <cell r="AW986" t="e">
            <v>#DIV/0!</v>
          </cell>
          <cell r="AX986" t="e">
            <v>#DIV/0!</v>
          </cell>
          <cell r="AY986" t="e">
            <v>#DIV/0!</v>
          </cell>
          <cell r="AZ986" t="e">
            <v>#DIV/0!</v>
          </cell>
          <cell r="BE986" t="e">
            <v>#DIV/0!</v>
          </cell>
          <cell r="BF986" t="e">
            <v>#DIV/0!</v>
          </cell>
        </row>
        <row r="987">
          <cell r="A987" t="str">
            <v>-0</v>
          </cell>
          <cell r="B987" t="str">
            <v xml:space="preserve">-0  , </v>
          </cell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  <cell r="M987"/>
          <cell r="N987"/>
          <cell r="O987"/>
          <cell r="P987"/>
          <cell r="Q987"/>
          <cell r="R987"/>
          <cell r="S987"/>
          <cell r="T987"/>
          <cell r="U987"/>
          <cell r="V987"/>
          <cell r="W987"/>
          <cell r="X987">
            <v>0</v>
          </cell>
          <cell r="Y987">
            <v>0</v>
          </cell>
          <cell r="Z987">
            <v>0</v>
          </cell>
          <cell r="AA987" t="str">
            <v>,</v>
          </cell>
          <cell r="AB987" t="str">
            <v>,</v>
          </cell>
          <cell r="AC987" t="e">
            <v>#DIV/0!</v>
          </cell>
          <cell r="AD987" t="e">
            <v>#DIV/0!</v>
          </cell>
          <cell r="AE987">
            <v>0.71</v>
          </cell>
          <cell r="AF987">
            <v>94.97</v>
          </cell>
          <cell r="AG987">
            <v>0</v>
          </cell>
          <cell r="AH987" t="e">
            <v>#DIV/0!</v>
          </cell>
          <cell r="AI987" t="e">
            <v>#DIV/0!</v>
          </cell>
          <cell r="AJ987" t="e">
            <v>#DIV/0!</v>
          </cell>
          <cell r="AK987" t="e">
            <v>#DIV/0!</v>
          </cell>
          <cell r="AL987" t="e">
            <v>#DIV/0!</v>
          </cell>
          <cell r="AM987" t="e">
            <v>#DIV/0!</v>
          </cell>
          <cell r="AN987" t="e">
            <v>#DIV/0!</v>
          </cell>
          <cell r="AO987" t="e">
            <v>#REF!</v>
          </cell>
          <cell r="AP987" t="e">
            <v>#REF!</v>
          </cell>
          <cell r="AQ987" t="e">
            <v>#REF!</v>
          </cell>
          <cell r="AR987" t="e">
            <v>#REF!</v>
          </cell>
          <cell r="AS987" t="e">
            <v>#REF!</v>
          </cell>
          <cell r="AT987" t="e">
            <v>#REF!</v>
          </cell>
          <cell r="AU987" t="e">
            <v>#REF!</v>
          </cell>
          <cell r="AV987" t="e">
            <v>#REF!</v>
          </cell>
          <cell r="AW987" t="e">
            <v>#DIV/0!</v>
          </cell>
          <cell r="AX987" t="e">
            <v>#DIV/0!</v>
          </cell>
          <cell r="AY987" t="e">
            <v>#DIV/0!</v>
          </cell>
          <cell r="AZ987" t="e">
            <v>#DIV/0!</v>
          </cell>
          <cell r="BE987" t="e">
            <v>#DIV/0!</v>
          </cell>
          <cell r="BF987" t="e">
            <v>#DIV/0!</v>
          </cell>
        </row>
        <row r="988">
          <cell r="A988" t="str">
            <v>-0</v>
          </cell>
          <cell r="B988" t="str">
            <v xml:space="preserve">-0  , </v>
          </cell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  <cell r="M988"/>
          <cell r="N988"/>
          <cell r="O988"/>
          <cell r="P988"/>
          <cell r="Q988"/>
          <cell r="R988"/>
          <cell r="S988"/>
          <cell r="T988"/>
          <cell r="U988"/>
          <cell r="V988"/>
          <cell r="W988"/>
          <cell r="X988">
            <v>0</v>
          </cell>
          <cell r="Y988">
            <v>0</v>
          </cell>
          <cell r="Z988">
            <v>0</v>
          </cell>
          <cell r="AA988" t="str">
            <v>,</v>
          </cell>
          <cell r="AB988" t="str">
            <v>,</v>
          </cell>
          <cell r="AC988" t="e">
            <v>#DIV/0!</v>
          </cell>
          <cell r="AD988" t="e">
            <v>#DIV/0!</v>
          </cell>
          <cell r="AE988">
            <v>0.71</v>
          </cell>
          <cell r="AF988">
            <v>94.97</v>
          </cell>
          <cell r="AG988">
            <v>0</v>
          </cell>
          <cell r="AH988" t="e">
            <v>#DIV/0!</v>
          </cell>
          <cell r="AI988" t="e">
            <v>#DIV/0!</v>
          </cell>
          <cell r="AJ988" t="e">
            <v>#DIV/0!</v>
          </cell>
          <cell r="AK988" t="e">
            <v>#DIV/0!</v>
          </cell>
          <cell r="AL988" t="e">
            <v>#DIV/0!</v>
          </cell>
          <cell r="AM988" t="e">
            <v>#DIV/0!</v>
          </cell>
          <cell r="AN988" t="e">
            <v>#DIV/0!</v>
          </cell>
          <cell r="AO988" t="e">
            <v>#REF!</v>
          </cell>
          <cell r="AP988" t="e">
            <v>#REF!</v>
          </cell>
          <cell r="AQ988" t="e">
            <v>#REF!</v>
          </cell>
          <cell r="AR988" t="e">
            <v>#REF!</v>
          </cell>
          <cell r="AS988" t="e">
            <v>#REF!</v>
          </cell>
          <cell r="AT988" t="e">
            <v>#REF!</v>
          </cell>
          <cell r="AU988" t="e">
            <v>#REF!</v>
          </cell>
          <cell r="AV988" t="e">
            <v>#REF!</v>
          </cell>
          <cell r="AW988" t="e">
            <v>#DIV/0!</v>
          </cell>
          <cell r="AX988" t="e">
            <v>#DIV/0!</v>
          </cell>
          <cell r="AY988" t="e">
            <v>#DIV/0!</v>
          </cell>
          <cell r="AZ988" t="e">
            <v>#DIV/0!</v>
          </cell>
          <cell r="BE988" t="e">
            <v>#DIV/0!</v>
          </cell>
          <cell r="BF988" t="e">
            <v>#DIV/0!</v>
          </cell>
        </row>
        <row r="989">
          <cell r="A989" t="str">
            <v>-0</v>
          </cell>
          <cell r="B989" t="str">
            <v xml:space="preserve">-0  , </v>
          </cell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  <cell r="M989"/>
          <cell r="N989"/>
          <cell r="O989"/>
          <cell r="P989"/>
          <cell r="Q989"/>
          <cell r="R989"/>
          <cell r="S989"/>
          <cell r="T989"/>
          <cell r="U989"/>
          <cell r="V989"/>
          <cell r="W989"/>
          <cell r="X989">
            <v>0</v>
          </cell>
          <cell r="Y989">
            <v>0</v>
          </cell>
          <cell r="Z989">
            <v>0</v>
          </cell>
          <cell r="AA989" t="str">
            <v>,</v>
          </cell>
          <cell r="AB989" t="str">
            <v>,</v>
          </cell>
          <cell r="AC989" t="e">
            <v>#DIV/0!</v>
          </cell>
          <cell r="AD989" t="e">
            <v>#DIV/0!</v>
          </cell>
          <cell r="AE989">
            <v>0.71</v>
          </cell>
          <cell r="AF989">
            <v>94.97</v>
          </cell>
          <cell r="AG989">
            <v>0</v>
          </cell>
          <cell r="AH989" t="e">
            <v>#DIV/0!</v>
          </cell>
          <cell r="AI989" t="e">
            <v>#DIV/0!</v>
          </cell>
          <cell r="AJ989" t="e">
            <v>#DIV/0!</v>
          </cell>
          <cell r="AK989" t="e">
            <v>#DIV/0!</v>
          </cell>
          <cell r="AL989" t="e">
            <v>#DIV/0!</v>
          </cell>
          <cell r="AM989" t="e">
            <v>#DIV/0!</v>
          </cell>
          <cell r="AN989" t="e">
            <v>#DIV/0!</v>
          </cell>
          <cell r="AO989" t="e">
            <v>#REF!</v>
          </cell>
          <cell r="AP989" t="e">
            <v>#REF!</v>
          </cell>
          <cell r="AQ989" t="e">
            <v>#REF!</v>
          </cell>
          <cell r="AR989" t="e">
            <v>#REF!</v>
          </cell>
          <cell r="AS989" t="e">
            <v>#REF!</v>
          </cell>
          <cell r="AT989" t="e">
            <v>#REF!</v>
          </cell>
          <cell r="AU989" t="e">
            <v>#REF!</v>
          </cell>
          <cell r="AV989" t="e">
            <v>#REF!</v>
          </cell>
          <cell r="AW989" t="e">
            <v>#DIV/0!</v>
          </cell>
          <cell r="AX989" t="e">
            <v>#DIV/0!</v>
          </cell>
          <cell r="AY989" t="e">
            <v>#DIV/0!</v>
          </cell>
          <cell r="AZ989" t="e">
            <v>#DIV/0!</v>
          </cell>
          <cell r="BE989" t="e">
            <v>#DIV/0!</v>
          </cell>
          <cell r="BF989" t="e">
            <v>#DIV/0!</v>
          </cell>
        </row>
        <row r="990">
          <cell r="A990" t="str">
            <v>-0</v>
          </cell>
          <cell r="B990" t="str">
            <v xml:space="preserve">-0  , </v>
          </cell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  <cell r="M990"/>
          <cell r="N990"/>
          <cell r="O990"/>
          <cell r="P990"/>
          <cell r="Q990"/>
          <cell r="R990"/>
          <cell r="S990"/>
          <cell r="T990"/>
          <cell r="U990"/>
          <cell r="V990"/>
          <cell r="W990"/>
          <cell r="X990">
            <v>0</v>
          </cell>
          <cell r="Y990">
            <v>0</v>
          </cell>
          <cell r="Z990">
            <v>0</v>
          </cell>
          <cell r="AA990" t="str">
            <v>,</v>
          </cell>
          <cell r="AB990" t="str">
            <v>,</v>
          </cell>
          <cell r="AC990" t="e">
            <v>#DIV/0!</v>
          </cell>
          <cell r="AD990" t="e">
            <v>#DIV/0!</v>
          </cell>
          <cell r="AE990">
            <v>0.71</v>
          </cell>
          <cell r="AF990">
            <v>94.97</v>
          </cell>
          <cell r="AG990">
            <v>0</v>
          </cell>
          <cell r="AH990" t="e">
            <v>#DIV/0!</v>
          </cell>
          <cell r="AI990" t="e">
            <v>#DIV/0!</v>
          </cell>
          <cell r="AJ990" t="e">
            <v>#DIV/0!</v>
          </cell>
          <cell r="AK990" t="e">
            <v>#DIV/0!</v>
          </cell>
          <cell r="AL990" t="e">
            <v>#DIV/0!</v>
          </cell>
          <cell r="AM990" t="e">
            <v>#DIV/0!</v>
          </cell>
          <cell r="AN990" t="e">
            <v>#DIV/0!</v>
          </cell>
          <cell r="AO990" t="e">
            <v>#REF!</v>
          </cell>
          <cell r="AP990" t="e">
            <v>#REF!</v>
          </cell>
          <cell r="AQ990" t="e">
            <v>#REF!</v>
          </cell>
          <cell r="AR990" t="e">
            <v>#REF!</v>
          </cell>
          <cell r="AS990" t="e">
            <v>#REF!</v>
          </cell>
          <cell r="AT990" t="e">
            <v>#REF!</v>
          </cell>
          <cell r="AU990" t="e">
            <v>#REF!</v>
          </cell>
          <cell r="AV990" t="e">
            <v>#REF!</v>
          </cell>
          <cell r="AW990" t="e">
            <v>#DIV/0!</v>
          </cell>
          <cell r="AX990" t="e">
            <v>#DIV/0!</v>
          </cell>
          <cell r="AY990" t="e">
            <v>#DIV/0!</v>
          </cell>
          <cell r="AZ990" t="e">
            <v>#DIV/0!</v>
          </cell>
          <cell r="BE990" t="e">
            <v>#DIV/0!</v>
          </cell>
          <cell r="BF990" t="e">
            <v>#DIV/0!</v>
          </cell>
        </row>
        <row r="991">
          <cell r="A991" t="str">
            <v>-0</v>
          </cell>
          <cell r="B991" t="str">
            <v xml:space="preserve">-0  , </v>
          </cell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  <cell r="M991"/>
          <cell r="N991"/>
          <cell r="O991"/>
          <cell r="P991"/>
          <cell r="Q991"/>
          <cell r="R991"/>
          <cell r="S991"/>
          <cell r="T991"/>
          <cell r="U991"/>
          <cell r="V991"/>
          <cell r="W991"/>
          <cell r="X991">
            <v>0</v>
          </cell>
          <cell r="Y991">
            <v>0</v>
          </cell>
          <cell r="Z991">
            <v>0</v>
          </cell>
          <cell r="AA991" t="str">
            <v>,</v>
          </cell>
          <cell r="AB991" t="str">
            <v>,</v>
          </cell>
          <cell r="AC991" t="e">
            <v>#DIV/0!</v>
          </cell>
          <cell r="AD991" t="e">
            <v>#DIV/0!</v>
          </cell>
          <cell r="AE991">
            <v>0.71</v>
          </cell>
          <cell r="AF991">
            <v>94.97</v>
          </cell>
          <cell r="AG991">
            <v>0</v>
          </cell>
          <cell r="AH991" t="e">
            <v>#DIV/0!</v>
          </cell>
          <cell r="AI991" t="e">
            <v>#DIV/0!</v>
          </cell>
          <cell r="AJ991" t="e">
            <v>#DIV/0!</v>
          </cell>
          <cell r="AK991" t="e">
            <v>#DIV/0!</v>
          </cell>
          <cell r="AL991" t="e">
            <v>#DIV/0!</v>
          </cell>
          <cell r="AM991" t="e">
            <v>#DIV/0!</v>
          </cell>
          <cell r="AN991" t="e">
            <v>#DIV/0!</v>
          </cell>
          <cell r="AO991" t="e">
            <v>#REF!</v>
          </cell>
          <cell r="AP991" t="e">
            <v>#REF!</v>
          </cell>
          <cell r="AQ991" t="e">
            <v>#REF!</v>
          </cell>
          <cell r="AR991" t="e">
            <v>#REF!</v>
          </cell>
          <cell r="AS991" t="e">
            <v>#REF!</v>
          </cell>
          <cell r="AT991" t="e">
            <v>#REF!</v>
          </cell>
          <cell r="AU991" t="e">
            <v>#REF!</v>
          </cell>
          <cell r="AV991" t="e">
            <v>#REF!</v>
          </cell>
          <cell r="AW991" t="e">
            <v>#DIV/0!</v>
          </cell>
          <cell r="AX991" t="e">
            <v>#DIV/0!</v>
          </cell>
          <cell r="AY991" t="e">
            <v>#DIV/0!</v>
          </cell>
          <cell r="AZ991" t="e">
            <v>#DIV/0!</v>
          </cell>
          <cell r="BE991" t="e">
            <v>#DIV/0!</v>
          </cell>
          <cell r="BF991" t="e">
            <v>#DIV/0!</v>
          </cell>
        </row>
        <row r="992">
          <cell r="A992" t="str">
            <v>-0</v>
          </cell>
          <cell r="B992" t="str">
            <v xml:space="preserve">-0  , </v>
          </cell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  <cell r="M992"/>
          <cell r="N992"/>
          <cell r="O992"/>
          <cell r="P992"/>
          <cell r="Q992"/>
          <cell r="R992"/>
          <cell r="S992"/>
          <cell r="T992"/>
          <cell r="U992"/>
          <cell r="V992"/>
          <cell r="W992"/>
          <cell r="X992">
            <v>0</v>
          </cell>
          <cell r="Y992">
            <v>0</v>
          </cell>
          <cell r="Z992">
            <v>0</v>
          </cell>
          <cell r="AA992" t="str">
            <v>,</v>
          </cell>
          <cell r="AB992" t="str">
            <v>,</v>
          </cell>
          <cell r="AC992" t="e">
            <v>#DIV/0!</v>
          </cell>
          <cell r="AD992" t="e">
            <v>#DIV/0!</v>
          </cell>
          <cell r="AE992">
            <v>0.71</v>
          </cell>
          <cell r="AF992">
            <v>94.97</v>
          </cell>
          <cell r="AG992">
            <v>0</v>
          </cell>
          <cell r="AH992" t="e">
            <v>#DIV/0!</v>
          </cell>
          <cell r="AI992" t="e">
            <v>#DIV/0!</v>
          </cell>
          <cell r="AJ992" t="e">
            <v>#DIV/0!</v>
          </cell>
          <cell r="AK992" t="e">
            <v>#DIV/0!</v>
          </cell>
          <cell r="AL992" t="e">
            <v>#DIV/0!</v>
          </cell>
          <cell r="AM992" t="e">
            <v>#DIV/0!</v>
          </cell>
          <cell r="AN992" t="e">
            <v>#DIV/0!</v>
          </cell>
          <cell r="AO992" t="e">
            <v>#REF!</v>
          </cell>
          <cell r="AP992" t="e">
            <v>#REF!</v>
          </cell>
          <cell r="AQ992" t="e">
            <v>#REF!</v>
          </cell>
          <cell r="AR992" t="e">
            <v>#REF!</v>
          </cell>
          <cell r="AS992" t="e">
            <v>#REF!</v>
          </cell>
          <cell r="AT992" t="e">
            <v>#REF!</v>
          </cell>
          <cell r="AU992" t="e">
            <v>#REF!</v>
          </cell>
          <cell r="AV992" t="e">
            <v>#REF!</v>
          </cell>
          <cell r="AW992" t="e">
            <v>#DIV/0!</v>
          </cell>
          <cell r="AX992" t="e">
            <v>#DIV/0!</v>
          </cell>
          <cell r="AY992" t="e">
            <v>#DIV/0!</v>
          </cell>
          <cell r="AZ992" t="e">
            <v>#DIV/0!</v>
          </cell>
          <cell r="BE992" t="e">
            <v>#DIV/0!</v>
          </cell>
          <cell r="BF992" t="e">
            <v>#DIV/0!</v>
          </cell>
        </row>
        <row r="993">
          <cell r="A993" t="str">
            <v>-0</v>
          </cell>
          <cell r="B993" t="str">
            <v xml:space="preserve">-0  , </v>
          </cell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  <cell r="M993"/>
          <cell r="N993"/>
          <cell r="O993"/>
          <cell r="P993"/>
          <cell r="Q993"/>
          <cell r="R993"/>
          <cell r="S993"/>
          <cell r="T993"/>
          <cell r="U993"/>
          <cell r="V993"/>
          <cell r="W993"/>
          <cell r="X993">
            <v>0</v>
          </cell>
          <cell r="Y993">
            <v>0</v>
          </cell>
          <cell r="Z993">
            <v>0</v>
          </cell>
          <cell r="AA993" t="str">
            <v>,</v>
          </cell>
          <cell r="AB993" t="str">
            <v>,</v>
          </cell>
          <cell r="AC993" t="e">
            <v>#DIV/0!</v>
          </cell>
          <cell r="AD993" t="e">
            <v>#DIV/0!</v>
          </cell>
          <cell r="AE993">
            <v>0.71</v>
          </cell>
          <cell r="AF993">
            <v>94.97</v>
          </cell>
          <cell r="AG993">
            <v>0</v>
          </cell>
          <cell r="AH993" t="e">
            <v>#DIV/0!</v>
          </cell>
          <cell r="AI993" t="e">
            <v>#DIV/0!</v>
          </cell>
          <cell r="AJ993" t="e">
            <v>#DIV/0!</v>
          </cell>
          <cell r="AK993" t="e">
            <v>#DIV/0!</v>
          </cell>
          <cell r="AL993" t="e">
            <v>#DIV/0!</v>
          </cell>
          <cell r="AM993" t="e">
            <v>#DIV/0!</v>
          </cell>
          <cell r="AN993" t="e">
            <v>#DIV/0!</v>
          </cell>
          <cell r="AO993" t="e">
            <v>#REF!</v>
          </cell>
          <cell r="AP993" t="e">
            <v>#REF!</v>
          </cell>
          <cell r="AQ993" t="e">
            <v>#REF!</v>
          </cell>
          <cell r="AR993" t="e">
            <v>#REF!</v>
          </cell>
          <cell r="AS993" t="e">
            <v>#REF!</v>
          </cell>
          <cell r="AT993" t="e">
            <v>#REF!</v>
          </cell>
          <cell r="AU993" t="e">
            <v>#REF!</v>
          </cell>
          <cell r="AV993" t="e">
            <v>#REF!</v>
          </cell>
          <cell r="AW993" t="e">
            <v>#DIV/0!</v>
          </cell>
          <cell r="AX993" t="e">
            <v>#DIV/0!</v>
          </cell>
          <cell r="AY993" t="e">
            <v>#DIV/0!</v>
          </cell>
          <cell r="AZ993" t="e">
            <v>#DIV/0!</v>
          </cell>
          <cell r="BE993" t="e">
            <v>#DIV/0!</v>
          </cell>
          <cell r="BF993" t="e">
            <v>#DIV/0!</v>
          </cell>
        </row>
        <row r="994">
          <cell r="A994" t="str">
            <v>-0</v>
          </cell>
          <cell r="B994" t="str">
            <v xml:space="preserve">-0  , </v>
          </cell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  <cell r="M994"/>
          <cell r="N994"/>
          <cell r="O994"/>
          <cell r="P994"/>
          <cell r="Q994"/>
          <cell r="R994"/>
          <cell r="S994"/>
          <cell r="T994"/>
          <cell r="U994"/>
          <cell r="V994"/>
          <cell r="W994"/>
          <cell r="X994">
            <v>0</v>
          </cell>
          <cell r="Y994">
            <v>0</v>
          </cell>
          <cell r="Z994">
            <v>0</v>
          </cell>
          <cell r="AA994" t="str">
            <v>,</v>
          </cell>
          <cell r="AB994" t="str">
            <v>,</v>
          </cell>
          <cell r="AC994" t="e">
            <v>#DIV/0!</v>
          </cell>
          <cell r="AD994" t="e">
            <v>#DIV/0!</v>
          </cell>
          <cell r="AE994">
            <v>0.71</v>
          </cell>
          <cell r="AF994">
            <v>94.97</v>
          </cell>
          <cell r="AG994">
            <v>0</v>
          </cell>
          <cell r="AH994" t="e">
            <v>#DIV/0!</v>
          </cell>
          <cell r="AI994" t="e">
            <v>#DIV/0!</v>
          </cell>
          <cell r="AJ994" t="e">
            <v>#DIV/0!</v>
          </cell>
          <cell r="AK994" t="e">
            <v>#DIV/0!</v>
          </cell>
          <cell r="AL994" t="e">
            <v>#DIV/0!</v>
          </cell>
          <cell r="AM994" t="e">
            <v>#DIV/0!</v>
          </cell>
          <cell r="AN994" t="e">
            <v>#DIV/0!</v>
          </cell>
          <cell r="AO994" t="e">
            <v>#REF!</v>
          </cell>
          <cell r="AP994" t="e">
            <v>#REF!</v>
          </cell>
          <cell r="AQ994" t="e">
            <v>#REF!</v>
          </cell>
          <cell r="AR994" t="e">
            <v>#REF!</v>
          </cell>
          <cell r="AS994" t="e">
            <v>#REF!</v>
          </cell>
          <cell r="AT994" t="e">
            <v>#REF!</v>
          </cell>
          <cell r="AU994" t="e">
            <v>#REF!</v>
          </cell>
          <cell r="AV994" t="e">
            <v>#REF!</v>
          </cell>
          <cell r="AW994" t="e">
            <v>#DIV/0!</v>
          </cell>
          <cell r="AX994" t="e">
            <v>#DIV/0!</v>
          </cell>
          <cell r="AY994" t="e">
            <v>#DIV/0!</v>
          </cell>
          <cell r="AZ994" t="e">
            <v>#DIV/0!</v>
          </cell>
          <cell r="BE994" t="e">
            <v>#DIV/0!</v>
          </cell>
          <cell r="BF994" t="e">
            <v>#DIV/0!</v>
          </cell>
        </row>
        <row r="995">
          <cell r="A995" t="str">
            <v>-0</v>
          </cell>
          <cell r="B995" t="str">
            <v xml:space="preserve">-0  , </v>
          </cell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  <cell r="M995"/>
          <cell r="N995"/>
          <cell r="O995"/>
          <cell r="P995"/>
          <cell r="Q995"/>
          <cell r="R995"/>
          <cell r="S995"/>
          <cell r="T995"/>
          <cell r="U995"/>
          <cell r="V995"/>
          <cell r="W995"/>
          <cell r="X995">
            <v>0</v>
          </cell>
          <cell r="Y995">
            <v>0</v>
          </cell>
          <cell r="Z995">
            <v>0</v>
          </cell>
          <cell r="AA995" t="str">
            <v>,</v>
          </cell>
          <cell r="AB995" t="str">
            <v>,</v>
          </cell>
          <cell r="AC995" t="e">
            <v>#DIV/0!</v>
          </cell>
          <cell r="AD995" t="e">
            <v>#DIV/0!</v>
          </cell>
          <cell r="AE995">
            <v>0.71</v>
          </cell>
          <cell r="AF995">
            <v>94.97</v>
          </cell>
          <cell r="AG995">
            <v>0</v>
          </cell>
          <cell r="AH995" t="e">
            <v>#DIV/0!</v>
          </cell>
          <cell r="AI995" t="e">
            <v>#DIV/0!</v>
          </cell>
          <cell r="AJ995" t="e">
            <v>#DIV/0!</v>
          </cell>
          <cell r="AK995" t="e">
            <v>#DIV/0!</v>
          </cell>
          <cell r="AL995" t="e">
            <v>#DIV/0!</v>
          </cell>
          <cell r="AM995" t="e">
            <v>#DIV/0!</v>
          </cell>
          <cell r="AN995" t="e">
            <v>#DIV/0!</v>
          </cell>
          <cell r="AO995" t="e">
            <v>#REF!</v>
          </cell>
          <cell r="AP995" t="e">
            <v>#REF!</v>
          </cell>
          <cell r="AQ995" t="e">
            <v>#REF!</v>
          </cell>
          <cell r="AR995" t="e">
            <v>#REF!</v>
          </cell>
          <cell r="AS995" t="e">
            <v>#REF!</v>
          </cell>
          <cell r="AT995" t="e">
            <v>#REF!</v>
          </cell>
          <cell r="AU995" t="e">
            <v>#REF!</v>
          </cell>
          <cell r="AV995" t="e">
            <v>#REF!</v>
          </cell>
          <cell r="AW995" t="e">
            <v>#DIV/0!</v>
          </cell>
          <cell r="AX995" t="e">
            <v>#DIV/0!</v>
          </cell>
          <cell r="AY995" t="e">
            <v>#DIV/0!</v>
          </cell>
          <cell r="AZ995" t="e">
            <v>#DIV/0!</v>
          </cell>
          <cell r="BE995" t="e">
            <v>#DIV/0!</v>
          </cell>
          <cell r="BF995" t="e">
            <v>#DIV/0!</v>
          </cell>
        </row>
        <row r="996">
          <cell r="A996" t="str">
            <v>-0</v>
          </cell>
          <cell r="B996" t="str">
            <v xml:space="preserve">-0  , </v>
          </cell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  <cell r="M996"/>
          <cell r="N996"/>
          <cell r="O996"/>
          <cell r="P996"/>
          <cell r="Q996"/>
          <cell r="R996"/>
          <cell r="S996"/>
          <cell r="T996"/>
          <cell r="U996"/>
          <cell r="V996"/>
          <cell r="W996"/>
          <cell r="X996">
            <v>0</v>
          </cell>
          <cell r="Y996">
            <v>0</v>
          </cell>
          <cell r="Z996">
            <v>0</v>
          </cell>
          <cell r="AA996" t="str">
            <v>,</v>
          </cell>
          <cell r="AB996" t="str">
            <v>,</v>
          </cell>
          <cell r="AC996" t="e">
            <v>#DIV/0!</v>
          </cell>
          <cell r="AD996" t="e">
            <v>#DIV/0!</v>
          </cell>
          <cell r="AE996">
            <v>0.71</v>
          </cell>
          <cell r="AF996">
            <v>94.97</v>
          </cell>
          <cell r="AG996">
            <v>0</v>
          </cell>
          <cell r="AH996" t="e">
            <v>#DIV/0!</v>
          </cell>
          <cell r="AI996" t="e">
            <v>#DIV/0!</v>
          </cell>
          <cell r="AJ996" t="e">
            <v>#DIV/0!</v>
          </cell>
          <cell r="AK996" t="e">
            <v>#DIV/0!</v>
          </cell>
          <cell r="AL996" t="e">
            <v>#DIV/0!</v>
          </cell>
          <cell r="AM996" t="e">
            <v>#DIV/0!</v>
          </cell>
          <cell r="AN996" t="e">
            <v>#DIV/0!</v>
          </cell>
          <cell r="AO996" t="e">
            <v>#REF!</v>
          </cell>
          <cell r="AP996" t="e">
            <v>#REF!</v>
          </cell>
          <cell r="AQ996" t="e">
            <v>#REF!</v>
          </cell>
          <cell r="AR996" t="e">
            <v>#REF!</v>
          </cell>
          <cell r="AS996" t="e">
            <v>#REF!</v>
          </cell>
          <cell r="AT996" t="e">
            <v>#REF!</v>
          </cell>
          <cell r="AU996" t="e">
            <v>#REF!</v>
          </cell>
          <cell r="AV996" t="e">
            <v>#REF!</v>
          </cell>
          <cell r="AW996" t="e">
            <v>#DIV/0!</v>
          </cell>
          <cell r="AX996" t="e">
            <v>#DIV/0!</v>
          </cell>
          <cell r="AY996" t="e">
            <v>#DIV/0!</v>
          </cell>
          <cell r="AZ996" t="e">
            <v>#DIV/0!</v>
          </cell>
          <cell r="BE996" t="e">
            <v>#DIV/0!</v>
          </cell>
          <cell r="BF996" t="e">
            <v>#DIV/0!</v>
          </cell>
        </row>
        <row r="997">
          <cell r="A997" t="str">
            <v>-0</v>
          </cell>
          <cell r="B997" t="str">
            <v xml:space="preserve">-0  , </v>
          </cell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  <cell r="M997"/>
          <cell r="N997"/>
          <cell r="O997"/>
          <cell r="P997"/>
          <cell r="Q997"/>
          <cell r="R997"/>
          <cell r="S997"/>
          <cell r="T997"/>
          <cell r="U997"/>
          <cell r="V997"/>
          <cell r="W997"/>
          <cell r="X997">
            <v>0</v>
          </cell>
          <cell r="Y997">
            <v>0</v>
          </cell>
          <cell r="Z997">
            <v>0</v>
          </cell>
          <cell r="AA997" t="str">
            <v>,</v>
          </cell>
          <cell r="AB997" t="str">
            <v>,</v>
          </cell>
          <cell r="AC997" t="e">
            <v>#DIV/0!</v>
          </cell>
          <cell r="AD997" t="e">
            <v>#DIV/0!</v>
          </cell>
          <cell r="AE997">
            <v>0.71</v>
          </cell>
          <cell r="AF997">
            <v>94.97</v>
          </cell>
          <cell r="AG997">
            <v>0</v>
          </cell>
          <cell r="AH997" t="e">
            <v>#DIV/0!</v>
          </cell>
          <cell r="AI997" t="e">
            <v>#DIV/0!</v>
          </cell>
          <cell r="AJ997" t="e">
            <v>#DIV/0!</v>
          </cell>
          <cell r="AK997" t="e">
            <v>#DIV/0!</v>
          </cell>
          <cell r="AL997" t="e">
            <v>#DIV/0!</v>
          </cell>
          <cell r="AM997" t="e">
            <v>#DIV/0!</v>
          </cell>
          <cell r="AN997" t="e">
            <v>#DIV/0!</v>
          </cell>
          <cell r="AO997" t="e">
            <v>#REF!</v>
          </cell>
          <cell r="AP997" t="e">
            <v>#REF!</v>
          </cell>
          <cell r="AQ997" t="e">
            <v>#REF!</v>
          </cell>
          <cell r="AR997" t="e">
            <v>#REF!</v>
          </cell>
          <cell r="AS997" t="e">
            <v>#REF!</v>
          </cell>
          <cell r="AT997" t="e">
            <v>#REF!</v>
          </cell>
          <cell r="AU997" t="e">
            <v>#REF!</v>
          </cell>
          <cell r="AV997" t="e">
            <v>#REF!</v>
          </cell>
          <cell r="AW997" t="e">
            <v>#DIV/0!</v>
          </cell>
          <cell r="AX997" t="e">
            <v>#DIV/0!</v>
          </cell>
          <cell r="AY997" t="e">
            <v>#DIV/0!</v>
          </cell>
          <cell r="AZ997" t="e">
            <v>#DIV/0!</v>
          </cell>
          <cell r="BE997" t="e">
            <v>#DIV/0!</v>
          </cell>
          <cell r="BF997" t="e">
            <v>#DIV/0!</v>
          </cell>
        </row>
        <row r="998">
          <cell r="A998" t="str">
            <v>-0</v>
          </cell>
          <cell r="B998" t="str">
            <v xml:space="preserve">-0  , </v>
          </cell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  <cell r="M998"/>
          <cell r="N998"/>
          <cell r="O998"/>
          <cell r="P998"/>
          <cell r="Q998"/>
          <cell r="R998"/>
          <cell r="S998"/>
          <cell r="T998"/>
          <cell r="U998"/>
          <cell r="V998"/>
          <cell r="W998"/>
          <cell r="X998">
            <v>0</v>
          </cell>
          <cell r="Y998">
            <v>0</v>
          </cell>
          <cell r="Z998">
            <v>0</v>
          </cell>
          <cell r="AA998" t="str">
            <v>,</v>
          </cell>
          <cell r="AB998" t="str">
            <v>,</v>
          </cell>
          <cell r="AC998" t="e">
            <v>#DIV/0!</v>
          </cell>
          <cell r="AD998" t="e">
            <v>#DIV/0!</v>
          </cell>
          <cell r="AE998">
            <v>0.71</v>
          </cell>
          <cell r="AF998">
            <v>94.97</v>
          </cell>
          <cell r="AG998">
            <v>0</v>
          </cell>
          <cell r="AH998" t="e">
            <v>#DIV/0!</v>
          </cell>
          <cell r="AI998" t="e">
            <v>#DIV/0!</v>
          </cell>
          <cell r="AJ998" t="e">
            <v>#DIV/0!</v>
          </cell>
          <cell r="AK998" t="e">
            <v>#DIV/0!</v>
          </cell>
          <cell r="AL998" t="e">
            <v>#DIV/0!</v>
          </cell>
          <cell r="AM998" t="e">
            <v>#DIV/0!</v>
          </cell>
          <cell r="AN998" t="e">
            <v>#DIV/0!</v>
          </cell>
          <cell r="AO998" t="e">
            <v>#REF!</v>
          </cell>
          <cell r="AP998" t="e">
            <v>#REF!</v>
          </cell>
          <cell r="AQ998" t="e">
            <v>#REF!</v>
          </cell>
          <cell r="AR998" t="e">
            <v>#REF!</v>
          </cell>
          <cell r="AS998" t="e">
            <v>#REF!</v>
          </cell>
          <cell r="AT998" t="e">
            <v>#REF!</v>
          </cell>
          <cell r="AU998" t="e">
            <v>#REF!</v>
          </cell>
          <cell r="AV998" t="e">
            <v>#REF!</v>
          </cell>
          <cell r="AW998" t="e">
            <v>#DIV/0!</v>
          </cell>
          <cell r="AX998" t="e">
            <v>#DIV/0!</v>
          </cell>
          <cell r="AY998" t="e">
            <v>#DIV/0!</v>
          </cell>
          <cell r="AZ998" t="e">
            <v>#DIV/0!</v>
          </cell>
          <cell r="BE998" t="e">
            <v>#DIV/0!</v>
          </cell>
          <cell r="BF998" t="e">
            <v>#DIV/0!</v>
          </cell>
        </row>
        <row r="999">
          <cell r="A999" t="str">
            <v>-0</v>
          </cell>
          <cell r="B999" t="str">
            <v xml:space="preserve">-0  , </v>
          </cell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  <cell r="M999"/>
          <cell r="N999"/>
          <cell r="O999"/>
          <cell r="P999"/>
          <cell r="Q999"/>
          <cell r="R999"/>
          <cell r="S999"/>
          <cell r="T999"/>
          <cell r="U999"/>
          <cell r="V999"/>
          <cell r="W999"/>
          <cell r="X999">
            <v>0</v>
          </cell>
          <cell r="Y999">
            <v>0</v>
          </cell>
          <cell r="Z999">
            <v>0</v>
          </cell>
          <cell r="AA999" t="str">
            <v>,</v>
          </cell>
          <cell r="AB999" t="str">
            <v>,</v>
          </cell>
          <cell r="AC999" t="e">
            <v>#DIV/0!</v>
          </cell>
          <cell r="AD999" t="e">
            <v>#DIV/0!</v>
          </cell>
          <cell r="AE999">
            <v>0.71</v>
          </cell>
          <cell r="AF999">
            <v>94.97</v>
          </cell>
          <cell r="AG999">
            <v>0</v>
          </cell>
          <cell r="AH999" t="e">
            <v>#DIV/0!</v>
          </cell>
          <cell r="AI999" t="e">
            <v>#DIV/0!</v>
          </cell>
          <cell r="AJ999" t="e">
            <v>#DIV/0!</v>
          </cell>
          <cell r="AK999" t="e">
            <v>#DIV/0!</v>
          </cell>
          <cell r="AL999" t="e">
            <v>#DIV/0!</v>
          </cell>
          <cell r="AM999" t="e">
            <v>#DIV/0!</v>
          </cell>
          <cell r="AN999" t="e">
            <v>#DIV/0!</v>
          </cell>
          <cell r="AO999" t="e">
            <v>#REF!</v>
          </cell>
          <cell r="AP999" t="e">
            <v>#REF!</v>
          </cell>
          <cell r="AQ999" t="e">
            <v>#REF!</v>
          </cell>
          <cell r="AR999" t="e">
            <v>#REF!</v>
          </cell>
          <cell r="AS999" t="e">
            <v>#REF!</v>
          </cell>
          <cell r="AT999" t="e">
            <v>#REF!</v>
          </cell>
          <cell r="AU999" t="e">
            <v>#REF!</v>
          </cell>
          <cell r="AV999" t="e">
            <v>#REF!</v>
          </cell>
          <cell r="AW999" t="e">
            <v>#DIV/0!</v>
          </cell>
          <cell r="AX999" t="e">
            <v>#DIV/0!</v>
          </cell>
          <cell r="AY999" t="e">
            <v>#DIV/0!</v>
          </cell>
          <cell r="AZ999" t="e">
            <v>#DIV/0!</v>
          </cell>
          <cell r="BE999" t="e">
            <v>#DIV/0!</v>
          </cell>
          <cell r="BF999" t="e">
            <v>#DIV/0!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d1"/>
      <sheetName val="Klantenbestand"/>
      <sheetName val="Lijst"/>
    </sheetNames>
    <sheetDataSet>
      <sheetData sheetId="0">
        <row r="3">
          <cell r="B3" t="str">
            <v>3D-Drilling BV</v>
          </cell>
          <cell r="C3" t="str">
            <v>William Shakespearelaan 41</v>
          </cell>
          <cell r="D3" t="str">
            <v>2135 WB Hoofddorp</v>
          </cell>
          <cell r="E3" t="str">
            <v>Tel: 06-83663630</v>
          </cell>
        </row>
        <row r="4">
          <cell r="B4" t="str">
            <v>A.Hak Electron B.V.</v>
          </cell>
          <cell r="C4" t="str">
            <v>Steenoven 2-6</v>
          </cell>
          <cell r="D4" t="str">
            <v>4196 HG  Tricht</v>
          </cell>
          <cell r="E4" t="str">
            <v>info@a-hak.nl</v>
          </cell>
        </row>
        <row r="5">
          <cell r="B5" t="str">
            <v>A.Hak Rijmond B.V.</v>
          </cell>
          <cell r="C5" t="str">
            <v>Tinstraat 1</v>
          </cell>
          <cell r="D5" t="str">
            <v>2984 AN  Ridderkerk</v>
          </cell>
          <cell r="E5" t="str">
            <v>e-mail: info@a-hak.nl</v>
          </cell>
        </row>
        <row r="6">
          <cell r="B6" t="str">
            <v>Aktief Infra BV</v>
          </cell>
          <cell r="C6" t="str">
            <v>Moldau 42</v>
          </cell>
          <cell r="D6" t="str">
            <v>2491CW  Den Haag</v>
          </cell>
          <cell r="E6" t="str">
            <v>www.aktiefteambv.nl</v>
          </cell>
        </row>
        <row r="7">
          <cell r="B7" t="str">
            <v>Allinq Group</v>
          </cell>
          <cell r="C7" t="str">
            <v>Fahrenheitstraat 27-29</v>
          </cell>
          <cell r="D7" t="str">
            <v>Postbus 166</v>
          </cell>
          <cell r="E7" t="str">
            <v>3840 AD  Harderwijk</v>
          </cell>
        </row>
        <row r="8">
          <cell r="B8" t="str">
            <v>Artemis ITS GmbH</v>
          </cell>
          <cell r="C8" t="str">
            <v>Beech Avenue, Het Poortgebouw 54-62</v>
          </cell>
          <cell r="D8" t="str">
            <v>1119 PW  Amsterdam</v>
          </cell>
          <cell r="E8" t="str">
            <v>www.artemis-its.com</v>
          </cell>
        </row>
        <row r="9">
          <cell r="B9" t="str">
            <v>ATSA Infra Tel BV</v>
          </cell>
          <cell r="C9" t="str">
            <v>Koopmansstraat 5F</v>
          </cell>
          <cell r="D9" t="str">
            <v>2288 BC  Rijswijk</v>
          </cell>
          <cell r="E9" t="str">
            <v>www.atsainfra.nl</v>
          </cell>
        </row>
        <row r="10">
          <cell r="B10" t="str">
            <v>AW Vessies</v>
          </cell>
          <cell r="C10" t="str">
            <v>-</v>
          </cell>
          <cell r="D10" t="str">
            <v>-</v>
          </cell>
          <cell r="E10" t="str">
            <v>-</v>
          </cell>
        </row>
        <row r="11">
          <cell r="B11" t="str">
            <v>Baas B.V.</v>
          </cell>
          <cell r="C11" t="str">
            <v>Industrieweg 134</v>
          </cell>
          <cell r="D11" t="str">
            <v>3044 AT  Rotterdam</v>
          </cell>
          <cell r="E11" t="str">
            <v>tel: 088 - 222 74 00</v>
          </cell>
        </row>
        <row r="12">
          <cell r="B12" t="str">
            <v>BAM</v>
          </cell>
          <cell r="C12" t="str">
            <v>Postbus 44</v>
          </cell>
          <cell r="D12" t="str">
            <v>2410 AA Bodegraven</v>
          </cell>
          <cell r="E12" t="str">
            <v xml:space="preserve">Telefoon: 0172 70 52 22 </v>
          </cell>
        </row>
        <row r="13">
          <cell r="B13" t="str">
            <v>BAM Bouw en Techniek Schiphol</v>
          </cell>
          <cell r="C13" t="str">
            <v>Snipweg 5</v>
          </cell>
          <cell r="D13" t="str">
            <v>1118 DN Schiphol</v>
          </cell>
          <cell r="E13" t="str">
            <v>www.bambouwentechniek.nl</v>
          </cell>
        </row>
        <row r="14">
          <cell r="B14" t="str">
            <v>BAM Energie &amp; Water West BV</v>
          </cell>
          <cell r="C14" t="str">
            <v>Pondweg 1</v>
          </cell>
          <cell r="D14" t="str">
            <v>2153 PK  Nieuw Vennep</v>
          </cell>
          <cell r="E14" t="str">
            <v>www.baminfra.nl</v>
          </cell>
        </row>
        <row r="15">
          <cell r="B15" t="str">
            <v>BAM Energie &amp; Water Zuid BV</v>
          </cell>
          <cell r="C15" t="str">
            <v>Postbus 436</v>
          </cell>
          <cell r="D15" t="str">
            <v>5201 AK 's-Hertogenbosch</v>
          </cell>
          <cell r="E15"/>
        </row>
        <row r="16">
          <cell r="B16" t="str">
            <v>BAM Infra</v>
          </cell>
          <cell r="C16" t="str">
            <v>-</v>
          </cell>
          <cell r="D16" t="str">
            <v>-</v>
          </cell>
          <cell r="E16" t="str">
            <v>-</v>
          </cell>
        </row>
        <row r="17">
          <cell r="B17" t="str">
            <v>BAM Infra Energie &amp; Water West BV</v>
          </cell>
          <cell r="C17" t="str">
            <v>Postbus 44</v>
          </cell>
          <cell r="D17" t="str">
            <v>2410 AA Bodegraven</v>
          </cell>
          <cell r="E17" t="str">
            <v xml:space="preserve">Telefoon: 0172 70 52 22 </v>
          </cell>
        </row>
        <row r="18">
          <cell r="B18" t="str">
            <v>BAM Infra Energie &amp; Water Zuidoost BV</v>
          </cell>
          <cell r="C18" t="str">
            <v>Postbus 436</v>
          </cell>
          <cell r="D18" t="str">
            <v>5201 AK  's Hertogenbosch</v>
          </cell>
          <cell r="E18" t="str">
            <v>www.baminfra.nl</v>
          </cell>
        </row>
        <row r="19">
          <cell r="B19" t="str">
            <v>BAM Infra Telecom B.V.</v>
          </cell>
          <cell r="C19" t="str">
            <v>Molenstraat 60</v>
          </cell>
          <cell r="D19" t="str">
            <v>2471 AB  Zwammerdam</v>
          </cell>
          <cell r="E19" t="str">
            <v>tel: 0172-632 121</v>
          </cell>
        </row>
        <row r="20">
          <cell r="B20" t="str">
            <v>BAM Infra Verkeerstechniek</v>
          </cell>
          <cell r="C20" t="str">
            <v>Postbus 170</v>
          </cell>
          <cell r="D20" t="str">
            <v>4100 AD  Culemborg</v>
          </cell>
          <cell r="E20"/>
        </row>
        <row r="21">
          <cell r="B21" t="str">
            <v>BAM Telecom</v>
          </cell>
          <cell r="C21" t="str">
            <v>-</v>
          </cell>
          <cell r="D21" t="str">
            <v>-</v>
          </cell>
          <cell r="E21" t="str">
            <v>-</v>
          </cell>
        </row>
        <row r="22">
          <cell r="B22" t="str">
            <v xml:space="preserve">Bjorn Telintelo </v>
          </cell>
          <cell r="C22" t="str">
            <v>Beemdweg 1A</v>
          </cell>
          <cell r="D22" t="str">
            <v>8152 DB  Lemelerveld</v>
          </cell>
          <cell r="E22" t="str">
            <v>www.bjorntelintelo.nl</v>
          </cell>
        </row>
        <row r="23">
          <cell r="B23" t="str">
            <v>BL Boringen</v>
          </cell>
          <cell r="C23" t="str">
            <v>Voor de Blanken 4b</v>
          </cell>
          <cell r="D23" t="str">
            <v>7963 RP  Ruinen</v>
          </cell>
          <cell r="E23" t="str">
            <v>www.blboringen.nl</v>
          </cell>
        </row>
        <row r="24">
          <cell r="B24" t="str">
            <v>Blokland Infra B.V.</v>
          </cell>
          <cell r="C24" t="str">
            <v>De Peel 20</v>
          </cell>
          <cell r="D24" t="str">
            <v>4264 KK  Veen</v>
          </cell>
          <cell r="E24" t="str">
            <v>www.bloklandinfra.nl</v>
          </cell>
        </row>
        <row r="25">
          <cell r="B25" t="str">
            <v>Bob den Boer Infra B.V.</v>
          </cell>
          <cell r="C25" t="str">
            <v>Smederijstraat 24</v>
          </cell>
          <cell r="D25" t="str">
            <v>2861 GP  Bergambacht</v>
          </cell>
          <cell r="E25" t="str">
            <v>www.bobdenboer.nl</v>
          </cell>
        </row>
        <row r="26">
          <cell r="B26" t="str">
            <v>Boskalis</v>
          </cell>
          <cell r="C26" t="str">
            <v>Rosmolenweg 20</v>
          </cell>
          <cell r="D26" t="str">
            <v>3356 LK  Papendrecht</v>
          </cell>
          <cell r="E26" t="str">
            <v>www.boskalis.com</v>
          </cell>
        </row>
        <row r="27">
          <cell r="B27" t="str">
            <v>Brightfiber</v>
          </cell>
          <cell r="C27" t="str">
            <v>Postbus 176</v>
          </cell>
          <cell r="D27" t="str">
            <v>4130 ED Vianen</v>
          </cell>
          <cell r="E27" t="str">
            <v>e-mail: info@brightfiber.nl</v>
          </cell>
        </row>
        <row r="28">
          <cell r="B28" t="str">
            <v>Brouwer Boogzinkeren B.V.</v>
          </cell>
          <cell r="C28" t="str">
            <v>Graanhoeve 44</v>
          </cell>
          <cell r="D28" t="str">
            <v>3992 NK  Houten</v>
          </cell>
          <cell r="E28" t="str">
            <v>www.boogzinkeren.nl</v>
          </cell>
        </row>
        <row r="29">
          <cell r="B29" t="str">
            <v>Bruton Boortechniek B.V.</v>
          </cell>
          <cell r="C29" t="str">
            <v>Dubceksingel 56</v>
          </cell>
          <cell r="D29" t="str">
            <v>6716 RG  Ede</v>
          </cell>
          <cell r="E29"/>
        </row>
        <row r="30">
          <cell r="B30" t="str">
            <v>BT Nederland</v>
          </cell>
          <cell r="C30" t="str">
            <v>Herikerbergweg 2</v>
          </cell>
          <cell r="D30" t="str">
            <v>1101 CM  Amsterdam Z-O</v>
          </cell>
          <cell r="E30" t="str">
            <v>-</v>
          </cell>
        </row>
        <row r="31">
          <cell r="B31" t="str">
            <v>BTL Drilling B.V.</v>
          </cell>
          <cell r="C31" t="str">
            <v>Beemdweg 1A</v>
          </cell>
          <cell r="D31" t="str">
            <v>8152 DB  Lemelerveld</v>
          </cell>
          <cell r="E31" t="str">
            <v>www.bjorntelintelo.nl</v>
          </cell>
        </row>
        <row r="32">
          <cell r="B32" t="str">
            <v>C &amp; C Cable &amp; Communication B.V.</v>
          </cell>
          <cell r="C32" t="str">
            <v>Augustapolder 8</v>
          </cell>
          <cell r="D32" t="str">
            <v>2992 SR  Barendrecht</v>
          </cell>
          <cell r="E32" t="str">
            <v>www.cckabel.nl</v>
          </cell>
        </row>
        <row r="33">
          <cell r="B33" t="str">
            <v>Ciag BV</v>
          </cell>
          <cell r="C33" t="str">
            <v>Avelingen-West 3</v>
          </cell>
          <cell r="D33" t="str">
            <v>4202 MS Gorinchem</v>
          </cell>
          <cell r="E33" t="str">
            <v xml:space="preserve">http://www.ciag.nl </v>
          </cell>
        </row>
        <row r="34">
          <cell r="B34" t="str">
            <v>Cimitec Infra</v>
          </cell>
          <cell r="C34" t="str">
            <v>Nipkowlaan 12</v>
          </cell>
          <cell r="D34" t="str">
            <v>9207 JA  Drachten</v>
          </cell>
          <cell r="E34" t="str">
            <v>Tel: 0512-580 280</v>
          </cell>
        </row>
        <row r="35">
          <cell r="B35" t="str">
            <v>Circet Nederland</v>
          </cell>
          <cell r="C35" t="str">
            <v>Wiltonstraat 16</v>
          </cell>
          <cell r="D35" t="str">
            <v>3905 KW  Veendendaal</v>
          </cell>
          <cell r="E35" t="str">
            <v>www.circet.nl</v>
          </cell>
        </row>
        <row r="36">
          <cell r="B36" t="str">
            <v>CityTec B.V.</v>
          </cell>
          <cell r="C36" t="str">
            <v>Nieuwland Parc 400</v>
          </cell>
          <cell r="D36" t="str">
            <v>2952 DD  Alblasserdam</v>
          </cell>
          <cell r="E36" t="str">
            <v>www.citytec.nl</v>
          </cell>
        </row>
        <row r="37">
          <cell r="B37" t="str">
            <v>Combinatie APK Infra &amp;Wegenbouw Limburg</v>
          </cell>
          <cell r="C37" t="str">
            <v>De Schacht 11</v>
          </cell>
          <cell r="D37" t="str">
            <v xml:space="preserve">5107 RD  Dongen      </v>
          </cell>
          <cell r="E37" t="str">
            <v>tel: 088-75 10 100</v>
          </cell>
        </row>
        <row r="38">
          <cell r="B38" t="str">
            <v>Combinatie HPV</v>
          </cell>
          <cell r="C38" t="str">
            <v>Graafsebaan 67</v>
          </cell>
          <cell r="D38" t="str">
            <v>5248 JT  Rosmalen</v>
          </cell>
          <cell r="E38"/>
        </row>
        <row r="39">
          <cell r="B39" t="str">
            <v>Con-e</v>
          </cell>
          <cell r="C39" t="str">
            <v>Deutschland</v>
          </cell>
          <cell r="D39" t="str">
            <v>Germany</v>
          </cell>
          <cell r="E39"/>
        </row>
        <row r="40">
          <cell r="B40" t="str">
            <v>D&amp;G Infratechniek B.V.</v>
          </cell>
          <cell r="C40" t="str">
            <v>Hofkesweg 10a</v>
          </cell>
          <cell r="D40" t="str">
            <v>5249 JW  Rosmalen</v>
          </cell>
          <cell r="E40" t="str">
            <v>www.dg-infratechniek.nl</v>
          </cell>
        </row>
        <row r="41">
          <cell r="B41" t="str">
            <v>De Groene Boog V.O.F.</v>
          </cell>
          <cell r="C41" t="str">
            <v>K.P. van der Mandelelaan 50</v>
          </cell>
          <cell r="D41" t="str">
            <v>3062 MB  Rotterdam</v>
          </cell>
          <cell r="E41" t="str">
            <v>www.groeneboog.nl</v>
          </cell>
        </row>
        <row r="42">
          <cell r="B42" t="str">
            <v>De Kuiper Groep</v>
          </cell>
          <cell r="C42" t="str">
            <v>Middenweg 7</v>
          </cell>
          <cell r="D42" t="str">
            <v>4225 SK Noordeloos</v>
          </cell>
          <cell r="E42" t="str">
            <v>info@DeKuiperGroep.nl</v>
          </cell>
        </row>
        <row r="43">
          <cell r="B43" t="str">
            <v>De Ruiter Grondwatertechniek</v>
          </cell>
          <cell r="C43" t="str">
            <v>Emrikweg 5</v>
          </cell>
          <cell r="D43" t="str">
            <v>2031 BT  Haarlem</v>
          </cell>
          <cell r="E43" t="str">
            <v>www.deruitergwt.nl</v>
          </cell>
        </row>
        <row r="44">
          <cell r="B44" t="str">
            <v>Deutsche Glasfaser</v>
          </cell>
          <cell r="C44" t="str">
            <v>-</v>
          </cell>
          <cell r="D44" t="str">
            <v>-</v>
          </cell>
          <cell r="E44" t="str">
            <v>www.deutsche-glasfaser.de</v>
          </cell>
        </row>
        <row r="45">
          <cell r="B45" t="str">
            <v>DIEK BV</v>
          </cell>
          <cell r="C45" t="str">
            <v>Noorder IJ- en Zeeweg 12</v>
          </cell>
          <cell r="D45" t="str">
            <v>1505 HG  Zaandam</v>
          </cell>
          <cell r="E45" t="str">
            <v>www.diekbv.nl</v>
          </cell>
        </row>
        <row r="46">
          <cell r="B46" t="str">
            <v>Digitronics Installatie- &amp; Infratechniek B.V.</v>
          </cell>
          <cell r="C46" t="str">
            <v>Hoofdstraat 158</v>
          </cell>
          <cell r="D46" t="str">
            <v>8162 AR  Epe</v>
          </cell>
          <cell r="E46" t="str">
            <v>www.digitronics.nl</v>
          </cell>
        </row>
        <row r="47">
          <cell r="B47" t="str">
            <v>Dijar Group B.V.</v>
          </cell>
          <cell r="C47" t="str">
            <v>Televisiestraat 332</v>
          </cell>
          <cell r="D47" t="str">
            <v>2525 LV  's-Gravenhage</v>
          </cell>
          <cell r="E47" t="str">
            <v>www.dijargroup.com</v>
          </cell>
        </row>
        <row r="48">
          <cell r="B48" t="str">
            <v>Direxta Infra B.V.</v>
          </cell>
          <cell r="C48" t="str">
            <v>Pettelaarpark 89, 4e etage</v>
          </cell>
          <cell r="D48" t="str">
            <v>5216 PP  ‘s-Hertogenbosch</v>
          </cell>
          <cell r="E48" t="str">
            <v>tel: 085-0043 081</v>
          </cell>
        </row>
        <row r="49">
          <cell r="B49" t="str">
            <v>Dmissie Electro BV</v>
          </cell>
          <cell r="C49" t="str">
            <v>Portsmuiden 15</v>
          </cell>
          <cell r="D49" t="str">
            <v>1046 AH  Amsterdam</v>
          </cell>
          <cell r="E49" t="str">
            <v>tel. 020-448 11 25</v>
          </cell>
        </row>
        <row r="50">
          <cell r="B50" t="str">
            <v>DSO Infra BV</v>
          </cell>
          <cell r="C50" t="str">
            <v>Peerdecamp 6</v>
          </cell>
          <cell r="D50" t="str">
            <v>1141 RN  Monnickendam</v>
          </cell>
          <cell r="E50" t="str">
            <v>www.dsoinfra.nl</v>
          </cell>
        </row>
        <row r="51">
          <cell r="B51" t="str">
            <v>Dunea</v>
          </cell>
          <cell r="C51" t="str">
            <v>Postbus 756</v>
          </cell>
          <cell r="D51" t="str">
            <v>2700 AT Zoetermeer</v>
          </cell>
          <cell r="E51" t="str">
            <v>tel. 088-347 5000</v>
          </cell>
        </row>
        <row r="52">
          <cell r="B52" t="str">
            <v>Dura Vermeer Infra Regio Zuid West</v>
          </cell>
          <cell r="C52" t="str">
            <v>Postbus 11099</v>
          </cell>
          <cell r="D52" t="str">
            <v>3004 EB Rotterdam</v>
          </cell>
          <cell r="E52" t="str">
            <v>www.duravermeer.nl</v>
          </cell>
        </row>
        <row r="53">
          <cell r="B53" t="str">
            <v>E&amp;R Infratechniek</v>
          </cell>
          <cell r="C53" t="str">
            <v>De Panoven 25</v>
          </cell>
          <cell r="D53" t="str">
            <v>4191GW Geldermalsen</v>
          </cell>
          <cell r="E53" t="str">
            <v>Tel: 0345-247090</v>
          </cell>
        </row>
        <row r="54">
          <cell r="B54" t="str">
            <v>EBC Glasvezeltechniek B.V.</v>
          </cell>
          <cell r="C54" t="str">
            <v>Burgemeester J.G. Legroweg 90</v>
          </cell>
          <cell r="D54" t="str">
            <v>9761 TD  Eelde</v>
          </cell>
          <cell r="E54" t="str">
            <v>www.ebcgroup.nl</v>
          </cell>
        </row>
        <row r="55">
          <cell r="B55" t="str">
            <v>EH Infra BV</v>
          </cell>
          <cell r="C55" t="str">
            <v>Bloemendalerweg 21</v>
          </cell>
          <cell r="D55" t="str">
            <v>1382 KB  Weesp</v>
          </cell>
          <cell r="E55" t="str">
            <v>www.eh-infra.nl</v>
          </cell>
        </row>
        <row r="56">
          <cell r="B56" t="str">
            <v>Eljes Infra Structurele Projecten</v>
          </cell>
          <cell r="C56" t="str">
            <v>Jachtwagen 53</v>
          </cell>
          <cell r="D56" t="str">
            <v>3897 AM  Zeewolde</v>
          </cell>
          <cell r="E56" t="str">
            <v>tel: 036-523 66 58</v>
          </cell>
        </row>
        <row r="57">
          <cell r="B57" t="str">
            <v>Enexis</v>
          </cell>
          <cell r="C57" t="str">
            <v>Zwaanhoefstraat 12</v>
          </cell>
          <cell r="D57" t="str">
            <v>4702 LC  Roosendaal</v>
          </cell>
          <cell r="E57" t="str">
            <v>tel: 0900-7808700</v>
          </cell>
        </row>
        <row r="58">
          <cell r="B58" t="str">
            <v>Euronet Infra Techniek B.V.</v>
          </cell>
          <cell r="C58" t="str">
            <v>Goudstraat 32</v>
          </cell>
          <cell r="D58" t="str">
            <v>2718 RC  Zoetermeer</v>
          </cell>
          <cell r="E58" t="str">
            <v>www.euronetinfratechniek.nl</v>
          </cell>
        </row>
        <row r="59">
          <cell r="B59" t="str">
            <v>EV Solutions</v>
          </cell>
          <cell r="C59" t="str">
            <v>De Boeg 22</v>
          </cell>
          <cell r="D59" t="str">
            <v>9206 BB  Drachten</v>
          </cell>
          <cell r="E59" t="str">
            <v>www.ev-solutions.nl</v>
          </cell>
        </row>
        <row r="60">
          <cell r="B60" t="str">
            <v>Exclusion Infra</v>
          </cell>
          <cell r="C60" t="str">
            <v>Oud Emmeloorderweg 28</v>
          </cell>
          <cell r="D60" t="str">
            <v>8307 RA Ens</v>
          </cell>
          <cell r="E60"/>
        </row>
        <row r="61">
          <cell r="B61" t="str">
            <v>Feenstra Minikraanverhuur</v>
          </cell>
          <cell r="C61" t="str">
            <v>Bolster 8</v>
          </cell>
          <cell r="D61" t="str">
            <v>9281 KK  Harkema</v>
          </cell>
          <cell r="E61" t="str">
            <v>www.feenstraminikraanverhuur.nl</v>
          </cell>
        </row>
        <row r="62">
          <cell r="B62" t="str">
            <v>Fiberunie B.V.</v>
          </cell>
          <cell r="C62" t="str">
            <v>Franciscusweg 4a</v>
          </cell>
          <cell r="D62" t="str">
            <v>1216 SK  Hilversum</v>
          </cell>
          <cell r="E62" t="str">
            <v>www.fiberunie.nl</v>
          </cell>
        </row>
        <row r="63">
          <cell r="B63" t="str">
            <v>Fues Aannemingsbedrijf B.V.</v>
          </cell>
          <cell r="C63" t="str">
            <v>Driemanssteeweg 52</v>
          </cell>
          <cell r="D63" t="str">
            <v>3084 CB  Rotterdam</v>
          </cell>
          <cell r="E63" t="str">
            <v>www.fues.nl</v>
          </cell>
        </row>
        <row r="64">
          <cell r="B64" t="str">
            <v>G.E.B. INFRA B.V.</v>
          </cell>
          <cell r="C64" t="str">
            <v>Poortland 44</v>
          </cell>
          <cell r="D64" t="str">
            <v>1046 BD  Amsterdam</v>
          </cell>
          <cell r="E64" t="str">
            <v>www.gebinfra.nl</v>
          </cell>
        </row>
        <row r="65">
          <cell r="B65" t="str">
            <v>Gebr. van Lutterveld BV</v>
          </cell>
          <cell r="C65" t="str">
            <v>Van Balverenlaan 12</v>
          </cell>
          <cell r="D65" t="str">
            <v>6678 PA Oosterhout (Gld)</v>
          </cell>
          <cell r="E65" t="str">
            <v>gebr.van@lutterveld.nl</v>
          </cell>
        </row>
        <row r="66">
          <cell r="B66" t="str">
            <v>Gemeente Amstelveen</v>
          </cell>
          <cell r="C66" t="str">
            <v>Laan Nieuwer-Amstel 1</v>
          </cell>
          <cell r="D66" t="str">
            <v>1182 JR  Amstelveen</v>
          </cell>
          <cell r="E66" t="str">
            <v>www.amstelveen.nl</v>
          </cell>
        </row>
        <row r="67">
          <cell r="B67" t="str">
            <v>GKB Infra</v>
          </cell>
          <cell r="C67" t="str">
            <v>De Horst 72</v>
          </cell>
          <cell r="D67" t="str">
            <v>3911 SZ  Rhenen</v>
          </cell>
          <cell r="E67" t="str">
            <v>gkb-infra.nl</v>
          </cell>
        </row>
        <row r="68">
          <cell r="B68" t="str">
            <v>Glasdraad Zeeuws Vlaanderen B.V.</v>
          </cell>
          <cell r="C68" t="str">
            <v>Julianalaan 1</v>
          </cell>
          <cell r="D68" t="str">
            <v>1213 AP  Hilversum</v>
          </cell>
          <cell r="E68"/>
        </row>
        <row r="69">
          <cell r="B69" t="str">
            <v>GlasDraad Groene Hart</v>
          </cell>
          <cell r="C69" t="str">
            <v>Julianalaan 1</v>
          </cell>
          <cell r="D69" t="str">
            <v>1213 AP  Hilversum</v>
          </cell>
          <cell r="E69" t="str">
            <v>haarlemmermeer@glasdraad.nl</v>
          </cell>
        </row>
        <row r="70">
          <cell r="B70" t="str">
            <v>Grondwerk Van 't Veld B.V.</v>
          </cell>
          <cell r="C70" t="str">
            <v>Vleessteeg 1</v>
          </cell>
          <cell r="D70" t="str">
            <v>3882 SG Putten</v>
          </cell>
          <cell r="E70" t="str">
            <v>tel: 033-245 4821</v>
          </cell>
        </row>
        <row r="71">
          <cell r="B71" t="str">
            <v>Hachmang Aanneming B.V.</v>
          </cell>
          <cell r="C71" t="str">
            <v>Delfweg 14d</v>
          </cell>
          <cell r="D71" t="str">
            <v>2211 VM  Noordwijkerhout</v>
          </cell>
          <cell r="E71" t="str">
            <v>www.hachmang-aanneming.nl</v>
          </cell>
        </row>
        <row r="72">
          <cell r="B72" t="str">
            <v>Hans Eek Infrawerken</v>
          </cell>
          <cell r="C72" t="str">
            <v>Weteringshoek 30</v>
          </cell>
          <cell r="D72" t="str">
            <v>5328 BN  Rossum</v>
          </cell>
          <cell r="E72" t="str">
            <v>www.eekinfra.nl</v>
          </cell>
        </row>
        <row r="73">
          <cell r="B73" t="str">
            <v>Heijmans</v>
          </cell>
          <cell r="C73" t="str">
            <v>Graafsebaan 65</v>
          </cell>
          <cell r="D73" t="str">
            <v>5248 JT  Rosmalen</v>
          </cell>
          <cell r="E73" t="str">
            <v>www.heijmans.nl</v>
          </cell>
        </row>
        <row r="74">
          <cell r="B74" t="str">
            <v>Heijmans Infra Energie</v>
          </cell>
          <cell r="C74" t="str">
            <v>Grote Esch 816</v>
          </cell>
          <cell r="D74" t="str">
            <v>2841 MJ Moordrecht</v>
          </cell>
          <cell r="E74" t="str">
            <v>www.heijmans.nl</v>
          </cell>
        </row>
        <row r="75">
          <cell r="B75" t="str">
            <v>HF Infra Solutions</v>
          </cell>
          <cell r="C75" t="str">
            <v>Sniep 23</v>
          </cell>
          <cell r="D75" t="str">
            <v>1112 AC  Diemen</v>
          </cell>
          <cell r="E75" t="str">
            <v>e-mail: info@hmhgroep.nl</v>
          </cell>
        </row>
        <row r="76">
          <cell r="B76" t="str">
            <v>HIG Traffic Systems</v>
          </cell>
          <cell r="C76" t="str">
            <v>Klipperaak 101</v>
          </cell>
          <cell r="D76" t="str">
            <v>2411 ND  Bodegraven</v>
          </cell>
          <cell r="E76" t="str">
            <v>www.hig.nl</v>
          </cell>
        </row>
        <row r="77">
          <cell r="B77" t="str">
            <v>Hoppenbrouwers Techniek B.V.</v>
          </cell>
          <cell r="C77" t="str">
            <v>Provincialeweg 10</v>
          </cell>
          <cell r="D77" t="str">
            <v>3552 LR  Goedereede</v>
          </cell>
          <cell r="E77" t="str">
            <v>www.hoppenbrouwerstechniek.nl</v>
          </cell>
        </row>
        <row r="78">
          <cell r="B78" t="str">
            <v>Huybens Haarlem</v>
          </cell>
          <cell r="C78" t="str">
            <v>Nijverheidsweg 15</v>
          </cell>
          <cell r="D78" t="str">
            <v>2031 CN  Haarlem</v>
          </cell>
          <cell r="E78" t="str">
            <v>www.huybens.nl</v>
          </cell>
        </row>
        <row r="79">
          <cell r="B79" t="str">
            <v>HVI Infratechniek</v>
          </cell>
          <cell r="C79" t="str">
            <v>Heikampweg 5</v>
          </cell>
          <cell r="D79" t="str">
            <v>5249 JX  Rosmalen</v>
          </cell>
          <cell r="E79" t="str">
            <v>www.hvi-infra.nl</v>
          </cell>
        </row>
        <row r="80">
          <cell r="B80" t="str">
            <v>INFRA GLASVEZEL BEHEER BV</v>
          </cell>
          <cell r="C80" t="str">
            <v>Kingsfordweg 151</v>
          </cell>
          <cell r="D80" t="str">
            <v>1043 GR Amsterdam</v>
          </cell>
          <cell r="E80" t="str">
            <v>Tel: 020 760 11 10</v>
          </cell>
        </row>
        <row r="81">
          <cell r="B81" t="str">
            <v xml:space="preserve">Infra Kennis B.V. </v>
          </cell>
          <cell r="C81" t="str">
            <v>Galileïlaan 40</v>
          </cell>
          <cell r="D81" t="str">
            <v>3089 JN  ROTTERDAM</v>
          </cell>
          <cell r="E81" t="str">
            <v>www.infra-kennis.nl</v>
          </cell>
        </row>
        <row r="82">
          <cell r="B82" t="str">
            <v>J. Glijnis BV</v>
          </cell>
          <cell r="C82" t="str">
            <v>Meerpolder 1</v>
          </cell>
          <cell r="D82" t="str">
            <v>2717 PA Zoetermeer</v>
          </cell>
          <cell r="E82" t="str">
            <v>tel: 079-3518490</v>
          </cell>
        </row>
        <row r="83">
          <cell r="B83" t="str">
            <v>Jos Eek Infraservice</v>
          </cell>
          <cell r="C83" t="str">
            <v>Maasdijk 65</v>
          </cell>
          <cell r="D83" t="str">
            <v>5321 NG  Hedel</v>
          </cell>
          <cell r="E83"/>
        </row>
        <row r="84">
          <cell r="B84" t="str">
            <v>Jos van der Lubbe</v>
          </cell>
          <cell r="C84" t="str">
            <v>Verbreepark 35</v>
          </cell>
          <cell r="D84" t="str">
            <v>2731 BR Benthuizen</v>
          </cell>
          <cell r="E84"/>
        </row>
        <row r="85">
          <cell r="B85" t="str">
            <v>Kappert Infra B.V.</v>
          </cell>
          <cell r="C85" t="str">
            <v>De rijp 5</v>
          </cell>
          <cell r="D85" t="str">
            <v>9172 PG  Ferwert</v>
          </cell>
          <cell r="E85" t="str">
            <v>www.kappertinfra.nl</v>
          </cell>
        </row>
        <row r="86">
          <cell r="B86" t="str">
            <v>Kenter</v>
          </cell>
          <cell r="C86" t="str">
            <v>Postbus 4</v>
          </cell>
          <cell r="D86" t="str">
            <v>6920 AA Duiven</v>
          </cell>
          <cell r="E86" t="str">
            <v>tel: 088-191 15 55</v>
          </cell>
        </row>
        <row r="87">
          <cell r="B87" t="str">
            <v>Klever Boor- en Perstechniek B.V.</v>
          </cell>
          <cell r="C87" t="str">
            <v>Boveneind Noordzijde 84 C</v>
          </cell>
          <cell r="D87" t="str">
            <v>3405AK Benschop</v>
          </cell>
          <cell r="E87" t="str">
            <v>www.kleverbv.nl</v>
          </cell>
        </row>
        <row r="88">
          <cell r="B88" t="str">
            <v>Klinkenberg Kabelwerken</v>
          </cell>
          <cell r="C88" t="str">
            <v>Westerveen 37</v>
          </cell>
          <cell r="D88" t="str">
            <v>7711 DA  Nieuwleusen</v>
          </cell>
          <cell r="E88" t="str">
            <v>-</v>
          </cell>
        </row>
        <row r="89">
          <cell r="B89" t="str">
            <v>Kodar Netherlands BV</v>
          </cell>
          <cell r="C89" t="str">
            <v>Beechavenue 10</v>
          </cell>
          <cell r="D89" t="str">
            <v>1119 PT  Schiphol-Rijk</v>
          </cell>
          <cell r="E89"/>
        </row>
        <row r="90">
          <cell r="B90" t="str">
            <v>Kooij Infra BV</v>
          </cell>
          <cell r="C90" t="str">
            <v>Velgtstraat 25</v>
          </cell>
          <cell r="D90" t="str">
            <v>5321 SX  Hedel</v>
          </cell>
          <cell r="E90" t="str">
            <v>www.kooij-infra.nl</v>
          </cell>
        </row>
        <row r="91">
          <cell r="B91" t="str">
            <v>Korf KB B.V.</v>
          </cell>
          <cell r="C91" t="str">
            <v>Het Spijk 9</v>
          </cell>
          <cell r="D91" t="str">
            <v>8321 WT  Urk</v>
          </cell>
          <cell r="E91" t="str">
            <v>www.korf-kb.nl</v>
          </cell>
        </row>
        <row r="92">
          <cell r="B92" t="str">
            <v>KPN</v>
          </cell>
          <cell r="C92"/>
          <cell r="D92"/>
          <cell r="E92"/>
        </row>
        <row r="93">
          <cell r="B93" t="str">
            <v>Lambeck Infra</v>
          </cell>
          <cell r="C93" t="str">
            <v>Eideweg 36</v>
          </cell>
          <cell r="D93" t="str">
            <v>9628 AR Siddeburen</v>
          </cell>
          <cell r="E93"/>
        </row>
        <row r="94">
          <cell r="B94" t="str">
            <v>LH glasvezeltechniek B.V.</v>
          </cell>
          <cell r="C94" t="str">
            <v>Edisonstraat 24</v>
          </cell>
          <cell r="D94" t="str">
            <v>6604 BV  Wijchen</v>
          </cell>
          <cell r="E94" t="str">
            <v>www.lhglasvezeltechniek.nl</v>
          </cell>
        </row>
        <row r="95">
          <cell r="B95" t="str">
            <v>Liander</v>
          </cell>
          <cell r="C95" t="str">
            <v>Postbus 50</v>
          </cell>
          <cell r="D95" t="str">
            <v>6920 AB Duiven</v>
          </cell>
          <cell r="E95" t="str">
            <v>www.liander.nl</v>
          </cell>
        </row>
        <row r="96">
          <cell r="B96" t="str">
            <v>Loon en aannemersbedrijf F.a. Jonker</v>
          </cell>
          <cell r="C96" t="str">
            <v>De Streek 45a</v>
          </cell>
          <cell r="D96" t="str">
            <v>8407 EG  Terwispel</v>
          </cell>
          <cell r="E96" t="str">
            <v>www.jonker-terwispel.nl</v>
          </cell>
        </row>
        <row r="97">
          <cell r="B97" t="str">
            <v>Loon en grondverzet de Jong</v>
          </cell>
          <cell r="C97" t="str">
            <v>Beintemawei 3</v>
          </cell>
          <cell r="D97" t="str">
            <v>9295 LD  Westergeest</v>
          </cell>
          <cell r="E97" t="str">
            <v>www.dejongwestergeest.nl</v>
          </cell>
        </row>
        <row r="98">
          <cell r="B98" t="str">
            <v>M&amp;T Techniek BV</v>
          </cell>
          <cell r="C98" t="str">
            <v>Loodsweg 61</v>
          </cell>
          <cell r="D98" t="str">
            <v>1525 RK  Westknollendam</v>
          </cell>
          <cell r="E98" t="str">
            <v>mt-techniek.nl</v>
          </cell>
        </row>
        <row r="99">
          <cell r="B99" t="str">
            <v>MDF Infra B.V.</v>
          </cell>
          <cell r="C99" t="str">
            <v>ABC Westland 241</v>
          </cell>
          <cell r="D99" t="str">
            <v>2685 DC  Poeldijk</v>
          </cell>
          <cell r="E99" t="str">
            <v>www.mdfinfra.com</v>
          </cell>
        </row>
        <row r="100">
          <cell r="B100" t="str">
            <v>MHT Tems B.V.</v>
          </cell>
          <cell r="C100" t="str">
            <v>Dwerggras 30</v>
          </cell>
          <cell r="D100" t="str">
            <v>3068 PC  Rotterdam</v>
          </cell>
          <cell r="E100" t="str">
            <v>www.mhttems.nl (in progress)</v>
          </cell>
        </row>
        <row r="101">
          <cell r="B101" t="str">
            <v>MKC Techniek</v>
          </cell>
          <cell r="C101" t="str">
            <v>Luzernestraat 2</v>
          </cell>
          <cell r="D101" t="str">
            <v>2153 GN  Nieuw-Vennep</v>
          </cell>
          <cell r="E101" t="str">
            <v>www.mkctechniek.nl</v>
          </cell>
        </row>
        <row r="102">
          <cell r="B102" t="str">
            <v>Moll Gestuurd Boren B.V.</v>
          </cell>
          <cell r="C102" t="str">
            <v>Zandwilg 5</v>
          </cell>
          <cell r="D102" t="str">
            <v>1731 LS  Winkel</v>
          </cell>
          <cell r="E102" t="str">
            <v>www.gestuurdboren.nl</v>
          </cell>
        </row>
        <row r="103">
          <cell r="B103" t="str">
            <v>Mook Machineverhuur BV</v>
          </cell>
          <cell r="C103" t="str">
            <v>Vlakdissel 7</v>
          </cell>
          <cell r="D103" t="str">
            <v>1648 HJ  De Goorn</v>
          </cell>
          <cell r="E103" t="str">
            <v>www.mookbv.nl</v>
          </cell>
        </row>
        <row r="104">
          <cell r="B104" t="str">
            <v>MVOI</v>
          </cell>
          <cell r="C104" t="str">
            <v>Edisonweg 1</v>
          </cell>
          <cell r="D104" t="str">
            <v>2964 LK  Groot-Ammers</v>
          </cell>
          <cell r="E104" t="str">
            <v>www.mvoi.nl</v>
          </cell>
        </row>
        <row r="105">
          <cell r="B105" t="str">
            <v>Neijhof &amp; Visser</v>
          </cell>
          <cell r="C105" t="str">
            <v>Anton Philipsweg 3</v>
          </cell>
          <cell r="D105" t="str">
            <v>1422 AL  Uithoorn</v>
          </cell>
          <cell r="E105" t="str">
            <v>info@neijhofvisser.nl</v>
          </cell>
        </row>
        <row r="106">
          <cell r="B106" t="str">
            <v>Netwerk KabelNoord</v>
          </cell>
          <cell r="C106" t="str">
            <v>Pier Prinslaan 21</v>
          </cell>
          <cell r="D106" t="str">
            <v>9101 PX  Dokkum</v>
          </cell>
          <cell r="E106" t="str">
            <v>www.kabelnoord.nl</v>
          </cell>
        </row>
        <row r="107">
          <cell r="B107" t="str">
            <v>NKM Network Services</v>
          </cell>
          <cell r="C107" t="str">
            <v>Wiltonstraat 16</v>
          </cell>
          <cell r="D107" t="str">
            <v>3905 KW  Veendendaal</v>
          </cell>
          <cell r="E107" t="str">
            <v>info@nkm.nl</v>
          </cell>
        </row>
        <row r="108">
          <cell r="B108" t="str">
            <v>Northgroup</v>
          </cell>
          <cell r="C108" t="str">
            <v>Wasaweg 18A</v>
          </cell>
          <cell r="D108" t="str">
            <v>9723 JD  Groningen</v>
          </cell>
          <cell r="E108" t="str">
            <v>info@northgroup.nl</v>
          </cell>
        </row>
        <row r="109">
          <cell r="B109" t="str">
            <v>OneFiber</v>
          </cell>
          <cell r="C109" t="str">
            <v>Keizersgracht 241</v>
          </cell>
          <cell r="D109" t="str">
            <v>1016 EA Amsterdam</v>
          </cell>
          <cell r="E109" t="str">
            <v>info@onefiber.nl</v>
          </cell>
        </row>
        <row r="110">
          <cell r="B110" t="str">
            <v>Open Dutch Fiber</v>
          </cell>
          <cell r="C110" t="str">
            <v xml:space="preserve">Postbus 117 </v>
          </cell>
          <cell r="D110" t="str">
            <v>3980 CC  Bunnik</v>
          </cell>
          <cell r="E110" t="str">
            <v>www.opendutchfiber.nl</v>
          </cell>
        </row>
        <row r="111">
          <cell r="B111" t="str">
            <v>Particuliere opdrachtgever</v>
          </cell>
          <cell r="C111" t="str">
            <v>-</v>
          </cell>
          <cell r="D111" t="str">
            <v>-</v>
          </cell>
          <cell r="E111" t="str">
            <v>-</v>
          </cell>
        </row>
        <row r="112">
          <cell r="B112" t="str">
            <v>Pol Infratechniek B.V.</v>
          </cell>
          <cell r="C112" t="str">
            <v>Siriusweg 2</v>
          </cell>
          <cell r="D112" t="str">
            <v>8938 BB  Leeuwarden</v>
          </cell>
          <cell r="E112" t="str">
            <v>www.polinfratechniek.nl</v>
          </cell>
        </row>
        <row r="113">
          <cell r="B113" t="str">
            <v>Polderzon HDD  B.V.</v>
          </cell>
          <cell r="C113" t="str">
            <v>Rijsdijk 20</v>
          </cell>
          <cell r="D113" t="str">
            <v>4909 AB  Oosteind</v>
          </cell>
          <cell r="E113" t="str">
            <v>www.polderzon.nl</v>
          </cell>
        </row>
        <row r="114">
          <cell r="B114" t="str">
            <v>PWN</v>
          </cell>
          <cell r="C114" t="str">
            <v>Postbus 2113</v>
          </cell>
          <cell r="D114" t="str">
            <v>1990 AC Velserbroek</v>
          </cell>
          <cell r="E114" t="str">
            <v>tel: 0900-4060700</v>
          </cell>
        </row>
        <row r="115">
          <cell r="B115" t="str">
            <v>Quint &amp; van Ginkel B.V.</v>
          </cell>
          <cell r="C115" t="str">
            <v>Marconibaan 44</v>
          </cell>
          <cell r="D115" t="str">
            <v>3439 MS  Nieuwegein</v>
          </cell>
          <cell r="E115" t="str">
            <v>www.quintenvanginkel.nl</v>
          </cell>
        </row>
        <row r="116">
          <cell r="B116" t="str">
            <v>R&amp;D Drilling BV</v>
          </cell>
          <cell r="C116" t="str">
            <v>Dorpsstraat 206</v>
          </cell>
          <cell r="D116" t="str">
            <v>1566 AT  Assendelft</v>
          </cell>
          <cell r="E116" t="str">
            <v>www.rd-drilling.nl</v>
          </cell>
        </row>
        <row r="117">
          <cell r="B117" t="str">
            <v>R. Breure Aannemings- en verhuurbedrijf B.V.</v>
          </cell>
          <cell r="C117" t="str">
            <v>IJweg 298</v>
          </cell>
          <cell r="D117" t="str">
            <v>1161 GG  Zwanenburg</v>
          </cell>
          <cell r="E117" t="str">
            <v>www.rbreure.nl</v>
          </cell>
        </row>
        <row r="118">
          <cell r="B118" t="str">
            <v>Rasenberg Kabels&amp;Leidingen BV</v>
          </cell>
          <cell r="C118" t="str">
            <v>de Schacht 11</v>
          </cell>
          <cell r="D118" t="str">
            <v>5107 RD  Dongen</v>
          </cell>
          <cell r="E118" t="str">
            <v>www.rasenberg-apk.nl</v>
          </cell>
        </row>
        <row r="119">
          <cell r="B119" t="str">
            <v>Rasenberg Kabels en Leidingen B.V.</v>
          </cell>
          <cell r="C119" t="str">
            <v>Techniekweg 10</v>
          </cell>
          <cell r="D119" t="str">
            <v>3481 MK  Harmelen</v>
          </cell>
          <cell r="E119" t="str">
            <v>www.rasenberg-apk.nl</v>
          </cell>
        </row>
        <row r="120">
          <cell r="B120" t="str">
            <v>Rising Infratechniek B.V.</v>
          </cell>
          <cell r="C120" t="str">
            <v>Daalwijkdreef 47</v>
          </cell>
          <cell r="D120" t="str">
            <v>1103AD  Amsterdam</v>
          </cell>
          <cell r="E120" t="str">
            <v>www.risinginfra.nl</v>
          </cell>
        </row>
        <row r="121">
          <cell r="B121" t="str">
            <v>RovoR Installatietechniek</v>
          </cell>
          <cell r="C121" t="str">
            <v>Euregioweg 287</v>
          </cell>
          <cell r="D121" t="str">
            <v>7532 SM  Enschede</v>
          </cell>
          <cell r="E121" t="str">
            <v>www.rovor.eu</v>
          </cell>
        </row>
        <row r="122">
          <cell r="B122" t="str">
            <v>Schuuring Civiel Techniek B.V.</v>
          </cell>
          <cell r="C122" t="str">
            <v>Nobelstraat 28A</v>
          </cell>
          <cell r="D122" t="str">
            <v>3846 CG Harderwijk</v>
          </cell>
          <cell r="E122" t="str">
            <v>www.schuuringcivieltechniek.nl</v>
          </cell>
        </row>
        <row r="123">
          <cell r="B123" t="str">
            <v>SCT Kabel- en Leidingwerken</v>
          </cell>
          <cell r="C123" t="str">
            <v>Nobelstraat 28A</v>
          </cell>
          <cell r="D123" t="str">
            <v>3846 CG Harderwijk</v>
          </cell>
          <cell r="E123" t="str">
            <v>www.schuuringcivieltechniek.nl</v>
          </cell>
        </row>
        <row r="124">
          <cell r="B124" t="str">
            <v>Selecta Infratechniek</v>
          </cell>
          <cell r="C124" t="str">
            <v>Pittsburghstraat 57</v>
          </cell>
          <cell r="D124" t="str">
            <v>3047 BL Rotterdam</v>
          </cell>
          <cell r="E124" t="str">
            <v>www.selectainfra.nl</v>
          </cell>
        </row>
        <row r="125">
          <cell r="B125" t="str">
            <v>Siers Groep Oldenzaal B.V.</v>
          </cell>
          <cell r="C125" t="str">
            <v>Schuttersveldstraat 22</v>
          </cell>
          <cell r="D125" t="str">
            <v>7570 AH Oldenzaal</v>
          </cell>
          <cell r="E125" t="str">
            <v>info@siersgroep.nl</v>
          </cell>
        </row>
        <row r="126">
          <cell r="B126" t="str">
            <v>Speer Infra</v>
          </cell>
          <cell r="C126" t="str">
            <v>Energiestraat 23-C</v>
          </cell>
          <cell r="D126" t="str">
            <v>1411 AR  Naarden</v>
          </cell>
          <cell r="E126" t="str">
            <v>www.speerinfra.nl</v>
          </cell>
        </row>
        <row r="127">
          <cell r="B127" t="str">
            <v>SPIE Nederland B.V.</v>
          </cell>
          <cell r="C127" t="str">
            <v>Menhirweg 6</v>
          </cell>
          <cell r="D127" t="str">
            <v>5342 LS  Oss</v>
          </cell>
          <cell r="E127" t="str">
            <v>tel. 088-3131 000</v>
          </cell>
        </row>
        <row r="128">
          <cell r="B128" t="str">
            <v>Spinder Kabeltechniek BV</v>
          </cell>
          <cell r="C128" t="str">
            <v>Uterwei 3</v>
          </cell>
          <cell r="D128" t="str">
            <v>9284 XL  Augustinusga</v>
          </cell>
          <cell r="E128" t="str">
            <v>www.spinderkabeltechniek.nl</v>
          </cell>
        </row>
        <row r="129">
          <cell r="B129" t="str">
            <v>Spitters</v>
          </cell>
          <cell r="C129"/>
          <cell r="D129"/>
          <cell r="E129"/>
        </row>
        <row r="130">
          <cell r="B130" t="str">
            <v>Spitters B.V.</v>
          </cell>
          <cell r="C130" t="str">
            <v>Van Dijklaan 19</v>
          </cell>
          <cell r="D130" t="str">
            <v>5581 WG Waalre</v>
          </cell>
          <cell r="E130" t="str">
            <v>Tel: 040-25 80 830</v>
          </cell>
        </row>
        <row r="131">
          <cell r="B131" t="str">
            <v>Stam &amp; Co Infratechniek B.V.</v>
          </cell>
          <cell r="C131" t="str">
            <v>Diamantweg 10</v>
          </cell>
          <cell r="D131" t="str">
            <v>1812 RC Alkmaar</v>
          </cell>
          <cell r="E131" t="str">
            <v>tel: 072-576 22 00</v>
          </cell>
        </row>
        <row r="132">
          <cell r="B132" t="str">
            <v>Stedin</v>
          </cell>
          <cell r="C132" t="str">
            <v>Postbus 49</v>
          </cell>
          <cell r="D132" t="str">
            <v>3000 AA  Rotterdam</v>
          </cell>
          <cell r="E132" t="str">
            <v>tel: 088-8963 963</v>
          </cell>
        </row>
        <row r="133">
          <cell r="B133" t="str">
            <v>Stroet Elektrotechniek BV</v>
          </cell>
          <cell r="C133" t="str">
            <v>Fortweg 21</v>
          </cell>
          <cell r="D133" t="str">
            <v>2131 WG  Hoofddorp</v>
          </cell>
          <cell r="E133" t="str">
            <v>tel: 023-554 1616</v>
          </cell>
        </row>
        <row r="134">
          <cell r="B134" t="str">
            <v>Swarco Mobility Nederland B.V.</v>
          </cell>
          <cell r="C134" t="str">
            <v>Basicweg 16</v>
          </cell>
          <cell r="D134" t="str">
            <v>3821 BR  Amersfoort</v>
          </cell>
          <cell r="E134" t="str">
            <v>info.nl@swarco.com</v>
          </cell>
        </row>
        <row r="135">
          <cell r="B135" t="str">
            <v>Talsma Infratechniek</v>
          </cell>
          <cell r="C135" t="str">
            <v>Provincialeweg 98</v>
          </cell>
          <cell r="D135" t="str">
            <v>9863 PJ  Doezum</v>
          </cell>
          <cell r="E135" t="str">
            <v>www.talsmainfratechniek.nl</v>
          </cell>
        </row>
        <row r="136">
          <cell r="B136" t="str">
            <v>Telemotion B.V.</v>
          </cell>
          <cell r="C136" t="str">
            <v>Hoge Eng-West 25</v>
          </cell>
          <cell r="D136" t="str">
            <v>3882 TP  Putten</v>
          </cell>
          <cell r="E136" t="str">
            <v>www.telemotion.nl</v>
          </cell>
        </row>
        <row r="137">
          <cell r="B137" t="str">
            <v>TeleZuid</v>
          </cell>
          <cell r="C137" t="str">
            <v>Dukaat 19</v>
          </cell>
          <cell r="D137" t="str">
            <v>5283 PJ  BOXTEL</v>
          </cell>
          <cell r="E137"/>
        </row>
        <row r="138">
          <cell r="B138" t="str">
            <v>Timmer GWW BV</v>
          </cell>
          <cell r="C138" t="str">
            <v>Barneveldseweg 105</v>
          </cell>
          <cell r="D138" t="str">
            <v>3862 PB Nijkerk</v>
          </cell>
          <cell r="E138" t="str">
            <v>tel: 033-245296</v>
          </cell>
        </row>
        <row r="139">
          <cell r="B139" t="str">
            <v>Timmermans Drilling B.V.</v>
          </cell>
          <cell r="C139" t="str">
            <v>Rijksweg 55 b</v>
          </cell>
          <cell r="D139" t="str">
            <v>5391 LJ  NULAND</v>
          </cell>
          <cell r="E139" t="str">
            <v>www.timmermansdrilling.nl</v>
          </cell>
        </row>
        <row r="140">
          <cell r="B140" t="str">
            <v>TM Techniek B.V.</v>
          </cell>
          <cell r="C140" t="str">
            <v>Voskuilerweg 49a</v>
          </cell>
          <cell r="D140" t="str">
            <v>3931 MV  Woudenberg</v>
          </cell>
          <cell r="E140" t="str">
            <v>www.vangelder.com</v>
          </cell>
        </row>
        <row r="141">
          <cell r="B141" t="str">
            <v>VALERES INDUSTRIEBOUW B.V.</v>
          </cell>
          <cell r="C141" t="str">
            <v>De Donge 9</v>
          </cell>
          <cell r="D141" t="str">
            <v>5684 PX  Best</v>
          </cell>
          <cell r="E141" t="str">
            <v>www.valeres.nl</v>
          </cell>
        </row>
        <row r="142">
          <cell r="B142" t="str">
            <v>van Baarsen Buisleidingen BV</v>
          </cell>
          <cell r="C142" t="str">
            <v>Sloterweg 321</v>
          </cell>
          <cell r="D142" t="str">
            <v>1171 VC  Badhoevedorp</v>
          </cell>
          <cell r="E142" t="str">
            <v>tel. 020 – 659 6553</v>
          </cell>
        </row>
        <row r="143">
          <cell r="B143" t="str">
            <v>Van den Heuvel</v>
          </cell>
          <cell r="C143" t="str">
            <v>Postbus 31</v>
          </cell>
          <cell r="D143" t="str">
            <v>5384 ZG Heesch</v>
          </cell>
          <cell r="E143" t="str">
            <v>info@heuvelheesch.nl</v>
          </cell>
        </row>
        <row r="144">
          <cell r="B144" t="str">
            <v>Van Gelder</v>
          </cell>
          <cell r="C144" t="str">
            <v>Sluiswachter 18</v>
          </cell>
          <cell r="D144" t="str">
            <v>3861 SN NIJKERK</v>
          </cell>
          <cell r="E144" t="str">
            <v>www.vangelder.com</v>
          </cell>
        </row>
        <row r="145">
          <cell r="B145" t="str">
            <v>Van Gelder KLM</v>
          </cell>
          <cell r="C145" t="str">
            <v>Sluiswachter 18</v>
          </cell>
          <cell r="D145" t="str">
            <v>3861 SN NIJKERK</v>
          </cell>
          <cell r="E145" t="str">
            <v>www.vangelder.com</v>
          </cell>
        </row>
        <row r="146">
          <cell r="B146" t="str">
            <v>Van Gelder Telecom</v>
          </cell>
          <cell r="C146" t="str">
            <v>Sluiswachter 18</v>
          </cell>
          <cell r="D146" t="str">
            <v>3861 SN NIJKERK</v>
          </cell>
          <cell r="E146" t="str">
            <v>www.vangelder.com</v>
          </cell>
        </row>
        <row r="147">
          <cell r="B147" t="str">
            <v>Van Gelder Verkeerstechniek</v>
          </cell>
          <cell r="C147" t="str">
            <v>Sluiswachter 18</v>
          </cell>
          <cell r="D147" t="str">
            <v>3861 SN NIJKERK</v>
          </cell>
          <cell r="E147" t="str">
            <v>www.vangelder.com</v>
          </cell>
        </row>
        <row r="148">
          <cell r="B148" t="str">
            <v>Van Geleuken Infra BV</v>
          </cell>
          <cell r="C148" t="str">
            <v>Ellerweg 13a</v>
          </cell>
          <cell r="D148" t="str">
            <v>6037 RR  Kelpen-Oler</v>
          </cell>
          <cell r="E148" t="str">
            <v>www.geleuken.com</v>
          </cell>
        </row>
        <row r="149">
          <cell r="B149" t="str">
            <v>Van Rosendaal Infra B.V.</v>
          </cell>
          <cell r="C149" t="str">
            <v>Grote Inghweg 6</v>
          </cell>
          <cell r="D149" t="str">
            <v>5331 PP Kerkdriel</v>
          </cell>
          <cell r="E149" t="str">
            <v>www.vanrosendaalinfra.nl</v>
          </cell>
        </row>
        <row r="150">
          <cell r="B150" t="str">
            <v>Van Schijndel Infragroep</v>
          </cell>
          <cell r="C150" t="str">
            <v>Hofkesweg 6</v>
          </cell>
          <cell r="D150" t="str">
            <v>5249 JW  Rosmalen</v>
          </cell>
          <cell r="E150" t="str">
            <v>www.vsig.nl</v>
          </cell>
        </row>
        <row r="151">
          <cell r="B151" t="str">
            <v>Van Voskuilen Infratechniek</v>
          </cell>
          <cell r="C151" t="str">
            <v>Stationsweg West 10</v>
          </cell>
          <cell r="D151" t="str">
            <v>3931 ES Woudenberg</v>
          </cell>
          <cell r="E151" t="str">
            <v>woudenberg@voskuilen.nl</v>
          </cell>
        </row>
        <row r="152">
          <cell r="B152" t="str">
            <v>Van Vulpen</v>
          </cell>
          <cell r="C152" t="str">
            <v>Papland 8</v>
          </cell>
          <cell r="D152" t="str">
            <v>4206 CL  Gorinchem</v>
          </cell>
          <cell r="E152" t="str">
            <v>www.vanvulpen.eu</v>
          </cell>
        </row>
        <row r="153">
          <cell r="B153" t="str">
            <v>Verbree Boogzinkers BV</v>
          </cell>
          <cell r="C153" t="str">
            <v>Utrechthaven 6</v>
          </cell>
          <cell r="D153" t="str">
            <v>3433 PN  Nieuwegein</v>
          </cell>
          <cell r="E153" t="str">
            <v>tel. 030-2765685</v>
          </cell>
        </row>
        <row r="154">
          <cell r="B154" t="str">
            <v>Verkley Kabels en Leidingen</v>
          </cell>
          <cell r="C154" t="str">
            <v>Curielaan 4</v>
          </cell>
          <cell r="D154" t="str">
            <v>9207 HB  Drachten</v>
          </cell>
          <cell r="E154" t="str">
            <v>www.verkley.nl</v>
          </cell>
        </row>
        <row r="155">
          <cell r="B155" t="str">
            <v>Vialis</v>
          </cell>
          <cell r="C155" t="str">
            <v>Loodsboot 15</v>
          </cell>
          <cell r="D155" t="str">
            <v>3991 CJ  Houten</v>
          </cell>
          <cell r="E155" t="str">
            <v>www.vialis.nl</v>
          </cell>
        </row>
        <row r="156">
          <cell r="B156" t="str">
            <v>VIB netwerken</v>
          </cell>
          <cell r="C156" t="str">
            <v>Beneluxweg 38</v>
          </cell>
          <cell r="D156" t="str">
            <v>9636 ZG  Zuidbroek</v>
          </cell>
          <cell r="E156" t="str">
            <v>www.vib-netwerken.nl</v>
          </cell>
        </row>
        <row r="157">
          <cell r="B157" t="str">
            <v>Vitens</v>
          </cell>
          <cell r="C157" t="str">
            <v>Postbus 2014</v>
          </cell>
          <cell r="D157" t="str">
            <v>6802 CA  Arnhem</v>
          </cell>
          <cell r="E157" t="str">
            <v>tel: 0800 0359</v>
          </cell>
        </row>
        <row r="158">
          <cell r="B158" t="str">
            <v>VTV Drilling B.V.</v>
          </cell>
          <cell r="C158" t="str">
            <v>Oudeweistraat 53</v>
          </cell>
          <cell r="D158" t="str">
            <v>5334 LK  Velddriel</v>
          </cell>
          <cell r="E158" t="str">
            <v>www.verkeerstechniekvelddriel.nl</v>
          </cell>
        </row>
        <row r="159">
          <cell r="B159" t="str">
            <v>Hanab Telecom Services B.V.</v>
          </cell>
          <cell r="C159" t="str">
            <v>Modemweg 33</v>
          </cell>
          <cell r="D159" t="str">
            <v xml:space="preserve">3821 BS  Amersfoort </v>
          </cell>
          <cell r="E159"/>
        </row>
        <row r="160">
          <cell r="B160" t="str">
            <v>Waternet</v>
          </cell>
          <cell r="C160" t="str">
            <v>Korte Ouderkerkerdijk 7</v>
          </cell>
          <cell r="D160" t="str">
            <v>1096 AC Amsterdam</v>
          </cell>
          <cell r="E160" t="str">
            <v>www.waternet.nl</v>
          </cell>
        </row>
        <row r="161">
          <cell r="B161" t="str">
            <v>Welvreugd B.V.</v>
          </cell>
          <cell r="C161" t="str">
            <v>Burgerweg 2a</v>
          </cell>
          <cell r="D161" t="str">
            <v>3155 DB  Maasland</v>
          </cell>
          <cell r="E161" t="str">
            <v>www.welvreugd.nl</v>
          </cell>
        </row>
        <row r="162">
          <cell r="B162" t="str">
            <v>Wilfred Schotpoort Glasvezeltechniek B.V.</v>
          </cell>
          <cell r="C162"/>
          <cell r="D162"/>
          <cell r="E162"/>
        </row>
        <row r="163">
          <cell r="B163" t="str">
            <v>Xinfra B.V.</v>
          </cell>
          <cell r="C163"/>
          <cell r="D163"/>
          <cell r="E163"/>
        </row>
        <row r="164">
          <cell r="B164" t="str">
            <v>Ziggo</v>
          </cell>
          <cell r="C164"/>
          <cell r="D164"/>
          <cell r="E164"/>
        </row>
        <row r="165">
          <cell r="B165" t="str">
            <v>Van Amerongen Infra B.V.</v>
          </cell>
          <cell r="C165"/>
          <cell r="D165"/>
          <cell r="E165"/>
        </row>
        <row r="166">
          <cell r="B166" t="str">
            <v>GlasDraad Amstel Vecht en Venen</v>
          </cell>
          <cell r="C166"/>
          <cell r="D166"/>
          <cell r="E166"/>
        </row>
        <row r="167">
          <cell r="B167" t="str">
            <v>Enexis Netbeheer B.V.</v>
          </cell>
          <cell r="C167"/>
          <cell r="D167"/>
          <cell r="E167"/>
        </row>
        <row r="168">
          <cell r="B168" t="str">
            <v>Darico Infratechniek B.V.</v>
          </cell>
          <cell r="C168"/>
          <cell r="D168"/>
          <cell r="E168"/>
        </row>
        <row r="169">
          <cell r="B169" t="str">
            <v>Baas B.V.</v>
          </cell>
          <cell r="C169"/>
          <cell r="D169"/>
          <cell r="E169"/>
        </row>
        <row r="170">
          <cell r="B170" t="str">
            <v>Generation Green</v>
          </cell>
          <cell r="C170"/>
          <cell r="D170"/>
          <cell r="E170"/>
        </row>
        <row r="171">
          <cell r="B171" t="str">
            <v>Peek Bouw en Infra BV</v>
          </cell>
          <cell r="C171"/>
          <cell r="D171"/>
          <cell r="E171"/>
        </row>
        <row r="172">
          <cell r="C172"/>
          <cell r="D172"/>
          <cell r="E172"/>
        </row>
        <row r="173">
          <cell r="C173"/>
          <cell r="D173"/>
          <cell r="E173"/>
        </row>
        <row r="174">
          <cell r="C174"/>
          <cell r="D174"/>
          <cell r="E174"/>
        </row>
        <row r="175">
          <cell r="C175"/>
          <cell r="D175"/>
          <cell r="E175"/>
        </row>
        <row r="176">
          <cell r="C176"/>
          <cell r="D176"/>
          <cell r="E176"/>
        </row>
        <row r="177">
          <cell r="C177"/>
          <cell r="D177"/>
          <cell r="E177"/>
        </row>
        <row r="178">
          <cell r="C178"/>
          <cell r="D178"/>
          <cell r="E178"/>
        </row>
        <row r="179">
          <cell r="C179"/>
          <cell r="D179"/>
          <cell r="E179"/>
        </row>
        <row r="180">
          <cell r="C180"/>
          <cell r="D180"/>
          <cell r="E180"/>
        </row>
        <row r="181">
          <cell r="C181"/>
          <cell r="D181"/>
          <cell r="E181"/>
        </row>
        <row r="182">
          <cell r="C182"/>
          <cell r="D182"/>
          <cell r="E182"/>
        </row>
        <row r="183">
          <cell r="C183"/>
          <cell r="D183"/>
          <cell r="E183"/>
        </row>
        <row r="184">
          <cell r="C184"/>
          <cell r="D184"/>
          <cell r="E184"/>
        </row>
        <row r="185">
          <cell r="C185"/>
          <cell r="D185"/>
          <cell r="E185"/>
        </row>
        <row r="186">
          <cell r="C186"/>
          <cell r="D186"/>
          <cell r="E186"/>
        </row>
        <row r="187">
          <cell r="C187"/>
          <cell r="D187"/>
          <cell r="E187"/>
        </row>
        <row r="188">
          <cell r="C188"/>
          <cell r="D188"/>
          <cell r="E188"/>
        </row>
        <row r="189">
          <cell r="C189"/>
          <cell r="D189"/>
          <cell r="E189"/>
        </row>
        <row r="190">
          <cell r="C190"/>
          <cell r="D190"/>
          <cell r="E190"/>
        </row>
        <row r="191">
          <cell r="C191"/>
          <cell r="D191"/>
          <cell r="E191"/>
        </row>
        <row r="192">
          <cell r="C192"/>
          <cell r="D192"/>
          <cell r="E192"/>
        </row>
        <row r="193">
          <cell r="C193"/>
          <cell r="D193"/>
          <cell r="E193"/>
        </row>
        <row r="194">
          <cell r="C194"/>
          <cell r="D194"/>
          <cell r="E194"/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D:\OneDrive\GestuurdeBoringTekening\AUTOMATISERING\Scriptsheets\Script.scr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31.xml"/><Relationship Id="rId2" Type="http://schemas.openxmlformats.org/officeDocument/2006/relationships/hyperlink" Target="https://d.docs.live.net/12c0588a23d5dc06/GestuurdeBoringTekening/8.%20KAPPERT/KB-MASTER.xlsm" TargetMode="External"/><Relationship Id="rId1" Type="http://schemas.openxmlformats.org/officeDocument/2006/relationships/hyperlink" Target="https://d.docs.live.net/12c0588a23d5dc06/GestuurdeBoringTekening/10.%20NEIJHOF%5e0VISSER/NV-MASTER.xlsm" TargetMode="External"/><Relationship Id="rId6" Type="http://schemas.openxmlformats.org/officeDocument/2006/relationships/ctrlProp" Target="../ctrlProps/ctrlProp30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AR400"/>
  <sheetViews>
    <sheetView zoomScale="85" zoomScaleNormal="85" workbookViewId="0">
      <selection activeCell="I19" sqref="I19"/>
    </sheetView>
  </sheetViews>
  <sheetFormatPr defaultColWidth="9.140625" defaultRowHeight="15" x14ac:dyDescent="0.25"/>
  <cols>
    <col min="1" max="1" width="4.85546875" style="16" customWidth="1"/>
    <col min="2" max="2" width="12.85546875" style="16" customWidth="1"/>
    <col min="3" max="3" width="12" style="16" bestFit="1" customWidth="1"/>
    <col min="4" max="4" width="33.42578125" style="16" customWidth="1"/>
    <col min="5" max="5" width="14.42578125" style="16" bestFit="1" customWidth="1"/>
    <col min="6" max="6" width="9.140625" style="16" customWidth="1"/>
    <col min="7" max="8" width="11.140625" style="16" bestFit="1" customWidth="1"/>
    <col min="9" max="9" width="12.28515625" style="16" customWidth="1"/>
    <col min="10" max="10" width="18.85546875" style="16" customWidth="1"/>
    <col min="11" max="11" width="12.28515625" style="16" customWidth="1"/>
    <col min="12" max="12" width="29.28515625" style="16" bestFit="1" customWidth="1"/>
    <col min="13" max="13" width="23.140625" style="16" bestFit="1" customWidth="1"/>
    <col min="14" max="14" width="5.42578125" style="16" customWidth="1"/>
    <col min="15" max="15" width="34.28515625" style="16" bestFit="1" customWidth="1"/>
    <col min="16" max="16" width="12.140625" style="16" bestFit="1" customWidth="1"/>
    <col min="17" max="23" width="9.140625" style="16" customWidth="1"/>
    <col min="24" max="16384" width="9.140625" style="16"/>
  </cols>
  <sheetData>
    <row r="1" spans="1:44" ht="15.75" customHeight="1" x14ac:dyDescent="0.25">
      <c r="A1" s="21"/>
      <c r="B1" s="23"/>
      <c r="C1" s="22"/>
      <c r="D1" s="480" t="str">
        <f ca="1">MID(CELL("bestandsnaam"),SEARCH("[",CELL("bestandsnaam"))+1, SEARCH("]",CELL("bestandsnaam"))-SEARCH("[",CELL("bestandsnaam"))-1)</f>
        <v>3D25V700-12 HDD12 Haarlem, N200.xlsm</v>
      </c>
      <c r="E1" s="481"/>
      <c r="G1" s="20"/>
      <c r="H1" s="16" t="s">
        <v>0</v>
      </c>
      <c r="I1" s="251">
        <f ca="1">SEARCH(", ",D1)</f>
        <v>26</v>
      </c>
      <c r="J1" s="251" t="str">
        <f ca="1">MID(D1,I1+2,I2-I1-2)</f>
        <v>N200</v>
      </c>
      <c r="K1" s="801" t="str">
        <f ca="1">MID(D1,5,1)</f>
        <v>V</v>
      </c>
      <c r="L1" s="797" t="s">
        <v>1128</v>
      </c>
      <c r="O1" s="16" t="str">
        <f ca="1">LEFT(D1,LEN(D1)-5)</f>
        <v>3D25V700-12 HDD12 Haarlem, N200</v>
      </c>
      <c r="Q1" s="123" t="str">
        <f ca="1">LEFT(D1,2)</f>
        <v>3D</v>
      </c>
      <c r="AG1" s="829" t="s">
        <v>1299</v>
      </c>
    </row>
    <row r="2" spans="1:44" ht="15.75" customHeight="1" x14ac:dyDescent="0.25">
      <c r="A2" s="21"/>
      <c r="B2" s="23"/>
      <c r="C2" s="22"/>
      <c r="D2" s="856"/>
      <c r="G2" s="163">
        <v>3</v>
      </c>
      <c r="H2" s="16" t="s">
        <v>1</v>
      </c>
      <c r="I2" s="251">
        <f ca="1">SEARCH(".",D1)</f>
        <v>32</v>
      </c>
      <c r="J2" s="251"/>
      <c r="K2" s="797" t="s">
        <v>1127</v>
      </c>
      <c r="O2" s="147"/>
      <c r="P2" s="66"/>
      <c r="AG2" s="16" t="s">
        <v>1292</v>
      </c>
    </row>
    <row r="3" spans="1:44" ht="16.5" customHeight="1" thickBot="1" x14ac:dyDescent="0.3">
      <c r="A3" s="21" t="str">
        <f>"Kies 1 of 2"</f>
        <v>Kies 1 of 2</v>
      </c>
      <c r="D3" s="581">
        <f ca="1">IF(K1="V",1,IF(K1="r",2,"CHECK VERGUNNING of AS-BUILT"))</f>
        <v>1</v>
      </c>
      <c r="E3" s="86" t="str">
        <f ca="1">VLOOKUP(D3,G3:H4,2,FALSE)</f>
        <v>Vergunning</v>
      </c>
      <c r="G3" s="16">
        <v>1</v>
      </c>
      <c r="H3" s="65" t="s">
        <v>3</v>
      </c>
      <c r="K3" s="802">
        <f ca="1">IF(D4=3,1,2)</f>
        <v>2</v>
      </c>
      <c r="L3" s="800">
        <v>1</v>
      </c>
      <c r="M3" s="800" t="s">
        <v>114</v>
      </c>
      <c r="O3" s="67"/>
      <c r="P3" s="67"/>
      <c r="Q3" s="660"/>
      <c r="AG3" s="16" t="s">
        <v>1272</v>
      </c>
    </row>
    <row r="4" spans="1:44" ht="16.5" customHeight="1" thickBot="1" x14ac:dyDescent="0.3">
      <c r="A4" s="66" t="s">
        <v>5</v>
      </c>
      <c r="D4" s="661">
        <f ca="1">IF(J4="",_xlfn.XLOOKUP(Q1,Variabelen!V28:V70,Variabelen!S28:S70,"CHECK OPDRACHTGEVER",FALSE),J4)</f>
        <v>1</v>
      </c>
      <c r="E4" s="86" t="str">
        <f ca="1">VLOOKUP(D4,Variabelen!S28:W70,2,FALSE)</f>
        <v>3D-Drilling</v>
      </c>
      <c r="F4" s="663" t="s">
        <v>6</v>
      </c>
      <c r="G4" s="16">
        <v>2</v>
      </c>
      <c r="H4" s="65" t="s">
        <v>7</v>
      </c>
      <c r="I4" s="663" t="s">
        <v>8</v>
      </c>
      <c r="J4" s="751"/>
      <c r="K4" s="799" t="str">
        <f ca="1">VLOOKUP(K3,L3:M4,2,FALSE)</f>
        <v>TITELBLOKGBT</v>
      </c>
      <c r="L4" s="18">
        <v>2</v>
      </c>
      <c r="M4" s="800" t="s">
        <v>116</v>
      </c>
      <c r="O4" s="67"/>
      <c r="P4" s="67"/>
      <c r="Q4" s="660"/>
      <c r="AG4" s="16" t="s">
        <v>1267</v>
      </c>
      <c r="AR4" s="16" t="s">
        <v>1228</v>
      </c>
    </row>
    <row r="5" spans="1:44" ht="19.5" customHeight="1" thickBot="1" x14ac:dyDescent="0.35">
      <c r="A5" s="956" t="s">
        <v>10</v>
      </c>
      <c r="B5" s="957"/>
      <c r="C5" s="957"/>
      <c r="D5" s="957"/>
      <c r="E5" s="957"/>
      <c r="F5" s="957"/>
      <c r="G5" s="958"/>
      <c r="H5" s="51">
        <v>0</v>
      </c>
      <c r="I5" s="51">
        <f ca="1">IF(I6="","",H5+1)</f>
        <v>1</v>
      </c>
      <c r="J5" s="51" t="str">
        <f ca="1">IF(J6="","",I5+1)</f>
        <v/>
      </c>
      <c r="K5" s="51" t="str">
        <f ca="1">IF(K6="","",J5+1)</f>
        <v/>
      </c>
      <c r="L5" s="51" t="str">
        <f ca="1">IF(L6="","",K5+1)</f>
        <v/>
      </c>
      <c r="M5" s="51" t="str">
        <f ca="1">IF(M6="","",L5+1)</f>
        <v/>
      </c>
      <c r="O5" s="67"/>
      <c r="P5" s="67"/>
      <c r="Q5" s="662"/>
      <c r="AG5" s="16" t="s">
        <v>1234</v>
      </c>
      <c r="AR5" s="850" t="s">
        <v>1229</v>
      </c>
    </row>
    <row r="6" spans="1:44" ht="15.75" customHeight="1" thickBot="1" x14ac:dyDescent="0.3">
      <c r="C6" s="19" t="s">
        <v>11</v>
      </c>
      <c r="D6" s="479">
        <f ca="1">MAX(H5:M5)</f>
        <v>1</v>
      </c>
      <c r="G6" s="243" t="s">
        <v>12</v>
      </c>
      <c r="H6" s="536">
        <v>45969</v>
      </c>
      <c r="I6" s="537">
        <f ca="1">IF(OR(H6=TODAY(),H6=""),"",TODAY())</f>
        <v>46080</v>
      </c>
      <c r="J6" s="537" t="str">
        <f ca="1">IF(OR(I6=TODAY(),I6=""),"",TODAY())</f>
        <v/>
      </c>
      <c r="K6" s="537" t="str">
        <f ca="1">IF(OR(J6=TODAY(),J6=""),"",TODAY())</f>
        <v/>
      </c>
      <c r="L6" s="537" t="str">
        <f ca="1">IF(OR(K6=TODAY(),K6=""),"",TODAY())</f>
        <v/>
      </c>
      <c r="M6" s="537" t="str">
        <f ca="1">IF(OR(L6=TODAY(),L6=""),"",TODAY())</f>
        <v/>
      </c>
      <c r="O6" s="67"/>
      <c r="P6" s="67"/>
      <c r="Q6" s="734"/>
      <c r="AG6" s="16" t="s">
        <v>1209</v>
      </c>
      <c r="AR6" s="16" t="s">
        <v>1227</v>
      </c>
    </row>
    <row r="7" spans="1:44" x14ac:dyDescent="0.25">
      <c r="C7" s="19" t="s">
        <v>16</v>
      </c>
      <c r="D7" s="111" t="str">
        <f ca="1">MID(D1,1,11)</f>
        <v>3D25V700-12</v>
      </c>
      <c r="G7" s="468" t="s">
        <v>17</v>
      </c>
      <c r="I7" s="938" t="s">
        <v>1339</v>
      </c>
      <c r="J7" s="554"/>
      <c r="K7" s="583"/>
      <c r="L7" s="583"/>
      <c r="M7" s="583"/>
      <c r="O7" s="731"/>
      <c r="P7" s="731"/>
      <c r="Q7" s="732"/>
      <c r="AG7" s="16" t="s">
        <v>1196</v>
      </c>
    </row>
    <row r="8" spans="1:44" x14ac:dyDescent="0.25">
      <c r="C8" s="19" t="s">
        <v>21</v>
      </c>
      <c r="D8" s="111" t="str">
        <f ca="1">MID(D1,1,8)</f>
        <v>3D25V700</v>
      </c>
      <c r="F8" s="93" t="s">
        <v>22</v>
      </c>
      <c r="G8" s="468" t="s">
        <v>17</v>
      </c>
      <c r="O8" s="603"/>
      <c r="P8" s="603"/>
      <c r="Q8" s="660"/>
      <c r="AG8" s="16" t="s">
        <v>1195</v>
      </c>
    </row>
    <row r="9" spans="1:44" x14ac:dyDescent="0.25">
      <c r="C9" s="19" t="s">
        <v>26</v>
      </c>
      <c r="D9" s="895" t="s">
        <v>1236</v>
      </c>
      <c r="F9" s="92" t="s">
        <v>27</v>
      </c>
      <c r="G9" s="93" t="s">
        <v>22</v>
      </c>
      <c r="J9" s="752" t="s">
        <v>1045</v>
      </c>
      <c r="K9" s="745" t="s">
        <v>1004</v>
      </c>
      <c r="O9" s="461"/>
      <c r="P9" s="461"/>
      <c r="Q9" s="660"/>
      <c r="R9" s="461" t="s">
        <v>29</v>
      </c>
      <c r="AG9" s="16" t="s">
        <v>1184</v>
      </c>
    </row>
    <row r="10" spans="1:44" ht="39" customHeight="1" x14ac:dyDescent="0.25">
      <c r="C10" s="19" t="s">
        <v>31</v>
      </c>
      <c r="D10" s="896" t="str">
        <f ca="1">IF(J10="",K10,J10)</f>
        <v>M.Visser</v>
      </c>
      <c r="E10" s="162" t="s">
        <v>32</v>
      </c>
      <c r="J10" s="770"/>
      <c r="K10" s="746" t="str">
        <f ca="1">IF(NOT(ISBLANK(J10)),"OVERRULED",VLOOKUP(D4,Variabelen!S28:W70,3,FALSE))</f>
        <v>M.Visser</v>
      </c>
      <c r="M10" s="921" t="s">
        <v>1293</v>
      </c>
      <c r="O10" s="573"/>
      <c r="P10" s="573"/>
      <c r="Q10" s="660"/>
      <c r="R10" s="705" t="s">
        <v>36</v>
      </c>
      <c r="AG10" s="16" t="s">
        <v>1182</v>
      </c>
    </row>
    <row r="11" spans="1:44" x14ac:dyDescent="0.25">
      <c r="C11" s="19" t="s">
        <v>37</v>
      </c>
      <c r="D11" s="108">
        <f ca="1">IF(D6=0,TODAY(),H6)</f>
        <v>45969</v>
      </c>
      <c r="L11" s="918" t="s">
        <v>1277</v>
      </c>
      <c r="M11" s="919" t="s">
        <v>1289</v>
      </c>
      <c r="O11" s="647"/>
      <c r="P11" s="647"/>
      <c r="Q11" s="660"/>
      <c r="R11" s="705"/>
      <c r="AG11" s="16" t="s">
        <v>1181</v>
      </c>
    </row>
    <row r="12" spans="1:44" x14ac:dyDescent="0.25">
      <c r="C12" s="19"/>
      <c r="D12" s="482"/>
      <c r="E12" s="342" t="s">
        <v>41</v>
      </c>
      <c r="J12" s="342" t="s">
        <v>42</v>
      </c>
      <c r="L12" s="851" t="s">
        <v>1230</v>
      </c>
      <c r="M12" s="901" t="s">
        <v>1251</v>
      </c>
      <c r="O12" s="560"/>
      <c r="P12" s="560"/>
      <c r="Q12" s="660"/>
      <c r="R12" s="705" t="s">
        <v>46</v>
      </c>
      <c r="AG12" s="16" t="s">
        <v>1180</v>
      </c>
    </row>
    <row r="13" spans="1:44" x14ac:dyDescent="0.25">
      <c r="C13" s="341" t="s">
        <v>47</v>
      </c>
      <c r="D13" s="343">
        <f>IF(D12="",DEGREES(ATAN2(Ontwerp!E287,Ontwerp!F287)),D12)</f>
        <v>-11.665857887914305</v>
      </c>
      <c r="E13" s="342" t="s">
        <v>48</v>
      </c>
      <c r="J13" s="44">
        <f>COS(RADIANS(D13))</f>
        <v>0.97934347614133399</v>
      </c>
      <c r="K13" s="44">
        <f>SIN(RADIANS(D13))</f>
        <v>-0.20220374808447147</v>
      </c>
      <c r="L13" s="851" t="s">
        <v>1208</v>
      </c>
      <c r="M13" s="901" t="s">
        <v>1252</v>
      </c>
      <c r="O13" s="563"/>
      <c r="P13" s="563"/>
      <c r="Q13" s="193"/>
      <c r="AG13" s="16" t="s">
        <v>1175</v>
      </c>
    </row>
    <row r="14" spans="1:44" x14ac:dyDescent="0.25">
      <c r="C14" s="19"/>
      <c r="D14" s="543"/>
      <c r="E14" s="332" t="s">
        <v>51</v>
      </c>
      <c r="K14" s="1"/>
      <c r="L14" s="851" t="s">
        <v>1231</v>
      </c>
      <c r="M14" s="901" t="s">
        <v>1253</v>
      </c>
      <c r="O14" s="664"/>
      <c r="P14" s="728"/>
      <c r="Q14" s="665"/>
      <c r="AG14" s="16" t="s">
        <v>1173</v>
      </c>
    </row>
    <row r="15" spans="1:44" x14ac:dyDescent="0.25">
      <c r="C15" s="19" t="s">
        <v>55</v>
      </c>
      <c r="D15" s="298" t="str">
        <f>IF(D14=0,Variabelen!B80,"A"&amp;D14)</f>
        <v>A2Z4</v>
      </c>
      <c r="J15" s="588" t="str">
        <f ca="1">D7</f>
        <v>3D25V700-12</v>
      </c>
      <c r="K15" s="620"/>
      <c r="L15" s="706"/>
      <c r="M15" s="620"/>
      <c r="O15" s="655"/>
      <c r="P15" s="655"/>
      <c r="Q15" s="193"/>
      <c r="S15" s="959" t="s">
        <v>1084</v>
      </c>
      <c r="T15" s="960"/>
      <c r="U15" s="960"/>
      <c r="V15" s="960"/>
      <c r="W15" s="960"/>
      <c r="X15" s="960"/>
      <c r="Y15" s="960"/>
      <c r="AG15" s="16" t="s">
        <v>1172</v>
      </c>
    </row>
    <row r="16" spans="1:44" x14ac:dyDescent="0.25">
      <c r="C16" s="19" t="s">
        <v>58</v>
      </c>
      <c r="D16" s="113" t="str">
        <f ca="1">MID(O1,13,50)&amp;IF(K15=1,IF(E17=0,""," (bij nr."&amp;E17&amp;")"),IF(ISBLANK(D17),"",IF(ISNUMBER(D17)," (bij nr."&amp;D17&amp;")"," ("&amp;D17&amp;")")))</f>
        <v>HDD12 Haarlem, N200</v>
      </c>
      <c r="F16" s="344" t="str">
        <f ca="1">IF(LEN(D16)&gt;58,"LET OP: Tekst te lang!!","")</f>
        <v/>
      </c>
      <c r="G16" s="345"/>
      <c r="I16" s="595" t="s">
        <v>59</v>
      </c>
      <c r="J16" s="757">
        <v>7</v>
      </c>
      <c r="K16" s="618" t="e">
        <f ca="1">VLOOKUP($D$7,[3]Lijst!$A$3:$AB$999,$J16,FALSE)</f>
        <v>#N/A</v>
      </c>
      <c r="L16" s="618"/>
      <c r="M16" s="619"/>
      <c r="O16" s="666"/>
      <c r="P16" s="666"/>
      <c r="Q16" s="667"/>
      <c r="S16" s="960"/>
      <c r="T16" s="960"/>
      <c r="U16" s="960"/>
      <c r="V16" s="960"/>
      <c r="W16" s="960"/>
      <c r="X16" s="960"/>
      <c r="Y16" s="960"/>
      <c r="AG16" s="16" t="s">
        <v>1163</v>
      </c>
    </row>
    <row r="17" spans="3:33" x14ac:dyDescent="0.25">
      <c r="C17" s="195" t="s">
        <v>63</v>
      </c>
      <c r="D17" s="932"/>
      <c r="E17" s="589" t="str">
        <f>IF(K$15=1,K16,IF(L$15=1,L16,IF(M$15=1,M16,IF(D17="","",D17))))</f>
        <v/>
      </c>
      <c r="F17" s="16" t="b">
        <f>ISNUMBER(D17)</f>
        <v>0</v>
      </c>
      <c r="I17" s="595" t="s">
        <v>64</v>
      </c>
      <c r="J17" s="757">
        <v>12</v>
      </c>
      <c r="K17" s="618" t="e">
        <f ca="1">VLOOKUP($D$7,[3]Lijst!$A$3:$AB$999,$J17,FALSE)</f>
        <v>#N/A</v>
      </c>
      <c r="L17" s="618"/>
      <c r="M17" s="619"/>
      <c r="O17" s="673"/>
      <c r="P17" s="673"/>
      <c r="Q17" s="674"/>
      <c r="S17" s="960"/>
      <c r="T17" s="960"/>
      <c r="U17" s="960"/>
      <c r="V17" s="960"/>
      <c r="W17" s="960"/>
      <c r="X17" s="960"/>
      <c r="Y17" s="960"/>
      <c r="AB17" s="852"/>
      <c r="AG17" s="16" t="s">
        <v>1162</v>
      </c>
    </row>
    <row r="18" spans="3:33" x14ac:dyDescent="0.25">
      <c r="C18" s="585" t="s">
        <v>64</v>
      </c>
      <c r="D18" s="821"/>
      <c r="E18" s="591" t="str">
        <f>IF(K$15=1,IF(ISBLANK(K17),"",K17),IF(L$15=1,IF(ISBLANK(L17),"",L17),IF(M$15=1,IF(ISBLANK(M17),"",M17),IF(ISBLANK(D18),"",D18))))</f>
        <v/>
      </c>
      <c r="F18" s="176" t="s">
        <v>68</v>
      </c>
      <c r="I18" s="595" t="s">
        <v>69</v>
      </c>
      <c r="J18" s="757">
        <v>15</v>
      </c>
      <c r="K18" s="618" t="e">
        <f ca="1">VLOOKUP($D$7,[3]Lijst!$A$3:$AB$999,$J18,FALSE)</f>
        <v>#N/A</v>
      </c>
      <c r="L18" s="618"/>
      <c r="M18" s="618"/>
      <c r="O18" s="666"/>
      <c r="P18" s="680"/>
      <c r="Q18" s="667"/>
      <c r="S18" s="960"/>
      <c r="T18" s="960"/>
      <c r="U18" s="960"/>
      <c r="V18" s="960"/>
      <c r="W18" s="960"/>
      <c r="X18" s="960"/>
      <c r="Y18" s="960"/>
      <c r="AG18" s="16" t="s">
        <v>1161</v>
      </c>
    </row>
    <row r="19" spans="3:33" x14ac:dyDescent="0.25">
      <c r="C19" s="19"/>
      <c r="D19" s="822">
        <v>1</v>
      </c>
      <c r="E19" s="589">
        <f>IF(K$15=1,K18,IF(L$15=1,L18,IF(M$15=1,M18,D19)))</f>
        <v>1</v>
      </c>
      <c r="F19" s="16" t="s">
        <v>69</v>
      </c>
      <c r="I19" s="595" t="s">
        <v>73</v>
      </c>
      <c r="J19" s="757">
        <v>16</v>
      </c>
      <c r="K19" s="618" t="e">
        <f ca="1">VLOOKUP($D$7,[3]Lijst!$A$3:$AB$999,$J19,FALSE)</f>
        <v>#N/A</v>
      </c>
      <c r="L19" s="618"/>
      <c r="M19" s="618"/>
      <c r="O19" s="686"/>
      <c r="P19" s="686"/>
      <c r="Q19" s="687"/>
      <c r="S19" s="960"/>
      <c r="T19" s="960"/>
      <c r="U19" s="960"/>
      <c r="V19" s="960"/>
      <c r="W19" s="960"/>
      <c r="X19" s="960"/>
      <c r="Y19" s="960"/>
      <c r="AG19" s="16" t="s">
        <v>1154</v>
      </c>
    </row>
    <row r="20" spans="3:33" x14ac:dyDescent="0.25">
      <c r="C20" s="19"/>
      <c r="D20" s="483">
        <v>160</v>
      </c>
      <c r="E20" s="589">
        <f>IF(K$15=1,K19,IF(L$15=1,L19,IF(M$15=1,M19,D20)))</f>
        <v>160</v>
      </c>
      <c r="F20" s="16" t="s">
        <v>77</v>
      </c>
      <c r="I20" s="595" t="s">
        <v>78</v>
      </c>
      <c r="J20" s="757">
        <v>17</v>
      </c>
      <c r="K20" s="618" t="e">
        <f ca="1">VLOOKUP($D$7,[3]Lijst!$A$3:$AB$999,$J20,FALSE)</f>
        <v>#N/A</v>
      </c>
      <c r="L20" s="618"/>
      <c r="M20" s="623"/>
      <c r="O20" s="681"/>
      <c r="P20" s="681"/>
      <c r="Q20" s="682"/>
      <c r="AG20" t="s">
        <v>1153</v>
      </c>
    </row>
    <row r="21" spans="3:33" x14ac:dyDescent="0.25">
      <c r="C21" s="19"/>
      <c r="D21" s="933" t="s">
        <v>1311</v>
      </c>
      <c r="E21" s="589" t="str">
        <f>IF(K$15=1,K20,IF(L$15=1,L20,IF(M$15=1,M20,D21)))</f>
        <v>PE100</v>
      </c>
      <c r="F21" s="16" t="s">
        <v>82</v>
      </c>
      <c r="I21" s="595" t="s">
        <v>83</v>
      </c>
      <c r="J21" s="757">
        <v>9</v>
      </c>
      <c r="K21" s="618" t="e">
        <f ca="1">VLOOKUP($D$7,[3]Lijst!$A$3:$AB$999,$J21,FALSE)</f>
        <v>#N/A</v>
      </c>
      <c r="L21" s="618"/>
      <c r="M21" s="623"/>
      <c r="O21" s="686"/>
      <c r="P21" s="681"/>
      <c r="Q21" s="689"/>
      <c r="AG21" t="s">
        <v>1151</v>
      </c>
    </row>
    <row r="22" spans="3:33" x14ac:dyDescent="0.25">
      <c r="C22" s="590" t="s">
        <v>86</v>
      </c>
      <c r="D22" s="934" t="s">
        <v>1312</v>
      </c>
      <c r="E22" s="589" t="str">
        <f>IF(K$15=1,"",IF(L$15=1,"",IF(M$15=1,"",IF(D22="","",D22))))</f>
        <v>SDR11</v>
      </c>
      <c r="F22" s="16" t="s">
        <v>87</v>
      </c>
      <c r="I22" s="595" t="s">
        <v>88</v>
      </c>
      <c r="J22" s="757">
        <v>10</v>
      </c>
      <c r="K22" s="618" t="e">
        <f ca="1">VLOOKUP($D$7,[3]Lijst!$A$3:$AB$999,$J22,FALSE)</f>
        <v>#N/A</v>
      </c>
      <c r="L22" s="618"/>
      <c r="M22" s="624"/>
      <c r="O22" s="686"/>
      <c r="P22" s="688"/>
      <c r="Q22" s="689"/>
      <c r="AG22"/>
    </row>
    <row r="23" spans="3:33" x14ac:dyDescent="0.25">
      <c r="C23" s="19"/>
      <c r="D23" s="837"/>
      <c r="E23" s="589" t="str">
        <f>IF(K$15=1,K24,IF(L$15=1,L24,IF(M$15=1,M24,IF(ISBLANK(D23),"",D23))))</f>
        <v/>
      </c>
      <c r="F23" s="16" t="s">
        <v>93</v>
      </c>
      <c r="I23" s="757" t="s">
        <v>1062</v>
      </c>
      <c r="J23" s="757">
        <v>8</v>
      </c>
      <c r="K23" s="618" t="e">
        <f ca="1">VLOOKUP($D$7,[3]Lijst!$A$3:$AB$999,$J23,FALSE)</f>
        <v>#N/A</v>
      </c>
      <c r="L23" s="618"/>
      <c r="M23" s="621"/>
      <c r="O23" s="702"/>
      <c r="P23" s="702"/>
      <c r="Q23" s="743"/>
      <c r="AG23"/>
    </row>
    <row r="24" spans="3:33" x14ac:dyDescent="0.25">
      <c r="C24" s="19" t="s">
        <v>97</v>
      </c>
      <c r="D24" s="701" t="str">
        <f>IF(E19&lt;10,E19&amp;"x Ø"&amp;E20&amp;" "&amp;E21&amp;" "&amp;E22&amp;(IF(OR(E23="",E23="-",E23=0),"",", tbv "&amp;E23)),IF(E20=0,"",E20&amp;" ")&amp;IF(E21=0,"",E21&amp;" ")&amp;(IF(OR(E23="",E23="-",E23=0),"",", tbv "&amp;E23)))</f>
        <v>1x Ø160 PE100 SDR11</v>
      </c>
      <c r="I24" s="757" t="s">
        <v>1064</v>
      </c>
      <c r="J24" s="16">
        <v>11</v>
      </c>
      <c r="K24" s="618" t="e">
        <f ca="1">VLOOKUP($D$7,[3]Lijst!$A$3:$AB$999,$J24,FALSE)</f>
        <v>#N/A</v>
      </c>
      <c r="L24" s="618"/>
      <c r="M24" s="621"/>
      <c r="O24" s="294" t="str">
        <f t="shared" ref="O24:O32" si="0">IF(K$15=1,K25,IF(L$15=1,L25,IF(M$15=1,M25,"Handmatige invoer")))</f>
        <v>Handmatige invoer</v>
      </c>
      <c r="Q24" s="16" t="s">
        <v>99</v>
      </c>
      <c r="AG24"/>
    </row>
    <row r="25" spans="3:33" x14ac:dyDescent="0.25">
      <c r="C25" s="84" t="s">
        <v>100</v>
      </c>
      <c r="D25" s="184">
        <f>VLOOKUP(D27,R26:U31,4,FALSE)</f>
        <v>229.59</v>
      </c>
      <c r="F25" s="110" t="s">
        <v>101</v>
      </c>
      <c r="I25" s="595" t="s">
        <v>98</v>
      </c>
      <c r="J25" s="757">
        <v>13</v>
      </c>
      <c r="K25" s="618" t="e">
        <f ca="1">VLOOKUP($D$7,[3]Lijst!$A$3:$AB$999,$J25,FALSE)</f>
        <v>#N/A</v>
      </c>
      <c r="L25" s="618"/>
      <c r="M25" s="618"/>
      <c r="O25" s="294" t="str">
        <f t="shared" si="0"/>
        <v>Handmatige invoer</v>
      </c>
      <c r="Q25" s="45" t="str">
        <f>VLOOKUP(D27,R26:W31,5,FALSE)</f>
        <v xml:space="preserve">Geboorde lengte </v>
      </c>
      <c r="R25" s="17">
        <f>ROUND(Ontwerp!N43,2)</f>
        <v>229.59</v>
      </c>
      <c r="S25" s="117" t="s">
        <v>103</v>
      </c>
      <c r="AG25"/>
    </row>
    <row r="26" spans="3:33" x14ac:dyDescent="0.25">
      <c r="C26" s="19" t="s">
        <v>104</v>
      </c>
      <c r="D26" s="558" t="str">
        <f>Q25&amp;D25&amp;" m"</f>
        <v>Geboorde lengte 229.59 m</v>
      </c>
      <c r="F26" s="16" t="s">
        <v>105</v>
      </c>
      <c r="I26" s="595" t="s">
        <v>102</v>
      </c>
      <c r="J26" s="757">
        <v>14</v>
      </c>
      <c r="K26" s="618" t="e">
        <f ca="1">VLOOKUP($D$7,[3]Lijst!$A$3:$AB$999,$J26,FALSE)</f>
        <v>#N/A</v>
      </c>
      <c r="L26" s="618"/>
      <c r="M26" s="618"/>
      <c r="O26" s="294" t="str">
        <f t="shared" si="0"/>
        <v>Handmatige invoer</v>
      </c>
      <c r="Q26" s="19"/>
      <c r="R26" s="803">
        <v>1</v>
      </c>
      <c r="S26" s="903" t="s">
        <v>1261</v>
      </c>
      <c r="T26" s="804"/>
      <c r="U26" s="804">
        <f>ROUND(Ontwerp!N43,2)</f>
        <v>229.59</v>
      </c>
      <c r="V26" s="810" t="s">
        <v>1139</v>
      </c>
      <c r="W26" s="804"/>
      <c r="X26" s="797" t="s">
        <v>1131</v>
      </c>
      <c r="Y26" s="797" t="s">
        <v>1131</v>
      </c>
      <c r="AG26"/>
    </row>
    <row r="27" spans="3:33" x14ac:dyDescent="0.25">
      <c r="C27" s="19"/>
      <c r="D27" s="483">
        <v>1</v>
      </c>
      <c r="F27" s="61" t="s">
        <v>107</v>
      </c>
      <c r="I27" s="595" t="s">
        <v>106</v>
      </c>
      <c r="J27" s="757">
        <v>18</v>
      </c>
      <c r="K27" s="618" t="e">
        <f ca="1">VLOOKUP($D$7,[3]Lijst!$A$3:$AB$999,$J27,FALSE)</f>
        <v>#N/A</v>
      </c>
      <c r="L27" s="618"/>
      <c r="M27" s="618"/>
      <c r="O27" s="294" t="str">
        <f t="shared" si="0"/>
        <v>Handmatige invoer</v>
      </c>
      <c r="Q27" s="19"/>
      <c r="R27" s="18">
        <v>2</v>
      </c>
      <c r="S27" s="903" t="s">
        <v>1262</v>
      </c>
      <c r="T27" s="804"/>
      <c r="U27" s="18">
        <f>ROUND(Ontwerp!M10,2)</f>
        <v>226.72</v>
      </c>
      <c r="V27" s="810" t="s">
        <v>1138</v>
      </c>
      <c r="W27" s="804"/>
      <c r="AG27"/>
    </row>
    <row r="28" spans="3:33" x14ac:dyDescent="0.25">
      <c r="C28" s="19"/>
      <c r="D28" s="558" t="str">
        <f>VLOOKUP(D27,R26:S31,2,FALSE)</f>
        <v>Gestuurde boring</v>
      </c>
      <c r="F28" s="16">
        <f>IF(D28="Boogboring ",1,0)</f>
        <v>0</v>
      </c>
      <c r="I28" s="595" t="s">
        <v>108</v>
      </c>
      <c r="J28" s="757">
        <v>19</v>
      </c>
      <c r="K28" s="618" t="e">
        <f ca="1">VLOOKUP($D$7,[3]Lijst!$A$3:$AB$999,$J28,FALSE)</f>
        <v>#N/A</v>
      </c>
      <c r="L28" s="618"/>
      <c r="M28" s="618"/>
      <c r="O28" s="294" t="str">
        <f t="shared" si="0"/>
        <v>Handmatige invoer</v>
      </c>
      <c r="R28" s="18">
        <v>3</v>
      </c>
      <c r="S28" s="903" t="s">
        <v>1263</v>
      </c>
      <c r="T28" s="804"/>
      <c r="U28" s="18">
        <f>ROUND(Ontwerp!M10,2)</f>
        <v>226.72</v>
      </c>
      <c r="V28" s="810" t="s">
        <v>1138</v>
      </c>
      <c r="W28" s="804"/>
      <c r="AG28"/>
    </row>
    <row r="29" spans="3:33" x14ac:dyDescent="0.25">
      <c r="C29" s="19" t="s">
        <v>110</v>
      </c>
      <c r="D29" s="114" t="str">
        <f>INPUT!D28&amp;IF(K15=1,IF(E18=0,"",IF(ISTEXT(E18)," "&amp;E18,", uitgevoerd "&amp;TEXT(E18,"d-mmm-jj"))),IF(D18=0,"",IF(ISTEXT(D18)," "&amp;D18,", uitgevoerd "&amp;TEXT(D18,"d-mmm-jj"))))</f>
        <v>Gestuurde boring</v>
      </c>
      <c r="I29" s="595" t="s">
        <v>109</v>
      </c>
      <c r="J29" s="757">
        <v>20</v>
      </c>
      <c r="K29" s="618" t="e">
        <f ca="1">VLOOKUP($D$7,[3]Lijst!$A$3:$AB$999,$J29,FALSE)</f>
        <v>#N/A</v>
      </c>
      <c r="L29" s="618"/>
      <c r="M29" s="618"/>
      <c r="O29" s="294" t="str">
        <f t="shared" si="0"/>
        <v>Handmatige invoer</v>
      </c>
      <c r="R29" s="18">
        <v>4</v>
      </c>
      <c r="S29" s="903" t="s">
        <v>1264</v>
      </c>
      <c r="T29" s="804"/>
      <c r="U29" s="18">
        <f>ROUND(Ontwerp!M10,2)</f>
        <v>226.72</v>
      </c>
      <c r="V29" s="810" t="s">
        <v>1137</v>
      </c>
      <c r="W29" s="804"/>
      <c r="AG29"/>
    </row>
    <row r="30" spans="3:33" x14ac:dyDescent="0.25">
      <c r="C30" s="19" t="s">
        <v>112</v>
      </c>
      <c r="D30" s="112" t="str">
        <f>IF(Ontwerp!P9=Ontwerp!Q9,"1:"&amp;Ontwerp!P9,"1:"&amp;Ontwerp!P9&amp;" / 1:"&amp;Ontwerp!Q9)</f>
        <v>1:250</v>
      </c>
      <c r="I30" s="595" t="s">
        <v>111</v>
      </c>
      <c r="J30" s="757">
        <v>21</v>
      </c>
      <c r="K30" s="618" t="e">
        <f ca="1">VLOOKUP($D$7,[3]Lijst!$A$3:$AB$999,$J30,FALSE)</f>
        <v>#N/A</v>
      </c>
      <c r="L30" s="618"/>
      <c r="M30" s="618"/>
      <c r="O30" s="294" t="str">
        <f t="shared" si="0"/>
        <v>Handmatige invoer</v>
      </c>
      <c r="R30" s="18">
        <v>5</v>
      </c>
      <c r="S30" s="903" t="s">
        <v>1265</v>
      </c>
      <c r="T30" s="804"/>
      <c r="U30" s="18">
        <f>ROUND(Ontwerp!M10,2)</f>
        <v>226.72</v>
      </c>
      <c r="V30" s="810" t="s">
        <v>1138</v>
      </c>
      <c r="W30" s="804"/>
      <c r="AG30"/>
    </row>
    <row r="31" spans="3:33" x14ac:dyDescent="0.25">
      <c r="C31" s="19" t="s">
        <v>5</v>
      </c>
      <c r="D31" s="840" t="s">
        <v>1338</v>
      </c>
      <c r="E31" s="193" t="str">
        <f>IF(K$15=1,K21,IF(L$15=1,L21,IF(M$15=1,M21,D31)))</f>
        <v>Dmissie Electro BV</v>
      </c>
      <c r="G31" s="749" t="s">
        <v>1040</v>
      </c>
      <c r="I31" s="595" t="s">
        <v>113</v>
      </c>
      <c r="J31" s="757">
        <v>22</v>
      </c>
      <c r="K31" s="618" t="e">
        <f ca="1">VLOOKUP($D$7,[3]Lijst!$A$3:$AB$999,$J31,FALSE)</f>
        <v>#N/A</v>
      </c>
      <c r="L31" s="618"/>
      <c r="M31" s="618"/>
      <c r="O31" s="294" t="str">
        <f t="shared" si="0"/>
        <v>Handmatige invoer</v>
      </c>
      <c r="R31" s="18">
        <v>6</v>
      </c>
      <c r="S31" s="903" t="s">
        <v>1129</v>
      </c>
      <c r="T31" s="804"/>
      <c r="U31" s="796" t="s">
        <v>1130</v>
      </c>
      <c r="V31" s="796" t="s">
        <v>1130</v>
      </c>
      <c r="W31" s="804"/>
      <c r="AG31"/>
    </row>
    <row r="32" spans="3:33" ht="30" customHeight="1" x14ac:dyDescent="0.3">
      <c r="C32" s="19" t="s">
        <v>117</v>
      </c>
      <c r="D32" s="762" t="s">
        <v>89</v>
      </c>
      <c r="E32" s="193" t="str">
        <f>IF(K$15=1,K22,IF(L$15=1,L22,IF(M$15=1,M22,D32)))</f>
        <v>-</v>
      </c>
      <c r="I32" s="595" t="s">
        <v>115</v>
      </c>
      <c r="J32" s="757">
        <v>23</v>
      </c>
      <c r="K32" s="618" t="e">
        <f ca="1">VLOOKUP($D$7,[3]Lijst!$A$3:$AB$999,$J32,FALSE)</f>
        <v>#N/A</v>
      </c>
      <c r="L32" s="618"/>
      <c r="M32" s="618"/>
      <c r="O32" s="294" t="str">
        <f t="shared" si="0"/>
        <v>Handmatige invoer</v>
      </c>
      <c r="R32" s="805">
        <v>1</v>
      </c>
      <c r="S32" s="806">
        <v>2</v>
      </c>
      <c r="T32" s="806">
        <v>3</v>
      </c>
      <c r="U32" s="806">
        <v>4</v>
      </c>
      <c r="V32" s="806">
        <v>5</v>
      </c>
      <c r="W32" s="16">
        <v>6</v>
      </c>
      <c r="AG32"/>
    </row>
    <row r="33" spans="1:33" x14ac:dyDescent="0.25">
      <c r="C33" s="19" t="s">
        <v>119</v>
      </c>
      <c r="D33" s="755" t="str">
        <f>VLOOKUP(E31,[4]Blad1!$B$3:$E$400,2,FALSE)</f>
        <v>Portsmuiden 15</v>
      </c>
      <c r="F33" s="961" t="str">
        <f>IF(Ontwerp!B273=INPUT!B42,"OK","Ga door met GPSdatanaarOntwerp")</f>
        <v>Ga door met GPSdatanaarOntwerp</v>
      </c>
      <c r="G33" s="949"/>
      <c r="H33" s="949"/>
      <c r="I33" s="595" t="s">
        <v>118</v>
      </c>
      <c r="J33" s="757">
        <v>25</v>
      </c>
      <c r="K33" s="618" t="e">
        <f ca="1">VLOOKUP($D$7,[3]Lijst!$A$3:$AB$999,$J33,FALSE)</f>
        <v>#N/A</v>
      </c>
      <c r="L33" s="618"/>
      <c r="M33" s="618"/>
      <c r="P33" s="727" t="s">
        <v>120</v>
      </c>
      <c r="V33" s="797" t="s">
        <v>1132</v>
      </c>
      <c r="AG33"/>
    </row>
    <row r="34" spans="1:33" ht="15.75" customHeight="1" thickBot="1" x14ac:dyDescent="0.3">
      <c r="C34" s="19" t="s">
        <v>121</v>
      </c>
      <c r="D34" s="456" t="str">
        <f>VLOOKUP(E31,[4]Blad1!$B$3:$E$400,3,FALSE)</f>
        <v>1046 AH  Amsterdam</v>
      </c>
      <c r="F34" s="949"/>
      <c r="G34" s="949"/>
      <c r="H34" s="949"/>
      <c r="P34" s="727" t="s">
        <v>122</v>
      </c>
      <c r="AG34"/>
    </row>
    <row r="35" spans="1:33" x14ac:dyDescent="0.25">
      <c r="C35" s="19"/>
      <c r="F35" s="949"/>
      <c r="G35" s="949"/>
      <c r="H35" s="949"/>
      <c r="P35" s="727" t="s">
        <v>123</v>
      </c>
      <c r="S35" s="918" t="s">
        <v>1277</v>
      </c>
      <c r="T35" s="920" t="s">
        <v>1290</v>
      </c>
      <c r="U35" s="920" t="s">
        <v>1291</v>
      </c>
      <c r="AG35"/>
    </row>
    <row r="36" spans="1:33" ht="24.75" customHeight="1" x14ac:dyDescent="0.25">
      <c r="C36" s="19" t="s">
        <v>124</v>
      </c>
      <c r="D36" s="962" t="str">
        <f ca="1">IF(AND(OR(D27=1,D27=5),E3=H3),Variabelen!B146,IF(AND(D27=1,E3=H4),Variabelen!B147,IF(AND(D27=2,E3=H3),Variabelen!B148,IF(AND(D27=2,E3=H4),Variabelen!B149,IF(AND(D27=3,E3=H3),Variabelen!B150,IF(AND(D27=3,E3=H4),Variabelen!B151,IF(AND(D27=4,E3=H3),Variabelen!B152,IF(AND(D27=1,E3=H4),IF(AND(D27=5,E3=H3),Variabelen!B146,IF(AND(D27=1,E3=H4),Variabelen!B146,"Formule nog aanvullen voor andere opmerkingen"))))))))))</f>
        <v>Diepte en ligging kabels en leidingen zijn indicatief geprojecteerd op basis van KLIC-melding. Exacte diepte en ligging vooraf controleren middels proefsleuven en visuele inspectie van (riool)putten. Diepte te passeren persleidingen onbekend. 
Verkeersmaatregelen treffen conform CROW publicatie 96b.
Pilotboring realiseren met walk-over meetsysteem.</v>
      </c>
      <c r="E36" s="949"/>
      <c r="F36" s="949"/>
      <c r="G36" s="949"/>
      <c r="H36" s="949"/>
      <c r="I36" s="949"/>
      <c r="J36" s="949"/>
      <c r="K36" s="949"/>
      <c r="P36" s="727" t="s">
        <v>125</v>
      </c>
      <c r="S36" s="851" t="s">
        <v>1230</v>
      </c>
      <c r="T36" s="902" t="s">
        <v>1257</v>
      </c>
      <c r="U36" s="902" t="s">
        <v>1255</v>
      </c>
      <c r="AG36"/>
    </row>
    <row r="37" spans="1:33" ht="24.75" customHeight="1" x14ac:dyDescent="0.25">
      <c r="C37" s="19"/>
      <c r="D37" s="949"/>
      <c r="E37" s="949"/>
      <c r="F37" s="949"/>
      <c r="G37" s="949"/>
      <c r="H37" s="949"/>
      <c r="I37" s="949"/>
      <c r="J37" s="949"/>
      <c r="K37" s="949"/>
      <c r="O37" s="658"/>
      <c r="S37" s="851" t="s">
        <v>1208</v>
      </c>
      <c r="T37" s="902" t="s">
        <v>1256</v>
      </c>
      <c r="U37" s="902" t="s">
        <v>1258</v>
      </c>
      <c r="AG37"/>
    </row>
    <row r="38" spans="1:33" x14ac:dyDescent="0.25">
      <c r="C38" s="19"/>
      <c r="D38" s="16" t="str">
        <f>IF(K15=1,K32-K29,IF(L15=1,L32-L29,""))</f>
        <v/>
      </c>
      <c r="E38" s="707" t="s">
        <v>126</v>
      </c>
      <c r="L38" s="582" t="s">
        <v>127</v>
      </c>
      <c r="O38" s="691">
        <v>44886</v>
      </c>
      <c r="P38" s="16">
        <f>IF(1&gt;D18,1,0)</f>
        <v>1</v>
      </c>
      <c r="S38" s="851" t="s">
        <v>1231</v>
      </c>
      <c r="T38" s="902" t="s">
        <v>1259</v>
      </c>
      <c r="U38" s="902" t="s">
        <v>1260</v>
      </c>
      <c r="AG38"/>
    </row>
    <row r="39" spans="1:33" ht="15" customHeight="1" thickBot="1" x14ac:dyDescent="0.3">
      <c r="B39" s="707" t="s">
        <v>128</v>
      </c>
      <c r="C39" s="16" t="e">
        <f>((VLOOKUP(A178,A42:C177,2,FALSE)-B42)^2+(VLOOKUP(A178,A42:C177,3,FALSE)-C42)^2)^0.5</f>
        <v>#VALUE!</v>
      </c>
      <c r="D39" s="16" t="e">
        <f>(D42+D43)/2</f>
        <v>#VALUE!</v>
      </c>
      <c r="E39" s="707" t="s">
        <v>118</v>
      </c>
      <c r="L39" s="582" t="s">
        <v>129</v>
      </c>
      <c r="P39" s="16" t="b">
        <f>ISTEXT(D18)</f>
        <v>0</v>
      </c>
      <c r="T39" s="191"/>
      <c r="W39" s="192"/>
      <c r="AG39"/>
    </row>
    <row r="40" spans="1:33" ht="19.5" customHeight="1" thickBot="1" x14ac:dyDescent="0.35">
      <c r="A40" s="956" t="str">
        <f>IF(C3="Ontwerp","Uitzetpunten","GPS data")</f>
        <v>GPS data</v>
      </c>
      <c r="B40" s="957"/>
      <c r="C40" s="957"/>
      <c r="D40" s="958"/>
      <c r="G40" s="956"/>
      <c r="H40" s="957"/>
      <c r="I40" s="957"/>
      <c r="J40" s="958"/>
      <c r="K40" s="16">
        <v>10000</v>
      </c>
      <c r="M40" s="565" t="s">
        <v>130</v>
      </c>
      <c r="O40" s="16">
        <v>0</v>
      </c>
      <c r="P40" s="16">
        <v>1</v>
      </c>
      <c r="Q40" s="16">
        <v>2</v>
      </c>
      <c r="R40" s="16">
        <v>3</v>
      </c>
      <c r="S40" s="16">
        <v>4</v>
      </c>
      <c r="T40" s="16">
        <v>5</v>
      </c>
      <c r="U40" s="16">
        <v>6</v>
      </c>
      <c r="V40" s="16">
        <v>7</v>
      </c>
      <c r="AG40"/>
    </row>
    <row r="41" spans="1:33" x14ac:dyDescent="0.25">
      <c r="B41" s="51" t="str">
        <f>IF(MAX(B42:B177)&gt;300000,"FOUT","OK")</f>
        <v>OK</v>
      </c>
      <c r="C41" s="51" t="str">
        <f>IF(MIN(C42:C177)&lt;289000,"FOUT",IF(MAX(C42:C177)&gt;629000,"FOUT","OK"))</f>
        <v>FOUT</v>
      </c>
      <c r="G41" s="1"/>
      <c r="O41" s="596">
        <f>MAX(P42:P71)</f>
        <v>7</v>
      </c>
      <c r="T41" s="713" t="s">
        <v>131</v>
      </c>
      <c r="U41" s="713" t="s">
        <v>132</v>
      </c>
      <c r="AG41"/>
    </row>
    <row r="42" spans="1:33" x14ac:dyDescent="0.25">
      <c r="A42" s="377">
        <v>1</v>
      </c>
      <c r="B42" s="377" t="str">
        <f>O26</f>
        <v>Handmatige invoer</v>
      </c>
      <c r="C42" s="377" t="str">
        <f>O27</f>
        <v>Handmatige invoer</v>
      </c>
      <c r="D42" s="377" t="str">
        <f>O32</f>
        <v>Handmatige invoer</v>
      </c>
      <c r="E42" s="566" t="str">
        <f>Variabelen!B$3&amp;".   "</f>
        <v xml:space="preserve">A.   </v>
      </c>
      <c r="F42" s="567">
        <v>1</v>
      </c>
      <c r="G42" s="568"/>
      <c r="H42" s="377"/>
      <c r="I42" s="377"/>
      <c r="J42" s="377"/>
      <c r="K42" s="377"/>
      <c r="L42" s="569"/>
      <c r="M42" s="569" t="e">
        <f t="shared" ref="M42:M73" si="1">POINT(B42,C42)</f>
        <v>#VALUE!</v>
      </c>
      <c r="O42" s="917" t="s">
        <v>1282</v>
      </c>
      <c r="P42" s="715">
        <v>1</v>
      </c>
      <c r="Q42" s="36"/>
      <c r="R42" s="36"/>
      <c r="S42" s="193" t="str">
        <f t="shared" ref="S42:S71" si="2">LEFT(O42,11)</f>
        <v>CC24RZ38-01</v>
      </c>
      <c r="T42" s="193">
        <f>VLOOKUP($S42,[3]Lijst!$A$4:$BF$999,57,FALSE)</f>
        <v>151694.53349999999</v>
      </c>
      <c r="U42" s="193">
        <f>VLOOKUP($S42,[3]Lijst!$A$3:$BF$999,58,FALSE)</f>
        <v>435336.3885</v>
      </c>
      <c r="W42" s="16">
        <v>1</v>
      </c>
      <c r="AG42"/>
    </row>
    <row r="43" spans="1:33" x14ac:dyDescent="0.25">
      <c r="A43" s="377">
        <v>2</v>
      </c>
      <c r="B43" s="377" t="str">
        <f>O29</f>
        <v>Handmatige invoer</v>
      </c>
      <c r="C43" s="377" t="str">
        <f>O30</f>
        <v>Handmatige invoer</v>
      </c>
      <c r="D43" s="377" t="str">
        <f>O32</f>
        <v>Handmatige invoer</v>
      </c>
      <c r="E43" s="566" t="str">
        <f>IF(AND(A44="",A43&lt;&gt;0),IF(A43&lt;&gt;"",Variabelen!B$5&amp;".   ",""),Variabelen!B$4&amp;A42&amp;". ")</f>
        <v xml:space="preserve">B.   </v>
      </c>
      <c r="F43" s="567">
        <v>2</v>
      </c>
      <c r="G43" s="568"/>
      <c r="H43" s="377"/>
      <c r="I43" s="377"/>
      <c r="J43" s="377"/>
      <c r="K43" s="377"/>
      <c r="L43" s="569"/>
      <c r="M43" s="569" t="e">
        <f t="shared" si="1"/>
        <v>#VALUE!</v>
      </c>
      <c r="O43" s="858" t="s">
        <v>1283</v>
      </c>
      <c r="P43" s="715">
        <f t="shared" ref="P43:P71" si="3">IF(O43="","",P42+1)</f>
        <v>2</v>
      </c>
      <c r="Q43" s="36"/>
      <c r="R43" s="36"/>
      <c r="S43" s="193" t="str">
        <f t="shared" si="2"/>
        <v>CC24RZ38-02</v>
      </c>
      <c r="T43" s="193">
        <f>VLOOKUP($S43,[3]Lijst!$A$4:$BF$999,57,FALSE)</f>
        <v>151725.03700000001</v>
      </c>
      <c r="U43" s="193">
        <f>VLOOKUP($S43,[3]Lijst!$A$3:$BF$999,58,FALSE)</f>
        <v>435342.4265</v>
      </c>
      <c r="W43" s="16">
        <v>2</v>
      </c>
      <c r="AG43"/>
    </row>
    <row r="44" spans="1:33" x14ac:dyDescent="0.25">
      <c r="A44" s="377"/>
      <c r="B44" s="377"/>
      <c r="C44" s="377"/>
      <c r="D44" s="377"/>
      <c r="E44" s="566" t="str">
        <f>IF(AND(A45="",A44&lt;&gt;0),IF(A44&lt;&gt;"",Variabelen!B$5&amp;".   ",""),Variabelen!B$4&amp;A43&amp;". ")</f>
        <v xml:space="preserve">P2. </v>
      </c>
      <c r="F44" s="567">
        <v>3</v>
      </c>
      <c r="G44" s="568"/>
      <c r="H44" s="377"/>
      <c r="I44" s="377"/>
      <c r="J44" s="377"/>
      <c r="K44" s="377"/>
      <c r="L44" s="569"/>
      <c r="M44" s="569" t="str">
        <f t="shared" si="1"/>
        <v>0,0</v>
      </c>
      <c r="O44" s="714" t="s">
        <v>1284</v>
      </c>
      <c r="P44" s="715">
        <f t="shared" si="3"/>
        <v>3</v>
      </c>
      <c r="Q44" s="36"/>
      <c r="R44" s="36"/>
      <c r="S44" s="193" t="str">
        <f t="shared" si="2"/>
        <v>CC24RZ38-03</v>
      </c>
      <c r="T44" s="193">
        <f>VLOOKUP($S44,[3]Lijst!$A$4:$BF$999,57,FALSE)</f>
        <v>151782.16</v>
      </c>
      <c r="U44" s="193">
        <f>VLOOKUP($S44,[3]Lijst!$A$3:$BF$999,58,FALSE)</f>
        <v>435353.136</v>
      </c>
      <c r="W44" s="16">
        <v>3</v>
      </c>
      <c r="AG44"/>
    </row>
    <row r="45" spans="1:33" x14ac:dyDescent="0.25">
      <c r="A45" s="377"/>
      <c r="B45" s="569"/>
      <c r="C45" s="377"/>
      <c r="D45" s="377"/>
      <c r="E45" s="566" t="str">
        <f>IF(AND(A46="",A45&lt;&gt;0),IF(A45&lt;&gt;"",Variabelen!B$5&amp;".   ",""),Variabelen!B$4&amp;A44&amp;". ")</f>
        <v xml:space="preserve">P. </v>
      </c>
      <c r="F45" s="567">
        <v>4</v>
      </c>
      <c r="G45" s="568"/>
      <c r="H45" s="569"/>
      <c r="I45" s="569"/>
      <c r="J45" s="377"/>
      <c r="K45" s="377"/>
      <c r="L45" s="569"/>
      <c r="M45" s="569" t="str">
        <f t="shared" si="1"/>
        <v>0,0</v>
      </c>
      <c r="O45" s="18" t="s">
        <v>1285</v>
      </c>
      <c r="P45" s="715">
        <f t="shared" si="3"/>
        <v>4</v>
      </c>
      <c r="Q45" s="36"/>
      <c r="R45" s="36"/>
      <c r="S45" s="193" t="str">
        <f t="shared" si="2"/>
        <v>CC24RZ38-04</v>
      </c>
      <c r="T45" s="193">
        <f>VLOOKUP($S45,[3]Lijst!$A$4:$BF$999,57,FALSE)</f>
        <v>151807.47750000001</v>
      </c>
      <c r="U45" s="193">
        <f>VLOOKUP($S45,[3]Lijst!$A$3:$BF$999,58,FALSE)</f>
        <v>435357.30000000005</v>
      </c>
      <c r="W45" s="16">
        <v>4</v>
      </c>
      <c r="AG45"/>
    </row>
    <row r="46" spans="1:33" x14ac:dyDescent="0.25">
      <c r="A46" s="377"/>
      <c r="B46" s="569"/>
      <c r="C46" s="377"/>
      <c r="D46" s="377"/>
      <c r="E46" s="566" t="str">
        <f>IF(AND(A47="",A46&lt;&gt;0),IF(A46&lt;&gt;"",Variabelen!B$5&amp;".   ",""),Variabelen!B$4&amp;A45&amp;". ")</f>
        <v xml:space="preserve">P. </v>
      </c>
      <c r="F46" s="567">
        <v>5</v>
      </c>
      <c r="G46" s="568"/>
      <c r="H46" s="569"/>
      <c r="I46" s="569"/>
      <c r="J46" s="377"/>
      <c r="K46" s="377"/>
      <c r="L46" s="569"/>
      <c r="M46" s="569" t="str">
        <f t="shared" si="1"/>
        <v>0,0</v>
      </c>
      <c r="O46" s="714" t="s">
        <v>1286</v>
      </c>
      <c r="P46" s="715">
        <f t="shared" si="3"/>
        <v>5</v>
      </c>
      <c r="Q46" s="36"/>
      <c r="R46" s="36"/>
      <c r="S46" s="193" t="str">
        <f t="shared" si="2"/>
        <v>CC24RZ38-05</v>
      </c>
      <c r="T46" s="193">
        <f>VLOOKUP($S46,[3]Lijst!$A$4:$BF$999,57,FALSE)</f>
        <v>151845.4535</v>
      </c>
      <c r="U46" s="193">
        <f>VLOOKUP($S46,[3]Lijst!$A$3:$BF$999,58,FALSE)</f>
        <v>435363.87100000004</v>
      </c>
      <c r="W46" s="16">
        <v>5</v>
      </c>
      <c r="AG46"/>
    </row>
    <row r="47" spans="1:33" x14ac:dyDescent="0.25">
      <c r="A47" s="377"/>
      <c r="B47" s="569"/>
      <c r="C47" s="377"/>
      <c r="D47" s="377"/>
      <c r="E47" s="566" t="str">
        <f>IF(AND(A48="",A47&lt;&gt;0),IF(A47&lt;&gt;"",Variabelen!B$5&amp;".   ",""),Variabelen!B$4&amp;A46&amp;". ")</f>
        <v xml:space="preserve">P. </v>
      </c>
      <c r="F47" s="567">
        <v>6</v>
      </c>
      <c r="G47" s="568"/>
      <c r="H47" s="569"/>
      <c r="I47" s="569"/>
      <c r="J47" s="377"/>
      <c r="K47" s="377"/>
      <c r="L47" s="569"/>
      <c r="M47" s="569" t="str">
        <f t="shared" si="1"/>
        <v>0,0</v>
      </c>
      <c r="O47" s="898" t="s">
        <v>1287</v>
      </c>
      <c r="P47" s="715">
        <f t="shared" si="3"/>
        <v>6</v>
      </c>
      <c r="Q47" s="36"/>
      <c r="R47" s="36"/>
      <c r="S47" s="193" t="str">
        <f t="shared" si="2"/>
        <v>CC24RZ38-06</v>
      </c>
      <c r="T47" s="193">
        <f>VLOOKUP($S47,[3]Lijst!$A$4:$BF$999,57,FALSE)</f>
        <v>151895.63949999999</v>
      </c>
      <c r="U47" s="193">
        <f>VLOOKUP($S47,[3]Lijst!$A$3:$BF$999,58,FALSE)</f>
        <v>435373.24549999996</v>
      </c>
      <c r="W47" s="16">
        <v>6</v>
      </c>
      <c r="AG47"/>
    </row>
    <row r="48" spans="1:33" x14ac:dyDescent="0.25">
      <c r="A48" s="377"/>
      <c r="B48" s="569"/>
      <c r="C48" s="377"/>
      <c r="D48" s="377"/>
      <c r="E48" s="566" t="str">
        <f>IF(AND(A49="",A48&lt;&gt;0),IF(A48&lt;&gt;"",Variabelen!B$5&amp;".   ",""),Variabelen!B$4&amp;A47&amp;". ")</f>
        <v xml:space="preserve">P. </v>
      </c>
      <c r="F48" s="567">
        <v>7</v>
      </c>
      <c r="G48" s="568"/>
      <c r="H48" s="569"/>
      <c r="I48" s="569"/>
      <c r="J48" s="377"/>
      <c r="K48" s="377"/>
      <c r="L48" s="569"/>
      <c r="M48" s="569" t="str">
        <f t="shared" si="1"/>
        <v>0,0</v>
      </c>
      <c r="O48" s="898" t="s">
        <v>1288</v>
      </c>
      <c r="P48" s="715">
        <f t="shared" si="3"/>
        <v>7</v>
      </c>
      <c r="Q48" s="36"/>
      <c r="R48" s="36"/>
      <c r="S48" s="193" t="str">
        <f t="shared" si="2"/>
        <v>CC24RZ38-07</v>
      </c>
      <c r="T48" s="193">
        <f>VLOOKUP($S48,[3]Lijst!$A$4:$BF$999,57,FALSE)</f>
        <v>151914.2775</v>
      </c>
      <c r="U48" s="193">
        <f>VLOOKUP($S48,[3]Lijst!$A$3:$BF$999,58,FALSE)</f>
        <v>435354.49549999996</v>
      </c>
      <c r="W48" s="16">
        <v>7</v>
      </c>
      <c r="AG48"/>
    </row>
    <row r="49" spans="1:33" x14ac:dyDescent="0.25">
      <c r="A49" s="377"/>
      <c r="B49" s="569"/>
      <c r="C49" s="377"/>
      <c r="D49" s="377"/>
      <c r="E49" s="566" t="str">
        <f>IF(AND(A50="",A49&lt;&gt;0),IF(A49&lt;&gt;"",Variabelen!B$5&amp;".   ",""),Variabelen!B$4&amp;A48&amp;". ")</f>
        <v xml:space="preserve">P. </v>
      </c>
      <c r="F49" s="567">
        <v>8</v>
      </c>
      <c r="G49" s="568"/>
      <c r="H49" s="569"/>
      <c r="I49" s="569"/>
      <c r="J49" s="377"/>
      <c r="K49" s="377"/>
      <c r="L49" s="569"/>
      <c r="M49" s="569" t="str">
        <f t="shared" si="1"/>
        <v>0,0</v>
      </c>
      <c r="O49" s="898"/>
      <c r="P49" s="715" t="str">
        <f t="shared" si="3"/>
        <v/>
      </c>
      <c r="Q49" s="36"/>
      <c r="R49" s="36"/>
      <c r="S49" s="193" t="str">
        <f t="shared" si="2"/>
        <v/>
      </c>
      <c r="T49" s="193" t="e">
        <f>VLOOKUP($S49,[3]Lijst!$A$4:$BF$999,57,FALSE)</f>
        <v>#N/A</v>
      </c>
      <c r="U49" s="193" t="e">
        <f>VLOOKUP($S49,[3]Lijst!$A$3:$BF$999,58,FALSE)</f>
        <v>#N/A</v>
      </c>
      <c r="W49" s="16">
        <v>8</v>
      </c>
      <c r="AG49"/>
    </row>
    <row r="50" spans="1:33" x14ac:dyDescent="0.25">
      <c r="A50" s="377"/>
      <c r="B50" s="569"/>
      <c r="C50" s="377"/>
      <c r="D50" s="377"/>
      <c r="E50" s="566" t="str">
        <f>IF(AND(A51="",A50&lt;&gt;0),IF(A50&lt;&gt;"",Variabelen!B$5&amp;".   ",""),Variabelen!B$4&amp;A49&amp;". ")</f>
        <v xml:space="preserve">P. </v>
      </c>
      <c r="F50" s="567">
        <v>9</v>
      </c>
      <c r="G50" s="568"/>
      <c r="H50" s="569"/>
      <c r="I50" s="569"/>
      <c r="J50" s="377"/>
      <c r="K50" s="377"/>
      <c r="L50" s="569"/>
      <c r="M50" s="569" t="str">
        <f t="shared" si="1"/>
        <v>0,0</v>
      </c>
      <c r="O50" s="714"/>
      <c r="P50" s="715" t="str">
        <f t="shared" si="3"/>
        <v/>
      </c>
      <c r="Q50" s="36"/>
      <c r="R50" s="36"/>
      <c r="S50" s="193" t="str">
        <f t="shared" si="2"/>
        <v/>
      </c>
      <c r="T50" s="193" t="e">
        <f>VLOOKUP($S50,[3]Lijst!$A$4:$BF$999,57,FALSE)</f>
        <v>#N/A</v>
      </c>
      <c r="U50" s="193" t="e">
        <f>VLOOKUP($S50,[3]Lijst!$A$3:$BF$999,58,FALSE)</f>
        <v>#N/A</v>
      </c>
      <c r="W50" s="16">
        <v>9</v>
      </c>
      <c r="AG50"/>
    </row>
    <row r="51" spans="1:33" x14ac:dyDescent="0.25">
      <c r="A51" s="377"/>
      <c r="B51" s="569"/>
      <c r="C51" s="377"/>
      <c r="D51" s="377"/>
      <c r="E51" s="566" t="str">
        <f>IF(AND(A52="",A51&lt;&gt;0),IF(A51&lt;&gt;"",Variabelen!B$5&amp;".   ",""),Variabelen!B$4&amp;A50&amp;". ")</f>
        <v xml:space="preserve">P. </v>
      </c>
      <c r="F51" s="567">
        <v>10</v>
      </c>
      <c r="G51" s="568"/>
      <c r="H51" s="569"/>
      <c r="I51" s="569"/>
      <c r="J51" s="377"/>
      <c r="K51" s="377"/>
      <c r="L51" s="569"/>
      <c r="M51" s="569" t="str">
        <f t="shared" si="1"/>
        <v>0,0</v>
      </c>
      <c r="O51" s="714"/>
      <c r="P51" s="715" t="str">
        <f t="shared" si="3"/>
        <v/>
      </c>
      <c r="Q51" s="36"/>
      <c r="R51" s="36"/>
      <c r="S51" s="193" t="str">
        <f t="shared" si="2"/>
        <v/>
      </c>
      <c r="T51" s="193" t="e">
        <f>VLOOKUP($S51,[3]Lijst!$A$4:$BF$999,57,FALSE)</f>
        <v>#N/A</v>
      </c>
      <c r="U51" s="193" t="e">
        <f>VLOOKUP($S51,[3]Lijst!$A$3:$BF$999,58,FALSE)</f>
        <v>#N/A</v>
      </c>
      <c r="W51" s="16">
        <v>10</v>
      </c>
      <c r="AG51"/>
    </row>
    <row r="52" spans="1:33" x14ac:dyDescent="0.25">
      <c r="A52" s="377"/>
      <c r="B52" s="569"/>
      <c r="C52" s="377"/>
      <c r="D52" s="377"/>
      <c r="E52" s="566" t="str">
        <f>IF(AND(A53="",A52&lt;&gt;0),IF(A52&lt;&gt;"",Variabelen!B$5&amp;".   ",""),Variabelen!B$4&amp;A51&amp;". ")</f>
        <v xml:space="preserve">P. </v>
      </c>
      <c r="F52" s="567">
        <v>11</v>
      </c>
      <c r="G52" s="568"/>
      <c r="H52" s="569"/>
      <c r="I52" s="569"/>
      <c r="J52" s="377"/>
      <c r="K52" s="377"/>
      <c r="L52" s="569"/>
      <c r="M52" s="569" t="str">
        <f t="shared" si="1"/>
        <v>0,0</v>
      </c>
      <c r="O52" s="714"/>
      <c r="P52" s="715" t="str">
        <f t="shared" si="3"/>
        <v/>
      </c>
      <c r="Q52" s="36"/>
      <c r="R52" s="36"/>
      <c r="S52" s="193" t="str">
        <f t="shared" si="2"/>
        <v/>
      </c>
      <c r="T52" s="193" t="e">
        <f>VLOOKUP($S52,[3]Lijst!$A$4:$BF$999,57,FALSE)</f>
        <v>#N/A</v>
      </c>
      <c r="U52" s="193" t="e">
        <f>VLOOKUP($S52,[3]Lijst!$A$3:$BF$999,58,FALSE)</f>
        <v>#N/A</v>
      </c>
      <c r="W52" s="16">
        <v>11</v>
      </c>
      <c r="AG52"/>
    </row>
    <row r="53" spans="1:33" x14ac:dyDescent="0.25">
      <c r="A53" s="377"/>
      <c r="B53" s="569"/>
      <c r="C53" s="377"/>
      <c r="D53" s="377"/>
      <c r="E53" s="566" t="str">
        <f>IF(AND(A54="",A53&lt;&gt;0),IF(A53&lt;&gt;"",Variabelen!B$5&amp;".   ",""),Variabelen!B$4&amp;A52&amp;". ")</f>
        <v xml:space="preserve">P. </v>
      </c>
      <c r="F53" s="567">
        <v>12</v>
      </c>
      <c r="G53" s="568"/>
      <c r="H53" s="569"/>
      <c r="I53" s="569"/>
      <c r="J53" s="377"/>
      <c r="K53" s="377"/>
      <c r="L53" s="569"/>
      <c r="M53" s="569" t="str">
        <f t="shared" si="1"/>
        <v>0,0</v>
      </c>
      <c r="O53" s="714"/>
      <c r="P53" s="715" t="str">
        <f t="shared" si="3"/>
        <v/>
      </c>
      <c r="Q53" s="36"/>
      <c r="R53" s="36"/>
      <c r="S53" s="193" t="str">
        <f t="shared" si="2"/>
        <v/>
      </c>
      <c r="T53" s="193" t="e">
        <f>VLOOKUP($S53,[3]Lijst!$A$4:$BF$999,57,FALSE)</f>
        <v>#N/A</v>
      </c>
      <c r="U53" s="193" t="e">
        <f>VLOOKUP($S53,[3]Lijst!$A$3:$BF$999,58,FALSE)</f>
        <v>#N/A</v>
      </c>
      <c r="W53" s="16">
        <v>12</v>
      </c>
      <c r="AG53"/>
    </row>
    <row r="54" spans="1:33" x14ac:dyDescent="0.25">
      <c r="A54" s="377"/>
      <c r="B54" s="569"/>
      <c r="C54" s="377"/>
      <c r="D54" s="377"/>
      <c r="E54" s="566" t="str">
        <f>IF(AND(A55="",A54&lt;&gt;0),IF(A54&lt;&gt;"",Variabelen!B$5&amp;".   ",""),Variabelen!B$4&amp;A53&amp;". ")</f>
        <v xml:space="preserve">P. </v>
      </c>
      <c r="F54" s="567">
        <v>13</v>
      </c>
      <c r="G54" s="568"/>
      <c r="H54" s="569"/>
      <c r="I54" s="569"/>
      <c r="J54" s="377"/>
      <c r="K54" s="377"/>
      <c r="L54" s="569"/>
      <c r="M54" s="569" t="str">
        <f t="shared" si="1"/>
        <v>0,0</v>
      </c>
      <c r="O54" s="714"/>
      <c r="P54" s="715" t="str">
        <f t="shared" si="3"/>
        <v/>
      </c>
      <c r="Q54" s="36"/>
      <c r="R54" s="36"/>
      <c r="S54" s="193" t="str">
        <f t="shared" si="2"/>
        <v/>
      </c>
      <c r="T54" s="193" t="e">
        <f>VLOOKUP($S54,[3]Lijst!$A$4:$BF$999,57,FALSE)</f>
        <v>#N/A</v>
      </c>
      <c r="U54" s="193" t="e">
        <f>VLOOKUP($S54,[3]Lijst!$A$3:$BF$999,58,FALSE)</f>
        <v>#N/A</v>
      </c>
      <c r="W54" s="16">
        <v>13</v>
      </c>
      <c r="AG54"/>
    </row>
    <row r="55" spans="1:33" x14ac:dyDescent="0.25">
      <c r="A55" s="377"/>
      <c r="B55" s="569"/>
      <c r="C55" s="377"/>
      <c r="D55" s="377"/>
      <c r="E55" s="566" t="str">
        <f>IF(AND(A56="",A55&lt;&gt;0),IF(A55&lt;&gt;"",Variabelen!B$5&amp;".   ",""),Variabelen!B$4&amp;A54&amp;". ")</f>
        <v xml:space="preserve">P. </v>
      </c>
      <c r="F55" s="567">
        <v>14</v>
      </c>
      <c r="G55" s="568"/>
      <c r="H55" s="569"/>
      <c r="I55" s="569"/>
      <c r="J55" s="377"/>
      <c r="K55" s="377"/>
      <c r="L55" s="569"/>
      <c r="M55" s="569" t="str">
        <f t="shared" si="1"/>
        <v>0,0</v>
      </c>
      <c r="O55" s="714"/>
      <c r="P55" s="715" t="str">
        <f t="shared" si="3"/>
        <v/>
      </c>
      <c r="Q55" s="36"/>
      <c r="R55" s="36"/>
      <c r="S55" s="193" t="str">
        <f t="shared" si="2"/>
        <v/>
      </c>
      <c r="T55" s="193" t="e">
        <f>VLOOKUP($S55,[3]Lijst!$A$4:$BF$999,57,FALSE)</f>
        <v>#N/A</v>
      </c>
      <c r="U55" s="193" t="e">
        <f>VLOOKUP($S55,[3]Lijst!$A$3:$BF$999,58,FALSE)</f>
        <v>#N/A</v>
      </c>
      <c r="W55" s="16">
        <v>14</v>
      </c>
      <c r="AG55"/>
    </row>
    <row r="56" spans="1:33" x14ac:dyDescent="0.25">
      <c r="A56" s="377"/>
      <c r="B56" s="569"/>
      <c r="C56" s="377"/>
      <c r="D56" s="377"/>
      <c r="E56" s="566" t="str">
        <f>IF(AND(A57="",A56&lt;&gt;0),IF(A56&lt;&gt;"",Variabelen!B$5&amp;".   ",""),Variabelen!B$4&amp;A55&amp;". ")</f>
        <v xml:space="preserve">P. </v>
      </c>
      <c r="F56" s="567">
        <v>15</v>
      </c>
      <c r="G56" s="568"/>
      <c r="H56" s="569"/>
      <c r="I56" s="569"/>
      <c r="J56" s="377"/>
      <c r="K56" s="377"/>
      <c r="L56" s="569"/>
      <c r="M56" s="569" t="str">
        <f t="shared" si="1"/>
        <v>0,0</v>
      </c>
      <c r="O56" s="714"/>
      <c r="P56" s="715" t="str">
        <f t="shared" si="3"/>
        <v/>
      </c>
      <c r="Q56" s="36"/>
      <c r="R56" s="36"/>
      <c r="S56" s="193" t="str">
        <f t="shared" si="2"/>
        <v/>
      </c>
      <c r="T56" s="193" t="e">
        <f>VLOOKUP($S56,[3]Lijst!$A$4:$BF$999,57,FALSE)</f>
        <v>#N/A</v>
      </c>
      <c r="U56" s="193" t="e">
        <f>VLOOKUP($S56,[3]Lijst!$A$3:$BF$999,58,FALSE)</f>
        <v>#N/A</v>
      </c>
      <c r="W56" s="16">
        <v>15</v>
      </c>
      <c r="AG56"/>
    </row>
    <row r="57" spans="1:33" x14ac:dyDescent="0.25">
      <c r="A57" s="377"/>
      <c r="B57" s="569"/>
      <c r="C57" s="377"/>
      <c r="D57" s="377"/>
      <c r="E57" s="566" t="str">
        <f>IF(AND(A58="",A57&lt;&gt;0),IF(A57&lt;&gt;"",Variabelen!B$5&amp;".   ",""),Variabelen!B$4&amp;A56&amp;". ")</f>
        <v xml:space="preserve">P. </v>
      </c>
      <c r="F57" s="567">
        <v>16</v>
      </c>
      <c r="G57" s="568"/>
      <c r="H57" s="569"/>
      <c r="I57" s="569"/>
      <c r="J57" s="377"/>
      <c r="K57" s="377"/>
      <c r="L57" s="569"/>
      <c r="M57" s="569" t="str">
        <f t="shared" si="1"/>
        <v>0,0</v>
      </c>
      <c r="O57" s="714"/>
      <c r="P57" s="715" t="str">
        <f t="shared" si="3"/>
        <v/>
      </c>
      <c r="Q57" s="36"/>
      <c r="R57" s="36"/>
      <c r="S57" s="193" t="str">
        <f t="shared" si="2"/>
        <v/>
      </c>
      <c r="T57" s="193" t="e">
        <f>VLOOKUP($S57,[3]Lijst!$A$4:$BF$999,57,FALSE)</f>
        <v>#N/A</v>
      </c>
      <c r="U57" s="193" t="e">
        <f>VLOOKUP($S57,[3]Lijst!$A$3:$BF$999,58,FALSE)</f>
        <v>#N/A</v>
      </c>
      <c r="W57" s="16">
        <v>16</v>
      </c>
      <c r="AG57"/>
    </row>
    <row r="58" spans="1:33" x14ac:dyDescent="0.25">
      <c r="A58" s="377"/>
      <c r="B58" s="569"/>
      <c r="C58" s="377"/>
      <c r="D58" s="377"/>
      <c r="E58" s="566" t="str">
        <f>IF(AND(A59="",A58&lt;&gt;0),IF(A58&lt;&gt;"",Variabelen!B$5&amp;".   ",""),Variabelen!B$4&amp;A57&amp;". ")</f>
        <v xml:space="preserve">P. </v>
      </c>
      <c r="F58" s="567">
        <v>17</v>
      </c>
      <c r="G58" s="568"/>
      <c r="H58" s="569"/>
      <c r="I58" s="569"/>
      <c r="J58" s="377"/>
      <c r="K58" s="377"/>
      <c r="L58" s="569"/>
      <c r="M58" s="569" t="str">
        <f t="shared" si="1"/>
        <v>0,0</v>
      </c>
      <c r="O58" s="714"/>
      <c r="P58" s="715" t="str">
        <f t="shared" si="3"/>
        <v/>
      </c>
      <c r="Q58" s="36"/>
      <c r="R58" s="36"/>
      <c r="S58" s="193" t="str">
        <f t="shared" si="2"/>
        <v/>
      </c>
      <c r="T58" s="193" t="e">
        <f>VLOOKUP($S58,[3]Lijst!$A$4:$BF$999,57,FALSE)</f>
        <v>#N/A</v>
      </c>
      <c r="U58" s="193" t="e">
        <f>VLOOKUP($S58,[3]Lijst!$A$3:$BF$999,58,FALSE)</f>
        <v>#N/A</v>
      </c>
      <c r="W58" s="16">
        <v>17</v>
      </c>
      <c r="AG58"/>
    </row>
    <row r="59" spans="1:33" x14ac:dyDescent="0.25">
      <c r="A59" s="377"/>
      <c r="B59" s="569"/>
      <c r="C59" s="377"/>
      <c r="D59" s="377"/>
      <c r="E59" s="566" t="str">
        <f>IF(AND(A60="",A59&lt;&gt;0),IF(A59&lt;&gt;"",Variabelen!B$5&amp;".   ",""),Variabelen!B$4&amp;A58&amp;". ")</f>
        <v xml:space="preserve">P. </v>
      </c>
      <c r="F59" s="567">
        <v>18</v>
      </c>
      <c r="G59" s="568"/>
      <c r="H59" s="569"/>
      <c r="I59" s="569"/>
      <c r="J59" s="377"/>
      <c r="K59" s="377"/>
      <c r="L59" s="569"/>
      <c r="M59" s="569" t="str">
        <f t="shared" si="1"/>
        <v>0,0</v>
      </c>
      <c r="O59" s="714"/>
      <c r="P59" s="715" t="str">
        <f t="shared" si="3"/>
        <v/>
      </c>
      <c r="Q59" s="36"/>
      <c r="R59" s="36"/>
      <c r="S59" s="193" t="str">
        <f t="shared" si="2"/>
        <v/>
      </c>
      <c r="T59" s="193" t="e">
        <f>VLOOKUP($S59,[3]Lijst!$A$4:$BF$999,57,FALSE)</f>
        <v>#N/A</v>
      </c>
      <c r="U59" s="193" t="e">
        <f>VLOOKUP($S59,[3]Lijst!$A$3:$BF$999,58,FALSE)</f>
        <v>#N/A</v>
      </c>
      <c r="W59" s="16">
        <v>18</v>
      </c>
      <c r="AG59"/>
    </row>
    <row r="60" spans="1:33" x14ac:dyDescent="0.25">
      <c r="A60" s="377"/>
      <c r="B60" s="569"/>
      <c r="C60" s="377"/>
      <c r="D60" s="377"/>
      <c r="E60" s="566" t="str">
        <f>IF(AND(A61="",A60&lt;&gt;0),IF(A60&lt;&gt;"",Variabelen!B$5&amp;".   ",""),Variabelen!B$4&amp;A59&amp;". ")</f>
        <v xml:space="preserve">P. </v>
      </c>
      <c r="F60" s="567">
        <v>19</v>
      </c>
      <c r="G60" s="568"/>
      <c r="H60" s="569"/>
      <c r="I60" s="569"/>
      <c r="J60" s="377"/>
      <c r="K60" s="377"/>
      <c r="L60" s="569"/>
      <c r="M60" s="569" t="str">
        <f t="shared" si="1"/>
        <v>0,0</v>
      </c>
      <c r="O60" s="714"/>
      <c r="P60" s="715" t="str">
        <f t="shared" si="3"/>
        <v/>
      </c>
      <c r="Q60" s="36"/>
      <c r="R60" s="36"/>
      <c r="S60" s="193" t="str">
        <f t="shared" si="2"/>
        <v/>
      </c>
      <c r="T60" s="193" t="e">
        <f>VLOOKUP($S60,[3]Lijst!$A$4:$BF$999,57,FALSE)</f>
        <v>#N/A</v>
      </c>
      <c r="U60" s="193" t="e">
        <f>VLOOKUP($S60,[3]Lijst!$A$3:$BF$999,58,FALSE)</f>
        <v>#N/A</v>
      </c>
      <c r="W60" s="16">
        <v>19</v>
      </c>
      <c r="AG60"/>
    </row>
    <row r="61" spans="1:33" x14ac:dyDescent="0.25">
      <c r="A61" s="377"/>
      <c r="B61" s="569"/>
      <c r="C61" s="377"/>
      <c r="D61" s="377"/>
      <c r="E61" s="566" t="str">
        <f>IF(AND(A62="",A61&lt;&gt;0),IF(A61&lt;&gt;"",Variabelen!B$5&amp;".   ",""),Variabelen!B$4&amp;A60&amp;". ")</f>
        <v xml:space="preserve">P. </v>
      </c>
      <c r="F61" s="567">
        <v>20</v>
      </c>
      <c r="G61" s="568"/>
      <c r="H61" s="569"/>
      <c r="I61" s="569"/>
      <c r="J61" s="377"/>
      <c r="K61" s="377"/>
      <c r="L61" s="569"/>
      <c r="M61" s="569" t="str">
        <f t="shared" si="1"/>
        <v>0,0</v>
      </c>
      <c r="O61" s="714"/>
      <c r="P61" s="715" t="str">
        <f t="shared" si="3"/>
        <v/>
      </c>
      <c r="Q61" s="36"/>
      <c r="R61" s="36"/>
      <c r="S61" s="193" t="str">
        <f t="shared" si="2"/>
        <v/>
      </c>
      <c r="T61" s="193" t="e">
        <f>VLOOKUP($S61,[3]Lijst!$A$4:$BF$999,57,FALSE)</f>
        <v>#N/A</v>
      </c>
      <c r="U61" s="193" t="e">
        <f>VLOOKUP($S61,[3]Lijst!$A$3:$BF$999,58,FALSE)</f>
        <v>#N/A</v>
      </c>
      <c r="W61" s="16">
        <v>20</v>
      </c>
      <c r="AG61"/>
    </row>
    <row r="62" spans="1:33" x14ac:dyDescent="0.25">
      <c r="A62" s="377"/>
      <c r="B62" s="569"/>
      <c r="C62" s="377"/>
      <c r="D62" s="377"/>
      <c r="E62" s="566" t="str">
        <f>IF(AND(A63="",A62&lt;&gt;0),IF(A62&lt;&gt;"",Variabelen!B$5&amp;".   ",""),Variabelen!B$4&amp;A61&amp;". ")</f>
        <v xml:space="preserve">P. </v>
      </c>
      <c r="F62" s="567">
        <v>21</v>
      </c>
      <c r="G62" s="568"/>
      <c r="H62" s="569"/>
      <c r="I62" s="569"/>
      <c r="J62" s="377"/>
      <c r="K62" s="377"/>
      <c r="L62" s="569"/>
      <c r="M62" s="569" t="str">
        <f t="shared" si="1"/>
        <v>0,0</v>
      </c>
      <c r="O62" s="714"/>
      <c r="P62" s="715" t="str">
        <f t="shared" si="3"/>
        <v/>
      </c>
      <c r="Q62" s="36"/>
      <c r="R62" s="36"/>
      <c r="S62" s="193" t="str">
        <f t="shared" si="2"/>
        <v/>
      </c>
      <c r="T62" s="193" t="e">
        <f>VLOOKUP($S62,[3]Lijst!$A$4:$BF$999,57,FALSE)</f>
        <v>#N/A</v>
      </c>
      <c r="U62" s="193" t="e">
        <f>VLOOKUP($S62,[3]Lijst!$A$3:$BF$999,58,FALSE)</f>
        <v>#N/A</v>
      </c>
      <c r="W62" s="16">
        <v>21</v>
      </c>
      <c r="AG62"/>
    </row>
    <row r="63" spans="1:33" x14ac:dyDescent="0.25">
      <c r="A63" s="377"/>
      <c r="B63" s="569"/>
      <c r="C63" s="377"/>
      <c r="D63" s="377"/>
      <c r="E63" s="566" t="str">
        <f>IF(AND(A64="",A63&lt;&gt;0),IF(A63&lt;&gt;"",Variabelen!B$5&amp;".   ",""),Variabelen!B$4&amp;A62&amp;". ")</f>
        <v xml:space="preserve">P. </v>
      </c>
      <c r="F63" s="567">
        <v>22</v>
      </c>
      <c r="G63" s="568"/>
      <c r="H63" s="569"/>
      <c r="I63" s="569"/>
      <c r="J63" s="377"/>
      <c r="K63" s="377"/>
      <c r="L63" s="569"/>
      <c r="M63" s="569" t="str">
        <f t="shared" si="1"/>
        <v>0,0</v>
      </c>
      <c r="O63" s="714"/>
      <c r="P63" s="715" t="str">
        <f t="shared" si="3"/>
        <v/>
      </c>
      <c r="Q63" s="36"/>
      <c r="R63" s="36"/>
      <c r="S63" s="193" t="str">
        <f t="shared" si="2"/>
        <v/>
      </c>
      <c r="T63" s="193" t="e">
        <f>VLOOKUP($S63,[3]Lijst!$A$4:$BF$999,57,FALSE)</f>
        <v>#N/A</v>
      </c>
      <c r="U63" s="193" t="e">
        <f>VLOOKUP($S63,[3]Lijst!$A$3:$BF$999,58,FALSE)</f>
        <v>#N/A</v>
      </c>
      <c r="W63" s="16">
        <v>22</v>
      </c>
      <c r="AG63"/>
    </row>
    <row r="64" spans="1:33" x14ac:dyDescent="0.25">
      <c r="A64" s="377"/>
      <c r="B64" s="569"/>
      <c r="C64" s="377"/>
      <c r="D64" s="377"/>
      <c r="E64" s="566" t="str">
        <f>IF(AND(A65="",A64&lt;&gt;0),IF(A64&lt;&gt;"",Variabelen!B$5&amp;".   ",""),Variabelen!B$4&amp;A63&amp;". ")</f>
        <v xml:space="preserve">P. </v>
      </c>
      <c r="F64" s="567">
        <v>23</v>
      </c>
      <c r="G64" s="568"/>
      <c r="H64" s="377"/>
      <c r="I64" s="569"/>
      <c r="J64" s="377"/>
      <c r="K64" s="377"/>
      <c r="L64" s="569"/>
      <c r="M64" s="569" t="str">
        <f t="shared" si="1"/>
        <v>0,0</v>
      </c>
      <c r="O64" s="714"/>
      <c r="P64" s="715" t="str">
        <f t="shared" si="3"/>
        <v/>
      </c>
      <c r="Q64" s="36"/>
      <c r="R64" s="36"/>
      <c r="S64" s="193" t="str">
        <f t="shared" si="2"/>
        <v/>
      </c>
      <c r="T64" s="193" t="e">
        <f>VLOOKUP($S64,[3]Lijst!$A$4:$BF$999,57,FALSE)</f>
        <v>#N/A</v>
      </c>
      <c r="U64" s="193" t="e">
        <f>VLOOKUP($S64,[3]Lijst!$A$3:$BF$999,58,FALSE)</f>
        <v>#N/A</v>
      </c>
      <c r="W64" s="16">
        <v>23</v>
      </c>
      <c r="AG64"/>
    </row>
    <row r="65" spans="1:33" x14ac:dyDescent="0.25">
      <c r="A65" s="377"/>
      <c r="B65" s="569"/>
      <c r="C65" s="377"/>
      <c r="D65" s="377"/>
      <c r="E65" s="566" t="str">
        <f>IF(AND(A66="",A65&lt;&gt;0),IF(A65&lt;&gt;"",Variabelen!B$5&amp;".   ",""),Variabelen!B$4&amp;A64&amp;". ")</f>
        <v xml:space="preserve">P. </v>
      </c>
      <c r="F65" s="567">
        <v>24</v>
      </c>
      <c r="G65" s="568"/>
      <c r="H65" s="377"/>
      <c r="I65" s="569"/>
      <c r="J65" s="377"/>
      <c r="K65" s="377"/>
      <c r="L65" s="569"/>
      <c r="M65" s="569" t="str">
        <f t="shared" si="1"/>
        <v>0,0</v>
      </c>
      <c r="O65" s="714"/>
      <c r="P65" s="715" t="str">
        <f t="shared" si="3"/>
        <v/>
      </c>
      <c r="Q65" s="36"/>
      <c r="R65" s="36"/>
      <c r="S65" s="193" t="str">
        <f t="shared" si="2"/>
        <v/>
      </c>
      <c r="T65" s="193" t="e">
        <f>VLOOKUP($S65,[3]Lijst!$A$4:$BF$999,57,FALSE)</f>
        <v>#N/A</v>
      </c>
      <c r="U65" s="193" t="e">
        <f>VLOOKUP($S65,[3]Lijst!$A$3:$BF$999,58,FALSE)</f>
        <v>#N/A</v>
      </c>
      <c r="W65" s="16">
        <v>24</v>
      </c>
      <c r="AG65"/>
    </row>
    <row r="66" spans="1:33" x14ac:dyDescent="0.25">
      <c r="A66" s="377"/>
      <c r="B66" s="569"/>
      <c r="C66" s="377"/>
      <c r="D66" s="377"/>
      <c r="E66" s="566" t="str">
        <f>IF(AND(A67="",A66&lt;&gt;0),IF(A66&lt;&gt;"",Variabelen!B$5&amp;".   ",""),Variabelen!B$4&amp;A65&amp;". ")</f>
        <v xml:space="preserve">P. </v>
      </c>
      <c r="F66" s="567">
        <v>25</v>
      </c>
      <c r="G66" s="568"/>
      <c r="H66" s="377"/>
      <c r="I66" s="569"/>
      <c r="J66" s="377"/>
      <c r="K66" s="377"/>
      <c r="L66" s="569"/>
      <c r="M66" s="569" t="str">
        <f t="shared" si="1"/>
        <v>0,0</v>
      </c>
      <c r="O66" s="714"/>
      <c r="P66" s="715" t="str">
        <f t="shared" si="3"/>
        <v/>
      </c>
      <c r="Q66" s="36"/>
      <c r="R66" s="36"/>
      <c r="S66" s="193" t="str">
        <f t="shared" si="2"/>
        <v/>
      </c>
      <c r="T66" s="193" t="e">
        <f>VLOOKUP($S66,[3]Lijst!$A$4:$BF$999,57,FALSE)</f>
        <v>#N/A</v>
      </c>
      <c r="U66" s="193" t="e">
        <f>VLOOKUP($S66,[3]Lijst!$A$3:$BF$999,58,FALSE)</f>
        <v>#N/A</v>
      </c>
      <c r="W66" s="16">
        <v>25</v>
      </c>
      <c r="AG66"/>
    </row>
    <row r="67" spans="1:33" x14ac:dyDescent="0.25">
      <c r="A67" s="377"/>
      <c r="B67" s="569"/>
      <c r="C67" s="377"/>
      <c r="D67" s="377"/>
      <c r="E67" s="566" t="str">
        <f>IF(AND(A68="",A67&lt;&gt;0),IF(A67&lt;&gt;"",Variabelen!B$5&amp;".   ",""),Variabelen!B$4&amp;A66&amp;". ")</f>
        <v xml:space="preserve">P. </v>
      </c>
      <c r="F67" s="567">
        <v>26</v>
      </c>
      <c r="G67" s="568"/>
      <c r="H67" s="377"/>
      <c r="I67" s="569"/>
      <c r="J67" s="377"/>
      <c r="K67" s="377"/>
      <c r="L67" s="569"/>
      <c r="M67" s="569" t="str">
        <f t="shared" si="1"/>
        <v>0,0</v>
      </c>
      <c r="O67" s="714"/>
      <c r="P67" s="715" t="str">
        <f t="shared" si="3"/>
        <v/>
      </c>
      <c r="Q67" s="36"/>
      <c r="R67" s="36"/>
      <c r="S67" s="193" t="str">
        <f t="shared" si="2"/>
        <v/>
      </c>
      <c r="T67" s="193" t="e">
        <f>VLOOKUP($S67,[3]Lijst!$A$4:$BF$999,57,FALSE)</f>
        <v>#N/A</v>
      </c>
      <c r="U67" s="193" t="e">
        <f>VLOOKUP($S67,[3]Lijst!$A$3:$BF$999,58,FALSE)</f>
        <v>#N/A</v>
      </c>
      <c r="W67" s="16">
        <v>26</v>
      </c>
      <c r="AG67"/>
    </row>
    <row r="68" spans="1:33" x14ac:dyDescent="0.25">
      <c r="A68" s="377"/>
      <c r="B68" s="569"/>
      <c r="C68" s="377"/>
      <c r="D68" s="377"/>
      <c r="E68" s="566" t="str">
        <f>IF(AND(A69="",A68&lt;&gt;0),IF(A68&lt;&gt;"",Variabelen!B$5&amp;".   ",""),Variabelen!B$4&amp;A67&amp;". ")</f>
        <v xml:space="preserve">P. </v>
      </c>
      <c r="F68" s="567">
        <v>27</v>
      </c>
      <c r="G68" s="568"/>
      <c r="H68" s="377"/>
      <c r="I68" s="569"/>
      <c r="J68" s="377"/>
      <c r="K68" s="377"/>
      <c r="L68" s="569"/>
      <c r="M68" s="569" t="str">
        <f t="shared" si="1"/>
        <v>0,0</v>
      </c>
      <c r="O68" s="714"/>
      <c r="P68" s="715" t="str">
        <f t="shared" si="3"/>
        <v/>
      </c>
      <c r="Q68" s="36"/>
      <c r="R68" s="36"/>
      <c r="S68" s="193" t="str">
        <f t="shared" si="2"/>
        <v/>
      </c>
      <c r="T68" s="193" t="e">
        <f>VLOOKUP($S68,[3]Lijst!$A$4:$BF$999,57,FALSE)</f>
        <v>#N/A</v>
      </c>
      <c r="U68" s="193" t="e">
        <f>VLOOKUP($S68,[3]Lijst!$A$3:$BF$999,58,FALSE)</f>
        <v>#N/A</v>
      </c>
      <c r="W68" s="16">
        <v>27</v>
      </c>
      <c r="AG68"/>
    </row>
    <row r="69" spans="1:33" x14ac:dyDescent="0.25">
      <c r="A69" s="377"/>
      <c r="B69" s="569"/>
      <c r="C69" s="377"/>
      <c r="D69" s="377"/>
      <c r="E69" s="566" t="str">
        <f>IF(AND(A70="",A69&lt;&gt;0),IF(A69&lt;&gt;"",Variabelen!B$5&amp;".   ",""),Variabelen!B$4&amp;A68&amp;". ")</f>
        <v xml:space="preserve">P. </v>
      </c>
      <c r="F69" s="567">
        <v>28</v>
      </c>
      <c r="G69" s="568"/>
      <c r="H69" s="377"/>
      <c r="I69" s="569"/>
      <c r="J69" s="377"/>
      <c r="K69" s="377"/>
      <c r="L69" s="569"/>
      <c r="M69" s="569" t="str">
        <f t="shared" si="1"/>
        <v>0,0</v>
      </c>
      <c r="O69" s="714"/>
      <c r="P69" s="715" t="str">
        <f t="shared" si="3"/>
        <v/>
      </c>
      <c r="Q69" s="36"/>
      <c r="R69" s="36"/>
      <c r="S69" s="193" t="str">
        <f t="shared" si="2"/>
        <v/>
      </c>
      <c r="T69" s="193" t="e">
        <f>VLOOKUP($S69,[3]Lijst!$A$4:$BF$999,57,FALSE)</f>
        <v>#N/A</v>
      </c>
      <c r="U69" s="193" t="e">
        <f>VLOOKUP($S69,[3]Lijst!$A$3:$BF$999,58,FALSE)</f>
        <v>#N/A</v>
      </c>
      <c r="W69" s="16">
        <v>28</v>
      </c>
      <c r="AG69"/>
    </row>
    <row r="70" spans="1:33" x14ac:dyDescent="0.25">
      <c r="A70" s="377"/>
      <c r="B70" s="569"/>
      <c r="C70" s="377"/>
      <c r="D70" s="377"/>
      <c r="E70" s="566" t="str">
        <f>IF(AND(A71="",A70&lt;&gt;0),IF(A70&lt;&gt;"",Variabelen!B$5&amp;".   ",""),Variabelen!B$4&amp;A69&amp;". ")</f>
        <v xml:space="preserve">P. </v>
      </c>
      <c r="F70" s="567">
        <v>29</v>
      </c>
      <c r="G70" s="568"/>
      <c r="H70" s="377"/>
      <c r="I70" s="569"/>
      <c r="J70" s="377"/>
      <c r="K70" s="377"/>
      <c r="L70" s="569"/>
      <c r="M70" s="569" t="str">
        <f t="shared" si="1"/>
        <v>0,0</v>
      </c>
      <c r="O70" s="714"/>
      <c r="P70" s="715" t="str">
        <f t="shared" si="3"/>
        <v/>
      </c>
      <c r="Q70" s="36"/>
      <c r="R70" s="36"/>
      <c r="S70" s="193" t="str">
        <f t="shared" si="2"/>
        <v/>
      </c>
      <c r="T70" s="193" t="e">
        <f>VLOOKUP($S70,[3]Lijst!$A$4:$BF$999,57,FALSE)</f>
        <v>#N/A</v>
      </c>
      <c r="U70" s="193" t="e">
        <f>VLOOKUP($S70,[3]Lijst!$A$3:$BF$999,58,FALSE)</f>
        <v>#N/A</v>
      </c>
      <c r="W70" s="16">
        <v>29</v>
      </c>
      <c r="AG70"/>
    </row>
    <row r="71" spans="1:33" x14ac:dyDescent="0.25">
      <c r="A71" s="377"/>
      <c r="B71" s="569"/>
      <c r="C71" s="377"/>
      <c r="D71" s="377"/>
      <c r="E71" s="566" t="str">
        <f>IF(AND(A72="",A71&lt;&gt;0),IF(A71&lt;&gt;"",Variabelen!B$5&amp;".   ",""),Variabelen!B$4&amp;A70&amp;". ")</f>
        <v xml:space="preserve">P. </v>
      </c>
      <c r="F71" s="567">
        <v>30</v>
      </c>
      <c r="G71" s="568"/>
      <c r="H71" s="377"/>
      <c r="I71" s="569"/>
      <c r="J71" s="377"/>
      <c r="K71" s="377"/>
      <c r="L71" s="569"/>
      <c r="M71" s="569" t="str">
        <f t="shared" si="1"/>
        <v>0,0</v>
      </c>
      <c r="O71" s="714"/>
      <c r="P71" s="715" t="str">
        <f t="shared" si="3"/>
        <v/>
      </c>
      <c r="Q71" s="36"/>
      <c r="R71" s="36"/>
      <c r="S71" s="193" t="str">
        <f t="shared" si="2"/>
        <v/>
      </c>
      <c r="T71" s="193" t="e">
        <f>VLOOKUP($S71,[3]Lijst!$A$4:$BF$999,57,FALSE)</f>
        <v>#N/A</v>
      </c>
      <c r="U71" s="193" t="e">
        <f>VLOOKUP($S71,[3]Lijst!$A$3:$BF$999,58,FALSE)</f>
        <v>#N/A</v>
      </c>
      <c r="W71" s="16">
        <v>30</v>
      </c>
      <c r="AG71"/>
    </row>
    <row r="72" spans="1:33" x14ac:dyDescent="0.25">
      <c r="A72" s="377"/>
      <c r="B72" s="377"/>
      <c r="C72" s="569"/>
      <c r="D72" s="377"/>
      <c r="E72" s="566" t="str">
        <f>IF(AND(A73="",A72&lt;&gt;0),IF(A72&lt;&gt;"",Variabelen!B$5&amp;".   ",""),Variabelen!B$4&amp;A71&amp;". ")</f>
        <v xml:space="preserve">P. </v>
      </c>
      <c r="F72" s="567">
        <v>31</v>
      </c>
      <c r="G72" s="568"/>
      <c r="H72" s="377"/>
      <c r="I72" s="377"/>
      <c r="J72" s="569"/>
      <c r="K72" s="377"/>
      <c r="L72" s="569"/>
      <c r="M72" s="569" t="str">
        <f t="shared" si="1"/>
        <v>0,0</v>
      </c>
      <c r="O72" s="714"/>
      <c r="P72" s="715" t="str">
        <f t="shared" ref="P72:P91" si="4">IF(O72="","",P71+1)</f>
        <v/>
      </c>
      <c r="Q72" s="36"/>
      <c r="R72" s="36"/>
      <c r="S72" s="193" t="str">
        <f t="shared" ref="S72:S91" si="5">LEFT(O72,11)</f>
        <v/>
      </c>
      <c r="T72" s="193" t="e">
        <f>VLOOKUP($S72,[3]Lijst!$A$4:$BF$999,57,FALSE)</f>
        <v>#N/A</v>
      </c>
      <c r="U72" s="193" t="e">
        <f>VLOOKUP($S72,[3]Lijst!$A$3:$BF$999,58,FALSE)</f>
        <v>#N/A</v>
      </c>
      <c r="W72" s="16">
        <v>31</v>
      </c>
      <c r="AG72"/>
    </row>
    <row r="73" spans="1:33" x14ac:dyDescent="0.25">
      <c r="A73" s="377"/>
      <c r="B73" s="377"/>
      <c r="C73" s="569"/>
      <c r="D73" s="377"/>
      <c r="E73" s="566" t="str">
        <f>IF(AND(A74="",A73&lt;&gt;0),IF(A73&lt;&gt;"",Variabelen!B$5&amp;".   ",""),Variabelen!B$4&amp;A72&amp;". ")</f>
        <v xml:space="preserve">P. </v>
      </c>
      <c r="F73" s="567">
        <v>32</v>
      </c>
      <c r="G73" s="568"/>
      <c r="H73" s="377"/>
      <c r="I73" s="377"/>
      <c r="J73" s="569"/>
      <c r="K73" s="377"/>
      <c r="L73" s="569"/>
      <c r="M73" s="569" t="str">
        <f t="shared" si="1"/>
        <v>0,0</v>
      </c>
      <c r="O73" s="714"/>
      <c r="P73" s="715" t="str">
        <f t="shared" si="4"/>
        <v/>
      </c>
      <c r="Q73" s="36"/>
      <c r="R73" s="36"/>
      <c r="S73" s="193" t="str">
        <f t="shared" si="5"/>
        <v/>
      </c>
      <c r="T73" s="193" t="e">
        <f>VLOOKUP($S73,[3]Lijst!$A$4:$BF$999,57,FALSE)</f>
        <v>#N/A</v>
      </c>
      <c r="U73" s="193" t="e">
        <f>VLOOKUP($S73,[3]Lijst!$A$3:$BF$999,58,FALSE)</f>
        <v>#N/A</v>
      </c>
      <c r="W73" s="16">
        <v>32</v>
      </c>
      <c r="AG73"/>
    </row>
    <row r="74" spans="1:33" x14ac:dyDescent="0.25">
      <c r="A74" s="377"/>
      <c r="B74" s="377"/>
      <c r="C74" s="569"/>
      <c r="D74" s="377"/>
      <c r="E74" s="566" t="str">
        <f>IF(AND(A75="",A74&lt;&gt;0),IF(A74&lt;&gt;"",Variabelen!B$5&amp;".   ",""),Variabelen!B$4&amp;A73&amp;". ")</f>
        <v xml:space="preserve">P. </v>
      </c>
      <c r="F74" s="567">
        <v>33</v>
      </c>
      <c r="G74" s="568"/>
      <c r="H74" s="377"/>
      <c r="I74" s="377"/>
      <c r="J74" s="569"/>
      <c r="K74" s="377"/>
      <c r="L74" s="569"/>
      <c r="M74" s="569" t="str">
        <f t="shared" ref="M74:M105" si="6">POINT(B74,C74)</f>
        <v>0,0</v>
      </c>
      <c r="O74" s="714"/>
      <c r="P74" s="715" t="str">
        <f t="shared" si="4"/>
        <v/>
      </c>
      <c r="Q74" s="36"/>
      <c r="R74" s="36"/>
      <c r="S74" s="193" t="str">
        <f t="shared" si="5"/>
        <v/>
      </c>
      <c r="T74" s="193" t="e">
        <f>VLOOKUP($S74,[3]Lijst!$A$4:$BF$999,57,FALSE)</f>
        <v>#N/A</v>
      </c>
      <c r="U74" s="193" t="e">
        <f>VLOOKUP($S74,[3]Lijst!$A$3:$BF$999,58,FALSE)</f>
        <v>#N/A</v>
      </c>
      <c r="W74" s="16">
        <v>33</v>
      </c>
      <c r="AG74"/>
    </row>
    <row r="75" spans="1:33" x14ac:dyDescent="0.25">
      <c r="A75" s="377"/>
      <c r="B75" s="377"/>
      <c r="C75" s="569"/>
      <c r="D75" s="377"/>
      <c r="E75" s="566" t="str">
        <f>IF(AND(A76="",A75&lt;&gt;0),IF(A75&lt;&gt;"",Variabelen!B$5&amp;".   ",""),Variabelen!B$4&amp;A74&amp;". ")</f>
        <v xml:space="preserve">P. </v>
      </c>
      <c r="F75" s="567">
        <v>34</v>
      </c>
      <c r="G75" s="568"/>
      <c r="H75" s="377"/>
      <c r="I75" s="377"/>
      <c r="J75" s="569"/>
      <c r="K75" s="377"/>
      <c r="L75" s="569"/>
      <c r="M75" s="569" t="str">
        <f t="shared" si="6"/>
        <v>0,0</v>
      </c>
      <c r="O75" s="714"/>
      <c r="P75" s="715" t="str">
        <f t="shared" si="4"/>
        <v/>
      </c>
      <c r="Q75" s="36"/>
      <c r="R75" s="36"/>
      <c r="S75" s="193" t="str">
        <f t="shared" si="5"/>
        <v/>
      </c>
      <c r="T75" s="193" t="e">
        <f>VLOOKUP($S75,[3]Lijst!$A$4:$BF$999,57,FALSE)</f>
        <v>#N/A</v>
      </c>
      <c r="U75" s="193" t="e">
        <f>VLOOKUP($S75,[3]Lijst!$A$3:$BF$999,58,FALSE)</f>
        <v>#N/A</v>
      </c>
      <c r="W75" s="16">
        <v>34</v>
      </c>
      <c r="AG75"/>
    </row>
    <row r="76" spans="1:33" x14ac:dyDescent="0.25">
      <c r="A76" s="377"/>
      <c r="B76" s="377"/>
      <c r="C76" s="569"/>
      <c r="D76" s="377"/>
      <c r="E76" s="566" t="str">
        <f>IF(AND(A77="",A76&lt;&gt;0),IF(A76&lt;&gt;"",Variabelen!B$5&amp;".   ",""),Variabelen!B$4&amp;A75&amp;". ")</f>
        <v xml:space="preserve">P. </v>
      </c>
      <c r="F76" s="567">
        <v>35</v>
      </c>
      <c r="G76" s="568"/>
      <c r="H76" s="377"/>
      <c r="I76" s="377"/>
      <c r="J76" s="569"/>
      <c r="K76" s="377"/>
      <c r="L76" s="569"/>
      <c r="M76" s="569" t="str">
        <f t="shared" si="6"/>
        <v>0,0</v>
      </c>
      <c r="O76" s="714"/>
      <c r="P76" s="715" t="str">
        <f t="shared" si="4"/>
        <v/>
      </c>
      <c r="Q76" s="36"/>
      <c r="R76" s="36"/>
      <c r="S76" s="193" t="str">
        <f t="shared" si="5"/>
        <v/>
      </c>
      <c r="T76" s="193" t="e">
        <f>VLOOKUP($S76,[3]Lijst!$A$4:$BF$999,57,FALSE)</f>
        <v>#N/A</v>
      </c>
      <c r="U76" s="193" t="e">
        <f>VLOOKUP($S76,[3]Lijst!$A$3:$BF$999,58,FALSE)</f>
        <v>#N/A</v>
      </c>
      <c r="W76" s="16">
        <v>35</v>
      </c>
      <c r="AG76"/>
    </row>
    <row r="77" spans="1:33" x14ac:dyDescent="0.25">
      <c r="A77" s="377"/>
      <c r="B77" s="377"/>
      <c r="C77" s="569"/>
      <c r="D77" s="377"/>
      <c r="E77" s="566" t="str">
        <f>IF(AND(A78="",A77&lt;&gt;0),IF(A77&lt;&gt;"",Variabelen!B$5&amp;".   ",""),Variabelen!B$4&amp;A76&amp;". ")</f>
        <v xml:space="preserve">P. </v>
      </c>
      <c r="F77" s="567">
        <v>36</v>
      </c>
      <c r="G77" s="568"/>
      <c r="H77" s="377"/>
      <c r="I77" s="377"/>
      <c r="J77" s="569"/>
      <c r="K77" s="377"/>
      <c r="L77" s="569"/>
      <c r="M77" s="569" t="str">
        <f t="shared" si="6"/>
        <v>0,0</v>
      </c>
      <c r="O77" s="714"/>
      <c r="P77" s="715" t="str">
        <f t="shared" si="4"/>
        <v/>
      </c>
      <c r="Q77" s="36"/>
      <c r="R77" s="36"/>
      <c r="S77" s="193" t="str">
        <f t="shared" si="5"/>
        <v/>
      </c>
      <c r="T77" s="193" t="e">
        <f>VLOOKUP($S77,[3]Lijst!$A$4:$BF$999,57,FALSE)</f>
        <v>#N/A</v>
      </c>
      <c r="U77" s="193" t="e">
        <f>VLOOKUP($S77,[3]Lijst!$A$3:$BF$999,58,FALSE)</f>
        <v>#N/A</v>
      </c>
      <c r="W77" s="16">
        <v>36</v>
      </c>
      <c r="AG77"/>
    </row>
    <row r="78" spans="1:33" x14ac:dyDescent="0.25">
      <c r="A78" s="377"/>
      <c r="B78" s="377"/>
      <c r="C78" s="569"/>
      <c r="D78" s="377"/>
      <c r="E78" s="566" t="str">
        <f>IF(AND(A79="",A78&lt;&gt;0),IF(A78&lt;&gt;"",Variabelen!B$5&amp;".   ",""),Variabelen!B$4&amp;A77&amp;". ")</f>
        <v xml:space="preserve">P. </v>
      </c>
      <c r="F78" s="567">
        <v>37</v>
      </c>
      <c r="G78" s="568"/>
      <c r="H78" s="377"/>
      <c r="I78" s="377"/>
      <c r="J78" s="569"/>
      <c r="K78" s="377"/>
      <c r="L78" s="569"/>
      <c r="M78" s="569" t="str">
        <f t="shared" si="6"/>
        <v>0,0</v>
      </c>
      <c r="O78" s="714"/>
      <c r="P78" s="715" t="str">
        <f t="shared" si="4"/>
        <v/>
      </c>
      <c r="Q78" s="36"/>
      <c r="R78" s="36"/>
      <c r="S78" s="193" t="str">
        <f t="shared" si="5"/>
        <v/>
      </c>
      <c r="T78" s="193" t="e">
        <f>VLOOKUP($S78,[3]Lijst!$A$4:$BF$999,57,FALSE)</f>
        <v>#N/A</v>
      </c>
      <c r="U78" s="193" t="e">
        <f>VLOOKUP($S78,[3]Lijst!$A$3:$BF$999,58,FALSE)</f>
        <v>#N/A</v>
      </c>
      <c r="W78" s="16">
        <v>37</v>
      </c>
      <c r="AG78"/>
    </row>
    <row r="79" spans="1:33" x14ac:dyDescent="0.25">
      <c r="A79" s="377"/>
      <c r="B79" s="377"/>
      <c r="C79" s="569"/>
      <c r="D79" s="377"/>
      <c r="E79" s="566" t="str">
        <f>IF(AND(A80="",A79&lt;&gt;0),IF(A79&lt;&gt;"",Variabelen!B$5&amp;".   ",""),Variabelen!B$4&amp;A78&amp;". ")</f>
        <v xml:space="preserve">P. </v>
      </c>
      <c r="F79" s="567">
        <v>38</v>
      </c>
      <c r="G79" s="568"/>
      <c r="H79" s="377"/>
      <c r="I79" s="377"/>
      <c r="J79" s="569"/>
      <c r="K79" s="377"/>
      <c r="L79" s="569"/>
      <c r="M79" s="569" t="str">
        <f t="shared" si="6"/>
        <v>0,0</v>
      </c>
      <c r="O79" s="714"/>
      <c r="P79" s="715" t="str">
        <f t="shared" si="4"/>
        <v/>
      </c>
      <c r="Q79" s="36"/>
      <c r="R79" s="36"/>
      <c r="S79" s="193" t="str">
        <f t="shared" si="5"/>
        <v/>
      </c>
      <c r="T79" s="193" t="e">
        <f>VLOOKUP($S79,[3]Lijst!$A$4:$BF$999,57,FALSE)</f>
        <v>#N/A</v>
      </c>
      <c r="U79" s="193" t="e">
        <f>VLOOKUP($S79,[3]Lijst!$A$3:$BF$999,58,FALSE)</f>
        <v>#N/A</v>
      </c>
      <c r="W79" s="16">
        <v>38</v>
      </c>
      <c r="AG79"/>
    </row>
    <row r="80" spans="1:33" x14ac:dyDescent="0.25">
      <c r="A80" s="377"/>
      <c r="B80" s="377"/>
      <c r="C80" s="569"/>
      <c r="D80" s="377"/>
      <c r="E80" s="566" t="str">
        <f>IF(AND(A81="",A80&lt;&gt;0),IF(A80&lt;&gt;"",Variabelen!B$5&amp;".   ",""),Variabelen!B$4&amp;A79&amp;". ")</f>
        <v xml:space="preserve">P. </v>
      </c>
      <c r="F80" s="567">
        <v>39</v>
      </c>
      <c r="G80" s="568"/>
      <c r="H80" s="377"/>
      <c r="I80" s="377"/>
      <c r="J80" s="569"/>
      <c r="K80" s="377"/>
      <c r="L80" s="569"/>
      <c r="M80" s="569" t="str">
        <f t="shared" si="6"/>
        <v>0,0</v>
      </c>
      <c r="O80" s="714"/>
      <c r="P80" s="715" t="str">
        <f t="shared" si="4"/>
        <v/>
      </c>
      <c r="Q80" s="36"/>
      <c r="R80" s="36"/>
      <c r="S80" s="193" t="str">
        <f t="shared" si="5"/>
        <v/>
      </c>
      <c r="T80" s="193" t="e">
        <f>VLOOKUP($S80,[3]Lijst!$A$4:$BF$999,57,FALSE)</f>
        <v>#N/A</v>
      </c>
      <c r="U80" s="193" t="e">
        <f>VLOOKUP($S80,[3]Lijst!$A$3:$BF$999,58,FALSE)</f>
        <v>#N/A</v>
      </c>
      <c r="W80" s="16">
        <v>39</v>
      </c>
      <c r="AG80"/>
    </row>
    <row r="81" spans="1:33" x14ac:dyDescent="0.25">
      <c r="A81" s="377"/>
      <c r="B81" s="377"/>
      <c r="C81" s="569"/>
      <c r="D81" s="377"/>
      <c r="E81" s="566" t="str">
        <f>IF(AND(A82="",A81&lt;&gt;0),IF(A81&lt;&gt;"",Variabelen!B$5&amp;".   ",""),Variabelen!B$4&amp;A80&amp;". ")</f>
        <v xml:space="preserve">P. </v>
      </c>
      <c r="F81" s="567">
        <v>40</v>
      </c>
      <c r="G81" s="568"/>
      <c r="H81" s="377"/>
      <c r="I81" s="377"/>
      <c r="J81" s="569"/>
      <c r="K81" s="377"/>
      <c r="L81" s="569"/>
      <c r="M81" s="569" t="str">
        <f t="shared" si="6"/>
        <v>0,0</v>
      </c>
      <c r="O81" s="18"/>
      <c r="P81" s="715" t="str">
        <f t="shared" si="4"/>
        <v/>
      </c>
      <c r="Q81" s="36"/>
      <c r="R81" s="36"/>
      <c r="S81" s="193" t="str">
        <f t="shared" si="5"/>
        <v/>
      </c>
      <c r="T81" s="193" t="e">
        <f>VLOOKUP($S81,[3]Lijst!$A$4:$BF$999,57,FALSE)</f>
        <v>#N/A</v>
      </c>
      <c r="U81" s="193" t="e">
        <f>VLOOKUP($S81,[3]Lijst!$A$3:$BF$999,58,FALSE)</f>
        <v>#N/A</v>
      </c>
      <c r="W81" s="16">
        <v>40</v>
      </c>
      <c r="AG81"/>
    </row>
    <row r="82" spans="1:33" x14ac:dyDescent="0.25">
      <c r="A82" s="377"/>
      <c r="B82" s="377"/>
      <c r="C82" s="569"/>
      <c r="D82" s="377"/>
      <c r="E82" s="566" t="str">
        <f>IF(AND(A83="",A82&lt;&gt;0),IF(A82&lt;&gt;"",Variabelen!B$5&amp;".   ",""),Variabelen!B$4&amp;A81&amp;". ")</f>
        <v xml:space="preserve">P. </v>
      </c>
      <c r="F82" s="567">
        <v>41</v>
      </c>
      <c r="G82" s="568"/>
      <c r="H82" s="377"/>
      <c r="I82" s="377"/>
      <c r="J82" s="569"/>
      <c r="K82" s="377"/>
      <c r="L82" s="569"/>
      <c r="M82" s="569" t="str">
        <f t="shared" si="6"/>
        <v>0,0</v>
      </c>
      <c r="O82" s="18"/>
      <c r="P82" s="715" t="str">
        <f t="shared" si="4"/>
        <v/>
      </c>
      <c r="Q82" s="36"/>
      <c r="R82" s="36"/>
      <c r="S82" s="193" t="str">
        <f t="shared" si="5"/>
        <v/>
      </c>
      <c r="T82" s="193" t="e">
        <f>VLOOKUP($S82,[3]Lijst!$A$4:$BF$999,57,FALSE)</f>
        <v>#N/A</v>
      </c>
      <c r="U82" s="193" t="e">
        <f>VLOOKUP($S82,[3]Lijst!$A$3:$BF$999,58,FALSE)</f>
        <v>#N/A</v>
      </c>
      <c r="W82" s="16">
        <v>41</v>
      </c>
      <c r="AG82"/>
    </row>
    <row r="83" spans="1:33" x14ac:dyDescent="0.25">
      <c r="A83" s="377"/>
      <c r="B83" s="377"/>
      <c r="C83" s="569"/>
      <c r="D83" s="377"/>
      <c r="E83" s="566" t="str">
        <f>IF(AND(A84="",A83&lt;&gt;0),IF(A83&lt;&gt;"",Variabelen!B$5&amp;".   ",""),Variabelen!B$4&amp;A82&amp;". ")</f>
        <v xml:space="preserve">P. </v>
      </c>
      <c r="F83" s="567">
        <v>42</v>
      </c>
      <c r="G83" s="568"/>
      <c r="H83" s="377"/>
      <c r="I83" s="377"/>
      <c r="J83" s="569"/>
      <c r="K83" s="377"/>
      <c r="L83" s="569"/>
      <c r="M83" s="569" t="str">
        <f t="shared" si="6"/>
        <v>0,0</v>
      </c>
      <c r="O83" s="18"/>
      <c r="P83" s="715" t="str">
        <f t="shared" si="4"/>
        <v/>
      </c>
      <c r="Q83" s="36"/>
      <c r="R83" s="36"/>
      <c r="S83" s="193" t="str">
        <f t="shared" si="5"/>
        <v/>
      </c>
      <c r="T83" s="193" t="e">
        <f>VLOOKUP($S83,[3]Lijst!$A$4:$BF$999,57,FALSE)</f>
        <v>#N/A</v>
      </c>
      <c r="U83" s="193" t="e">
        <f>VLOOKUP($S83,[3]Lijst!$A$3:$BF$999,58,FALSE)</f>
        <v>#N/A</v>
      </c>
      <c r="W83" s="16">
        <v>42</v>
      </c>
      <c r="AG83"/>
    </row>
    <row r="84" spans="1:33" x14ac:dyDescent="0.25">
      <c r="A84" s="377"/>
      <c r="B84" s="377"/>
      <c r="C84" s="569"/>
      <c r="D84" s="377"/>
      <c r="E84" s="566" t="str">
        <f>IF(AND(A85="",A84&lt;&gt;0),IF(A84&lt;&gt;"",Variabelen!B$5&amp;".   ",""),Variabelen!B$4&amp;A83&amp;". ")</f>
        <v xml:space="preserve">P. </v>
      </c>
      <c r="F84" s="567">
        <v>43</v>
      </c>
      <c r="G84" s="568"/>
      <c r="H84" s="377"/>
      <c r="I84" s="377"/>
      <c r="J84" s="569"/>
      <c r="K84" s="377"/>
      <c r="L84" s="569"/>
      <c r="M84" s="569" t="str">
        <f t="shared" si="6"/>
        <v>0,0</v>
      </c>
      <c r="O84" s="18"/>
      <c r="P84" s="715" t="str">
        <f t="shared" si="4"/>
        <v/>
      </c>
      <c r="Q84" s="36"/>
      <c r="R84" s="36"/>
      <c r="S84" s="193" t="str">
        <f t="shared" si="5"/>
        <v/>
      </c>
      <c r="T84" s="193" t="e">
        <f>VLOOKUP($S84,[3]Lijst!$A$4:$BF$999,57,FALSE)</f>
        <v>#N/A</v>
      </c>
      <c r="U84" s="193" t="e">
        <f>VLOOKUP($S84,[3]Lijst!$A$3:$BF$999,58,FALSE)</f>
        <v>#N/A</v>
      </c>
      <c r="W84" s="16">
        <v>43</v>
      </c>
      <c r="AG84"/>
    </row>
    <row r="85" spans="1:33" x14ac:dyDescent="0.25">
      <c r="A85" s="377"/>
      <c r="B85" s="377"/>
      <c r="C85" s="569"/>
      <c r="D85" s="377"/>
      <c r="E85" s="566" t="str">
        <f>IF(AND(A86="",A85&lt;&gt;0),IF(A85&lt;&gt;"",Variabelen!B$5&amp;".   ",""),Variabelen!B$4&amp;A84&amp;". ")</f>
        <v xml:space="preserve">P. </v>
      </c>
      <c r="F85" s="567">
        <v>44</v>
      </c>
      <c r="G85" s="568"/>
      <c r="H85" s="377"/>
      <c r="I85" s="377"/>
      <c r="J85" s="569"/>
      <c r="K85" s="377"/>
      <c r="L85" s="569"/>
      <c r="M85" s="569" t="str">
        <f t="shared" si="6"/>
        <v>0,0</v>
      </c>
      <c r="O85" s="18"/>
      <c r="P85" s="715" t="str">
        <f t="shared" si="4"/>
        <v/>
      </c>
      <c r="Q85" s="36"/>
      <c r="R85" s="36"/>
      <c r="S85" s="193" t="str">
        <f t="shared" si="5"/>
        <v/>
      </c>
      <c r="T85" s="193" t="e">
        <f>VLOOKUP($S85,[3]Lijst!$A$4:$BF$999,57,FALSE)</f>
        <v>#N/A</v>
      </c>
      <c r="U85" s="193" t="e">
        <f>VLOOKUP($S85,[3]Lijst!$A$3:$BF$999,58,FALSE)</f>
        <v>#N/A</v>
      </c>
      <c r="W85" s="16">
        <v>44</v>
      </c>
      <c r="AG85"/>
    </row>
    <row r="86" spans="1:33" x14ac:dyDescent="0.25">
      <c r="A86" s="377"/>
      <c r="B86" s="377"/>
      <c r="C86" s="569"/>
      <c r="D86" s="377"/>
      <c r="E86" s="566" t="str">
        <f>IF(AND(A87="",A86&lt;&gt;0),IF(A86&lt;&gt;"",Variabelen!B$5&amp;".   ",""),Variabelen!B$4&amp;A85&amp;". ")</f>
        <v xml:space="preserve">P. </v>
      </c>
      <c r="F86" s="567">
        <v>45</v>
      </c>
      <c r="G86" s="568"/>
      <c r="H86" s="377"/>
      <c r="I86" s="377"/>
      <c r="J86" s="569"/>
      <c r="K86" s="377"/>
      <c r="L86" s="569"/>
      <c r="M86" s="569" t="str">
        <f t="shared" si="6"/>
        <v>0,0</v>
      </c>
      <c r="O86" s="18"/>
      <c r="P86" s="715" t="str">
        <f t="shared" si="4"/>
        <v/>
      </c>
      <c r="Q86" s="36"/>
      <c r="R86" s="36"/>
      <c r="S86" s="193" t="str">
        <f t="shared" si="5"/>
        <v/>
      </c>
      <c r="T86" s="193" t="e">
        <f>VLOOKUP($S86,[3]Lijst!$A$4:$BF$999,57,FALSE)</f>
        <v>#N/A</v>
      </c>
      <c r="U86" s="193" t="e">
        <f>VLOOKUP($S86,[3]Lijst!$A$3:$BF$999,58,FALSE)</f>
        <v>#N/A</v>
      </c>
      <c r="W86" s="16">
        <v>45</v>
      </c>
      <c r="AG86"/>
    </row>
    <row r="87" spans="1:33" x14ac:dyDescent="0.25">
      <c r="A87" s="377"/>
      <c r="B87" s="377"/>
      <c r="C87" s="569"/>
      <c r="D87" s="377"/>
      <c r="E87" s="566" t="str">
        <f>IF(AND(A88="",A87&lt;&gt;0),IF(A87&lt;&gt;"",Variabelen!B$5&amp;".   ",""),Variabelen!B$4&amp;A86&amp;". ")</f>
        <v xml:space="preserve">P. </v>
      </c>
      <c r="F87" s="567">
        <v>46</v>
      </c>
      <c r="G87" s="568"/>
      <c r="H87" s="377"/>
      <c r="I87" s="377"/>
      <c r="J87" s="569"/>
      <c r="K87" s="377"/>
      <c r="L87" s="569"/>
      <c r="M87" s="569" t="str">
        <f t="shared" si="6"/>
        <v>0,0</v>
      </c>
      <c r="O87" s="18"/>
      <c r="P87" s="715" t="str">
        <f t="shared" si="4"/>
        <v/>
      </c>
      <c r="Q87" s="36"/>
      <c r="R87" s="36"/>
      <c r="S87" s="193" t="str">
        <f t="shared" si="5"/>
        <v/>
      </c>
      <c r="T87" s="193" t="e">
        <f>VLOOKUP($S87,[3]Lijst!$A$4:$BF$999,57,FALSE)</f>
        <v>#N/A</v>
      </c>
      <c r="U87" s="193" t="e">
        <f>VLOOKUP($S87,[3]Lijst!$A$3:$BF$999,58,FALSE)</f>
        <v>#N/A</v>
      </c>
      <c r="W87" s="16">
        <v>46</v>
      </c>
      <c r="AG87"/>
    </row>
    <row r="88" spans="1:33" x14ac:dyDescent="0.25">
      <c r="A88" s="377"/>
      <c r="B88" s="377"/>
      <c r="C88" s="569"/>
      <c r="D88" s="377"/>
      <c r="E88" s="566" t="str">
        <f>IF(AND(A89="",A88&lt;&gt;0),IF(A88&lt;&gt;"",Variabelen!B$5&amp;".   ",""),Variabelen!B$4&amp;A87&amp;". ")</f>
        <v xml:space="preserve">P. </v>
      </c>
      <c r="F88" s="567">
        <v>47</v>
      </c>
      <c r="G88" s="568"/>
      <c r="H88" s="377"/>
      <c r="I88" s="377"/>
      <c r="J88" s="569"/>
      <c r="K88" s="377"/>
      <c r="L88" s="569"/>
      <c r="M88" s="569" t="str">
        <f t="shared" si="6"/>
        <v>0,0</v>
      </c>
      <c r="O88" s="18"/>
      <c r="P88" s="715" t="str">
        <f t="shared" si="4"/>
        <v/>
      </c>
      <c r="Q88" s="36"/>
      <c r="R88" s="36"/>
      <c r="S88" s="193" t="str">
        <f t="shared" si="5"/>
        <v/>
      </c>
      <c r="T88" s="193" t="e">
        <f>VLOOKUP($S88,[3]Lijst!$A$4:$BF$999,57,FALSE)</f>
        <v>#N/A</v>
      </c>
      <c r="U88" s="193" t="e">
        <f>VLOOKUP($S88,[3]Lijst!$A$3:$BF$999,58,FALSE)</f>
        <v>#N/A</v>
      </c>
      <c r="W88" s="16">
        <v>47</v>
      </c>
      <c r="AG88"/>
    </row>
    <row r="89" spans="1:33" x14ac:dyDescent="0.25">
      <c r="A89" s="377"/>
      <c r="B89" s="377"/>
      <c r="C89" s="569"/>
      <c r="D89" s="377"/>
      <c r="E89" s="566" t="str">
        <f>IF(AND(A90="",A89&lt;&gt;0),IF(A89&lt;&gt;"",Variabelen!B$5&amp;".   ",""),Variabelen!B$4&amp;A88&amp;". ")</f>
        <v xml:space="preserve">P. </v>
      </c>
      <c r="F89" s="567">
        <v>48</v>
      </c>
      <c r="G89" s="568"/>
      <c r="H89" s="377"/>
      <c r="I89" s="377"/>
      <c r="J89" s="569"/>
      <c r="K89" s="377"/>
      <c r="L89" s="569"/>
      <c r="M89" s="569" t="str">
        <f t="shared" si="6"/>
        <v>0,0</v>
      </c>
      <c r="O89" s="18"/>
      <c r="P89" s="715" t="str">
        <f t="shared" si="4"/>
        <v/>
      </c>
      <c r="Q89" s="36"/>
      <c r="R89" s="36"/>
      <c r="S89" s="193" t="str">
        <f t="shared" si="5"/>
        <v/>
      </c>
      <c r="T89" s="193" t="e">
        <f>VLOOKUP($S89,[3]Lijst!$A$4:$BF$999,57,FALSE)</f>
        <v>#N/A</v>
      </c>
      <c r="U89" s="193" t="e">
        <f>VLOOKUP($S89,[3]Lijst!$A$3:$BF$999,58,FALSE)</f>
        <v>#N/A</v>
      </c>
      <c r="W89" s="16">
        <v>48</v>
      </c>
      <c r="AG89"/>
    </row>
    <row r="90" spans="1:33" x14ac:dyDescent="0.25">
      <c r="A90" s="377"/>
      <c r="B90" s="377"/>
      <c r="C90" s="569"/>
      <c r="D90" s="377"/>
      <c r="E90" s="566" t="str">
        <f>IF(AND(A91="",A90&lt;&gt;0),IF(A90&lt;&gt;"",Variabelen!B$5&amp;".   ",""),Variabelen!B$4&amp;A89&amp;". ")</f>
        <v xml:space="preserve">P. </v>
      </c>
      <c r="F90" s="567">
        <v>49</v>
      </c>
      <c r="G90" s="568"/>
      <c r="H90" s="377"/>
      <c r="I90" s="377"/>
      <c r="J90" s="569"/>
      <c r="K90" s="377"/>
      <c r="L90" s="569"/>
      <c r="M90" s="569" t="str">
        <f t="shared" si="6"/>
        <v>0,0</v>
      </c>
      <c r="O90" s="18"/>
      <c r="P90" s="715" t="str">
        <f t="shared" si="4"/>
        <v/>
      </c>
      <c r="Q90" s="36"/>
      <c r="R90" s="36"/>
      <c r="S90" s="193" t="str">
        <f t="shared" si="5"/>
        <v/>
      </c>
      <c r="T90" s="193" t="e">
        <f>VLOOKUP($S90,[3]Lijst!$A$4:$BF$999,57,FALSE)</f>
        <v>#N/A</v>
      </c>
      <c r="U90" s="193" t="e">
        <f>VLOOKUP($S90,[3]Lijst!$A$3:$BF$999,58,FALSE)</f>
        <v>#N/A</v>
      </c>
      <c r="W90" s="16">
        <v>49</v>
      </c>
      <c r="AG90"/>
    </row>
    <row r="91" spans="1:33" x14ac:dyDescent="0.25">
      <c r="A91" s="377"/>
      <c r="B91" s="377"/>
      <c r="C91" s="569"/>
      <c r="D91" s="377"/>
      <c r="E91" s="566" t="str">
        <f>IF(AND(A92="",A91&lt;&gt;0),IF(A91&lt;&gt;"",Variabelen!B$5&amp;".   ",""),Variabelen!B$4&amp;A90&amp;". ")</f>
        <v xml:space="preserve">P. </v>
      </c>
      <c r="F91" s="567">
        <v>50</v>
      </c>
      <c r="G91" s="568"/>
      <c r="H91" s="377"/>
      <c r="I91" s="377"/>
      <c r="J91" s="569"/>
      <c r="K91" s="377"/>
      <c r="L91" s="569"/>
      <c r="M91" s="569" t="str">
        <f t="shared" si="6"/>
        <v>0,0</v>
      </c>
      <c r="O91" s="18"/>
      <c r="P91" s="715" t="str">
        <f t="shared" si="4"/>
        <v/>
      </c>
      <c r="Q91" s="36"/>
      <c r="R91" s="36"/>
      <c r="S91" s="193" t="str">
        <f t="shared" si="5"/>
        <v/>
      </c>
      <c r="T91" s="193" t="e">
        <f>VLOOKUP($S91,[3]Lijst!$A$4:$BF$999,57,FALSE)</f>
        <v>#N/A</v>
      </c>
      <c r="U91" s="193" t="e">
        <f>VLOOKUP($S91,[3]Lijst!$A$3:$BF$999,58,FALSE)</f>
        <v>#N/A</v>
      </c>
      <c r="W91" s="16">
        <v>50</v>
      </c>
      <c r="AG91"/>
    </row>
    <row r="92" spans="1:33" x14ac:dyDescent="0.25">
      <c r="A92" s="377"/>
      <c r="B92" s="377"/>
      <c r="C92" s="569"/>
      <c r="D92" s="377"/>
      <c r="E92" s="566" t="str">
        <f>IF(AND(A93="",A92&lt;&gt;0),IF(A92&lt;&gt;"",Variabelen!B$5&amp;".   ",""),Variabelen!B$4&amp;A91&amp;". ")</f>
        <v xml:space="preserve">P. </v>
      </c>
      <c r="F92" s="567">
        <v>51</v>
      </c>
      <c r="G92" s="568"/>
      <c r="H92" s="377"/>
      <c r="I92" s="377"/>
      <c r="J92" s="569"/>
      <c r="K92" s="377"/>
      <c r="L92" s="569"/>
      <c r="M92" s="569" t="str">
        <f t="shared" si="6"/>
        <v>0,0</v>
      </c>
      <c r="AG92"/>
    </row>
    <row r="93" spans="1:33" x14ac:dyDescent="0.25">
      <c r="A93" s="377"/>
      <c r="B93" s="377"/>
      <c r="C93" s="569"/>
      <c r="D93" s="377"/>
      <c r="E93" s="566" t="str">
        <f>IF(AND(A94="",A93&lt;&gt;0),IF(A93&lt;&gt;"",Variabelen!B$5&amp;".   ",""),Variabelen!B$4&amp;A92&amp;". ")</f>
        <v xml:space="preserve">P. </v>
      </c>
      <c r="F93" s="567">
        <v>52</v>
      </c>
      <c r="G93" s="568"/>
      <c r="H93" s="377"/>
      <c r="I93" s="377"/>
      <c r="J93" s="569"/>
      <c r="K93" s="377"/>
      <c r="L93" s="569"/>
      <c r="M93" s="569" t="str">
        <f t="shared" si="6"/>
        <v>0,0</v>
      </c>
      <c r="AG93"/>
    </row>
    <row r="94" spans="1:33" x14ac:dyDescent="0.25">
      <c r="A94" s="377"/>
      <c r="B94" s="377"/>
      <c r="C94" s="569"/>
      <c r="D94" s="377"/>
      <c r="E94" s="566" t="str">
        <f>IF(AND(A95="",A94&lt;&gt;0),IF(A94&lt;&gt;"",Variabelen!B$5&amp;".   ",""),Variabelen!B$4&amp;A93&amp;". ")</f>
        <v xml:space="preserve">P. </v>
      </c>
      <c r="F94" s="567">
        <v>53</v>
      </c>
      <c r="G94" s="568"/>
      <c r="H94" s="377"/>
      <c r="I94" s="377"/>
      <c r="J94" s="569"/>
      <c r="K94" s="377"/>
      <c r="L94" s="569"/>
      <c r="M94" s="569" t="str">
        <f t="shared" si="6"/>
        <v>0,0</v>
      </c>
      <c r="AG94"/>
    </row>
    <row r="95" spans="1:33" x14ac:dyDescent="0.25">
      <c r="A95" s="377"/>
      <c r="B95" s="377"/>
      <c r="C95" s="569"/>
      <c r="D95" s="377"/>
      <c r="E95" s="566" t="str">
        <f>IF(AND(A96="",A95&lt;&gt;0),IF(A95&lt;&gt;"",Variabelen!B$5&amp;".   ",""),Variabelen!B$4&amp;A94&amp;". ")</f>
        <v xml:space="preserve">P. </v>
      </c>
      <c r="F95" s="567">
        <v>54</v>
      </c>
      <c r="G95" s="568"/>
      <c r="H95" s="377"/>
      <c r="I95" s="377"/>
      <c r="J95" s="569"/>
      <c r="K95" s="377"/>
      <c r="L95" s="569"/>
      <c r="M95" s="569" t="str">
        <f t="shared" si="6"/>
        <v>0,0</v>
      </c>
      <c r="AG95"/>
    </row>
    <row r="96" spans="1:33" x14ac:dyDescent="0.25">
      <c r="A96" s="377"/>
      <c r="B96" s="377"/>
      <c r="C96" s="569"/>
      <c r="D96" s="377"/>
      <c r="E96" s="566" t="str">
        <f>IF(AND(A97="",A96&lt;&gt;0),IF(A96&lt;&gt;"",Variabelen!B$5&amp;".   ",""),Variabelen!B$4&amp;A95&amp;". ")</f>
        <v xml:space="preserve">P. </v>
      </c>
      <c r="F96" s="567">
        <v>55</v>
      </c>
      <c r="G96" s="568"/>
      <c r="H96" s="377"/>
      <c r="I96" s="377"/>
      <c r="J96" s="569"/>
      <c r="K96" s="377"/>
      <c r="L96" s="569"/>
      <c r="M96" s="569" t="str">
        <f t="shared" si="6"/>
        <v>0,0</v>
      </c>
      <c r="AG96"/>
    </row>
    <row r="97" spans="1:33" x14ac:dyDescent="0.25">
      <c r="A97" s="377"/>
      <c r="B97" s="377"/>
      <c r="C97" s="569"/>
      <c r="D97" s="377"/>
      <c r="E97" s="566" t="str">
        <f>IF(AND(A98="",A97&lt;&gt;0),IF(A97&lt;&gt;"",Variabelen!B$5&amp;".   ",""),Variabelen!B$4&amp;A96&amp;". ")</f>
        <v xml:space="preserve">P. </v>
      </c>
      <c r="F97" s="567">
        <v>56</v>
      </c>
      <c r="G97" s="568"/>
      <c r="H97" s="377"/>
      <c r="I97" s="377"/>
      <c r="J97" s="569"/>
      <c r="K97" s="377"/>
      <c r="L97" s="569"/>
      <c r="M97" s="569" t="str">
        <f t="shared" si="6"/>
        <v>0,0</v>
      </c>
      <c r="AG97"/>
    </row>
    <row r="98" spans="1:33" x14ac:dyDescent="0.25">
      <c r="A98" s="377"/>
      <c r="B98" s="377"/>
      <c r="C98" s="569"/>
      <c r="D98" s="377"/>
      <c r="E98" s="566" t="str">
        <f>IF(AND(A99="",A98&lt;&gt;0),IF(A98&lt;&gt;"",Variabelen!B$5&amp;".   ",""),Variabelen!B$4&amp;A97&amp;". ")</f>
        <v xml:space="preserve">P. </v>
      </c>
      <c r="F98" s="567">
        <v>57</v>
      </c>
      <c r="G98" s="568"/>
      <c r="H98" s="377"/>
      <c r="I98" s="377"/>
      <c r="J98" s="569"/>
      <c r="K98" s="377"/>
      <c r="L98" s="569"/>
      <c r="M98" s="569" t="str">
        <f t="shared" si="6"/>
        <v>0,0</v>
      </c>
      <c r="AG98"/>
    </row>
    <row r="99" spans="1:33" x14ac:dyDescent="0.25">
      <c r="A99" s="377"/>
      <c r="B99" s="377"/>
      <c r="C99" s="569"/>
      <c r="D99" s="377"/>
      <c r="E99" s="566" t="str">
        <f>IF(AND(A100="",A99&lt;&gt;0),IF(A99&lt;&gt;"",Variabelen!B$5&amp;".   ",""),Variabelen!B$4&amp;A98&amp;". ")</f>
        <v xml:space="preserve">P. </v>
      </c>
      <c r="F99" s="567">
        <v>58</v>
      </c>
      <c r="G99" s="568"/>
      <c r="H99" s="377"/>
      <c r="I99" s="377"/>
      <c r="J99" s="569"/>
      <c r="K99" s="377"/>
      <c r="L99" s="569"/>
      <c r="M99" s="569" t="str">
        <f t="shared" si="6"/>
        <v>0,0</v>
      </c>
      <c r="AG99"/>
    </row>
    <row r="100" spans="1:33" x14ac:dyDescent="0.25">
      <c r="A100" s="377"/>
      <c r="B100" s="377"/>
      <c r="C100" s="569"/>
      <c r="D100" s="377"/>
      <c r="E100" s="566" t="str">
        <f>IF(AND(A101="",A100&lt;&gt;0),IF(A100&lt;&gt;"",Variabelen!B$5&amp;".   ",""),Variabelen!B$4&amp;A99&amp;". ")</f>
        <v xml:space="preserve">P. </v>
      </c>
      <c r="F100" s="567">
        <v>59</v>
      </c>
      <c r="G100" s="568"/>
      <c r="H100" s="377"/>
      <c r="I100" s="377"/>
      <c r="J100" s="569"/>
      <c r="K100" s="377"/>
      <c r="L100" s="569"/>
      <c r="M100" s="569" t="str">
        <f t="shared" si="6"/>
        <v>0,0</v>
      </c>
      <c r="AG100"/>
    </row>
    <row r="101" spans="1:33" x14ac:dyDescent="0.25">
      <c r="A101" s="377"/>
      <c r="B101" s="377"/>
      <c r="C101" s="569"/>
      <c r="D101" s="377"/>
      <c r="E101" s="566" t="str">
        <f>IF(AND(A102="",A101&lt;&gt;0),IF(A101&lt;&gt;"",Variabelen!B$5&amp;".   ",""),Variabelen!B$4&amp;A100&amp;". ")</f>
        <v xml:space="preserve">P. </v>
      </c>
      <c r="F101" s="567">
        <v>60</v>
      </c>
      <c r="G101" s="568"/>
      <c r="H101" s="377"/>
      <c r="I101" s="377"/>
      <c r="J101" s="569"/>
      <c r="K101" s="377"/>
      <c r="L101" s="569"/>
      <c r="M101" s="569" t="str">
        <f t="shared" si="6"/>
        <v>0,0</v>
      </c>
      <c r="AG101"/>
    </row>
    <row r="102" spans="1:33" x14ac:dyDescent="0.25">
      <c r="A102" s="377"/>
      <c r="B102" s="377"/>
      <c r="C102" s="569"/>
      <c r="D102" s="377"/>
      <c r="E102" s="566" t="str">
        <f>IF(AND(A103="",A102&lt;&gt;0),IF(A102&lt;&gt;"",Variabelen!B$5&amp;".   ",""),Variabelen!B$4&amp;A101&amp;". ")</f>
        <v xml:space="preserve">P. </v>
      </c>
      <c r="F102" s="567">
        <v>61</v>
      </c>
      <c r="G102" s="568"/>
      <c r="H102" s="377"/>
      <c r="I102" s="377"/>
      <c r="J102" s="569"/>
      <c r="K102" s="377"/>
      <c r="L102" s="569"/>
      <c r="M102" s="569" t="str">
        <f t="shared" si="6"/>
        <v>0,0</v>
      </c>
      <c r="AG102"/>
    </row>
    <row r="103" spans="1:33" x14ac:dyDescent="0.25">
      <c r="A103" s="377"/>
      <c r="B103" s="377"/>
      <c r="C103" s="569"/>
      <c r="D103" s="377"/>
      <c r="E103" s="566" t="str">
        <f>IF(AND(A104="",A103&lt;&gt;0),IF(A103&lt;&gt;"",Variabelen!B$5&amp;".   ",""),Variabelen!B$4&amp;A102&amp;". ")</f>
        <v xml:space="preserve">P. </v>
      </c>
      <c r="F103" s="567">
        <v>62</v>
      </c>
      <c r="G103" s="568"/>
      <c r="H103" s="377"/>
      <c r="I103" s="377"/>
      <c r="J103" s="569"/>
      <c r="K103" s="377"/>
      <c r="L103" s="569"/>
      <c r="M103" s="569" t="str">
        <f t="shared" si="6"/>
        <v>0,0</v>
      </c>
      <c r="AG103"/>
    </row>
    <row r="104" spans="1:33" x14ac:dyDescent="0.25">
      <c r="A104" s="377"/>
      <c r="B104" s="377"/>
      <c r="C104" s="569"/>
      <c r="D104" s="377"/>
      <c r="E104" s="566" t="str">
        <f>IF(AND(A105="",A104&lt;&gt;0),IF(A104&lt;&gt;"",Variabelen!B$5&amp;".   ",""),Variabelen!B$4&amp;A103&amp;". ")</f>
        <v xml:space="preserve">P. </v>
      </c>
      <c r="F104" s="567">
        <v>63</v>
      </c>
      <c r="G104" s="568"/>
      <c r="H104" s="377"/>
      <c r="I104" s="377"/>
      <c r="J104" s="569"/>
      <c r="K104" s="377"/>
      <c r="L104" s="569"/>
      <c r="M104" s="569" t="str">
        <f t="shared" si="6"/>
        <v>0,0</v>
      </c>
      <c r="AG104"/>
    </row>
    <row r="105" spans="1:33" x14ac:dyDescent="0.25">
      <c r="A105" s="377"/>
      <c r="B105" s="377"/>
      <c r="C105" s="569"/>
      <c r="D105" s="377"/>
      <c r="E105" s="566" t="str">
        <f>IF(AND(A106="",A105&lt;&gt;0),IF(A105&lt;&gt;"",Variabelen!B$5&amp;".   ",""),Variabelen!B$4&amp;A104&amp;". ")</f>
        <v xml:space="preserve">P. </v>
      </c>
      <c r="F105" s="567">
        <v>64</v>
      </c>
      <c r="G105" s="568"/>
      <c r="H105" s="377"/>
      <c r="I105" s="377"/>
      <c r="J105" s="569"/>
      <c r="K105" s="377"/>
      <c r="L105" s="569"/>
      <c r="M105" s="569" t="str">
        <f t="shared" si="6"/>
        <v>0,0</v>
      </c>
      <c r="AG105"/>
    </row>
    <row r="106" spans="1:33" x14ac:dyDescent="0.25">
      <c r="A106" s="377"/>
      <c r="B106" s="377"/>
      <c r="C106" s="569"/>
      <c r="D106" s="377"/>
      <c r="E106" s="566" t="str">
        <f>IF(AND(A107="",A106&lt;&gt;0),IF(A106&lt;&gt;"",Variabelen!B$5&amp;".   ",""),Variabelen!B$4&amp;A105&amp;". ")</f>
        <v xml:space="preserve">P. </v>
      </c>
      <c r="F106" s="567">
        <v>65</v>
      </c>
      <c r="G106" s="568"/>
      <c r="H106" s="377"/>
      <c r="I106" s="377"/>
      <c r="J106" s="569"/>
      <c r="K106" s="377"/>
      <c r="L106" s="569"/>
      <c r="M106" s="569" t="str">
        <f t="shared" ref="M106:M137" si="7">POINT(B106,C106)</f>
        <v>0,0</v>
      </c>
      <c r="AG106"/>
    </row>
    <row r="107" spans="1:33" x14ac:dyDescent="0.25">
      <c r="A107" s="377"/>
      <c r="B107" s="377"/>
      <c r="C107" s="569"/>
      <c r="D107" s="377"/>
      <c r="E107" s="566" t="str">
        <f>IF(AND(A108="",A107&lt;&gt;0),IF(A107&lt;&gt;"",Variabelen!B$5&amp;".   ",""),Variabelen!B$4&amp;A106&amp;". ")</f>
        <v xml:space="preserve">P. </v>
      </c>
      <c r="F107" s="567">
        <v>66</v>
      </c>
      <c r="G107" s="568"/>
      <c r="H107" s="377"/>
      <c r="I107" s="377"/>
      <c r="J107" s="569"/>
      <c r="K107" s="377"/>
      <c r="L107" s="569"/>
      <c r="M107" s="569" t="str">
        <f t="shared" si="7"/>
        <v>0,0</v>
      </c>
      <c r="AG107"/>
    </row>
    <row r="108" spans="1:33" x14ac:dyDescent="0.25">
      <c r="A108" s="377"/>
      <c r="B108" s="377"/>
      <c r="C108" s="569"/>
      <c r="D108" s="377"/>
      <c r="E108" s="566" t="str">
        <f>IF(AND(A109="",A108&lt;&gt;0),IF(A108&lt;&gt;"",Variabelen!B$5&amp;".   ",""),Variabelen!B$4&amp;A107&amp;". ")</f>
        <v xml:space="preserve">P. </v>
      </c>
      <c r="F108" s="567">
        <v>67</v>
      </c>
      <c r="G108" s="568"/>
      <c r="H108" s="377"/>
      <c r="I108" s="377"/>
      <c r="J108" s="569"/>
      <c r="K108" s="377"/>
      <c r="L108" s="569"/>
      <c r="M108" s="569" t="str">
        <f t="shared" si="7"/>
        <v>0,0</v>
      </c>
      <c r="AG108"/>
    </row>
    <row r="109" spans="1:33" x14ac:dyDescent="0.25">
      <c r="A109" s="377"/>
      <c r="B109" s="377"/>
      <c r="C109" s="569"/>
      <c r="D109" s="377"/>
      <c r="E109" s="566" t="str">
        <f>IF(AND(A110="",A109&lt;&gt;0),IF(A109&lt;&gt;"",Variabelen!B$5&amp;".   ",""),Variabelen!B$4&amp;A108&amp;". ")</f>
        <v xml:space="preserve">P. </v>
      </c>
      <c r="F109" s="567">
        <v>68</v>
      </c>
      <c r="G109" s="568"/>
      <c r="H109" s="377"/>
      <c r="I109" s="377"/>
      <c r="J109" s="569"/>
      <c r="K109" s="377"/>
      <c r="L109" s="569"/>
      <c r="M109" s="569" t="str">
        <f t="shared" si="7"/>
        <v>0,0</v>
      </c>
      <c r="AG109"/>
    </row>
    <row r="110" spans="1:33" x14ac:dyDescent="0.25">
      <c r="A110" s="377"/>
      <c r="B110" s="377"/>
      <c r="C110" s="569"/>
      <c r="D110" s="377"/>
      <c r="E110" s="566" t="str">
        <f>IF(AND(A111="",A110&lt;&gt;0),IF(A110&lt;&gt;"",Variabelen!B$5&amp;".   ",""),Variabelen!B$4&amp;A109&amp;". ")</f>
        <v xml:space="preserve">P. </v>
      </c>
      <c r="F110" s="567">
        <v>69</v>
      </c>
      <c r="G110" s="568"/>
      <c r="H110" s="377"/>
      <c r="I110" s="377"/>
      <c r="J110" s="569"/>
      <c r="K110" s="377"/>
      <c r="L110" s="569"/>
      <c r="M110" s="569" t="str">
        <f t="shared" si="7"/>
        <v>0,0</v>
      </c>
      <c r="AG110"/>
    </row>
    <row r="111" spans="1:33" x14ac:dyDescent="0.25">
      <c r="A111" s="377"/>
      <c r="B111" s="377"/>
      <c r="C111" s="569"/>
      <c r="D111" s="377"/>
      <c r="E111" s="566" t="str">
        <f>IF(AND(A112="",A111&lt;&gt;0),IF(A111&lt;&gt;"",Variabelen!B$5&amp;".   ",""),Variabelen!B$4&amp;A110&amp;". ")</f>
        <v xml:space="preserve">P. </v>
      </c>
      <c r="F111" s="567">
        <v>70</v>
      </c>
      <c r="G111" s="568"/>
      <c r="H111" s="377"/>
      <c r="I111" s="377"/>
      <c r="J111" s="569"/>
      <c r="K111" s="377"/>
      <c r="L111" s="569"/>
      <c r="M111" s="569" t="str">
        <f t="shared" si="7"/>
        <v>0,0</v>
      </c>
      <c r="AG111"/>
    </row>
    <row r="112" spans="1:33" x14ac:dyDescent="0.25">
      <c r="A112" s="377"/>
      <c r="B112" s="377"/>
      <c r="C112" s="569"/>
      <c r="D112" s="377"/>
      <c r="E112" s="566" t="str">
        <f>IF(AND(A113="",A112&lt;&gt;0),IF(A112&lt;&gt;"",Variabelen!B$5&amp;".   ",""),Variabelen!B$4&amp;A111&amp;". ")</f>
        <v xml:space="preserve">P. </v>
      </c>
      <c r="F112" s="567">
        <v>71</v>
      </c>
      <c r="G112" s="568"/>
      <c r="H112" s="377"/>
      <c r="I112" s="377"/>
      <c r="J112" s="569"/>
      <c r="K112" s="377"/>
      <c r="L112" s="569"/>
      <c r="M112" s="569" t="str">
        <f t="shared" si="7"/>
        <v>0,0</v>
      </c>
      <c r="AG112"/>
    </row>
    <row r="113" spans="1:33" x14ac:dyDescent="0.25">
      <c r="A113" s="377"/>
      <c r="B113" s="377"/>
      <c r="C113" s="569"/>
      <c r="D113" s="377"/>
      <c r="E113" s="566" t="str">
        <f>IF(AND(A114="",A113&lt;&gt;0),IF(A113&lt;&gt;"",Variabelen!B$5&amp;".   ",""),Variabelen!B$4&amp;A112&amp;". ")</f>
        <v xml:space="preserve">P. </v>
      </c>
      <c r="F113" s="567">
        <v>72</v>
      </c>
      <c r="G113" s="568"/>
      <c r="H113" s="377"/>
      <c r="I113" s="377"/>
      <c r="J113" s="569"/>
      <c r="K113" s="377"/>
      <c r="L113" s="569"/>
      <c r="M113" s="569" t="str">
        <f t="shared" si="7"/>
        <v>0,0</v>
      </c>
      <c r="AG113"/>
    </row>
    <row r="114" spans="1:33" x14ac:dyDescent="0.25">
      <c r="A114" s="377"/>
      <c r="B114" s="377"/>
      <c r="C114" s="569"/>
      <c r="D114" s="377"/>
      <c r="E114" s="566" t="str">
        <f>IF(AND(A115="",A114&lt;&gt;0),IF(A114&lt;&gt;"",Variabelen!B$5&amp;".   ",""),Variabelen!B$4&amp;A113&amp;". ")</f>
        <v xml:space="preserve">P. </v>
      </c>
      <c r="F114" s="567">
        <v>73</v>
      </c>
      <c r="G114" s="568"/>
      <c r="H114" s="377"/>
      <c r="I114" s="377"/>
      <c r="J114" s="569"/>
      <c r="K114" s="377"/>
      <c r="L114" s="569"/>
      <c r="M114" s="569" t="str">
        <f t="shared" si="7"/>
        <v>0,0</v>
      </c>
      <c r="AG114"/>
    </row>
    <row r="115" spans="1:33" x14ac:dyDescent="0.25">
      <c r="A115" s="377"/>
      <c r="B115" s="377"/>
      <c r="C115" s="569"/>
      <c r="D115" s="377"/>
      <c r="E115" s="566" t="str">
        <f>IF(AND(A116="",A115&lt;&gt;0),IF(A115&lt;&gt;"",Variabelen!B$5&amp;".   ",""),Variabelen!B$4&amp;A114&amp;". ")</f>
        <v xml:space="preserve">P. </v>
      </c>
      <c r="F115" s="567">
        <v>74</v>
      </c>
      <c r="G115" s="568"/>
      <c r="H115" s="377"/>
      <c r="I115" s="377"/>
      <c r="J115" s="569"/>
      <c r="K115" s="377"/>
      <c r="L115" s="569"/>
      <c r="M115" s="569" t="str">
        <f t="shared" si="7"/>
        <v>0,0</v>
      </c>
      <c r="AG115"/>
    </row>
    <row r="116" spans="1:33" x14ac:dyDescent="0.25">
      <c r="A116" s="377"/>
      <c r="B116" s="377"/>
      <c r="C116" s="569"/>
      <c r="D116" s="377"/>
      <c r="E116" s="566" t="str">
        <f>IF(AND(A117="",A116&lt;&gt;0),IF(A116&lt;&gt;"",Variabelen!B$5&amp;".   ",""),Variabelen!B$4&amp;A115&amp;". ")</f>
        <v xml:space="preserve">P. </v>
      </c>
      <c r="F116" s="567">
        <v>75</v>
      </c>
      <c r="G116" s="568"/>
      <c r="H116" s="377"/>
      <c r="I116" s="377"/>
      <c r="J116" s="569"/>
      <c r="K116" s="377"/>
      <c r="L116" s="569"/>
      <c r="M116" s="569" t="str">
        <f t="shared" si="7"/>
        <v>0,0</v>
      </c>
      <c r="AG116"/>
    </row>
    <row r="117" spans="1:33" x14ac:dyDescent="0.25">
      <c r="A117" s="377"/>
      <c r="B117" s="377"/>
      <c r="C117" s="569"/>
      <c r="D117" s="377"/>
      <c r="E117" s="566" t="str">
        <f>IF(AND(A118="",A117&lt;&gt;0),IF(A117&lt;&gt;"",Variabelen!B$5&amp;".   ",""),Variabelen!B$4&amp;A116&amp;". ")</f>
        <v xml:space="preserve">P. </v>
      </c>
      <c r="F117" s="567">
        <v>76</v>
      </c>
      <c r="G117" s="568"/>
      <c r="H117" s="377"/>
      <c r="I117" s="377"/>
      <c r="J117" s="569"/>
      <c r="K117" s="377"/>
      <c r="L117" s="569"/>
      <c r="M117" s="569" t="str">
        <f t="shared" si="7"/>
        <v>0,0</v>
      </c>
      <c r="AG117"/>
    </row>
    <row r="118" spans="1:33" x14ac:dyDescent="0.25">
      <c r="A118" s="377"/>
      <c r="B118" s="377"/>
      <c r="C118" s="569"/>
      <c r="D118" s="377"/>
      <c r="E118" s="566" t="str">
        <f>IF(AND(A119="",A118&lt;&gt;0),IF(A118&lt;&gt;"",Variabelen!B$5&amp;".   ",""),Variabelen!B$4&amp;A117&amp;". ")</f>
        <v xml:space="preserve">P. </v>
      </c>
      <c r="F118" s="567">
        <v>77</v>
      </c>
      <c r="G118" s="568"/>
      <c r="H118" s="377"/>
      <c r="I118" s="377"/>
      <c r="J118" s="569"/>
      <c r="K118" s="377"/>
      <c r="L118" s="569"/>
      <c r="M118" s="569" t="str">
        <f t="shared" si="7"/>
        <v>0,0</v>
      </c>
      <c r="AG118"/>
    </row>
    <row r="119" spans="1:33" x14ac:dyDescent="0.25">
      <c r="A119" s="377"/>
      <c r="B119" s="377"/>
      <c r="C119" s="569"/>
      <c r="D119" s="377"/>
      <c r="E119" s="566" t="str">
        <f>IF(AND(A120="",A119&lt;&gt;0),IF(A119&lt;&gt;"",Variabelen!B$5&amp;".   ",""),Variabelen!B$4&amp;A118&amp;". ")</f>
        <v xml:space="preserve">P. </v>
      </c>
      <c r="F119" s="567">
        <v>78</v>
      </c>
      <c r="G119" s="568"/>
      <c r="H119" s="377"/>
      <c r="I119" s="377"/>
      <c r="J119" s="569"/>
      <c r="K119" s="377"/>
      <c r="L119" s="569"/>
      <c r="M119" s="569" t="str">
        <f t="shared" si="7"/>
        <v>0,0</v>
      </c>
      <c r="AG119"/>
    </row>
    <row r="120" spans="1:33" x14ac:dyDescent="0.25">
      <c r="A120" s="377"/>
      <c r="B120" s="377"/>
      <c r="C120" s="569"/>
      <c r="D120" s="377"/>
      <c r="E120" s="566" t="str">
        <f>IF(AND(A121="",A120&lt;&gt;0),IF(A120&lt;&gt;"",Variabelen!B$5&amp;".   ",""),Variabelen!B$4&amp;A119&amp;". ")</f>
        <v xml:space="preserve">P. </v>
      </c>
      <c r="F120" s="567">
        <v>79</v>
      </c>
      <c r="G120" s="568"/>
      <c r="H120" s="377"/>
      <c r="I120" s="377"/>
      <c r="J120" s="569"/>
      <c r="K120" s="377"/>
      <c r="L120" s="569"/>
      <c r="M120" s="569" t="str">
        <f t="shared" si="7"/>
        <v>0,0</v>
      </c>
      <c r="AG120"/>
    </row>
    <row r="121" spans="1:33" x14ac:dyDescent="0.25">
      <c r="A121" s="377"/>
      <c r="B121" s="377"/>
      <c r="C121" s="569"/>
      <c r="D121" s="377"/>
      <c r="E121" s="566" t="str">
        <f>IF(AND(A122="",A121&lt;&gt;0),IF(A121&lt;&gt;"",Variabelen!B$5&amp;".   ",""),Variabelen!B$4&amp;A120&amp;". ")</f>
        <v xml:space="preserve">P. </v>
      </c>
      <c r="F121" s="567">
        <v>80</v>
      </c>
      <c r="G121" s="568"/>
      <c r="H121" s="377"/>
      <c r="I121" s="377"/>
      <c r="J121" s="569"/>
      <c r="K121" s="377"/>
      <c r="L121" s="569"/>
      <c r="M121" s="569" t="str">
        <f t="shared" si="7"/>
        <v>0,0</v>
      </c>
      <c r="AG121"/>
    </row>
    <row r="122" spans="1:33" x14ac:dyDescent="0.25">
      <c r="A122" s="377"/>
      <c r="B122" s="377"/>
      <c r="C122" s="569"/>
      <c r="D122" s="377"/>
      <c r="E122" s="566" t="str">
        <f>IF(AND(A123="",A122&lt;&gt;0),IF(A122&lt;&gt;"",Variabelen!B$5&amp;".   ",""),Variabelen!B$4&amp;A121&amp;". ")</f>
        <v xml:space="preserve">P. </v>
      </c>
      <c r="F122" s="567">
        <v>81</v>
      </c>
      <c r="G122" s="568"/>
      <c r="H122" s="377"/>
      <c r="I122" s="377"/>
      <c r="J122" s="569"/>
      <c r="K122" s="377"/>
      <c r="L122" s="569"/>
      <c r="M122" s="569" t="str">
        <f t="shared" si="7"/>
        <v>0,0</v>
      </c>
      <c r="AG122"/>
    </row>
    <row r="123" spans="1:33" x14ac:dyDescent="0.25">
      <c r="A123" s="377"/>
      <c r="B123" s="377"/>
      <c r="C123" s="569"/>
      <c r="D123" s="377"/>
      <c r="E123" s="566" t="str">
        <f>IF(AND(A124="",A123&lt;&gt;0),IF(A123&lt;&gt;"",Variabelen!B$5&amp;".   ",""),Variabelen!B$4&amp;A122&amp;". ")</f>
        <v xml:space="preserve">P. </v>
      </c>
      <c r="F123" s="567">
        <v>82</v>
      </c>
      <c r="G123" s="568"/>
      <c r="H123" s="377"/>
      <c r="I123" s="377"/>
      <c r="J123" s="569"/>
      <c r="K123" s="377"/>
      <c r="L123" s="569"/>
      <c r="M123" s="569" t="str">
        <f t="shared" si="7"/>
        <v>0,0</v>
      </c>
      <c r="AG123"/>
    </row>
    <row r="124" spans="1:33" x14ac:dyDescent="0.25">
      <c r="A124" s="377"/>
      <c r="B124" s="377"/>
      <c r="C124" s="569"/>
      <c r="D124" s="377"/>
      <c r="E124" s="566" t="str">
        <f>IF(AND(A125="",A124&lt;&gt;0),IF(A124&lt;&gt;"",Variabelen!B$5&amp;".   ",""),Variabelen!B$4&amp;A123&amp;". ")</f>
        <v xml:space="preserve">P. </v>
      </c>
      <c r="F124" s="567">
        <v>83</v>
      </c>
      <c r="G124" s="568"/>
      <c r="H124" s="377"/>
      <c r="I124" s="377"/>
      <c r="J124" s="569"/>
      <c r="K124" s="377"/>
      <c r="L124" s="569"/>
      <c r="M124" s="569" t="str">
        <f t="shared" si="7"/>
        <v>0,0</v>
      </c>
      <c r="AG124"/>
    </row>
    <row r="125" spans="1:33" x14ac:dyDescent="0.25">
      <c r="A125" s="377"/>
      <c r="B125" s="377"/>
      <c r="C125" s="569"/>
      <c r="D125" s="377"/>
      <c r="E125" s="566" t="str">
        <f>IF(AND(A126="",A125&lt;&gt;0),IF(A125&lt;&gt;"",Variabelen!B$5&amp;".   ",""),Variabelen!B$4&amp;A124&amp;". ")</f>
        <v xml:space="preserve">P. </v>
      </c>
      <c r="F125" s="567">
        <v>84</v>
      </c>
      <c r="G125" s="568"/>
      <c r="H125" s="377"/>
      <c r="I125" s="377"/>
      <c r="J125" s="569"/>
      <c r="K125" s="377"/>
      <c r="L125" s="569"/>
      <c r="M125" s="569" t="str">
        <f t="shared" si="7"/>
        <v>0,0</v>
      </c>
      <c r="AG125"/>
    </row>
    <row r="126" spans="1:33" x14ac:dyDescent="0.25">
      <c r="A126" s="377"/>
      <c r="B126" s="377"/>
      <c r="C126" s="569"/>
      <c r="D126" s="377"/>
      <c r="E126" s="566" t="str">
        <f>IF(AND(A127="",A126&lt;&gt;0),IF(A126&lt;&gt;"",Variabelen!B$5&amp;".   ",""),Variabelen!B$4&amp;A125&amp;". ")</f>
        <v xml:space="preserve">P. </v>
      </c>
      <c r="F126" s="567">
        <v>85</v>
      </c>
      <c r="G126" s="568"/>
      <c r="H126" s="377"/>
      <c r="I126" s="377"/>
      <c r="J126" s="569"/>
      <c r="K126" s="377"/>
      <c r="L126" s="569"/>
      <c r="M126" s="569" t="str">
        <f t="shared" si="7"/>
        <v>0,0</v>
      </c>
      <c r="AG126"/>
    </row>
    <row r="127" spans="1:33" x14ac:dyDescent="0.25">
      <c r="A127" s="377"/>
      <c r="B127" s="377"/>
      <c r="C127" s="569"/>
      <c r="D127" s="377"/>
      <c r="E127" s="566" t="str">
        <f>IF(AND(A128="",A127&lt;&gt;0),IF(A127&lt;&gt;"",Variabelen!B$5&amp;".   ",""),Variabelen!B$4&amp;A126&amp;". ")</f>
        <v xml:space="preserve">P. </v>
      </c>
      <c r="F127" s="567">
        <v>86</v>
      </c>
      <c r="G127" s="568"/>
      <c r="H127" s="377"/>
      <c r="I127" s="377"/>
      <c r="J127" s="569"/>
      <c r="K127" s="377"/>
      <c r="L127" s="569"/>
      <c r="M127" s="569" t="str">
        <f t="shared" si="7"/>
        <v>0,0</v>
      </c>
      <c r="AG127"/>
    </row>
    <row r="128" spans="1:33" x14ac:dyDescent="0.25">
      <c r="A128" s="377"/>
      <c r="B128" s="377"/>
      <c r="C128" s="569"/>
      <c r="D128" s="377"/>
      <c r="E128" s="566" t="str">
        <f>IF(AND(A129="",A128&lt;&gt;0),IF(A128&lt;&gt;"",Variabelen!B$5&amp;".   ",""),Variabelen!B$4&amp;A127&amp;". ")</f>
        <v xml:space="preserve">P. </v>
      </c>
      <c r="F128" s="567">
        <v>87</v>
      </c>
      <c r="G128" s="568"/>
      <c r="H128" s="377"/>
      <c r="I128" s="377"/>
      <c r="J128" s="569"/>
      <c r="K128" s="377"/>
      <c r="L128" s="569"/>
      <c r="M128" s="569" t="str">
        <f t="shared" si="7"/>
        <v>0,0</v>
      </c>
      <c r="AG128"/>
    </row>
    <row r="129" spans="1:33" x14ac:dyDescent="0.25">
      <c r="A129" s="377"/>
      <c r="B129" s="377"/>
      <c r="C129" s="569"/>
      <c r="D129" s="377"/>
      <c r="E129" s="566" t="str">
        <f>IF(AND(A130="",A129&lt;&gt;0),IF(A129&lt;&gt;"",Variabelen!B$5&amp;".   ",""),Variabelen!B$4&amp;A128&amp;". ")</f>
        <v xml:space="preserve">P. </v>
      </c>
      <c r="F129" s="567">
        <v>88</v>
      </c>
      <c r="G129" s="568"/>
      <c r="H129" s="377"/>
      <c r="I129" s="377"/>
      <c r="J129" s="569"/>
      <c r="K129" s="377"/>
      <c r="L129" s="569"/>
      <c r="M129" s="569" t="str">
        <f t="shared" si="7"/>
        <v>0,0</v>
      </c>
      <c r="AG129"/>
    </row>
    <row r="130" spans="1:33" x14ac:dyDescent="0.25">
      <c r="A130" s="377"/>
      <c r="B130" s="377"/>
      <c r="C130" s="569"/>
      <c r="D130" s="377"/>
      <c r="E130" s="566" t="str">
        <f>IF(AND(A131="",A130&lt;&gt;0),IF(A130&lt;&gt;"",Variabelen!B$5&amp;".   ",""),Variabelen!B$4&amp;A129&amp;". ")</f>
        <v xml:space="preserve">P. </v>
      </c>
      <c r="F130" s="567">
        <v>89</v>
      </c>
      <c r="G130" s="568"/>
      <c r="H130" s="377"/>
      <c r="I130" s="377"/>
      <c r="J130" s="569"/>
      <c r="K130" s="377"/>
      <c r="L130" s="569"/>
      <c r="M130" s="569" t="str">
        <f t="shared" si="7"/>
        <v>0,0</v>
      </c>
      <c r="AG130"/>
    </row>
    <row r="131" spans="1:33" x14ac:dyDescent="0.25">
      <c r="A131" s="377"/>
      <c r="B131" s="377"/>
      <c r="C131" s="569"/>
      <c r="D131" s="377"/>
      <c r="E131" s="566" t="str">
        <f>IF(AND(A132="",A131&lt;&gt;0),IF(A131&lt;&gt;"",Variabelen!B$5&amp;".   ",""),Variabelen!B$4&amp;A130&amp;". ")</f>
        <v xml:space="preserve">P. </v>
      </c>
      <c r="F131" s="567">
        <v>90</v>
      </c>
      <c r="G131" s="568"/>
      <c r="H131" s="377"/>
      <c r="I131" s="377"/>
      <c r="J131" s="569"/>
      <c r="K131" s="377"/>
      <c r="L131" s="569"/>
      <c r="M131" s="569" t="str">
        <f t="shared" si="7"/>
        <v>0,0</v>
      </c>
      <c r="AG131"/>
    </row>
    <row r="132" spans="1:33" x14ac:dyDescent="0.25">
      <c r="A132" s="377"/>
      <c r="B132" s="377"/>
      <c r="C132" s="569"/>
      <c r="D132" s="377"/>
      <c r="E132" s="566" t="str">
        <f>IF(AND(A133="",A132&lt;&gt;0),IF(A132&lt;&gt;"",Variabelen!B$5&amp;".   ",""),Variabelen!B$4&amp;A131&amp;". ")</f>
        <v xml:space="preserve">P. </v>
      </c>
      <c r="F132" s="567">
        <v>91</v>
      </c>
      <c r="G132" s="568"/>
      <c r="H132" s="377"/>
      <c r="I132" s="377"/>
      <c r="J132" s="569"/>
      <c r="K132" s="377"/>
      <c r="L132" s="569"/>
      <c r="M132" s="569" t="str">
        <f t="shared" si="7"/>
        <v>0,0</v>
      </c>
      <c r="AG132"/>
    </row>
    <row r="133" spans="1:33" x14ac:dyDescent="0.25">
      <c r="A133" s="377"/>
      <c r="B133" s="377"/>
      <c r="C133" s="569"/>
      <c r="D133" s="377"/>
      <c r="E133" s="566" t="str">
        <f>IF(AND(A134="",A133&lt;&gt;0),IF(A133&lt;&gt;"",Variabelen!B$5&amp;".   ",""),Variabelen!B$4&amp;A132&amp;". ")</f>
        <v xml:space="preserve">P. </v>
      </c>
      <c r="F133" s="567">
        <v>92</v>
      </c>
      <c r="G133" s="568"/>
      <c r="H133" s="377"/>
      <c r="I133" s="377"/>
      <c r="J133" s="569"/>
      <c r="K133" s="377"/>
      <c r="L133" s="569"/>
      <c r="M133" s="569" t="str">
        <f t="shared" si="7"/>
        <v>0,0</v>
      </c>
      <c r="AG133"/>
    </row>
    <row r="134" spans="1:33" x14ac:dyDescent="0.25">
      <c r="A134" s="377"/>
      <c r="B134" s="377"/>
      <c r="C134" s="569"/>
      <c r="D134" s="377"/>
      <c r="E134" s="566" t="str">
        <f>IF(AND(A135="",A134&lt;&gt;0),IF(A134&lt;&gt;"",Variabelen!B$5&amp;".   ",""),Variabelen!B$4&amp;A133&amp;". ")</f>
        <v xml:space="preserve">P. </v>
      </c>
      <c r="F134" s="567">
        <v>93</v>
      </c>
      <c r="G134" s="568"/>
      <c r="H134" s="377"/>
      <c r="I134" s="377"/>
      <c r="J134" s="569"/>
      <c r="K134" s="377"/>
      <c r="L134" s="569"/>
      <c r="M134" s="569" t="str">
        <f t="shared" si="7"/>
        <v>0,0</v>
      </c>
      <c r="AG134"/>
    </row>
    <row r="135" spans="1:33" x14ac:dyDescent="0.25">
      <c r="A135" s="377"/>
      <c r="B135" s="377"/>
      <c r="C135" s="569"/>
      <c r="D135" s="377"/>
      <c r="E135" s="566" t="str">
        <f>IF(AND(A136="",A135&lt;&gt;0),IF(A135&lt;&gt;"",Variabelen!B$5&amp;".   ",""),Variabelen!B$4&amp;A134&amp;". ")</f>
        <v xml:space="preserve">P. </v>
      </c>
      <c r="F135" s="567">
        <v>94</v>
      </c>
      <c r="G135" s="568"/>
      <c r="H135" s="377"/>
      <c r="I135" s="377"/>
      <c r="J135" s="569"/>
      <c r="K135" s="377"/>
      <c r="L135" s="569"/>
      <c r="M135" s="569" t="str">
        <f t="shared" si="7"/>
        <v>0,0</v>
      </c>
      <c r="AG135"/>
    </row>
    <row r="136" spans="1:33" x14ac:dyDescent="0.25">
      <c r="A136" s="377"/>
      <c r="B136" s="377"/>
      <c r="C136" s="569"/>
      <c r="D136" s="377"/>
      <c r="E136" s="566" t="str">
        <f>IF(AND(A137="",A136&lt;&gt;0),IF(A136&lt;&gt;"",Variabelen!B$5&amp;".   ",""),Variabelen!B$4&amp;A135&amp;". ")</f>
        <v xml:space="preserve">P. </v>
      </c>
      <c r="F136" s="567">
        <v>95</v>
      </c>
      <c r="G136" s="568"/>
      <c r="H136" s="377"/>
      <c r="I136" s="377"/>
      <c r="J136" s="569"/>
      <c r="K136" s="377"/>
      <c r="L136" s="569"/>
      <c r="M136" s="569" t="str">
        <f t="shared" si="7"/>
        <v>0,0</v>
      </c>
      <c r="AG136"/>
    </row>
    <row r="137" spans="1:33" x14ac:dyDescent="0.25">
      <c r="A137" s="377"/>
      <c r="B137" s="377"/>
      <c r="C137" s="569"/>
      <c r="D137" s="377"/>
      <c r="E137" s="566" t="str">
        <f>IF(AND(A138="",A137&lt;&gt;0),IF(A137&lt;&gt;"",Variabelen!B$5&amp;".   ",""),Variabelen!B$4&amp;A136&amp;". ")</f>
        <v xml:space="preserve">P. </v>
      </c>
      <c r="F137" s="567">
        <v>96</v>
      </c>
      <c r="G137" s="568"/>
      <c r="H137" s="377"/>
      <c r="I137" s="377"/>
      <c r="J137" s="569"/>
      <c r="K137" s="377"/>
      <c r="L137" s="569"/>
      <c r="M137" s="569" t="str">
        <f t="shared" si="7"/>
        <v>0,0</v>
      </c>
      <c r="AG137"/>
    </row>
    <row r="138" spans="1:33" x14ac:dyDescent="0.25">
      <c r="A138" s="377"/>
      <c r="B138" s="377"/>
      <c r="C138" s="569"/>
      <c r="D138" s="377"/>
      <c r="E138" s="566" t="str">
        <f>IF(AND(A139="",A138&lt;&gt;0),IF(A138&lt;&gt;"",Variabelen!B$5&amp;".   ",""),Variabelen!B$4&amp;A137&amp;". ")</f>
        <v xml:space="preserve">P. </v>
      </c>
      <c r="F138" s="567">
        <v>97</v>
      </c>
      <c r="G138" s="568"/>
      <c r="H138" s="377"/>
      <c r="I138" s="377"/>
      <c r="J138" s="569"/>
      <c r="K138" s="377"/>
      <c r="L138" s="569"/>
      <c r="M138" s="569" t="str">
        <f t="shared" ref="M138:M169" si="8">POINT(B138,C138)</f>
        <v>0,0</v>
      </c>
      <c r="AG138"/>
    </row>
    <row r="139" spans="1:33" x14ac:dyDescent="0.25">
      <c r="A139" s="377"/>
      <c r="B139" s="377"/>
      <c r="C139" s="569"/>
      <c r="D139" s="377"/>
      <c r="E139" s="566" t="str">
        <f>IF(AND(A140="",A139&lt;&gt;0),IF(A139&lt;&gt;"",Variabelen!B$5&amp;".   ",""),Variabelen!B$4&amp;A138&amp;". ")</f>
        <v xml:space="preserve">P. </v>
      </c>
      <c r="F139" s="567">
        <v>98</v>
      </c>
      <c r="G139" s="568"/>
      <c r="H139" s="377"/>
      <c r="I139" s="377"/>
      <c r="J139" s="569"/>
      <c r="K139" s="377"/>
      <c r="L139" s="569"/>
      <c r="M139" s="569" t="str">
        <f t="shared" si="8"/>
        <v>0,0</v>
      </c>
      <c r="AG139"/>
    </row>
    <row r="140" spans="1:33" x14ac:dyDescent="0.25">
      <c r="A140" s="377"/>
      <c r="B140" s="377"/>
      <c r="C140" s="569"/>
      <c r="D140" s="377"/>
      <c r="E140" s="566" t="str">
        <f>IF(AND(A141="",A140&lt;&gt;0),IF(A140&lt;&gt;"",Variabelen!B$5&amp;".   ",""),Variabelen!B$4&amp;A139&amp;". ")</f>
        <v xml:space="preserve">P. </v>
      </c>
      <c r="F140" s="567">
        <v>99</v>
      </c>
      <c r="G140" s="568"/>
      <c r="H140" s="377"/>
      <c r="I140" s="377"/>
      <c r="J140" s="569"/>
      <c r="K140" s="377"/>
      <c r="L140" s="569"/>
      <c r="M140" s="569" t="str">
        <f t="shared" si="8"/>
        <v>0,0</v>
      </c>
      <c r="AG140"/>
    </row>
    <row r="141" spans="1:33" x14ac:dyDescent="0.25">
      <c r="A141" s="377"/>
      <c r="B141" s="377"/>
      <c r="C141" s="569"/>
      <c r="D141" s="377"/>
      <c r="E141" s="566" t="str">
        <f>IF(AND(A142="",A141&lt;&gt;0),IF(A141&lt;&gt;"",Variabelen!B$5&amp;".   ",""),Variabelen!B$4&amp;A140&amp;". ")</f>
        <v xml:space="preserve">P. </v>
      </c>
      <c r="F141" s="567">
        <v>100</v>
      </c>
      <c r="G141" s="568"/>
      <c r="H141" s="377"/>
      <c r="I141" s="377"/>
      <c r="J141" s="569"/>
      <c r="K141" s="377"/>
      <c r="L141" s="569"/>
      <c r="M141" s="569" t="str">
        <f t="shared" si="8"/>
        <v>0,0</v>
      </c>
      <c r="AG141"/>
    </row>
    <row r="142" spans="1:33" x14ac:dyDescent="0.25">
      <c r="A142" s="377"/>
      <c r="B142" s="377"/>
      <c r="C142" s="569"/>
      <c r="D142" s="377"/>
      <c r="E142" s="566" t="str">
        <f>IF(AND(A143="",A142&lt;&gt;0),IF(A142&lt;&gt;"",Variabelen!B$5&amp;".   ",""),Variabelen!B$4&amp;A141&amp;". ")</f>
        <v xml:space="preserve">P. </v>
      </c>
      <c r="F142" s="567">
        <v>101</v>
      </c>
      <c r="G142" s="568"/>
      <c r="H142" s="377"/>
      <c r="I142" s="377"/>
      <c r="J142" s="569"/>
      <c r="K142" s="377"/>
      <c r="L142" s="569"/>
      <c r="M142" s="569" t="str">
        <f t="shared" si="8"/>
        <v>0,0</v>
      </c>
      <c r="AG142"/>
    </row>
    <row r="143" spans="1:33" x14ac:dyDescent="0.25">
      <c r="A143" s="377"/>
      <c r="B143" s="377"/>
      <c r="C143" s="569"/>
      <c r="D143" s="377"/>
      <c r="E143" s="566" t="str">
        <f>IF(AND(A144="",A143&lt;&gt;0),IF(A143&lt;&gt;"",Variabelen!B$5&amp;".   ",""),Variabelen!B$4&amp;A142&amp;". ")</f>
        <v xml:space="preserve">P. </v>
      </c>
      <c r="F143" s="567">
        <v>102</v>
      </c>
      <c r="G143" s="568"/>
      <c r="H143" s="377"/>
      <c r="I143" s="377"/>
      <c r="J143" s="569"/>
      <c r="K143" s="377"/>
      <c r="L143" s="569"/>
      <c r="M143" s="569" t="str">
        <f t="shared" si="8"/>
        <v>0,0</v>
      </c>
      <c r="AG143"/>
    </row>
    <row r="144" spans="1:33" x14ac:dyDescent="0.25">
      <c r="A144" s="377"/>
      <c r="B144" s="377"/>
      <c r="C144" s="569"/>
      <c r="D144" s="377"/>
      <c r="E144" s="566" t="str">
        <f>IF(AND(A145="",A144&lt;&gt;0),IF(A144&lt;&gt;"",Variabelen!B$5&amp;".   ",""),Variabelen!B$4&amp;A143&amp;". ")</f>
        <v xml:space="preserve">P. </v>
      </c>
      <c r="F144" s="567">
        <v>103</v>
      </c>
      <c r="G144" s="568"/>
      <c r="H144" s="377"/>
      <c r="I144" s="377"/>
      <c r="J144" s="569"/>
      <c r="K144" s="377"/>
      <c r="L144" s="569"/>
      <c r="M144" s="569" t="str">
        <f t="shared" si="8"/>
        <v>0,0</v>
      </c>
      <c r="AG144"/>
    </row>
    <row r="145" spans="1:33" x14ac:dyDescent="0.25">
      <c r="A145" s="377"/>
      <c r="B145" s="377"/>
      <c r="C145" s="569"/>
      <c r="D145" s="377"/>
      <c r="E145" s="566" t="str">
        <f>IF(AND(A146="",A145&lt;&gt;0),IF(A145&lt;&gt;"",Variabelen!B$5&amp;".   ",""),Variabelen!B$4&amp;A144&amp;". ")</f>
        <v xml:space="preserve">P. </v>
      </c>
      <c r="F145" s="567">
        <v>104</v>
      </c>
      <c r="G145" s="568"/>
      <c r="H145" s="377"/>
      <c r="I145" s="377"/>
      <c r="J145" s="569"/>
      <c r="K145" s="377"/>
      <c r="L145" s="569"/>
      <c r="M145" s="569" t="str">
        <f t="shared" si="8"/>
        <v>0,0</v>
      </c>
      <c r="AG145"/>
    </row>
    <row r="146" spans="1:33" x14ac:dyDescent="0.25">
      <c r="A146" s="377"/>
      <c r="B146" s="377"/>
      <c r="C146" s="569"/>
      <c r="D146" s="377"/>
      <c r="E146" s="566" t="str">
        <f>IF(AND(A147="",A146&lt;&gt;0),IF(A146&lt;&gt;"",Variabelen!B$5&amp;".   ",""),Variabelen!B$4&amp;A145&amp;". ")</f>
        <v xml:space="preserve">P. </v>
      </c>
      <c r="F146" s="567">
        <v>105</v>
      </c>
      <c r="G146" s="568"/>
      <c r="H146" s="377"/>
      <c r="I146" s="377"/>
      <c r="J146" s="569"/>
      <c r="K146" s="377"/>
      <c r="L146" s="569"/>
      <c r="M146" s="569" t="str">
        <f t="shared" si="8"/>
        <v>0,0</v>
      </c>
      <c r="AG146"/>
    </row>
    <row r="147" spans="1:33" x14ac:dyDescent="0.25">
      <c r="A147" s="377"/>
      <c r="B147" s="377"/>
      <c r="C147" s="569"/>
      <c r="D147" s="377"/>
      <c r="E147" s="566" t="str">
        <f>IF(AND(A148="",A147&lt;&gt;0),IF(A147&lt;&gt;"",Variabelen!B$5&amp;".   ",""),Variabelen!B$4&amp;A146&amp;". ")</f>
        <v xml:space="preserve">P. </v>
      </c>
      <c r="F147" s="567">
        <v>106</v>
      </c>
      <c r="G147" s="568"/>
      <c r="H147" s="377"/>
      <c r="I147" s="377"/>
      <c r="J147" s="569"/>
      <c r="K147" s="377"/>
      <c r="L147" s="569"/>
      <c r="M147" s="569" t="str">
        <f t="shared" si="8"/>
        <v>0,0</v>
      </c>
      <c r="AG147"/>
    </row>
    <row r="148" spans="1:33" x14ac:dyDescent="0.25">
      <c r="A148" s="377"/>
      <c r="B148" s="377"/>
      <c r="C148" s="569"/>
      <c r="D148" s="377"/>
      <c r="E148" s="566" t="str">
        <f>IF(AND(A149="",A148&lt;&gt;0),IF(A148&lt;&gt;"",Variabelen!B$5&amp;".   ",""),Variabelen!B$4&amp;A147&amp;". ")</f>
        <v xml:space="preserve">P. </v>
      </c>
      <c r="F148" s="567">
        <v>107</v>
      </c>
      <c r="G148" s="568"/>
      <c r="H148" s="377"/>
      <c r="I148" s="377"/>
      <c r="J148" s="569"/>
      <c r="K148" s="377"/>
      <c r="L148" s="569"/>
      <c r="M148" s="569" t="str">
        <f t="shared" si="8"/>
        <v>0,0</v>
      </c>
      <c r="AG148"/>
    </row>
    <row r="149" spans="1:33" x14ac:dyDescent="0.25">
      <c r="A149" s="377"/>
      <c r="B149" s="377"/>
      <c r="C149" s="569"/>
      <c r="D149" s="377"/>
      <c r="E149" s="566" t="str">
        <f>IF(AND(A150="",A149&lt;&gt;0),IF(A149&lt;&gt;"",Variabelen!B$5&amp;".   ",""),Variabelen!B$4&amp;A148&amp;". ")</f>
        <v xml:space="preserve">P. </v>
      </c>
      <c r="F149" s="567">
        <v>108</v>
      </c>
      <c r="G149" s="568"/>
      <c r="H149" s="377"/>
      <c r="I149" s="377"/>
      <c r="J149" s="569"/>
      <c r="K149" s="377"/>
      <c r="L149" s="569"/>
      <c r="M149" s="569" t="str">
        <f t="shared" si="8"/>
        <v>0,0</v>
      </c>
      <c r="AG149"/>
    </row>
    <row r="150" spans="1:33" x14ac:dyDescent="0.25">
      <c r="A150" s="377"/>
      <c r="B150" s="377"/>
      <c r="C150" s="569"/>
      <c r="D150" s="377"/>
      <c r="E150" s="566" t="str">
        <f>IF(AND(A151="",A150&lt;&gt;0),IF(A150&lt;&gt;"",Variabelen!B$5&amp;".   ",""),Variabelen!B$4&amp;A149&amp;". ")</f>
        <v xml:space="preserve">P. </v>
      </c>
      <c r="F150" s="567">
        <v>109</v>
      </c>
      <c r="G150" s="568"/>
      <c r="H150" s="377"/>
      <c r="I150" s="377"/>
      <c r="J150" s="569"/>
      <c r="K150" s="377"/>
      <c r="L150" s="569"/>
      <c r="M150" s="569" t="str">
        <f t="shared" si="8"/>
        <v>0,0</v>
      </c>
      <c r="AG150"/>
    </row>
    <row r="151" spans="1:33" x14ac:dyDescent="0.25">
      <c r="A151" s="377"/>
      <c r="B151" s="377"/>
      <c r="C151" s="569"/>
      <c r="D151" s="377"/>
      <c r="E151" s="566" t="str">
        <f>IF(AND(A152="",A151&lt;&gt;0),IF(A151&lt;&gt;"",Variabelen!B$5&amp;".   ",""),Variabelen!B$4&amp;A150&amp;". ")</f>
        <v xml:space="preserve">P. </v>
      </c>
      <c r="F151" s="567">
        <v>110</v>
      </c>
      <c r="G151" s="568"/>
      <c r="H151" s="377"/>
      <c r="I151" s="377"/>
      <c r="J151" s="569"/>
      <c r="K151" s="377"/>
      <c r="L151" s="569"/>
      <c r="M151" s="569" t="str">
        <f t="shared" si="8"/>
        <v>0,0</v>
      </c>
      <c r="AG151"/>
    </row>
    <row r="152" spans="1:33" x14ac:dyDescent="0.25">
      <c r="A152" s="377"/>
      <c r="B152" s="377"/>
      <c r="C152" s="569"/>
      <c r="D152" s="377"/>
      <c r="E152" s="566" t="str">
        <f>IF(AND(A153="",A152&lt;&gt;0),IF(A152&lt;&gt;"",Variabelen!B$5&amp;".   ",""),Variabelen!B$4&amp;A151&amp;". ")</f>
        <v xml:space="preserve">P. </v>
      </c>
      <c r="F152" s="567">
        <v>111</v>
      </c>
      <c r="G152" s="568"/>
      <c r="H152" s="377"/>
      <c r="I152" s="377"/>
      <c r="J152" s="569"/>
      <c r="K152" s="377"/>
      <c r="L152" s="569"/>
      <c r="M152" s="569" t="str">
        <f t="shared" si="8"/>
        <v>0,0</v>
      </c>
      <c r="AG152"/>
    </row>
    <row r="153" spans="1:33" x14ac:dyDescent="0.25">
      <c r="A153" s="377"/>
      <c r="B153" s="377"/>
      <c r="C153" s="569"/>
      <c r="D153" s="377"/>
      <c r="E153" s="566" t="str">
        <f>IF(AND(A154="",A153&lt;&gt;0),IF(A153&lt;&gt;"",Variabelen!B$5&amp;".   ",""),Variabelen!B$4&amp;A152&amp;". ")</f>
        <v xml:space="preserve">P. </v>
      </c>
      <c r="F153" s="567">
        <v>112</v>
      </c>
      <c r="G153" s="568"/>
      <c r="H153" s="377"/>
      <c r="I153" s="377"/>
      <c r="J153" s="569"/>
      <c r="K153" s="377"/>
      <c r="L153" s="569"/>
      <c r="M153" s="569" t="str">
        <f t="shared" si="8"/>
        <v>0,0</v>
      </c>
      <c r="AG153"/>
    </row>
    <row r="154" spans="1:33" x14ac:dyDescent="0.25">
      <c r="A154" s="377"/>
      <c r="B154" s="377"/>
      <c r="C154" s="569"/>
      <c r="D154" s="377"/>
      <c r="E154" s="566" t="str">
        <f>IF(AND(A155="",A154&lt;&gt;0),IF(A154&lt;&gt;"",Variabelen!B$5&amp;".   ",""),Variabelen!B$4&amp;A153&amp;". ")</f>
        <v xml:space="preserve">P. </v>
      </c>
      <c r="F154" s="567">
        <v>113</v>
      </c>
      <c r="G154" s="568"/>
      <c r="H154" s="377"/>
      <c r="I154" s="377"/>
      <c r="J154" s="569"/>
      <c r="K154" s="377"/>
      <c r="L154" s="569"/>
      <c r="M154" s="569" t="str">
        <f t="shared" si="8"/>
        <v>0,0</v>
      </c>
      <c r="AG154"/>
    </row>
    <row r="155" spans="1:33" x14ac:dyDescent="0.25">
      <c r="A155" s="377"/>
      <c r="B155" s="377"/>
      <c r="C155" s="569"/>
      <c r="D155" s="377"/>
      <c r="E155" s="566" t="str">
        <f>IF(AND(A156="",A155&lt;&gt;0),IF(A155&lt;&gt;"",Variabelen!B$5&amp;".   ",""),Variabelen!B$4&amp;A154&amp;". ")</f>
        <v xml:space="preserve">P. </v>
      </c>
      <c r="F155" s="567">
        <v>114</v>
      </c>
      <c r="G155" s="568"/>
      <c r="H155" s="377"/>
      <c r="I155" s="377"/>
      <c r="J155" s="569"/>
      <c r="K155" s="377"/>
      <c r="L155" s="569"/>
      <c r="M155" s="569" t="str">
        <f t="shared" si="8"/>
        <v>0,0</v>
      </c>
      <c r="AG155"/>
    </row>
    <row r="156" spans="1:33" x14ac:dyDescent="0.25">
      <c r="A156" s="377"/>
      <c r="B156" s="377"/>
      <c r="C156" s="569"/>
      <c r="D156" s="377"/>
      <c r="E156" s="566" t="str">
        <f>IF(AND(A157="",A156&lt;&gt;0),IF(A156&lt;&gt;"",Variabelen!B$5&amp;".   ",""),Variabelen!B$4&amp;A155&amp;". ")</f>
        <v xml:space="preserve">P. </v>
      </c>
      <c r="F156" s="567">
        <v>115</v>
      </c>
      <c r="G156" s="568"/>
      <c r="H156" s="377"/>
      <c r="I156" s="377"/>
      <c r="J156" s="569"/>
      <c r="K156" s="377"/>
      <c r="L156" s="569"/>
      <c r="M156" s="569" t="str">
        <f t="shared" si="8"/>
        <v>0,0</v>
      </c>
      <c r="AG156"/>
    </row>
    <row r="157" spans="1:33" x14ac:dyDescent="0.25">
      <c r="A157" s="377"/>
      <c r="B157" s="377"/>
      <c r="C157" s="569"/>
      <c r="D157" s="377"/>
      <c r="E157" s="566" t="str">
        <f>IF(AND(A158="",A157&lt;&gt;0),IF(A157&lt;&gt;"",Variabelen!B$5&amp;".   ",""),Variabelen!B$4&amp;A156&amp;". ")</f>
        <v xml:space="preserve">P. </v>
      </c>
      <c r="F157" s="567">
        <v>116</v>
      </c>
      <c r="G157" s="568"/>
      <c r="H157" s="377"/>
      <c r="I157" s="377"/>
      <c r="J157" s="569"/>
      <c r="K157" s="377"/>
      <c r="L157" s="569"/>
      <c r="M157" s="569" t="str">
        <f t="shared" si="8"/>
        <v>0,0</v>
      </c>
      <c r="AG157"/>
    </row>
    <row r="158" spans="1:33" x14ac:dyDescent="0.25">
      <c r="A158" s="377"/>
      <c r="B158" s="377"/>
      <c r="C158" s="569"/>
      <c r="D158" s="377"/>
      <c r="E158" s="566" t="str">
        <f>IF(AND(A159="",A158&lt;&gt;0),IF(A158&lt;&gt;"",Variabelen!B$5&amp;".   ",""),Variabelen!B$4&amp;A157&amp;". ")</f>
        <v xml:space="preserve">P. </v>
      </c>
      <c r="F158" s="567">
        <v>117</v>
      </c>
      <c r="G158" s="568"/>
      <c r="H158" s="377"/>
      <c r="I158" s="377"/>
      <c r="J158" s="569"/>
      <c r="K158" s="377"/>
      <c r="L158" s="569"/>
      <c r="M158" s="569" t="str">
        <f t="shared" si="8"/>
        <v>0,0</v>
      </c>
      <c r="AG158"/>
    </row>
    <row r="159" spans="1:33" x14ac:dyDescent="0.25">
      <c r="A159" s="377"/>
      <c r="B159" s="377"/>
      <c r="C159" s="569"/>
      <c r="D159" s="377"/>
      <c r="E159" s="566" t="str">
        <f>IF(AND(A160="",A159&lt;&gt;0),IF(A159&lt;&gt;"",Variabelen!B$5&amp;".   ",""),Variabelen!B$4&amp;A158&amp;". ")</f>
        <v xml:space="preserve">P. </v>
      </c>
      <c r="F159" s="567">
        <v>118</v>
      </c>
      <c r="G159" s="568"/>
      <c r="H159" s="377"/>
      <c r="I159" s="377"/>
      <c r="J159" s="569"/>
      <c r="K159" s="377"/>
      <c r="L159" s="569"/>
      <c r="M159" s="569" t="str">
        <f t="shared" si="8"/>
        <v>0,0</v>
      </c>
      <c r="AG159"/>
    </row>
    <row r="160" spans="1:33" x14ac:dyDescent="0.25">
      <c r="A160" s="377"/>
      <c r="B160" s="377"/>
      <c r="C160" s="569"/>
      <c r="D160" s="377"/>
      <c r="E160" s="566" t="str">
        <f>IF(AND(A161="",A160&lt;&gt;0),IF(A160&lt;&gt;"",Variabelen!B$5&amp;".   ",""),Variabelen!B$4&amp;A159&amp;". ")</f>
        <v xml:space="preserve">P. </v>
      </c>
      <c r="F160" s="567">
        <v>119</v>
      </c>
      <c r="G160" s="568"/>
      <c r="H160" s="377"/>
      <c r="I160" s="377"/>
      <c r="J160" s="569"/>
      <c r="K160" s="377"/>
      <c r="L160" s="569"/>
      <c r="M160" s="569" t="str">
        <f t="shared" si="8"/>
        <v>0,0</v>
      </c>
      <c r="AG160"/>
    </row>
    <row r="161" spans="1:33" x14ac:dyDescent="0.25">
      <c r="A161" s="377"/>
      <c r="B161" s="377"/>
      <c r="C161" s="569"/>
      <c r="D161" s="377"/>
      <c r="E161" s="566" t="str">
        <f>IF(AND(A162="",A161&lt;&gt;0),IF(A161&lt;&gt;"",Variabelen!B$5&amp;".   ",""),Variabelen!B$4&amp;A160&amp;". ")</f>
        <v xml:space="preserve">P. </v>
      </c>
      <c r="F161" s="567">
        <v>120</v>
      </c>
      <c r="G161" s="568"/>
      <c r="H161" s="377"/>
      <c r="I161" s="377"/>
      <c r="J161" s="569"/>
      <c r="K161" s="377"/>
      <c r="L161" s="569"/>
      <c r="M161" s="569" t="str">
        <f t="shared" si="8"/>
        <v>0,0</v>
      </c>
      <c r="AG161"/>
    </row>
    <row r="162" spans="1:33" x14ac:dyDescent="0.25">
      <c r="A162" s="377"/>
      <c r="B162" s="377"/>
      <c r="C162" s="569"/>
      <c r="D162" s="377"/>
      <c r="E162" s="566" t="str">
        <f>IF(AND(A163="",A162&lt;&gt;0),IF(A162&lt;&gt;"",Variabelen!B$5&amp;".   ",""),Variabelen!B$4&amp;A161&amp;". ")</f>
        <v xml:space="preserve">P. </v>
      </c>
      <c r="F162" s="567">
        <v>121</v>
      </c>
      <c r="G162" s="568"/>
      <c r="H162" s="377"/>
      <c r="I162" s="377"/>
      <c r="J162" s="569"/>
      <c r="K162" s="377"/>
      <c r="L162" s="569"/>
      <c r="M162" s="569" t="str">
        <f t="shared" si="8"/>
        <v>0,0</v>
      </c>
      <c r="AG162"/>
    </row>
    <row r="163" spans="1:33" x14ac:dyDescent="0.25">
      <c r="A163" s="377"/>
      <c r="B163" s="377"/>
      <c r="C163" s="569"/>
      <c r="D163" s="377"/>
      <c r="E163" s="566" t="str">
        <f>IF(AND(A164="",A163&lt;&gt;0),IF(A163&lt;&gt;"",Variabelen!B$5&amp;".   ",""),Variabelen!B$4&amp;A162&amp;". ")</f>
        <v xml:space="preserve">P. </v>
      </c>
      <c r="F163" s="567">
        <v>122</v>
      </c>
      <c r="G163" s="568"/>
      <c r="H163" s="377"/>
      <c r="I163" s="377"/>
      <c r="J163" s="569"/>
      <c r="K163" s="377"/>
      <c r="L163" s="569"/>
      <c r="M163" s="569" t="str">
        <f t="shared" si="8"/>
        <v>0,0</v>
      </c>
      <c r="AG163"/>
    </row>
    <row r="164" spans="1:33" x14ac:dyDescent="0.25">
      <c r="A164" s="377"/>
      <c r="B164" s="377"/>
      <c r="C164" s="569"/>
      <c r="D164" s="377"/>
      <c r="E164" s="566" t="str">
        <f>IF(AND(A165="",A164&lt;&gt;0),IF(A164&lt;&gt;"",Variabelen!B$5&amp;".   ",""),Variabelen!B$4&amp;A163&amp;". ")</f>
        <v xml:space="preserve">P. </v>
      </c>
      <c r="F164" s="567">
        <v>123</v>
      </c>
      <c r="G164" s="568"/>
      <c r="H164" s="377"/>
      <c r="I164" s="377"/>
      <c r="J164" s="569"/>
      <c r="K164" s="377"/>
      <c r="L164" s="569"/>
      <c r="M164" s="569" t="str">
        <f t="shared" si="8"/>
        <v>0,0</v>
      </c>
      <c r="AG164"/>
    </row>
    <row r="165" spans="1:33" x14ac:dyDescent="0.25">
      <c r="A165" s="377"/>
      <c r="B165" s="377"/>
      <c r="C165" s="569"/>
      <c r="D165" s="377"/>
      <c r="E165" s="566" t="str">
        <f>IF(AND(A166="",A165&lt;&gt;0),IF(A165&lt;&gt;"",Variabelen!B$5&amp;".   ",""),Variabelen!B$4&amp;A164&amp;". ")</f>
        <v xml:space="preserve">P. </v>
      </c>
      <c r="F165" s="567">
        <v>124</v>
      </c>
      <c r="G165" s="568"/>
      <c r="H165" s="377"/>
      <c r="I165" s="377"/>
      <c r="J165" s="569"/>
      <c r="K165" s="377"/>
      <c r="L165" s="569"/>
      <c r="M165" s="569" t="str">
        <f t="shared" si="8"/>
        <v>0,0</v>
      </c>
      <c r="AG165"/>
    </row>
    <row r="166" spans="1:33" x14ac:dyDescent="0.25">
      <c r="A166" s="377"/>
      <c r="B166" s="377"/>
      <c r="C166" s="569"/>
      <c r="D166" s="377"/>
      <c r="E166" s="566" t="str">
        <f>IF(AND(A167="",A166&lt;&gt;0),IF(A166&lt;&gt;"",Variabelen!B$5&amp;".   ",""),Variabelen!B$4&amp;A165&amp;". ")</f>
        <v xml:space="preserve">P. </v>
      </c>
      <c r="F166" s="567">
        <v>125</v>
      </c>
      <c r="G166" s="568"/>
      <c r="H166" s="377"/>
      <c r="I166" s="377"/>
      <c r="J166" s="569"/>
      <c r="K166" s="377"/>
      <c r="L166" s="569"/>
      <c r="M166" s="569" t="str">
        <f t="shared" si="8"/>
        <v>0,0</v>
      </c>
      <c r="AG166"/>
    </row>
    <row r="167" spans="1:33" x14ac:dyDescent="0.25">
      <c r="A167" s="377"/>
      <c r="B167" s="377"/>
      <c r="C167" s="569"/>
      <c r="D167" s="377"/>
      <c r="E167" s="566" t="str">
        <f>IF(AND(A168="",A167&lt;&gt;0),IF(A167&lt;&gt;"",Variabelen!B$5&amp;".   ",""),Variabelen!B$4&amp;A166&amp;". ")</f>
        <v xml:space="preserve">P. </v>
      </c>
      <c r="F167" s="567">
        <v>126</v>
      </c>
      <c r="G167" s="568"/>
      <c r="H167" s="377"/>
      <c r="I167" s="377"/>
      <c r="J167" s="569"/>
      <c r="K167" s="377"/>
      <c r="L167" s="569"/>
      <c r="M167" s="569" t="str">
        <f t="shared" si="8"/>
        <v>0,0</v>
      </c>
      <c r="AG167"/>
    </row>
    <row r="168" spans="1:33" x14ac:dyDescent="0.25">
      <c r="A168" s="377"/>
      <c r="B168" s="377"/>
      <c r="C168" s="569"/>
      <c r="D168" s="377"/>
      <c r="E168" s="566" t="str">
        <f>IF(AND(A169="",A168&lt;&gt;0),IF(A168&lt;&gt;"",Variabelen!B$5&amp;".   ",""),Variabelen!B$4&amp;A167&amp;". ")</f>
        <v xml:space="preserve">P. </v>
      </c>
      <c r="F168" s="567">
        <v>127</v>
      </c>
      <c r="G168" s="568"/>
      <c r="H168" s="377"/>
      <c r="I168" s="377"/>
      <c r="J168" s="569"/>
      <c r="K168" s="377"/>
      <c r="L168" s="569"/>
      <c r="M168" s="569" t="str">
        <f t="shared" si="8"/>
        <v>0,0</v>
      </c>
      <c r="AG168"/>
    </row>
    <row r="169" spans="1:33" x14ac:dyDescent="0.25">
      <c r="A169" s="377"/>
      <c r="B169" s="377"/>
      <c r="C169" s="569"/>
      <c r="D169" s="377"/>
      <c r="E169" s="566" t="str">
        <f>IF(AND(A170="",A169&lt;&gt;0),IF(A169&lt;&gt;"",Variabelen!B$5&amp;".   ",""),Variabelen!B$4&amp;A168&amp;". ")</f>
        <v xml:space="preserve">P. </v>
      </c>
      <c r="F169" s="567">
        <v>128</v>
      </c>
      <c r="G169" s="568"/>
      <c r="H169" s="377"/>
      <c r="I169" s="377"/>
      <c r="J169" s="569"/>
      <c r="K169" s="377"/>
      <c r="L169" s="569"/>
      <c r="M169" s="569" t="str">
        <f t="shared" si="8"/>
        <v>0,0</v>
      </c>
      <c r="AG169"/>
    </row>
    <row r="170" spans="1:33" x14ac:dyDescent="0.25">
      <c r="A170" s="377"/>
      <c r="B170" s="377"/>
      <c r="C170" s="569"/>
      <c r="D170" s="377"/>
      <c r="E170" s="566" t="str">
        <f>IF(AND(A171="",A170&lt;&gt;0),IF(A170&lt;&gt;"",Variabelen!B$5&amp;".   ",""),Variabelen!B$4&amp;A169&amp;". ")</f>
        <v xml:space="preserve">P. </v>
      </c>
      <c r="F170" s="567">
        <v>129</v>
      </c>
      <c r="G170" s="568"/>
      <c r="H170" s="377"/>
      <c r="I170" s="377"/>
      <c r="J170" s="569"/>
      <c r="K170" s="377"/>
      <c r="L170" s="569"/>
      <c r="M170" s="569" t="str">
        <f t="shared" ref="M170:M177" si="9">POINT(B170,C170)</f>
        <v>0,0</v>
      </c>
      <c r="AG170"/>
    </row>
    <row r="171" spans="1:33" x14ac:dyDescent="0.25">
      <c r="A171" s="377"/>
      <c r="B171" s="377"/>
      <c r="C171" s="569"/>
      <c r="D171" s="377"/>
      <c r="E171" s="566" t="str">
        <f>IF(AND(A172="",A171&lt;&gt;0),IF(A171&lt;&gt;"",Variabelen!B$5&amp;".   ",""),Variabelen!B$4&amp;A170&amp;". ")</f>
        <v xml:space="preserve">P. </v>
      </c>
      <c r="F171" s="567">
        <v>130</v>
      </c>
      <c r="G171" s="568"/>
      <c r="H171" s="377"/>
      <c r="I171" s="377"/>
      <c r="J171" s="569"/>
      <c r="K171" s="377"/>
      <c r="L171" s="569"/>
      <c r="M171" s="569" t="str">
        <f t="shared" si="9"/>
        <v>0,0</v>
      </c>
      <c r="AG171"/>
    </row>
    <row r="172" spans="1:33" x14ac:dyDescent="0.25">
      <c r="A172" s="377"/>
      <c r="B172" s="377"/>
      <c r="C172" s="569"/>
      <c r="D172" s="377"/>
      <c r="E172" s="566" t="str">
        <f>IF(AND(A173="",A172&lt;&gt;0),IF(A172&lt;&gt;"",Variabelen!B$5&amp;".   ",""),Variabelen!B$4&amp;A171&amp;". ")</f>
        <v xml:space="preserve">P. </v>
      </c>
      <c r="F172" s="567">
        <v>131</v>
      </c>
      <c r="G172" s="568"/>
      <c r="H172" s="377"/>
      <c r="I172" s="377"/>
      <c r="J172" s="569"/>
      <c r="K172" s="377"/>
      <c r="L172" s="569"/>
      <c r="M172" s="569" t="str">
        <f t="shared" si="9"/>
        <v>0,0</v>
      </c>
      <c r="AG172"/>
    </row>
    <row r="173" spans="1:33" x14ac:dyDescent="0.25">
      <c r="A173" s="377"/>
      <c r="B173" s="377"/>
      <c r="C173" s="569"/>
      <c r="D173" s="377"/>
      <c r="E173" s="566" t="str">
        <f>IF(AND(A174="",A173&lt;&gt;0),IF(A173&lt;&gt;"",Variabelen!B$5&amp;".   ",""),Variabelen!B$4&amp;A172&amp;". ")</f>
        <v xml:space="preserve">P. </v>
      </c>
      <c r="F173" s="567">
        <v>132</v>
      </c>
      <c r="G173" s="568"/>
      <c r="H173" s="377"/>
      <c r="I173" s="377"/>
      <c r="J173" s="569"/>
      <c r="K173" s="377"/>
      <c r="L173" s="569"/>
      <c r="M173" s="569" t="str">
        <f t="shared" si="9"/>
        <v>0,0</v>
      </c>
      <c r="AG173"/>
    </row>
    <row r="174" spans="1:33" x14ac:dyDescent="0.25">
      <c r="A174" s="377"/>
      <c r="B174" s="377"/>
      <c r="C174" s="569"/>
      <c r="D174" s="377"/>
      <c r="E174" s="566" t="str">
        <f>IF(AND(A175="",A174&lt;&gt;0),IF(A174&lt;&gt;"",Variabelen!B$5&amp;".   ",""),Variabelen!B$4&amp;A173&amp;". ")</f>
        <v xml:space="preserve">P. </v>
      </c>
      <c r="F174" s="567">
        <v>133</v>
      </c>
      <c r="G174" s="568"/>
      <c r="H174" s="377"/>
      <c r="I174" s="377"/>
      <c r="J174" s="569"/>
      <c r="K174" s="377"/>
      <c r="L174" s="569"/>
      <c r="M174" s="569" t="str">
        <f t="shared" si="9"/>
        <v>0,0</v>
      </c>
      <c r="AG174"/>
    </row>
    <row r="175" spans="1:33" x14ac:dyDescent="0.25">
      <c r="A175" s="377"/>
      <c r="B175" s="377"/>
      <c r="C175" s="569"/>
      <c r="D175" s="377"/>
      <c r="E175" s="566" t="str">
        <f>IF(AND(A176="",A175&lt;&gt;0),IF(A175&lt;&gt;"",Variabelen!B$5&amp;".   ",""),Variabelen!B$4&amp;A174&amp;". ")</f>
        <v xml:space="preserve">P. </v>
      </c>
      <c r="F175" s="567">
        <v>134</v>
      </c>
      <c r="G175" s="568"/>
      <c r="H175" s="377"/>
      <c r="I175" s="377"/>
      <c r="J175" s="569"/>
      <c r="K175" s="377"/>
      <c r="L175" s="569"/>
      <c r="M175" s="569" t="str">
        <f t="shared" si="9"/>
        <v>0,0</v>
      </c>
      <c r="AG175"/>
    </row>
    <row r="176" spans="1:33" x14ac:dyDescent="0.25">
      <c r="A176" s="377"/>
      <c r="B176" s="377"/>
      <c r="C176" s="569"/>
      <c r="D176" s="377"/>
      <c r="E176" s="566" t="str">
        <f>IF(AND(A177="",A176&lt;&gt;0),IF(A176&lt;&gt;"",Variabelen!B$5&amp;".   ",""),Variabelen!B$4&amp;A175&amp;". ")</f>
        <v xml:space="preserve">P. </v>
      </c>
      <c r="F176" s="567">
        <v>135</v>
      </c>
      <c r="G176" s="568"/>
      <c r="H176" s="377"/>
      <c r="I176" s="377"/>
      <c r="J176" s="569"/>
      <c r="K176" s="377"/>
      <c r="L176" s="569"/>
      <c r="M176" s="569" t="str">
        <f t="shared" si="9"/>
        <v>0,0</v>
      </c>
      <c r="AG176"/>
    </row>
    <row r="177" spans="1:33" x14ac:dyDescent="0.25">
      <c r="A177" s="377"/>
      <c r="B177" s="377"/>
      <c r="C177" s="569"/>
      <c r="D177" s="377"/>
      <c r="E177" s="570" t="str">
        <f>IF(A177="","",Variabelen!B$5&amp;".   ")</f>
        <v/>
      </c>
      <c r="F177" s="567">
        <v>136</v>
      </c>
      <c r="G177" s="568"/>
      <c r="H177" s="377"/>
      <c r="I177" s="377"/>
      <c r="J177" s="569"/>
      <c r="K177" s="377"/>
      <c r="L177" s="569"/>
      <c r="M177" s="569" t="str">
        <f t="shared" si="9"/>
        <v>0,0</v>
      </c>
      <c r="AG177"/>
    </row>
    <row r="178" spans="1:33" x14ac:dyDescent="0.25">
      <c r="A178" s="571">
        <f>MAX(A42:A177)</f>
        <v>2</v>
      </c>
      <c r="B178" s="571"/>
      <c r="C178" s="571"/>
      <c r="D178" s="571"/>
      <c r="E178" s="571" t="s">
        <v>133</v>
      </c>
      <c r="F178" s="571"/>
      <c r="AG178"/>
    </row>
    <row r="179" spans="1:33" x14ac:dyDescent="0.25">
      <c r="A179" s="571"/>
      <c r="B179" s="571" t="s">
        <v>134</v>
      </c>
      <c r="C179" s="571"/>
      <c r="D179" s="571" t="e">
        <f>ROUND(B42,1)&amp;","&amp;ROUND(C42,1)</f>
        <v>#VALUE!</v>
      </c>
      <c r="E179" s="571"/>
      <c r="F179" s="571"/>
      <c r="AG179"/>
    </row>
    <row r="180" spans="1:33" x14ac:dyDescent="0.25">
      <c r="A180" s="571"/>
      <c r="B180" s="571" t="s">
        <v>135</v>
      </c>
      <c r="C180" s="571"/>
      <c r="D180" s="571" t="e">
        <f>ROUND(VLOOKUP(A178,A42:C177,2,FALSE),1)&amp;","&amp;ROUND(VLOOKUP(A178,A42:C177,3,FALSE),1)</f>
        <v>#VALUE!</v>
      </c>
      <c r="E180" s="571"/>
      <c r="F180" s="571"/>
      <c r="AG180"/>
    </row>
    <row r="181" spans="1:33" x14ac:dyDescent="0.25">
      <c r="AG181"/>
    </row>
    <row r="182" spans="1:33" x14ac:dyDescent="0.25">
      <c r="AG182"/>
    </row>
    <row r="183" spans="1:33" x14ac:dyDescent="0.25">
      <c r="D183" s="147" t="s">
        <v>136</v>
      </c>
      <c r="AG183"/>
    </row>
    <row r="184" spans="1:33" x14ac:dyDescent="0.25">
      <c r="D184" s="17" t="str">
        <f>[4]Blad1!$B3</f>
        <v>3D-Drilling BV</v>
      </c>
      <c r="AG184"/>
    </row>
    <row r="185" spans="1:33" x14ac:dyDescent="0.25">
      <c r="D185" s="17" t="str">
        <f>[4]Blad1!$B4</f>
        <v>A.Hak Electron B.V.</v>
      </c>
      <c r="AG185"/>
    </row>
    <row r="186" spans="1:33" x14ac:dyDescent="0.25">
      <c r="D186" s="17" t="str">
        <f>[4]Blad1!$B5</f>
        <v>A.Hak Rijmond B.V.</v>
      </c>
      <c r="AG186"/>
    </row>
    <row r="187" spans="1:33" x14ac:dyDescent="0.25">
      <c r="D187" s="17" t="str">
        <f>[4]Blad1!$B6</f>
        <v>Aktief Infra BV</v>
      </c>
      <c r="AG187"/>
    </row>
    <row r="188" spans="1:33" x14ac:dyDescent="0.25">
      <c r="D188" s="17" t="str">
        <f>[4]Blad1!$B7</f>
        <v>Allinq Group</v>
      </c>
      <c r="AG188"/>
    </row>
    <row r="189" spans="1:33" x14ac:dyDescent="0.25">
      <c r="D189" s="17" t="str">
        <f>[4]Blad1!$B8</f>
        <v>Artemis ITS GmbH</v>
      </c>
      <c r="AG189"/>
    </row>
    <row r="190" spans="1:33" x14ac:dyDescent="0.25">
      <c r="D190" s="17" t="str">
        <f>[4]Blad1!$B9</f>
        <v>ATSA Infra Tel BV</v>
      </c>
      <c r="AG190"/>
    </row>
    <row r="191" spans="1:33" x14ac:dyDescent="0.25">
      <c r="D191" s="17" t="str">
        <f>[4]Blad1!$B10</f>
        <v>AW Vessies</v>
      </c>
      <c r="AG191"/>
    </row>
    <row r="192" spans="1:33" x14ac:dyDescent="0.25">
      <c r="D192" s="17" t="str">
        <f>[4]Blad1!$B11</f>
        <v>Baas B.V.</v>
      </c>
      <c r="AG192"/>
    </row>
    <row r="193" spans="4:33" x14ac:dyDescent="0.25">
      <c r="D193" s="17" t="str">
        <f>[4]Blad1!$B12</f>
        <v>BAM</v>
      </c>
      <c r="AG193"/>
    </row>
    <row r="194" spans="4:33" x14ac:dyDescent="0.25">
      <c r="D194" s="17" t="str">
        <f>[4]Blad1!$B13</f>
        <v>BAM Bouw en Techniek Schiphol</v>
      </c>
      <c r="AG194"/>
    </row>
    <row r="195" spans="4:33" x14ac:dyDescent="0.25">
      <c r="D195" s="17" t="str">
        <f>[4]Blad1!$B14</f>
        <v>BAM Energie &amp; Water West BV</v>
      </c>
      <c r="AG195"/>
    </row>
    <row r="196" spans="4:33" x14ac:dyDescent="0.25">
      <c r="D196" s="17" t="str">
        <f>[4]Blad1!$B15</f>
        <v>BAM Energie &amp; Water Zuid BV</v>
      </c>
      <c r="AG196"/>
    </row>
    <row r="197" spans="4:33" x14ac:dyDescent="0.25">
      <c r="D197" s="17" t="str">
        <f>[4]Blad1!$B16</f>
        <v>BAM Infra</v>
      </c>
      <c r="AG197"/>
    </row>
    <row r="198" spans="4:33" x14ac:dyDescent="0.25">
      <c r="D198" s="17" t="str">
        <f>[4]Blad1!$B17</f>
        <v>BAM Infra Energie &amp; Water West BV</v>
      </c>
      <c r="AG198"/>
    </row>
    <row r="199" spans="4:33" x14ac:dyDescent="0.25">
      <c r="D199" s="17" t="str">
        <f>[4]Blad1!$B18</f>
        <v>BAM Infra Energie &amp; Water Zuidoost BV</v>
      </c>
      <c r="AG199"/>
    </row>
    <row r="200" spans="4:33" x14ac:dyDescent="0.25">
      <c r="D200" s="17" t="str">
        <f>[4]Blad1!$B19</f>
        <v>BAM Infra Telecom B.V.</v>
      </c>
      <c r="AG200"/>
    </row>
    <row r="201" spans="4:33" x14ac:dyDescent="0.25">
      <c r="D201" s="17" t="str">
        <f>[4]Blad1!$B20</f>
        <v>BAM Infra Verkeerstechniek</v>
      </c>
      <c r="AG201"/>
    </row>
    <row r="202" spans="4:33" x14ac:dyDescent="0.25">
      <c r="D202" s="17" t="str">
        <f>[4]Blad1!$B21</f>
        <v>BAM Telecom</v>
      </c>
      <c r="AG202"/>
    </row>
    <row r="203" spans="4:33" x14ac:dyDescent="0.25">
      <c r="D203" s="17" t="str">
        <f>[4]Blad1!$B22</f>
        <v xml:space="preserve">Bjorn Telintelo </v>
      </c>
      <c r="AG203"/>
    </row>
    <row r="204" spans="4:33" x14ac:dyDescent="0.25">
      <c r="D204" s="17" t="str">
        <f>[4]Blad1!$B23</f>
        <v>BL Boringen</v>
      </c>
      <c r="AG204"/>
    </row>
    <row r="205" spans="4:33" x14ac:dyDescent="0.25">
      <c r="D205" s="17" t="str">
        <f>[4]Blad1!$B24</f>
        <v>Blokland Infra B.V.</v>
      </c>
      <c r="AG205"/>
    </row>
    <row r="206" spans="4:33" x14ac:dyDescent="0.25">
      <c r="D206" s="17" t="str">
        <f>[4]Blad1!$B25</f>
        <v>Bob den Boer Infra B.V.</v>
      </c>
      <c r="AG206"/>
    </row>
    <row r="207" spans="4:33" x14ac:dyDescent="0.25">
      <c r="D207" s="17" t="str">
        <f>[4]Blad1!$B26</f>
        <v>Boskalis</v>
      </c>
      <c r="AG207"/>
    </row>
    <row r="208" spans="4:33" x14ac:dyDescent="0.25">
      <c r="D208" s="17" t="str">
        <f>[4]Blad1!$B27</f>
        <v>Brightfiber</v>
      </c>
      <c r="AG208"/>
    </row>
    <row r="209" spans="4:33" x14ac:dyDescent="0.25">
      <c r="D209" s="17" t="str">
        <f>[4]Blad1!$B28</f>
        <v>Brouwer Boogzinkeren B.V.</v>
      </c>
      <c r="AG209"/>
    </row>
    <row r="210" spans="4:33" x14ac:dyDescent="0.25">
      <c r="D210" s="17" t="str">
        <f>[4]Blad1!$B29</f>
        <v>Bruton Boortechniek B.V.</v>
      </c>
      <c r="AG210"/>
    </row>
    <row r="211" spans="4:33" x14ac:dyDescent="0.25">
      <c r="D211" s="17" t="str">
        <f>[4]Blad1!$B30</f>
        <v>BT Nederland</v>
      </c>
      <c r="AG211"/>
    </row>
    <row r="212" spans="4:33" x14ac:dyDescent="0.25">
      <c r="D212" s="17" t="str">
        <f>[4]Blad1!$B31</f>
        <v>BTL Drilling B.V.</v>
      </c>
      <c r="AG212"/>
    </row>
    <row r="213" spans="4:33" x14ac:dyDescent="0.25">
      <c r="D213" s="17" t="str">
        <f>[4]Blad1!$B32</f>
        <v>C &amp; C Cable &amp; Communication B.V.</v>
      </c>
      <c r="AG213"/>
    </row>
    <row r="214" spans="4:33" x14ac:dyDescent="0.25">
      <c r="D214" s="17" t="str">
        <f>[4]Blad1!$B33</f>
        <v>Ciag BV</v>
      </c>
      <c r="AG214"/>
    </row>
    <row r="215" spans="4:33" x14ac:dyDescent="0.25">
      <c r="D215" s="17" t="str">
        <f>[4]Blad1!$B34</f>
        <v>Cimitec Infra</v>
      </c>
      <c r="AG215"/>
    </row>
    <row r="216" spans="4:33" x14ac:dyDescent="0.25">
      <c r="D216" s="17" t="str">
        <f>[4]Blad1!$B35</f>
        <v>Circet Nederland</v>
      </c>
      <c r="AG216"/>
    </row>
    <row r="217" spans="4:33" x14ac:dyDescent="0.25">
      <c r="D217" s="17" t="str">
        <f>[4]Blad1!$B36</f>
        <v>CityTec B.V.</v>
      </c>
      <c r="AG217"/>
    </row>
    <row r="218" spans="4:33" x14ac:dyDescent="0.25">
      <c r="D218" s="17" t="str">
        <f>[4]Blad1!$B37</f>
        <v>Combinatie APK Infra &amp;Wegenbouw Limburg</v>
      </c>
      <c r="AG218"/>
    </row>
    <row r="219" spans="4:33" x14ac:dyDescent="0.25">
      <c r="D219" s="17" t="str">
        <f>[4]Blad1!$B38</f>
        <v>Combinatie HPV</v>
      </c>
      <c r="AG219"/>
    </row>
    <row r="220" spans="4:33" x14ac:dyDescent="0.25">
      <c r="D220" s="17" t="str">
        <f>[4]Blad1!$B39</f>
        <v>Con-e</v>
      </c>
      <c r="AG220"/>
    </row>
    <row r="221" spans="4:33" x14ac:dyDescent="0.25">
      <c r="D221" s="17" t="str">
        <f>[4]Blad1!$B40</f>
        <v>D&amp;G Infratechniek B.V.</v>
      </c>
      <c r="AG221"/>
    </row>
    <row r="222" spans="4:33" x14ac:dyDescent="0.25">
      <c r="D222" s="17" t="str">
        <f>[4]Blad1!$B41</f>
        <v>De Groene Boog V.O.F.</v>
      </c>
      <c r="AG222"/>
    </row>
    <row r="223" spans="4:33" x14ac:dyDescent="0.25">
      <c r="D223" s="17" t="str">
        <f>[4]Blad1!$B42</f>
        <v>De Kuiper Groep</v>
      </c>
      <c r="AG223"/>
    </row>
    <row r="224" spans="4:33" x14ac:dyDescent="0.25">
      <c r="D224" s="17" t="str">
        <f>[4]Blad1!$B43</f>
        <v>De Ruiter Grondwatertechniek</v>
      </c>
      <c r="AG224"/>
    </row>
    <row r="225" spans="4:33" x14ac:dyDescent="0.25">
      <c r="D225" s="17" t="str">
        <f>[4]Blad1!$B44</f>
        <v>Deutsche Glasfaser</v>
      </c>
      <c r="AG225"/>
    </row>
    <row r="226" spans="4:33" x14ac:dyDescent="0.25">
      <c r="D226" s="17" t="str">
        <f>[4]Blad1!$B45</f>
        <v>DIEK BV</v>
      </c>
      <c r="AG226"/>
    </row>
    <row r="227" spans="4:33" x14ac:dyDescent="0.25">
      <c r="D227" s="17" t="str">
        <f>[4]Blad1!$B46</f>
        <v>Digitronics Installatie- &amp; Infratechniek B.V.</v>
      </c>
    </row>
    <row r="228" spans="4:33" x14ac:dyDescent="0.25">
      <c r="D228" s="17" t="str">
        <f>[4]Blad1!$B47</f>
        <v>Dijar Group B.V.</v>
      </c>
    </row>
    <row r="229" spans="4:33" x14ac:dyDescent="0.25">
      <c r="D229" s="17" t="str">
        <f>[4]Blad1!$B48</f>
        <v>Direxta Infra B.V.</v>
      </c>
    </row>
    <row r="230" spans="4:33" x14ac:dyDescent="0.25">
      <c r="D230" s="17" t="str">
        <f>[4]Blad1!$B49</f>
        <v>Dmissie Electro BV</v>
      </c>
    </row>
    <row r="231" spans="4:33" x14ac:dyDescent="0.25">
      <c r="D231" s="17" t="str">
        <f>[4]Blad1!$B50</f>
        <v>DSO Infra BV</v>
      </c>
    </row>
    <row r="232" spans="4:33" x14ac:dyDescent="0.25">
      <c r="D232" s="17" t="str">
        <f>[4]Blad1!$B51</f>
        <v>Dunea</v>
      </c>
    </row>
    <row r="233" spans="4:33" x14ac:dyDescent="0.25">
      <c r="D233" s="17" t="str">
        <f>[4]Blad1!$B52</f>
        <v>Dura Vermeer Infra Regio Zuid West</v>
      </c>
    </row>
    <row r="234" spans="4:33" x14ac:dyDescent="0.25">
      <c r="D234" s="17" t="str">
        <f>[4]Blad1!$B53</f>
        <v>E&amp;R Infratechniek</v>
      </c>
    </row>
    <row r="235" spans="4:33" x14ac:dyDescent="0.25">
      <c r="D235" s="17" t="str">
        <f>[4]Blad1!$B54</f>
        <v>EBC Glasvezeltechniek B.V.</v>
      </c>
    </row>
    <row r="236" spans="4:33" x14ac:dyDescent="0.25">
      <c r="D236" s="17" t="str">
        <f>[4]Blad1!$B55</f>
        <v>EH Infra BV</v>
      </c>
    </row>
    <row r="237" spans="4:33" x14ac:dyDescent="0.25">
      <c r="D237" s="17" t="str">
        <f>[4]Blad1!$B56</f>
        <v>Eljes Infra Structurele Projecten</v>
      </c>
    </row>
    <row r="238" spans="4:33" x14ac:dyDescent="0.25">
      <c r="D238" s="17" t="str">
        <f>[4]Blad1!$B57</f>
        <v>Enexis</v>
      </c>
    </row>
    <row r="239" spans="4:33" x14ac:dyDescent="0.25">
      <c r="D239" s="17" t="str">
        <f>[4]Blad1!$B58</f>
        <v>Euronet Infra Techniek B.V.</v>
      </c>
    </row>
    <row r="240" spans="4:33" x14ac:dyDescent="0.25">
      <c r="D240" s="17" t="str">
        <f>[4]Blad1!$B59</f>
        <v>EV Solutions</v>
      </c>
    </row>
    <row r="241" spans="4:4" x14ac:dyDescent="0.25">
      <c r="D241" s="17" t="str">
        <f>[4]Blad1!$B60</f>
        <v>Exclusion Infra</v>
      </c>
    </row>
    <row r="242" spans="4:4" x14ac:dyDescent="0.25">
      <c r="D242" s="17" t="str">
        <f>[4]Blad1!$B61</f>
        <v>Feenstra Minikraanverhuur</v>
      </c>
    </row>
    <row r="243" spans="4:4" x14ac:dyDescent="0.25">
      <c r="D243" s="17" t="str">
        <f>[4]Blad1!$B62</f>
        <v>Fiberunie B.V.</v>
      </c>
    </row>
    <row r="244" spans="4:4" x14ac:dyDescent="0.25">
      <c r="D244" s="17" t="str">
        <f>[4]Blad1!$B63</f>
        <v>Fues Aannemingsbedrijf B.V.</v>
      </c>
    </row>
    <row r="245" spans="4:4" x14ac:dyDescent="0.25">
      <c r="D245" s="17" t="str">
        <f>[4]Blad1!$B64</f>
        <v>G.E.B. INFRA B.V.</v>
      </c>
    </row>
    <row r="246" spans="4:4" x14ac:dyDescent="0.25">
      <c r="D246" s="17" t="str">
        <f>[4]Blad1!$B65</f>
        <v>Gebr. van Lutterveld BV</v>
      </c>
    </row>
    <row r="247" spans="4:4" x14ac:dyDescent="0.25">
      <c r="D247" s="17" t="str">
        <f>[4]Blad1!$B66</f>
        <v>Gemeente Amstelveen</v>
      </c>
    </row>
    <row r="248" spans="4:4" x14ac:dyDescent="0.25">
      <c r="D248" s="17" t="str">
        <f>[4]Blad1!$B67</f>
        <v>GKB Infra</v>
      </c>
    </row>
    <row r="249" spans="4:4" x14ac:dyDescent="0.25">
      <c r="D249" s="17" t="str">
        <f>[4]Blad1!$B68</f>
        <v>Glasdraad Zeeuws Vlaanderen B.V.</v>
      </c>
    </row>
    <row r="250" spans="4:4" x14ac:dyDescent="0.25">
      <c r="D250" s="17" t="str">
        <f>[4]Blad1!$B69</f>
        <v>GlasDraad Groene Hart</v>
      </c>
    </row>
    <row r="251" spans="4:4" x14ac:dyDescent="0.25">
      <c r="D251" s="17" t="str">
        <f>[4]Blad1!$B70</f>
        <v>Grondwerk Van 't Veld B.V.</v>
      </c>
    </row>
    <row r="252" spans="4:4" x14ac:dyDescent="0.25">
      <c r="D252" s="17" t="str">
        <f>[4]Blad1!$B71</f>
        <v>Hachmang Aanneming B.V.</v>
      </c>
    </row>
    <row r="253" spans="4:4" x14ac:dyDescent="0.25">
      <c r="D253" s="17" t="str">
        <f>[4]Blad1!$B72</f>
        <v>Hans Eek Infrawerken</v>
      </c>
    </row>
    <row r="254" spans="4:4" x14ac:dyDescent="0.25">
      <c r="D254" s="17" t="str">
        <f>[4]Blad1!$B73</f>
        <v>Heijmans</v>
      </c>
    </row>
    <row r="255" spans="4:4" x14ac:dyDescent="0.25">
      <c r="D255" s="17" t="str">
        <f>[4]Blad1!$B74</f>
        <v>Heijmans Infra Energie</v>
      </c>
    </row>
    <row r="256" spans="4:4" x14ac:dyDescent="0.25">
      <c r="D256" s="17" t="str">
        <f>[4]Blad1!$B75</f>
        <v>HF Infra Solutions</v>
      </c>
    </row>
    <row r="257" spans="4:4" x14ac:dyDescent="0.25">
      <c r="D257" s="17" t="str">
        <f>[4]Blad1!$B76</f>
        <v>HIG Traffic Systems</v>
      </c>
    </row>
    <row r="258" spans="4:4" x14ac:dyDescent="0.25">
      <c r="D258" s="17" t="str">
        <f>[4]Blad1!$B77</f>
        <v>Hoppenbrouwers Techniek B.V.</v>
      </c>
    </row>
    <row r="259" spans="4:4" x14ac:dyDescent="0.25">
      <c r="D259" s="17" t="str">
        <f>[4]Blad1!$B78</f>
        <v>Huybens Haarlem</v>
      </c>
    </row>
    <row r="260" spans="4:4" x14ac:dyDescent="0.25">
      <c r="D260" s="17" t="str">
        <f>[4]Blad1!$B79</f>
        <v>HVI Infratechniek</v>
      </c>
    </row>
    <row r="261" spans="4:4" x14ac:dyDescent="0.25">
      <c r="D261" s="17" t="str">
        <f>[4]Blad1!$B80</f>
        <v>INFRA GLASVEZEL BEHEER BV</v>
      </c>
    </row>
    <row r="262" spans="4:4" x14ac:dyDescent="0.25">
      <c r="D262" s="17" t="str">
        <f>[4]Blad1!$B81</f>
        <v xml:space="preserve">Infra Kennis B.V. </v>
      </c>
    </row>
    <row r="263" spans="4:4" x14ac:dyDescent="0.25">
      <c r="D263" s="17" t="str">
        <f>[4]Blad1!$B82</f>
        <v>J. Glijnis BV</v>
      </c>
    </row>
    <row r="264" spans="4:4" x14ac:dyDescent="0.25">
      <c r="D264" s="17" t="str">
        <f>[4]Blad1!$B83</f>
        <v>Jos Eek Infraservice</v>
      </c>
    </row>
    <row r="265" spans="4:4" x14ac:dyDescent="0.25">
      <c r="D265" s="17" t="str">
        <f>[4]Blad1!$B84</f>
        <v>Jos van der Lubbe</v>
      </c>
    </row>
    <row r="266" spans="4:4" x14ac:dyDescent="0.25">
      <c r="D266" s="17" t="str">
        <f>[4]Blad1!$B85</f>
        <v>Kappert Infra B.V.</v>
      </c>
    </row>
    <row r="267" spans="4:4" x14ac:dyDescent="0.25">
      <c r="D267" s="17" t="str">
        <f>[4]Blad1!$B86</f>
        <v>Kenter</v>
      </c>
    </row>
    <row r="268" spans="4:4" x14ac:dyDescent="0.25">
      <c r="D268" s="17" t="str">
        <f>[4]Blad1!$B87</f>
        <v>Klever Boor- en Perstechniek B.V.</v>
      </c>
    </row>
    <row r="269" spans="4:4" x14ac:dyDescent="0.25">
      <c r="D269" s="17" t="str">
        <f>[4]Blad1!$B88</f>
        <v>Klinkenberg Kabelwerken</v>
      </c>
    </row>
    <row r="270" spans="4:4" x14ac:dyDescent="0.25">
      <c r="D270" s="17" t="str">
        <f>[4]Blad1!$B89</f>
        <v>Kodar Netherlands BV</v>
      </c>
    </row>
    <row r="271" spans="4:4" x14ac:dyDescent="0.25">
      <c r="D271" s="17" t="str">
        <f>[4]Blad1!$B90</f>
        <v>Kooij Infra BV</v>
      </c>
    </row>
    <row r="272" spans="4:4" x14ac:dyDescent="0.25">
      <c r="D272" s="17" t="str">
        <f>[4]Blad1!$B91</f>
        <v>Korf KB B.V.</v>
      </c>
    </row>
    <row r="273" spans="4:4" x14ac:dyDescent="0.25">
      <c r="D273" s="17" t="str">
        <f>[4]Blad1!$B92</f>
        <v>KPN</v>
      </c>
    </row>
    <row r="274" spans="4:4" x14ac:dyDescent="0.25">
      <c r="D274" s="17" t="str">
        <f>[4]Blad1!$B93</f>
        <v>Lambeck Infra</v>
      </c>
    </row>
    <row r="275" spans="4:4" x14ac:dyDescent="0.25">
      <c r="D275" s="17" t="str">
        <f>[4]Blad1!$B94</f>
        <v>LH glasvezeltechniek B.V.</v>
      </c>
    </row>
    <row r="276" spans="4:4" x14ac:dyDescent="0.25">
      <c r="D276" s="17" t="str">
        <f>[4]Blad1!$B95</f>
        <v>Liander</v>
      </c>
    </row>
    <row r="277" spans="4:4" x14ac:dyDescent="0.25">
      <c r="D277" s="17" t="str">
        <f>[4]Blad1!$B96</f>
        <v>Loon en aannemersbedrijf F.a. Jonker</v>
      </c>
    </row>
    <row r="278" spans="4:4" x14ac:dyDescent="0.25">
      <c r="D278" s="17" t="str">
        <f>[4]Blad1!$B97</f>
        <v>Loon en grondverzet de Jong</v>
      </c>
    </row>
    <row r="279" spans="4:4" x14ac:dyDescent="0.25">
      <c r="D279" s="17" t="str">
        <f>[4]Blad1!$B98</f>
        <v>M&amp;T Techniek BV</v>
      </c>
    </row>
    <row r="280" spans="4:4" x14ac:dyDescent="0.25">
      <c r="D280" s="17" t="str">
        <f>[4]Blad1!$B99</f>
        <v>MDF Infra B.V.</v>
      </c>
    </row>
    <row r="281" spans="4:4" x14ac:dyDescent="0.25">
      <c r="D281" s="17" t="str">
        <f>[4]Blad1!$B100</f>
        <v>MHT Tems B.V.</v>
      </c>
    </row>
    <row r="282" spans="4:4" x14ac:dyDescent="0.25">
      <c r="D282" s="17" t="str">
        <f>[4]Blad1!$B101</f>
        <v>MKC Techniek</v>
      </c>
    </row>
    <row r="283" spans="4:4" x14ac:dyDescent="0.25">
      <c r="D283" s="17" t="str">
        <f>[4]Blad1!$B102</f>
        <v>Moll Gestuurd Boren B.V.</v>
      </c>
    </row>
    <row r="284" spans="4:4" x14ac:dyDescent="0.25">
      <c r="D284" s="17" t="str">
        <f>[4]Blad1!$B103</f>
        <v>Mook Machineverhuur BV</v>
      </c>
    </row>
    <row r="285" spans="4:4" x14ac:dyDescent="0.25">
      <c r="D285" s="17" t="str">
        <f>[4]Blad1!$B104</f>
        <v>MVOI</v>
      </c>
    </row>
    <row r="286" spans="4:4" x14ac:dyDescent="0.25">
      <c r="D286" s="17" t="str">
        <f>[4]Blad1!$B105</f>
        <v>Neijhof &amp; Visser</v>
      </c>
    </row>
    <row r="287" spans="4:4" x14ac:dyDescent="0.25">
      <c r="D287" s="17" t="str">
        <f>[4]Blad1!$B106</f>
        <v>Netwerk KabelNoord</v>
      </c>
    </row>
    <row r="288" spans="4:4" x14ac:dyDescent="0.25">
      <c r="D288" s="17" t="str">
        <f>[4]Blad1!$B107</f>
        <v>NKM Network Services</v>
      </c>
    </row>
    <row r="289" spans="4:4" x14ac:dyDescent="0.25">
      <c r="D289" s="17" t="str">
        <f>[4]Blad1!$B108</f>
        <v>Northgroup</v>
      </c>
    </row>
    <row r="290" spans="4:4" x14ac:dyDescent="0.25">
      <c r="D290" s="17" t="str">
        <f>[4]Blad1!$B109</f>
        <v>OneFiber</v>
      </c>
    </row>
    <row r="291" spans="4:4" x14ac:dyDescent="0.25">
      <c r="D291" s="17" t="str">
        <f>[4]Blad1!$B110</f>
        <v>Open Dutch Fiber</v>
      </c>
    </row>
    <row r="292" spans="4:4" x14ac:dyDescent="0.25">
      <c r="D292" s="17" t="str">
        <f>[4]Blad1!$B111</f>
        <v>Particuliere opdrachtgever</v>
      </c>
    </row>
    <row r="293" spans="4:4" x14ac:dyDescent="0.25">
      <c r="D293" s="17" t="str">
        <f>[4]Blad1!$B112</f>
        <v>Pol Infratechniek B.V.</v>
      </c>
    </row>
    <row r="294" spans="4:4" x14ac:dyDescent="0.25">
      <c r="D294" s="17" t="str">
        <f>[4]Blad1!$B113</f>
        <v>Polderzon HDD  B.V.</v>
      </c>
    </row>
    <row r="295" spans="4:4" x14ac:dyDescent="0.25">
      <c r="D295" s="17" t="str">
        <f>[4]Blad1!$B114</f>
        <v>PWN</v>
      </c>
    </row>
    <row r="296" spans="4:4" x14ac:dyDescent="0.25">
      <c r="D296" s="17" t="str">
        <f>[4]Blad1!$B115</f>
        <v>Quint &amp; van Ginkel B.V.</v>
      </c>
    </row>
    <row r="297" spans="4:4" x14ac:dyDescent="0.25">
      <c r="D297" s="17" t="str">
        <f>[4]Blad1!$B116</f>
        <v>R&amp;D Drilling BV</v>
      </c>
    </row>
    <row r="298" spans="4:4" x14ac:dyDescent="0.25">
      <c r="D298" s="17" t="str">
        <f>[4]Blad1!$B117</f>
        <v>R. Breure Aannemings- en verhuurbedrijf B.V.</v>
      </c>
    </row>
    <row r="299" spans="4:4" x14ac:dyDescent="0.25">
      <c r="D299" s="17" t="str">
        <f>[4]Blad1!$B118</f>
        <v>Rasenberg Kabels&amp;Leidingen BV</v>
      </c>
    </row>
    <row r="300" spans="4:4" x14ac:dyDescent="0.25">
      <c r="D300" s="17" t="str">
        <f>[4]Blad1!$B119</f>
        <v>Rasenberg Kabels en Leidingen B.V.</v>
      </c>
    </row>
    <row r="301" spans="4:4" x14ac:dyDescent="0.25">
      <c r="D301" s="17" t="str">
        <f>[4]Blad1!$B120</f>
        <v>Rising Infratechniek B.V.</v>
      </c>
    </row>
    <row r="302" spans="4:4" x14ac:dyDescent="0.25">
      <c r="D302" s="17" t="str">
        <f>[4]Blad1!$B121</f>
        <v>RovoR Installatietechniek</v>
      </c>
    </row>
    <row r="303" spans="4:4" x14ac:dyDescent="0.25">
      <c r="D303" s="17" t="str">
        <f>[4]Blad1!$B122</f>
        <v>Schuuring Civiel Techniek B.V.</v>
      </c>
    </row>
    <row r="304" spans="4:4" x14ac:dyDescent="0.25">
      <c r="D304" s="17" t="str">
        <f>[4]Blad1!$B123</f>
        <v>SCT Kabel- en Leidingwerken</v>
      </c>
    </row>
    <row r="305" spans="4:4" x14ac:dyDescent="0.25">
      <c r="D305" s="17" t="str">
        <f>[4]Blad1!$B124</f>
        <v>Selecta Infratechniek</v>
      </c>
    </row>
    <row r="306" spans="4:4" x14ac:dyDescent="0.25">
      <c r="D306" s="17" t="str">
        <f>[4]Blad1!$B125</f>
        <v>Siers Groep Oldenzaal B.V.</v>
      </c>
    </row>
    <row r="307" spans="4:4" x14ac:dyDescent="0.25">
      <c r="D307" s="17" t="str">
        <f>[4]Blad1!$B126</f>
        <v>Speer Infra</v>
      </c>
    </row>
    <row r="308" spans="4:4" x14ac:dyDescent="0.25">
      <c r="D308" s="17" t="str">
        <f>[4]Blad1!$B127</f>
        <v>SPIE Nederland B.V.</v>
      </c>
    </row>
    <row r="309" spans="4:4" x14ac:dyDescent="0.25">
      <c r="D309" s="17" t="str">
        <f>[4]Blad1!$B128</f>
        <v>Spinder Kabeltechniek BV</v>
      </c>
    </row>
    <row r="310" spans="4:4" x14ac:dyDescent="0.25">
      <c r="D310" s="17" t="str">
        <f>[4]Blad1!$B129</f>
        <v>Spitters</v>
      </c>
    </row>
    <row r="311" spans="4:4" x14ac:dyDescent="0.25">
      <c r="D311" s="17" t="str">
        <f>[4]Blad1!$B130</f>
        <v>Spitters B.V.</v>
      </c>
    </row>
    <row r="312" spans="4:4" x14ac:dyDescent="0.25">
      <c r="D312" s="17" t="str">
        <f>[4]Blad1!$B131</f>
        <v>Stam &amp; Co Infratechniek B.V.</v>
      </c>
    </row>
    <row r="313" spans="4:4" x14ac:dyDescent="0.25">
      <c r="D313" s="17" t="str">
        <f>[4]Blad1!$B132</f>
        <v>Stedin</v>
      </c>
    </row>
    <row r="314" spans="4:4" x14ac:dyDescent="0.25">
      <c r="D314" s="17" t="str">
        <f>[4]Blad1!$B133</f>
        <v>Stroet Elektrotechniek BV</v>
      </c>
    </row>
    <row r="315" spans="4:4" x14ac:dyDescent="0.25">
      <c r="D315" s="17" t="str">
        <f>[4]Blad1!$B134</f>
        <v>Swarco Mobility Nederland B.V.</v>
      </c>
    </row>
    <row r="316" spans="4:4" x14ac:dyDescent="0.25">
      <c r="D316" s="17" t="str">
        <f>[4]Blad1!$B135</f>
        <v>Talsma Infratechniek</v>
      </c>
    </row>
    <row r="317" spans="4:4" x14ac:dyDescent="0.25">
      <c r="D317" s="17" t="str">
        <f>[4]Blad1!$B136</f>
        <v>Telemotion B.V.</v>
      </c>
    </row>
    <row r="318" spans="4:4" x14ac:dyDescent="0.25">
      <c r="D318" s="17" t="str">
        <f>[4]Blad1!$B137</f>
        <v>TeleZuid</v>
      </c>
    </row>
    <row r="319" spans="4:4" x14ac:dyDescent="0.25">
      <c r="D319" s="17" t="str">
        <f>[4]Blad1!$B138</f>
        <v>Timmer GWW BV</v>
      </c>
    </row>
    <row r="320" spans="4:4" x14ac:dyDescent="0.25">
      <c r="D320" s="17" t="str">
        <f>[4]Blad1!$B139</f>
        <v>Timmermans Drilling B.V.</v>
      </c>
    </row>
    <row r="321" spans="4:4" x14ac:dyDescent="0.25">
      <c r="D321" s="17" t="str">
        <f>[4]Blad1!$B140</f>
        <v>TM Techniek B.V.</v>
      </c>
    </row>
    <row r="322" spans="4:4" x14ac:dyDescent="0.25">
      <c r="D322" s="17" t="str">
        <f>[4]Blad1!$B141</f>
        <v>VALERES INDUSTRIEBOUW B.V.</v>
      </c>
    </row>
    <row r="323" spans="4:4" x14ac:dyDescent="0.25">
      <c r="D323" s="17" t="str">
        <f>[4]Blad1!$B142</f>
        <v>van Baarsen Buisleidingen BV</v>
      </c>
    </row>
    <row r="324" spans="4:4" x14ac:dyDescent="0.25">
      <c r="D324" s="17" t="str">
        <f>[4]Blad1!$B143</f>
        <v>Van den Heuvel</v>
      </c>
    </row>
    <row r="325" spans="4:4" x14ac:dyDescent="0.25">
      <c r="D325" s="17" t="str">
        <f>[4]Blad1!$B144</f>
        <v>Van Gelder</v>
      </c>
    </row>
    <row r="326" spans="4:4" x14ac:dyDescent="0.25">
      <c r="D326" s="17" t="str">
        <f>[4]Blad1!$B145</f>
        <v>Van Gelder KLM</v>
      </c>
    </row>
    <row r="327" spans="4:4" x14ac:dyDescent="0.25">
      <c r="D327" s="17" t="str">
        <f>[4]Blad1!$B146</f>
        <v>Van Gelder Telecom</v>
      </c>
    </row>
    <row r="328" spans="4:4" x14ac:dyDescent="0.25">
      <c r="D328" s="17" t="str">
        <f>[4]Blad1!$B147</f>
        <v>Van Gelder Verkeerstechniek</v>
      </c>
    </row>
    <row r="329" spans="4:4" x14ac:dyDescent="0.25">
      <c r="D329" s="17" t="str">
        <f>[4]Blad1!$B148</f>
        <v>Van Geleuken Infra BV</v>
      </c>
    </row>
    <row r="330" spans="4:4" x14ac:dyDescent="0.25">
      <c r="D330" s="17" t="str">
        <f>[4]Blad1!$B149</f>
        <v>Van Rosendaal Infra B.V.</v>
      </c>
    </row>
    <row r="331" spans="4:4" x14ac:dyDescent="0.25">
      <c r="D331" s="17" t="str">
        <f>[4]Blad1!$B150</f>
        <v>Van Schijndel Infragroep</v>
      </c>
    </row>
    <row r="332" spans="4:4" x14ac:dyDescent="0.25">
      <c r="D332" s="17" t="str">
        <f>[4]Blad1!$B151</f>
        <v>Van Voskuilen Infratechniek</v>
      </c>
    </row>
    <row r="333" spans="4:4" x14ac:dyDescent="0.25">
      <c r="D333" s="17" t="str">
        <f>[4]Blad1!$B152</f>
        <v>Van Vulpen</v>
      </c>
    </row>
    <row r="334" spans="4:4" x14ac:dyDescent="0.25">
      <c r="D334" s="17" t="str">
        <f>[4]Blad1!$B153</f>
        <v>Verbree Boogzinkers BV</v>
      </c>
    </row>
    <row r="335" spans="4:4" x14ac:dyDescent="0.25">
      <c r="D335" s="17" t="str">
        <f>[4]Blad1!$B154</f>
        <v>Verkley Kabels en Leidingen</v>
      </c>
    </row>
    <row r="336" spans="4:4" x14ac:dyDescent="0.25">
      <c r="D336" s="17" t="str">
        <f>[4]Blad1!$B155</f>
        <v>Vialis</v>
      </c>
    </row>
    <row r="337" spans="4:4" x14ac:dyDescent="0.25">
      <c r="D337" s="17" t="str">
        <f>[4]Blad1!$B156</f>
        <v>VIB netwerken</v>
      </c>
    </row>
    <row r="338" spans="4:4" x14ac:dyDescent="0.25">
      <c r="D338" s="17" t="str">
        <f>[4]Blad1!$B157</f>
        <v>Vitens</v>
      </c>
    </row>
    <row r="339" spans="4:4" x14ac:dyDescent="0.25">
      <c r="D339" s="17" t="str">
        <f>[4]Blad1!$B158</f>
        <v>VTV Drilling B.V.</v>
      </c>
    </row>
    <row r="340" spans="4:4" x14ac:dyDescent="0.25">
      <c r="D340" s="17" t="str">
        <f>[4]Blad1!$B159</f>
        <v>Hanab Telecom Services B.V.</v>
      </c>
    </row>
    <row r="341" spans="4:4" x14ac:dyDescent="0.25">
      <c r="D341" s="17" t="str">
        <f>[4]Blad1!$B160</f>
        <v>Waternet</v>
      </c>
    </row>
    <row r="342" spans="4:4" x14ac:dyDescent="0.25">
      <c r="D342" s="17" t="str">
        <f>[4]Blad1!$B161</f>
        <v>Welvreugd B.V.</v>
      </c>
    </row>
    <row r="343" spans="4:4" x14ac:dyDescent="0.25">
      <c r="D343" s="17" t="str">
        <f>[4]Blad1!$B162</f>
        <v>Wilfred Schotpoort Glasvezeltechniek B.V.</v>
      </c>
    </row>
    <row r="344" spans="4:4" x14ac:dyDescent="0.25">
      <c r="D344" s="17" t="str">
        <f>[4]Blad1!$B163</f>
        <v>Xinfra B.V.</v>
      </c>
    </row>
    <row r="345" spans="4:4" x14ac:dyDescent="0.25">
      <c r="D345" s="17" t="str">
        <f>[4]Blad1!$B164</f>
        <v>Ziggo</v>
      </c>
    </row>
    <row r="346" spans="4:4" x14ac:dyDescent="0.25">
      <c r="D346" s="17" t="str">
        <f>[4]Blad1!$B165</f>
        <v>Van Amerongen Infra B.V.</v>
      </c>
    </row>
    <row r="347" spans="4:4" x14ac:dyDescent="0.25">
      <c r="D347" s="17" t="str">
        <f>[4]Blad1!$B166</f>
        <v>GlasDraad Amstel Vecht en Venen</v>
      </c>
    </row>
    <row r="348" spans="4:4" x14ac:dyDescent="0.25">
      <c r="D348" s="17" t="str">
        <f>[4]Blad1!$B167</f>
        <v>Enexis Netbeheer B.V.</v>
      </c>
    </row>
    <row r="349" spans="4:4" x14ac:dyDescent="0.25">
      <c r="D349" s="17" t="str">
        <f>[4]Blad1!$B168</f>
        <v>Darico Infratechniek B.V.</v>
      </c>
    </row>
    <row r="350" spans="4:4" x14ac:dyDescent="0.25">
      <c r="D350" s="17" t="str">
        <f>[4]Blad1!$B169</f>
        <v>Baas B.V.</v>
      </c>
    </row>
    <row r="351" spans="4:4" x14ac:dyDescent="0.25">
      <c r="D351" s="17" t="str">
        <f>[4]Blad1!$B170</f>
        <v>Generation Green</v>
      </c>
    </row>
    <row r="352" spans="4:4" x14ac:dyDescent="0.25">
      <c r="D352" s="17" t="str">
        <f>[4]Blad1!$B171</f>
        <v>Peek Bouw en Infra BV</v>
      </c>
    </row>
    <row r="353" spans="4:4" x14ac:dyDescent="0.25">
      <c r="D353" s="17">
        <f>[4]Blad1!$B172</f>
        <v>0</v>
      </c>
    </row>
    <row r="354" spans="4:4" x14ac:dyDescent="0.25">
      <c r="D354" s="17">
        <f>[4]Blad1!$B173</f>
        <v>0</v>
      </c>
    </row>
    <row r="355" spans="4:4" x14ac:dyDescent="0.25">
      <c r="D355" s="17">
        <f>[4]Blad1!$B174</f>
        <v>0</v>
      </c>
    </row>
    <row r="356" spans="4:4" x14ac:dyDescent="0.25">
      <c r="D356" s="17">
        <f>[4]Blad1!$B175</f>
        <v>0</v>
      </c>
    </row>
    <row r="357" spans="4:4" x14ac:dyDescent="0.25">
      <c r="D357" s="17">
        <f>[4]Blad1!$B176</f>
        <v>0</v>
      </c>
    </row>
    <row r="358" spans="4:4" x14ac:dyDescent="0.25">
      <c r="D358" s="17">
        <f>[4]Blad1!$B177</f>
        <v>0</v>
      </c>
    </row>
    <row r="359" spans="4:4" x14ac:dyDescent="0.25">
      <c r="D359" s="17">
        <f>[4]Blad1!$B178</f>
        <v>0</v>
      </c>
    </row>
    <row r="360" spans="4:4" x14ac:dyDescent="0.25">
      <c r="D360" s="17">
        <f>[4]Blad1!$B179</f>
        <v>0</v>
      </c>
    </row>
    <row r="361" spans="4:4" x14ac:dyDescent="0.25">
      <c r="D361" s="17">
        <f>[4]Blad1!$B180</f>
        <v>0</v>
      </c>
    </row>
    <row r="362" spans="4:4" x14ac:dyDescent="0.25">
      <c r="D362" s="17">
        <f>[4]Blad1!$B181</f>
        <v>0</v>
      </c>
    </row>
    <row r="363" spans="4:4" x14ac:dyDescent="0.25">
      <c r="D363" s="17">
        <f>[4]Blad1!$B182</f>
        <v>0</v>
      </c>
    </row>
    <row r="364" spans="4:4" x14ac:dyDescent="0.25">
      <c r="D364" s="17">
        <f>[4]Blad1!$B183</f>
        <v>0</v>
      </c>
    </row>
    <row r="365" spans="4:4" x14ac:dyDescent="0.25">
      <c r="D365" s="17">
        <f>[4]Blad1!$B184</f>
        <v>0</v>
      </c>
    </row>
    <row r="366" spans="4:4" x14ac:dyDescent="0.25">
      <c r="D366" s="17">
        <f>[4]Blad1!$B185</f>
        <v>0</v>
      </c>
    </row>
    <row r="367" spans="4:4" x14ac:dyDescent="0.25">
      <c r="D367" s="17">
        <f>[4]Blad1!$B186</f>
        <v>0</v>
      </c>
    </row>
    <row r="368" spans="4:4" x14ac:dyDescent="0.25">
      <c r="D368" s="17">
        <f>[4]Blad1!$B187</f>
        <v>0</v>
      </c>
    </row>
    <row r="369" spans="4:4" x14ac:dyDescent="0.25">
      <c r="D369" s="17">
        <f>[4]Blad1!$B188</f>
        <v>0</v>
      </c>
    </row>
    <row r="370" spans="4:4" x14ac:dyDescent="0.25">
      <c r="D370" s="17">
        <f>[4]Blad1!$B189</f>
        <v>0</v>
      </c>
    </row>
    <row r="371" spans="4:4" x14ac:dyDescent="0.25">
      <c r="D371" s="17">
        <f>[4]Blad1!$B190</f>
        <v>0</v>
      </c>
    </row>
    <row r="372" spans="4:4" x14ac:dyDescent="0.25">
      <c r="D372" s="17">
        <f>[4]Blad1!$B191</f>
        <v>0</v>
      </c>
    </row>
    <row r="373" spans="4:4" x14ac:dyDescent="0.25">
      <c r="D373" s="17">
        <f>[4]Blad1!$B192</f>
        <v>0</v>
      </c>
    </row>
    <row r="374" spans="4:4" x14ac:dyDescent="0.25">
      <c r="D374" s="17">
        <f>[4]Blad1!$B193</f>
        <v>0</v>
      </c>
    </row>
    <row r="375" spans="4:4" x14ac:dyDescent="0.25">
      <c r="D375" s="17">
        <f>[4]Blad1!$B194</f>
        <v>0</v>
      </c>
    </row>
    <row r="376" spans="4:4" x14ac:dyDescent="0.25">
      <c r="D376" s="17">
        <f>[4]Blad1!$B195</f>
        <v>0</v>
      </c>
    </row>
    <row r="377" spans="4:4" x14ac:dyDescent="0.25">
      <c r="D377" s="17">
        <f>[4]Blad1!$B196</f>
        <v>0</v>
      </c>
    </row>
    <row r="378" spans="4:4" x14ac:dyDescent="0.25">
      <c r="D378" s="17">
        <f>[4]Blad1!$B197</f>
        <v>0</v>
      </c>
    </row>
    <row r="379" spans="4:4" x14ac:dyDescent="0.25">
      <c r="D379" s="17">
        <f>[4]Blad1!$B198</f>
        <v>0</v>
      </c>
    </row>
    <row r="380" spans="4:4" x14ac:dyDescent="0.25">
      <c r="D380" s="17">
        <f>[4]Blad1!$B199</f>
        <v>0</v>
      </c>
    </row>
    <row r="381" spans="4:4" x14ac:dyDescent="0.25">
      <c r="D381" s="17">
        <f>[4]Blad1!$B200</f>
        <v>0</v>
      </c>
    </row>
    <row r="382" spans="4:4" x14ac:dyDescent="0.25">
      <c r="D382" s="17">
        <f>[4]Blad1!$B201</f>
        <v>0</v>
      </c>
    </row>
    <row r="383" spans="4:4" x14ac:dyDescent="0.25">
      <c r="D383" s="17">
        <f>[4]Blad1!$B202</f>
        <v>0</v>
      </c>
    </row>
    <row r="384" spans="4:4" x14ac:dyDescent="0.25">
      <c r="D384" s="17">
        <f>[4]Blad1!$B203</f>
        <v>0</v>
      </c>
    </row>
    <row r="385" spans="4:4" x14ac:dyDescent="0.25">
      <c r="D385" s="17">
        <f>[4]Blad1!$B204</f>
        <v>0</v>
      </c>
    </row>
    <row r="386" spans="4:4" x14ac:dyDescent="0.25">
      <c r="D386" s="17">
        <f>[4]Blad1!$B205</f>
        <v>0</v>
      </c>
    </row>
    <row r="387" spans="4:4" x14ac:dyDescent="0.25">
      <c r="D387" s="17">
        <f>[4]Blad1!$B206</f>
        <v>0</v>
      </c>
    </row>
    <row r="388" spans="4:4" x14ac:dyDescent="0.25">
      <c r="D388" s="17">
        <f>[4]Blad1!$B207</f>
        <v>0</v>
      </c>
    </row>
    <row r="389" spans="4:4" x14ac:dyDescent="0.25">
      <c r="D389" s="17">
        <f>[4]Blad1!$B208</f>
        <v>0</v>
      </c>
    </row>
    <row r="390" spans="4:4" x14ac:dyDescent="0.25">
      <c r="D390" s="17">
        <f>[4]Blad1!$B209</f>
        <v>0</v>
      </c>
    </row>
    <row r="391" spans="4:4" x14ac:dyDescent="0.25">
      <c r="D391" s="17">
        <f>[4]Blad1!$B210</f>
        <v>0</v>
      </c>
    </row>
    <row r="392" spans="4:4" x14ac:dyDescent="0.25">
      <c r="D392" s="17">
        <f>[4]Blad1!$B211</f>
        <v>0</v>
      </c>
    </row>
    <row r="393" spans="4:4" x14ac:dyDescent="0.25">
      <c r="D393" s="17">
        <f>[4]Blad1!$B212</f>
        <v>0</v>
      </c>
    </row>
    <row r="394" spans="4:4" x14ac:dyDescent="0.25">
      <c r="D394" s="17">
        <f>[4]Blad1!$B213</f>
        <v>0</v>
      </c>
    </row>
    <row r="395" spans="4:4" x14ac:dyDescent="0.25">
      <c r="D395" s="17">
        <f>[4]Blad1!$B214</f>
        <v>0</v>
      </c>
    </row>
    <row r="396" spans="4:4" x14ac:dyDescent="0.25">
      <c r="D396" s="17">
        <f>[4]Blad1!$B215</f>
        <v>0</v>
      </c>
    </row>
    <row r="397" spans="4:4" x14ac:dyDescent="0.25">
      <c r="D397" s="17">
        <f>[4]Blad1!$B216</f>
        <v>0</v>
      </c>
    </row>
    <row r="398" spans="4:4" x14ac:dyDescent="0.25">
      <c r="D398" s="17">
        <f>[4]Blad1!$B217</f>
        <v>0</v>
      </c>
    </row>
    <row r="399" spans="4:4" x14ac:dyDescent="0.25">
      <c r="D399" s="17">
        <f>[4]Blad1!$B218</f>
        <v>0</v>
      </c>
    </row>
    <row r="400" spans="4:4" x14ac:dyDescent="0.25">
      <c r="D400" s="17">
        <f>[4]Blad1!$B219</f>
        <v>0</v>
      </c>
    </row>
  </sheetData>
  <mergeCells count="6">
    <mergeCell ref="A5:G5"/>
    <mergeCell ref="S15:Y19"/>
    <mergeCell ref="F33:H35"/>
    <mergeCell ref="A40:D40"/>
    <mergeCell ref="G40:J40"/>
    <mergeCell ref="D36:K37"/>
  </mergeCells>
  <conditionalFormatting sqref="D15">
    <cfRule type="expression" dxfId="153" priority="11">
      <formula>D14&gt;0</formula>
    </cfRule>
  </conditionalFormatting>
  <conditionalFormatting sqref="D13">
    <cfRule type="expression" dxfId="152" priority="9">
      <formula>D12&lt;&gt;""</formula>
    </cfRule>
  </conditionalFormatting>
  <conditionalFormatting sqref="E31">
    <cfRule type="expression" dxfId="151" priority="8">
      <formula>"som($K$15:$M$15)&gt;0"</formula>
    </cfRule>
  </conditionalFormatting>
  <conditionalFormatting sqref="E18">
    <cfRule type="expression" dxfId="150" priority="6">
      <formula>"som($K$15:$M$15)&gt;0"</formula>
    </cfRule>
  </conditionalFormatting>
  <conditionalFormatting sqref="F33:H35">
    <cfRule type="cellIs" dxfId="149" priority="3" operator="equal">
      <formula>"Ga door met GPSdatanaarOntwerp"</formula>
    </cfRule>
  </conditionalFormatting>
  <conditionalFormatting sqref="J10">
    <cfRule type="expression" dxfId="148" priority="2">
      <formula>NOT(ISBLANK(J10))</formula>
    </cfRule>
  </conditionalFormatting>
  <conditionalFormatting sqref="J4">
    <cfRule type="expression" dxfId="147" priority="1">
      <formula>NOT(ISBLANK(J4))</formula>
    </cfRule>
  </conditionalFormatting>
  <dataValidations count="1">
    <dataValidation type="list" allowBlank="1" showInputMessage="1" showErrorMessage="1" sqref="D31" xr:uid="{05F9986A-1455-4764-B33E-BC208E32DE9D}">
      <formula1>$D$184:$D$400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GPSdata">
                <anchor moveWithCells="1" sizeWithCells="1">
                  <from>
                    <xdr:col>4</xdr:col>
                    <xdr:colOff>76200</xdr:colOff>
                    <xdr:row>37</xdr:row>
                    <xdr:rowOff>104775</xdr:rowOff>
                  </from>
                  <to>
                    <xdr:col>6</xdr:col>
                    <xdr:colOff>9525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>
                <anchor moveWithCells="1" sizeWithCells="1">
                  <from>
                    <xdr:col>6</xdr:col>
                    <xdr:colOff>371475</xdr:colOff>
                    <xdr:row>37</xdr:row>
                    <xdr:rowOff>152400</xdr:rowOff>
                  </from>
                  <to>
                    <xdr:col>8</xdr:col>
                    <xdr:colOff>200025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Fill="0" autoPict="0" macro="[2]!GPSdatanaarOntwerp">
                <anchor moveWithCells="1" sizeWithCells="1">
                  <from>
                    <xdr:col>8</xdr:col>
                    <xdr:colOff>381000</xdr:colOff>
                    <xdr:row>37</xdr:row>
                    <xdr:rowOff>152400</xdr:rowOff>
                  </from>
                  <to>
                    <xdr:col>10</xdr:col>
                    <xdr:colOff>152400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7" name="Button 6">
              <controlPr defaultSize="0" print="0" autoFill="0" autoPict="0" macro="[0]!Bijwerken">
                <anchor moveWithCells="1" sizeWithCells="1">
                  <from>
                    <xdr:col>1</xdr:col>
                    <xdr:colOff>266700</xdr:colOff>
                    <xdr:row>18</xdr:row>
                    <xdr:rowOff>152400</xdr:rowOff>
                  </from>
                  <to>
                    <xdr:col>2</xdr:col>
                    <xdr:colOff>647700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8" name="Button 8">
              <controlPr defaultSize="0" print="0" autoFill="0" autoPict="0">
                <anchor moveWithCells="1" sizeWithCells="1">
                  <from>
                    <xdr:col>0</xdr:col>
                    <xdr:colOff>85725</xdr:colOff>
                    <xdr:row>6</xdr:row>
                    <xdr:rowOff>114300</xdr:rowOff>
                  </from>
                  <to>
                    <xdr:col>2</xdr:col>
                    <xdr:colOff>114300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9" name="Button 10">
              <controlPr defaultSize="0" print="0" autoFill="0" autoPict="0" macro="[0]!ImportAndRun">
                <anchor moveWithCells="1" sizeWithCells="1">
                  <from>
                    <xdr:col>11</xdr:col>
                    <xdr:colOff>581025</xdr:colOff>
                    <xdr:row>34</xdr:row>
                    <xdr:rowOff>19050</xdr:rowOff>
                  </from>
                  <to>
                    <xdr:col>14</xdr:col>
                    <xdr:colOff>647700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0" name="Button 11">
              <controlPr defaultSize="0" print="0" autoFill="0" autoPict="0" macro="[0]!SaveOldName">
                <anchor moveWithCells="1" sizeWithCells="1">
                  <from>
                    <xdr:col>17</xdr:col>
                    <xdr:colOff>219075</xdr:colOff>
                    <xdr:row>1</xdr:row>
                    <xdr:rowOff>28575</xdr:rowOff>
                  </from>
                  <to>
                    <xdr:col>22</xdr:col>
                    <xdr:colOff>476250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CB2300"/>
  <sheetViews>
    <sheetView tabSelected="1" topLeftCell="A128" zoomScale="85" zoomScaleNormal="85" zoomScaleSheetLayoutView="115" workbookViewId="0">
      <selection activeCell="F144" sqref="F144"/>
    </sheetView>
  </sheetViews>
  <sheetFormatPr defaultColWidth="9.140625" defaultRowHeight="15" outlineLevelRow="2" x14ac:dyDescent="0.25"/>
  <cols>
    <col min="1" max="1" width="5.28515625" style="16" customWidth="1"/>
    <col min="2" max="2" width="40.5703125" style="16" customWidth="1"/>
    <col min="3" max="3" width="13" style="16" customWidth="1"/>
    <col min="4" max="4" width="9.140625" style="16" customWidth="1"/>
    <col min="5" max="5" width="11" style="16" customWidth="1"/>
    <col min="6" max="6" width="12.7109375" style="16" customWidth="1"/>
    <col min="7" max="7" width="12.5703125" style="16" customWidth="1"/>
    <col min="8" max="8" width="11.42578125" style="16" customWidth="1"/>
    <col min="9" max="9" width="9.140625" style="16" customWidth="1"/>
    <col min="10" max="10" width="9.5703125" style="16" customWidth="1"/>
    <col min="11" max="11" width="13" style="16" customWidth="1"/>
    <col min="12" max="12" width="9.5703125" style="16" customWidth="1"/>
    <col min="13" max="14" width="14.7109375" style="16" customWidth="1"/>
    <col min="15" max="15" width="7.5703125" style="16" customWidth="1"/>
    <col min="16" max="16" width="9.140625" style="16" customWidth="1"/>
    <col min="17" max="17" width="11.85546875" style="16" customWidth="1"/>
    <col min="18" max="18" width="14.5703125" style="16" customWidth="1"/>
    <col min="19" max="19" width="9.140625" style="16" customWidth="1"/>
    <col min="20" max="20" width="10.140625" style="16" customWidth="1"/>
    <col min="21" max="21" width="16.42578125" style="16" customWidth="1"/>
    <col min="22" max="23" width="9.140625" style="16" customWidth="1"/>
    <col min="24" max="24" width="11.140625" style="16" customWidth="1"/>
    <col min="25" max="25" width="9.42578125" style="16" customWidth="1"/>
    <col min="26" max="26" width="8.28515625" style="16" customWidth="1"/>
    <col min="27" max="27" width="7.7109375" style="16" customWidth="1"/>
    <col min="28" max="28" width="25.28515625" style="16" customWidth="1"/>
    <col min="29" max="29" width="9.140625" style="16" customWidth="1"/>
    <col min="30" max="30" width="8.28515625" style="16" customWidth="1"/>
    <col min="31" max="31" width="12.140625" style="16" customWidth="1"/>
    <col min="32" max="32" width="12.5703125" style="16" customWidth="1"/>
    <col min="33" max="33" width="13.140625" style="16" customWidth="1"/>
    <col min="34" max="34" width="15" style="16" bestFit="1" customWidth="1"/>
    <col min="35" max="35" width="27.42578125" style="16" customWidth="1"/>
    <col min="36" max="36" width="16.140625" style="16" customWidth="1"/>
    <col min="37" max="37" width="15.7109375" style="16" customWidth="1"/>
    <col min="38" max="38" width="1.5703125" style="16" customWidth="1"/>
    <col min="39" max="39" width="6.5703125" style="16" customWidth="1"/>
    <col min="40" max="41" width="4.7109375" style="16" customWidth="1"/>
    <col min="42" max="42" width="15.28515625" style="16" bestFit="1" customWidth="1"/>
    <col min="43" max="43" width="14.85546875" style="16" customWidth="1"/>
    <col min="44" max="44" width="2.42578125" style="16" customWidth="1"/>
    <col min="45" max="46" width="14.85546875" style="16" customWidth="1"/>
    <col min="47" max="47" width="13.85546875" style="16" customWidth="1"/>
    <col min="48" max="48" width="4.7109375" style="16" customWidth="1"/>
    <col min="49" max="49" width="22.85546875" style="16" customWidth="1"/>
    <col min="50" max="50" width="8.85546875" style="16" customWidth="1"/>
    <col min="51" max="51" width="9.140625" style="16" customWidth="1"/>
    <col min="52" max="52" width="6.140625" style="16" customWidth="1"/>
    <col min="53" max="53" width="2.42578125" style="16" customWidth="1"/>
    <col min="54" max="54" width="10.5703125" style="16" bestFit="1" customWidth="1"/>
    <col min="55" max="55" width="2.85546875" style="16" customWidth="1"/>
    <col min="56" max="57" width="9.140625" style="16" customWidth="1"/>
    <col min="58" max="58" width="30.28515625" style="16" customWidth="1"/>
    <col min="59" max="60" width="5.140625" style="16" customWidth="1"/>
    <col min="61" max="61" width="28.42578125" style="16" customWidth="1"/>
    <col min="62" max="62" width="4.28515625" style="16" customWidth="1"/>
    <col min="63" max="63" width="4" style="16" customWidth="1"/>
    <col min="64" max="66" width="6.28515625" style="16" customWidth="1"/>
    <col min="67" max="70" width="9.140625" style="16" customWidth="1"/>
    <col min="71" max="71" width="3.42578125" style="16" customWidth="1"/>
    <col min="72" max="75" width="9.140625" style="16" customWidth="1"/>
    <col min="76" max="76" width="13" style="16" customWidth="1"/>
    <col min="77" max="83" width="9.140625" style="16" customWidth="1"/>
    <col min="84" max="16384" width="9.140625" style="16"/>
  </cols>
  <sheetData>
    <row r="1" spans="1:35" ht="16.5" customHeight="1" thickBot="1" x14ac:dyDescent="0.3">
      <c r="A1" s="21" t="s">
        <v>137</v>
      </c>
      <c r="F1" s="602" t="s">
        <v>138</v>
      </c>
      <c r="G1" s="55"/>
      <c r="H1" s="55"/>
      <c r="I1" s="55"/>
      <c r="K1" s="407" t="s">
        <v>139</v>
      </c>
      <c r="L1" s="145"/>
      <c r="O1" s="448" t="s">
        <v>140</v>
      </c>
      <c r="Q1" s="449">
        <f>IF(A272=2,0,IF(A272=5,1,IF(A272=8,2,IF(A272=11,3,"CHECK INVOER XY coordinaten boring"))))</f>
        <v>1</v>
      </c>
      <c r="S1" s="500" t="s">
        <v>141</v>
      </c>
      <c r="T1" s="855" t="s">
        <v>142</v>
      </c>
      <c r="V1" s="654" t="s">
        <v>143</v>
      </c>
      <c r="Y1" s="478" t="s">
        <v>144</v>
      </c>
      <c r="Z1" s="16" t="s">
        <v>145</v>
      </c>
      <c r="AC1" s="719" t="s">
        <v>146</v>
      </c>
      <c r="AD1" s="719" t="s">
        <v>147</v>
      </c>
      <c r="AE1" s="719" t="s">
        <v>148</v>
      </c>
      <c r="AF1" s="719" t="s">
        <v>149</v>
      </c>
      <c r="AG1" s="719" t="s">
        <v>150</v>
      </c>
      <c r="AH1" s="719" t="s">
        <v>151</v>
      </c>
    </row>
    <row r="2" spans="1:35" ht="16.5" customHeight="1" thickBot="1" x14ac:dyDescent="0.3">
      <c r="A2" s="21"/>
      <c r="B2" s="761" t="s">
        <v>1071</v>
      </c>
      <c r="C2" s="659">
        <v>7</v>
      </c>
      <c r="D2" s="579" t="s">
        <v>152</v>
      </c>
      <c r="E2" s="596" t="str">
        <f>INPUT!O25</f>
        <v>Handmatige invoer</v>
      </c>
      <c r="F2" s="193">
        <f>IF(M8&gt;G4,1,IF(M8&lt;J32,_xlfn.XLOOKUP(J30,N14:N23,J14:J23,"Manually find P"),_xlfn.XLOOKUP(J31,N14:N23,J14:J23,"Manually find P")))</f>
        <v>1</v>
      </c>
      <c r="G2" s="55"/>
      <c r="H2" s="55"/>
      <c r="I2" s="55"/>
      <c r="K2" s="412" t="s">
        <v>153</v>
      </c>
      <c r="L2" s="145"/>
      <c r="M2" s="408" t="str">
        <f ca="1">IF(INPUT!D6=0,"0, OK","Rev."&amp;INPUT!D6&amp;", CHECK")</f>
        <v>Rev.1, CHECK</v>
      </c>
      <c r="O2" s="448" t="s">
        <v>154</v>
      </c>
      <c r="Q2" s="495" t="s">
        <v>155</v>
      </c>
      <c r="S2" s="511" t="s">
        <v>156</v>
      </c>
      <c r="T2" s="670" t="s">
        <v>185</v>
      </c>
      <c r="U2" s="511" t="s">
        <v>6</v>
      </c>
      <c r="V2" s="654" t="s">
        <v>158</v>
      </c>
      <c r="Y2" s="478" t="s">
        <v>159</v>
      </c>
      <c r="Z2" s="16" t="s">
        <v>160</v>
      </c>
      <c r="AC2" s="720">
        <v>1</v>
      </c>
      <c r="AD2" s="193">
        <f>-Z$32+Z$33+AC2*Z$32</f>
        <v>0</v>
      </c>
      <c r="AE2" s="193">
        <f t="shared" ref="AE2:AE29" si="0">IF(AD2&lt;I$41,AD2*COS(RADIANS(J$3)),IF(AD2&lt;(I$41+I$44),I$40+I$43+J$4*SIN(RADIANS(-J$3+360*(AD2-I$41)/(2*PI()*J$4))),IF(AD2&lt;(I$41+I$44+I$46),AD2-(I$41+I$44)+I$40+I$43,IF(AD2&lt;(I$41+I$44+I$46+I$50),I$40+I$43+I$46+J$8*SIN(RADIANS(360*(AD2-(I$41+I$44+I$46))/(2*PI()*J$8))),IF(AD2&lt;=(I$41+I$44+I$46+I$50+I$53),I$40+I$43+I$46+I$49+(AD2-(I$41+I$44+I$46+I$50))*COS(RADIANS(J$9)),"CHECK FORMULE")))))</f>
        <v>0</v>
      </c>
      <c r="AF2" s="193">
        <f t="shared" ref="AF2:AF34" si="1">IF(AE2&lt;=V$274,AA$273+(AE2*AB$274/X$274),IF(AE2&lt;=V$275,AF$266+I$38-AF$266*COS(ASIN((I$45-AE2)/AF$266)),IF(AE2&lt;=V$276,AA$276,IF(AE2&lt;=V$277,AF$269+I$38-AF$269*COS(ASIN((AE2-I$45-I$46)/AF$269)),IF(AE2&lt;=V$278,AA$277+((AE2-V$277)*AB$278/X$278),"Formule bijwerken voor  T6")))))</f>
        <v>0</v>
      </c>
      <c r="AG2" s="721" t="e">
        <f>AF2/AD2</f>
        <v>#DIV/0!</v>
      </c>
      <c r="AI2" s="16">
        <v>0</v>
      </c>
    </row>
    <row r="3" spans="1:35" ht="16.5" customHeight="1" thickBot="1" x14ac:dyDescent="0.3">
      <c r="A3" s="21"/>
      <c r="B3" s="579" t="s">
        <v>161</v>
      </c>
      <c r="C3" s="771">
        <f>J28</f>
        <v>53.960792635533686</v>
      </c>
      <c r="G3" s="578" t="s">
        <v>162</v>
      </c>
      <c r="H3" s="578" t="s">
        <v>163</v>
      </c>
      <c r="I3" s="578" t="s">
        <v>164</v>
      </c>
      <c r="K3" s="407" t="s">
        <v>165</v>
      </c>
      <c r="L3" s="145"/>
      <c r="M3" s="408" t="str">
        <f>IF(D13&lt;=F13,"OK","NIET OK")</f>
        <v>OK</v>
      </c>
      <c r="O3" s="407" t="s">
        <v>166</v>
      </c>
      <c r="P3" s="145"/>
      <c r="Q3" s="449" t="str">
        <f>IF(K264=0,"OK","FOUT")</f>
        <v>OK</v>
      </c>
      <c r="S3" s="511" t="s">
        <v>156</v>
      </c>
      <c r="T3" s="572" t="str">
        <f>Variabelen!B80</f>
        <v>A2Z4</v>
      </c>
      <c r="V3" s="654" t="s">
        <v>157</v>
      </c>
      <c r="Y3" s="478" t="s">
        <v>167</v>
      </c>
      <c r="Z3" s="16" t="s">
        <v>168</v>
      </c>
      <c r="AC3" s="720">
        <f t="shared" ref="AC3:AC34" si="2">IF(AC2="","",IF(AD2&lt;(S$9),AC2+1,""))</f>
        <v>2</v>
      </c>
      <c r="AD3" s="193">
        <f t="shared" ref="AD3:AD34" si="3">IF(AC3="","",IF(-Z$32+Z$33+AC3*Z$32&lt;S$9,-Z$32+Z$33+AC3*Z$32,S$9))</f>
        <v>0</v>
      </c>
      <c r="AE3" s="193">
        <f t="shared" si="0"/>
        <v>0</v>
      </c>
      <c r="AF3" s="193">
        <f t="shared" si="1"/>
        <v>0</v>
      </c>
      <c r="AG3" s="721" t="e">
        <f t="shared" ref="AG3:AG34" si="4">(AF3-AF2)/(AD3-AD2)</f>
        <v>#DIV/0!</v>
      </c>
    </row>
    <row r="4" spans="1:35" ht="16.5" customHeight="1" thickBot="1" x14ac:dyDescent="0.3">
      <c r="A4" s="21"/>
      <c r="B4" s="761" t="s">
        <v>1072</v>
      </c>
      <c r="C4" s="484">
        <v>7.7968954858420387</v>
      </c>
      <c r="E4" s="596" t="str">
        <f>INPUT!O24</f>
        <v>Handmatige invoer</v>
      </c>
      <c r="G4" s="586">
        <f>G42+G43</f>
        <v>78.453930466515089</v>
      </c>
      <c r="H4" s="54">
        <f>-C42</f>
        <v>2.9366090222907859</v>
      </c>
      <c r="I4" s="679">
        <f>G4-M8</f>
        <v>-148.0920496046505</v>
      </c>
      <c r="K4" s="407" t="s">
        <v>169</v>
      </c>
      <c r="L4" s="145"/>
      <c r="M4" s="408" t="str">
        <f>IF(AND(C31=0,C32=0),"JA","NEE")</f>
        <v>JA</v>
      </c>
      <c r="O4" s="407" t="s">
        <v>170</v>
      </c>
      <c r="P4" s="145"/>
      <c r="Q4" s="449">
        <f>IF(R62&gt;0,R62,"NEE")</f>
        <v>3</v>
      </c>
      <c r="V4" s="654" t="s">
        <v>171</v>
      </c>
      <c r="Y4" s="478" t="s">
        <v>172</v>
      </c>
      <c r="Z4" s="16" t="s">
        <v>173</v>
      </c>
      <c r="AC4" s="720">
        <f t="shared" si="2"/>
        <v>3</v>
      </c>
      <c r="AD4" s="193">
        <f t="shared" si="3"/>
        <v>0</v>
      </c>
      <c r="AE4" s="193">
        <f t="shared" si="0"/>
        <v>0</v>
      </c>
      <c r="AF4" s="193">
        <f t="shared" si="1"/>
        <v>0</v>
      </c>
      <c r="AG4" s="721" t="e">
        <f t="shared" si="4"/>
        <v>#DIV/0!</v>
      </c>
    </row>
    <row r="5" spans="1:35" ht="15.75" customHeight="1" x14ac:dyDescent="0.25">
      <c r="A5" s="21"/>
      <c r="B5" s="579" t="s">
        <v>174</v>
      </c>
      <c r="C5" s="820" t="s">
        <v>1122</v>
      </c>
      <c r="G5" s="232">
        <f>M8/G44</f>
        <v>2.8876307244779489</v>
      </c>
      <c r="I5" s="55"/>
      <c r="K5" s="407" t="s">
        <v>175</v>
      </c>
      <c r="L5" s="145"/>
      <c r="M5" s="408" t="str">
        <f>IF(AND(C40&gt;=0,C43&gt;0,C46&gt;=0,C49&gt;0,C52&gt;=0),"JA","NEGATIEVE WAARDEN GEVONDEN")</f>
        <v>JA</v>
      </c>
      <c r="O5" s="407" t="s">
        <v>176</v>
      </c>
      <c r="Q5" s="449" t="str">
        <f>IF(ISBLANK(S71),"NEE",3-COUNTBLANK(S71:S73))</f>
        <v>NEE</v>
      </c>
      <c r="V5" s="654" t="s">
        <v>177</v>
      </c>
      <c r="Y5" s="478" t="s">
        <v>178</v>
      </c>
      <c r="Z5" s="16" t="s">
        <v>179</v>
      </c>
      <c r="AC5" s="720">
        <f t="shared" si="2"/>
        <v>4</v>
      </c>
      <c r="AD5" s="193">
        <f t="shared" si="3"/>
        <v>0</v>
      </c>
      <c r="AE5" s="193">
        <f t="shared" si="0"/>
        <v>0</v>
      </c>
      <c r="AF5" s="193">
        <f t="shared" si="1"/>
        <v>0</v>
      </c>
      <c r="AG5" s="721" t="e">
        <f t="shared" si="4"/>
        <v>#DIV/0!</v>
      </c>
    </row>
    <row r="6" spans="1:35" ht="15.75" customHeight="1" x14ac:dyDescent="0.25">
      <c r="A6" s="21"/>
      <c r="B6" s="580" t="s">
        <v>180</v>
      </c>
      <c r="C6" s="853" t="str">
        <f ca="1">IF(INPUT!D3=2,"BZKR",IF(OR(INPUT!D27=2,INPUT!D27=3),"BZK",IF(INPUT!D27=4,"Pers",Ontwerp!C5)))</f>
        <v>VermeerD40</v>
      </c>
      <c r="D6" s="16" t="s">
        <v>181</v>
      </c>
      <c r="H6" s="55"/>
      <c r="I6" s="55"/>
      <c r="K6" s="407" t="s">
        <v>182</v>
      </c>
      <c r="L6" s="145"/>
      <c r="M6" s="408" t="str">
        <f>IF(G51=0,"JA", "NEE")</f>
        <v>JA</v>
      </c>
      <c r="O6" s="407" t="s">
        <v>183</v>
      </c>
      <c r="Q6" s="449" t="str">
        <f>IF(I288=L288,"OK","NIET OK")</f>
        <v>OK</v>
      </c>
      <c r="R6" s="538" t="str">
        <f>IF((I287-I285)&lt;0.3,"OK","NIET OK")</f>
        <v>OK</v>
      </c>
      <c r="S6" s="499" t="s">
        <v>184</v>
      </c>
      <c r="V6" s="654" t="s">
        <v>185</v>
      </c>
      <c r="Y6" s="478" t="s">
        <v>186</v>
      </c>
      <c r="Z6" s="16" t="s">
        <v>187</v>
      </c>
      <c r="AC6" s="720">
        <f t="shared" si="2"/>
        <v>5</v>
      </c>
      <c r="AD6" s="193">
        <f t="shared" si="3"/>
        <v>0</v>
      </c>
      <c r="AE6" s="193">
        <f t="shared" si="0"/>
        <v>0</v>
      </c>
      <c r="AF6" s="193">
        <f t="shared" si="1"/>
        <v>0</v>
      </c>
      <c r="AG6" s="721" t="e">
        <f t="shared" si="4"/>
        <v>#DIV/0!</v>
      </c>
    </row>
    <row r="7" spans="1:35" ht="15.75" customHeight="1" x14ac:dyDescent="0.25">
      <c r="A7" s="21"/>
      <c r="B7" s="675" t="s">
        <v>188</v>
      </c>
      <c r="C7" s="823">
        <v>18</v>
      </c>
      <c r="D7" s="186">
        <f>IF(C7="",IF(OR(C6="bzk",C6="bzkr"),C3,HLOOKUP(C6,Variabelen!N2:AA11,4,FALSE)),C7)</f>
        <v>18</v>
      </c>
      <c r="E7" s="676">
        <f>TAN(RADIANS(D7))</f>
        <v>0.32491969623290629</v>
      </c>
      <c r="F7" s="190" t="s">
        <v>189</v>
      </c>
      <c r="H7" s="55"/>
      <c r="I7" s="55"/>
      <c r="K7" s="413" t="s">
        <v>190</v>
      </c>
      <c r="M7" s="408" t="str">
        <f>IF(Ontwerp!C35="j",IF(Ontwerp!E35&gt;Ontwerp!F35+Ontwerp!H35,"ONDIEPE BORING",IF(Ontwerp!E35&lt;Ontwerp!G35-Ontwerp!H35,"DIEPE BORING","LET OP! BORING TE DICHT OP AFSLUITENDE LAAG")),IF(Ontwerp!C35="n","GEEN KWELPOLDER","MAAK KEUZE KWELPOLDER J/N"))</f>
        <v>GEEN KWELPOLDER</v>
      </c>
      <c r="O7" s="465" t="s">
        <v>191</v>
      </c>
      <c r="Q7" s="449">
        <f>P269</f>
        <v>2.8</v>
      </c>
      <c r="V7" s="166"/>
      <c r="Y7" s="478" t="s">
        <v>192</v>
      </c>
      <c r="Z7" s="16" t="s">
        <v>193</v>
      </c>
      <c r="AC7" s="722">
        <f t="shared" si="2"/>
        <v>6</v>
      </c>
      <c r="AD7" s="723">
        <f t="shared" si="3"/>
        <v>0</v>
      </c>
      <c r="AE7" s="193">
        <f t="shared" si="0"/>
        <v>0</v>
      </c>
      <c r="AF7" s="193">
        <f t="shared" si="1"/>
        <v>0</v>
      </c>
      <c r="AG7" s="721" t="e">
        <f t="shared" si="4"/>
        <v>#DIV/0!</v>
      </c>
    </row>
    <row r="8" spans="1:35" ht="16.5" customHeight="1" thickBot="1" x14ac:dyDescent="0.3">
      <c r="A8" s="21"/>
      <c r="B8" s="185" t="s">
        <v>194</v>
      </c>
      <c r="C8" s="823">
        <v>60</v>
      </c>
      <c r="D8" s="186">
        <f>IF(C8="",IF(OR(C6="bzk",C6="bzkr"),C4,HLOOKUP(C6,Variabelen!N2:AA11,6,FALSE)),C8)</f>
        <v>60</v>
      </c>
      <c r="E8" s="174" t="s">
        <v>105</v>
      </c>
      <c r="F8" s="55"/>
      <c r="G8" s="55"/>
      <c r="H8" s="55"/>
      <c r="I8" s="55"/>
      <c r="L8" s="349" t="s">
        <v>195</v>
      </c>
      <c r="M8" s="350">
        <f>E288</f>
        <v>226.54598007116559</v>
      </c>
      <c r="N8" s="347" t="s">
        <v>105</v>
      </c>
      <c r="O8" s="182" t="s">
        <v>196</v>
      </c>
      <c r="P8" s="496">
        <f>Q9</f>
        <v>250</v>
      </c>
      <c r="Q8" s="496"/>
      <c r="R8" s="496"/>
      <c r="S8" s="454" t="s">
        <v>197</v>
      </c>
      <c r="U8" s="180"/>
      <c r="V8" s="180"/>
      <c r="W8" s="324"/>
      <c r="Y8" s="478" t="s">
        <v>198</v>
      </c>
      <c r="Z8" s="185" t="s">
        <v>199</v>
      </c>
      <c r="AC8" s="720">
        <f t="shared" si="2"/>
        <v>7</v>
      </c>
      <c r="AD8" s="193">
        <f t="shared" si="3"/>
        <v>0</v>
      </c>
      <c r="AE8" s="193">
        <f t="shared" si="0"/>
        <v>0</v>
      </c>
      <c r="AF8" s="193">
        <f t="shared" si="1"/>
        <v>0</v>
      </c>
      <c r="AG8" s="721" t="e">
        <f t="shared" si="4"/>
        <v>#DIV/0!</v>
      </c>
    </row>
    <row r="9" spans="1:35" ht="16.5" customHeight="1" thickBot="1" x14ac:dyDescent="0.3">
      <c r="A9" s="21"/>
      <c r="B9" s="444" t="s">
        <v>200</v>
      </c>
      <c r="C9" s="823">
        <v>150</v>
      </c>
      <c r="D9" s="186">
        <f>IF(Q1&gt;0,IF(C9="",HLOOKUP(C6,Variabelen!N2:AA11,6,FALSE),C9),"")</f>
        <v>150</v>
      </c>
      <c r="E9" s="174" t="s">
        <v>105</v>
      </c>
      <c r="F9" s="240">
        <f>((D8^2*D9^2)/(D8^2+D9^2))^0.5</f>
        <v>55.708601453115556</v>
      </c>
      <c r="G9" s="444" t="s">
        <v>201</v>
      </c>
      <c r="H9" s="55"/>
      <c r="I9" s="55"/>
      <c r="L9" s="349" t="s">
        <v>202</v>
      </c>
      <c r="M9" s="158">
        <f>N43</f>
        <v>229.5853029668545</v>
      </c>
      <c r="N9" s="347" t="s">
        <v>203</v>
      </c>
      <c r="O9" s="182" t="s">
        <v>196</v>
      </c>
      <c r="P9" s="159">
        <f>Variabelen!B83</f>
        <v>250</v>
      </c>
      <c r="Q9" s="159">
        <f>Variabelen!B84</f>
        <v>250</v>
      </c>
      <c r="R9" s="159">
        <f>IF(R8=0,IF(M8&lt;120,2000,4000),R8)</f>
        <v>4000</v>
      </c>
      <c r="S9" s="181" t="s">
        <v>204</v>
      </c>
      <c r="Y9" s="478" t="s">
        <v>205</v>
      </c>
      <c r="Z9" s="89" t="s">
        <v>206</v>
      </c>
      <c r="AC9" s="724">
        <f t="shared" si="2"/>
        <v>8</v>
      </c>
      <c r="AD9" s="725">
        <f t="shared" si="3"/>
        <v>0</v>
      </c>
      <c r="AE9" s="193">
        <f t="shared" si="0"/>
        <v>0</v>
      </c>
      <c r="AF9" s="193">
        <f t="shared" si="1"/>
        <v>0</v>
      </c>
      <c r="AG9" s="721" t="e">
        <f t="shared" si="4"/>
        <v>#DIV/0!</v>
      </c>
    </row>
    <row r="10" spans="1:35" ht="15.75" customHeight="1" thickBot="1" x14ac:dyDescent="0.3">
      <c r="B10" s="444" t="s">
        <v>207</v>
      </c>
      <c r="C10" s="823"/>
      <c r="D10" s="186">
        <f ca="1">IF(Q1&gt;0,IF(C10="",HLOOKUP(C6,Variabelen!N2:AA11,6,FALSE),C10),"")</f>
        <v>35</v>
      </c>
      <c r="E10" s="174" t="s">
        <v>105</v>
      </c>
      <c r="F10" s="240">
        <f ca="1">((D10^2*D12^2)/(D10^2+D12^2))^0.5</f>
        <v>32.065506721576618</v>
      </c>
      <c r="G10" s="584" t="s">
        <v>208</v>
      </c>
      <c r="J10" s="147"/>
      <c r="L10" s="348" t="s">
        <v>209</v>
      </c>
      <c r="M10" s="158">
        <f>I285</f>
        <v>226.72269087159117</v>
      </c>
      <c r="N10" s="171" t="s">
        <v>210</v>
      </c>
      <c r="P10" s="453" t="s">
        <v>211</v>
      </c>
      <c r="Q10" s="44" t="str">
        <f>INPUT!D15</f>
        <v>A2Z4</v>
      </c>
      <c r="Y10" s="478" t="s">
        <v>212</v>
      </c>
      <c r="Z10" s="226" t="s">
        <v>213</v>
      </c>
      <c r="AC10" s="720">
        <f t="shared" si="2"/>
        <v>9</v>
      </c>
      <c r="AD10" s="193">
        <f t="shared" si="3"/>
        <v>0</v>
      </c>
      <c r="AE10" s="193">
        <f t="shared" si="0"/>
        <v>0</v>
      </c>
      <c r="AF10" s="193">
        <f t="shared" si="1"/>
        <v>0</v>
      </c>
      <c r="AG10" s="721" t="e">
        <f t="shared" si="4"/>
        <v>#DIV/0!</v>
      </c>
    </row>
    <row r="11" spans="1:35" ht="15.75" customHeight="1" thickBot="1" x14ac:dyDescent="0.3">
      <c r="B11" s="444" t="s">
        <v>214</v>
      </c>
      <c r="C11" s="823"/>
      <c r="D11" s="186" t="str">
        <f>IF(Q1&gt;2,IF(C11="",HLOOKUP(C6,Variabelen!N2:AA11,6,FALSE),C11),"")</f>
        <v/>
      </c>
      <c r="E11" s="174" t="s">
        <v>105</v>
      </c>
      <c r="F11" s="240" t="e">
        <f>((D11^2*D12^2)/(D11^2+D12^2))^0.5</f>
        <v>#VALUE!</v>
      </c>
      <c r="G11" s="444" t="s">
        <v>215</v>
      </c>
      <c r="K11" s="147"/>
      <c r="L11" s="147"/>
      <c r="M11" s="147"/>
      <c r="N11" s="147"/>
      <c r="O11" s="147"/>
      <c r="P11" s="147"/>
      <c r="Q11" s="147"/>
      <c r="R11" s="147"/>
      <c r="X11" s="478"/>
      <c r="Y11" s="478" t="s">
        <v>216</v>
      </c>
      <c r="Z11" s="226" t="s">
        <v>217</v>
      </c>
      <c r="AC11" s="720">
        <f t="shared" si="2"/>
        <v>10</v>
      </c>
      <c r="AD11" s="193">
        <f t="shared" si="3"/>
        <v>0</v>
      </c>
      <c r="AE11" s="193">
        <f t="shared" si="0"/>
        <v>0</v>
      </c>
      <c r="AF11" s="193">
        <f t="shared" si="1"/>
        <v>0</v>
      </c>
      <c r="AG11" s="721" t="e">
        <f t="shared" si="4"/>
        <v>#DIV/0!</v>
      </c>
    </row>
    <row r="12" spans="1:35" ht="19.5" customHeight="1" x14ac:dyDescent="0.25">
      <c r="B12" s="185" t="s">
        <v>218</v>
      </c>
      <c r="C12" s="484">
        <v>80</v>
      </c>
      <c r="D12" s="186">
        <f>IF(C12="",D8,C12)</f>
        <v>80</v>
      </c>
      <c r="E12" s="174" t="s">
        <v>105</v>
      </c>
      <c r="J12" s="147" t="s">
        <v>219</v>
      </c>
      <c r="Q12" s="54"/>
      <c r="R12" s="148"/>
      <c r="AC12" s="720">
        <f t="shared" si="2"/>
        <v>11</v>
      </c>
      <c r="AD12" s="193">
        <f t="shared" si="3"/>
        <v>0</v>
      </c>
      <c r="AE12" s="193">
        <f t="shared" si="0"/>
        <v>0</v>
      </c>
      <c r="AF12" s="193">
        <f t="shared" si="1"/>
        <v>0</v>
      </c>
      <c r="AG12" s="721" t="e">
        <f t="shared" si="4"/>
        <v>#DIV/0!</v>
      </c>
      <c r="AI12" s="478" t="s">
        <v>220</v>
      </c>
    </row>
    <row r="13" spans="1:35" ht="15" customHeight="1" x14ac:dyDescent="0.25">
      <c r="B13" s="675" t="s">
        <v>221</v>
      </c>
      <c r="C13" s="484">
        <v>22</v>
      </c>
      <c r="D13" s="187">
        <f>IF(C13="",F13,C13)</f>
        <v>22</v>
      </c>
      <c r="E13" s="676">
        <f>TAN(RADIANS(D13))</f>
        <v>0.40402622583515679</v>
      </c>
      <c r="F13" s="159">
        <f>DEGREES(ACOS((D12-C54)/D12))</f>
        <v>28.601346185209913</v>
      </c>
      <c r="G13" s="404" t="s">
        <v>222</v>
      </c>
      <c r="J13" s="147" t="s">
        <v>102</v>
      </c>
      <c r="K13" s="147" t="s">
        <v>223</v>
      </c>
      <c r="L13" s="147" t="s">
        <v>224</v>
      </c>
      <c r="M13" s="147" t="s">
        <v>225</v>
      </c>
      <c r="N13" s="147" t="s">
        <v>226</v>
      </c>
      <c r="O13" s="147" t="s">
        <v>227</v>
      </c>
      <c r="P13" s="143"/>
      <c r="Q13" s="599"/>
      <c r="R13" s="144"/>
      <c r="AC13" s="720">
        <f t="shared" si="2"/>
        <v>12</v>
      </c>
      <c r="AD13" s="193">
        <f t="shared" si="3"/>
        <v>0</v>
      </c>
      <c r="AE13" s="193">
        <f t="shared" si="0"/>
        <v>0</v>
      </c>
      <c r="AF13" s="193">
        <f t="shared" si="1"/>
        <v>0</v>
      </c>
      <c r="AG13" s="721" t="e">
        <f t="shared" si="4"/>
        <v>#DIV/0!</v>
      </c>
      <c r="AI13" s="16">
        <f>D8*PI()</f>
        <v>188.49555921538757</v>
      </c>
    </row>
    <row r="14" spans="1:35" ht="15" customHeight="1" x14ac:dyDescent="0.25">
      <c r="B14" s="80"/>
      <c r="C14" s="81"/>
      <c r="D14" s="88"/>
      <c r="F14" s="55"/>
      <c r="J14" s="17">
        <v>1</v>
      </c>
      <c r="K14" s="17">
        <f t="shared" ref="K14:K23" si="5">94.97-J14*4.97</f>
        <v>90</v>
      </c>
      <c r="L14" s="17">
        <f t="shared" ref="L14:L23" si="6">D$8-(D$8*COS(RADIANS(K14)))</f>
        <v>59.999999999999993</v>
      </c>
      <c r="M14" s="17" t="e">
        <f t="shared" ref="M14:M23" si="7">DEGREES(ACOS((($C$4-(L14-J$25))/$C$4)))</f>
        <v>#NUM!</v>
      </c>
      <c r="N14" s="600" t="e">
        <f t="shared" ref="N14:N23" si="8">2*(2*C$4*SIN(RADIANS(0.5*M14)))*COS(RADIANS(0.5*M14))</f>
        <v>#NUM!</v>
      </c>
      <c r="O14" s="17" t="e">
        <f t="shared" ref="O14:O23" si="9">C$4-(C$4*COS(RADIANS(M14)))</f>
        <v>#NUM!</v>
      </c>
      <c r="P14" s="143"/>
      <c r="Q14" s="599"/>
      <c r="R14" s="143"/>
      <c r="S14" s="797" t="s">
        <v>40</v>
      </c>
      <c r="T14" s="797" t="s">
        <v>4</v>
      </c>
      <c r="U14" s="648" t="s">
        <v>35</v>
      </c>
      <c r="V14" s="651" t="s">
        <v>9</v>
      </c>
      <c r="W14" s="651" t="s">
        <v>228</v>
      </c>
      <c r="X14" s="653" t="s">
        <v>45</v>
      </c>
      <c r="Y14" s="929" t="s">
        <v>1307</v>
      </c>
      <c r="Z14" s="726" t="s">
        <v>229</v>
      </c>
      <c r="AA14" s="16" t="e">
        <f>(#REF!-1.5)/3</f>
        <v>#REF!</v>
      </c>
      <c r="AC14" s="720">
        <f t="shared" si="2"/>
        <v>13</v>
      </c>
      <c r="AD14" s="193">
        <f t="shared" si="3"/>
        <v>0</v>
      </c>
      <c r="AE14" s="193">
        <f t="shared" si="0"/>
        <v>0</v>
      </c>
      <c r="AF14" s="193">
        <f t="shared" si="1"/>
        <v>0</v>
      </c>
      <c r="AG14" s="721" t="e">
        <f t="shared" si="4"/>
        <v>#DIV/0!</v>
      </c>
      <c r="AI14" s="16">
        <f>AI13/3</f>
        <v>62.831853071795855</v>
      </c>
    </row>
    <row r="15" spans="1:35" ht="15" customHeight="1" x14ac:dyDescent="0.25">
      <c r="B15" s="80"/>
      <c r="C15" s="81"/>
      <c r="D15" s="200"/>
      <c r="F15" s="55"/>
      <c r="J15" s="17">
        <v>2</v>
      </c>
      <c r="K15" s="17">
        <f t="shared" si="5"/>
        <v>85.03</v>
      </c>
      <c r="L15" s="17">
        <f t="shared" si="6"/>
        <v>54.801952529988434</v>
      </c>
      <c r="M15" s="17" t="e">
        <f t="shared" si="7"/>
        <v>#NUM!</v>
      </c>
      <c r="N15" s="600" t="e">
        <f t="shared" si="8"/>
        <v>#NUM!</v>
      </c>
      <c r="O15" s="17" t="e">
        <f t="shared" si="9"/>
        <v>#NUM!</v>
      </c>
      <c r="P15" s="143"/>
      <c r="Q15" s="599"/>
      <c r="R15" s="143"/>
      <c r="S15" s="798" t="s">
        <v>1123</v>
      </c>
      <c r="T15" s="809" t="s">
        <v>1136</v>
      </c>
      <c r="U15" s="17">
        <v>4</v>
      </c>
      <c r="V15" s="17">
        <v>4</v>
      </c>
      <c r="W15" s="17">
        <v>3</v>
      </c>
      <c r="X15" s="17">
        <v>5</v>
      </c>
      <c r="Y15" s="17">
        <v>5</v>
      </c>
      <c r="Z15" s="726" t="s">
        <v>230</v>
      </c>
      <c r="AA15" s="16" t="e">
        <v>#REF!</v>
      </c>
      <c r="AC15" s="720">
        <f t="shared" si="2"/>
        <v>14</v>
      </c>
      <c r="AD15" s="193">
        <f t="shared" si="3"/>
        <v>0</v>
      </c>
      <c r="AE15" s="193">
        <f t="shared" si="0"/>
        <v>0</v>
      </c>
      <c r="AF15" s="193">
        <f t="shared" si="1"/>
        <v>0</v>
      </c>
      <c r="AG15" s="721" t="e">
        <f t="shared" si="4"/>
        <v>#DIV/0!</v>
      </c>
      <c r="AI15" s="478">
        <f>360/AI14</f>
        <v>5.729577951308233</v>
      </c>
    </row>
    <row r="16" spans="1:35" ht="15" customHeight="1" x14ac:dyDescent="0.25">
      <c r="B16" s="699" t="s">
        <v>231</v>
      </c>
      <c r="C16" s="700">
        <f>M10</f>
        <v>226.72269087159117</v>
      </c>
      <c r="D16" s="699" t="s">
        <v>232</v>
      </c>
      <c r="F16" s="55"/>
      <c r="J16" s="17">
        <v>3</v>
      </c>
      <c r="K16" s="17">
        <f t="shared" si="5"/>
        <v>80.06</v>
      </c>
      <c r="L16" s="17">
        <f t="shared" si="6"/>
        <v>49.642992337511615</v>
      </c>
      <c r="M16" s="17" t="e">
        <f t="shared" si="7"/>
        <v>#NUM!</v>
      </c>
      <c r="N16" s="600" t="e">
        <f t="shared" si="8"/>
        <v>#NUM!</v>
      </c>
      <c r="O16" s="17" t="e">
        <f t="shared" si="9"/>
        <v>#NUM!</v>
      </c>
      <c r="P16" s="143"/>
      <c r="Q16" s="599"/>
      <c r="R16" s="143"/>
      <c r="S16" s="798" t="s">
        <v>1124</v>
      </c>
      <c r="T16" s="798" t="s">
        <v>1122</v>
      </c>
      <c r="U16" s="17">
        <v>5</v>
      </c>
      <c r="V16" s="17">
        <v>4.5</v>
      </c>
      <c r="W16" s="17">
        <v>5</v>
      </c>
      <c r="X16" s="17">
        <v>7.5</v>
      </c>
      <c r="Y16" s="17">
        <v>7.5</v>
      </c>
      <c r="Z16" s="726" t="s">
        <v>233</v>
      </c>
      <c r="AA16" s="16" t="e">
        <v>#REF!</v>
      </c>
      <c r="AC16" s="720">
        <f t="shared" si="2"/>
        <v>15</v>
      </c>
      <c r="AD16" s="193">
        <f t="shared" si="3"/>
        <v>0</v>
      </c>
      <c r="AE16" s="193">
        <f t="shared" si="0"/>
        <v>0</v>
      </c>
      <c r="AF16" s="193">
        <f t="shared" si="1"/>
        <v>0</v>
      </c>
      <c r="AG16" s="721" t="e">
        <f t="shared" si="4"/>
        <v>#DIV/0!</v>
      </c>
    </row>
    <row r="17" spans="2:42" ht="15.75" customHeight="1" thickBot="1" x14ac:dyDescent="0.3">
      <c r="B17" s="81"/>
      <c r="C17" s="81"/>
      <c r="D17" s="81"/>
      <c r="J17" s="17">
        <v>4</v>
      </c>
      <c r="K17" s="17">
        <f t="shared" si="5"/>
        <v>75.09</v>
      </c>
      <c r="L17" s="17">
        <f t="shared" si="6"/>
        <v>44.561912779112994</v>
      </c>
      <c r="M17" s="17" t="e">
        <f t="shared" si="7"/>
        <v>#NUM!</v>
      </c>
      <c r="N17" s="600" t="e">
        <f t="shared" si="8"/>
        <v>#NUM!</v>
      </c>
      <c r="O17" s="17" t="e">
        <f t="shared" si="9"/>
        <v>#NUM!</v>
      </c>
      <c r="Q17" s="599"/>
      <c r="S17" s="798" t="s">
        <v>1125</v>
      </c>
      <c r="T17" s="17"/>
      <c r="U17" s="17">
        <v>5.5</v>
      </c>
      <c r="V17" s="17">
        <v>6</v>
      </c>
      <c r="W17" s="17">
        <v>7</v>
      </c>
      <c r="X17" s="17">
        <v>10</v>
      </c>
      <c r="Y17" s="17">
        <v>10</v>
      </c>
      <c r="Z17" s="719" t="s">
        <v>234</v>
      </c>
      <c r="AC17" s="720">
        <f t="shared" si="2"/>
        <v>16</v>
      </c>
      <c r="AD17" s="193">
        <f t="shared" si="3"/>
        <v>0</v>
      </c>
      <c r="AE17" s="193">
        <f t="shared" si="0"/>
        <v>0</v>
      </c>
      <c r="AF17" s="193">
        <f t="shared" si="1"/>
        <v>0</v>
      </c>
      <c r="AG17" s="721" t="e">
        <f t="shared" si="4"/>
        <v>#DIV/0!</v>
      </c>
      <c r="AH17" s="16">
        <f>(C$41+C$44)</f>
        <v>40.08913528831458</v>
      </c>
      <c r="AI17" s="16">
        <f>RADIANS(AC17)</f>
        <v>0.27925268031909273</v>
      </c>
      <c r="AJ17" s="28">
        <f>D$8*AI17</f>
        <v>16.755160819145562</v>
      </c>
      <c r="AK17" s="28">
        <f>AH17+AJ17</f>
        <v>56.844296107460139</v>
      </c>
      <c r="AP17" s="16" t="e">
        <f ca="1">Ron!B11-C$41</f>
        <v>#N/A</v>
      </c>
    </row>
    <row r="18" spans="2:42" x14ac:dyDescent="0.25">
      <c r="B18" s="81"/>
      <c r="C18" s="81"/>
      <c r="D18" s="81"/>
      <c r="E18" s="434" t="s">
        <v>235</v>
      </c>
      <c r="F18" s="41"/>
      <c r="G18" s="487">
        <v>17</v>
      </c>
      <c r="H18" s="435" t="s">
        <v>236</v>
      </c>
      <c r="J18" s="17">
        <v>5</v>
      </c>
      <c r="K18" s="17">
        <f t="shared" si="5"/>
        <v>70.12</v>
      </c>
      <c r="L18" s="17">
        <f t="shared" si="6"/>
        <v>39.596921579524022</v>
      </c>
      <c r="M18" s="17" t="e">
        <f t="shared" si="7"/>
        <v>#NUM!</v>
      </c>
      <c r="N18" s="600" t="e">
        <f t="shared" si="8"/>
        <v>#NUM!</v>
      </c>
      <c r="O18" s="17" t="e">
        <f t="shared" si="9"/>
        <v>#NUM!</v>
      </c>
      <c r="Q18" s="599"/>
      <c r="S18" s="17"/>
      <c r="T18" s="17"/>
      <c r="U18" s="17">
        <v>7.5</v>
      </c>
      <c r="V18" s="17">
        <v>7.5</v>
      </c>
      <c r="W18" s="17">
        <v>9</v>
      </c>
      <c r="X18" s="17">
        <v>15</v>
      </c>
      <c r="Y18" s="17">
        <v>15</v>
      </c>
      <c r="Z18" s="54" t="e">
        <f>"1÷"&amp;ROUND((J24-AA16)/AA15,1)</f>
        <v>#REF!</v>
      </c>
      <c r="AA18" s="17" t="e">
        <f>-#REF!</f>
        <v>#REF!</v>
      </c>
      <c r="AB18" s="459" t="e">
        <f>TAN(RADIANS(AA18))</f>
        <v>#REF!</v>
      </c>
      <c r="AC18" s="720">
        <f t="shared" si="2"/>
        <v>17</v>
      </c>
      <c r="AD18" s="193">
        <f t="shared" si="3"/>
        <v>0</v>
      </c>
      <c r="AE18" s="193">
        <f t="shared" si="0"/>
        <v>0</v>
      </c>
      <c r="AF18" s="193">
        <f t="shared" si="1"/>
        <v>0</v>
      </c>
      <c r="AG18" s="721" t="e">
        <f t="shared" si="4"/>
        <v>#DIV/0!</v>
      </c>
      <c r="AH18" s="16">
        <f>(C$41+C$44)</f>
        <v>40.08913528831458</v>
      </c>
      <c r="AI18" s="16">
        <f>RADIANS(AC18)</f>
        <v>0.29670597283903605</v>
      </c>
      <c r="AJ18" s="28">
        <f>D$8*AI18</f>
        <v>17.802358370342162</v>
      </c>
      <c r="AK18" s="28">
        <f>AH18+AJ18</f>
        <v>57.891493658656742</v>
      </c>
      <c r="AP18" s="16" t="e">
        <f ca="1">Ron!B12-C$41</f>
        <v>#N/A</v>
      </c>
    </row>
    <row r="19" spans="2:42" x14ac:dyDescent="0.25">
      <c r="B19" s="81"/>
      <c r="C19" s="81"/>
      <c r="D19" s="81"/>
      <c r="E19" s="436" t="s">
        <v>237</v>
      </c>
      <c r="G19" s="437">
        <f>C11</f>
        <v>0</v>
      </c>
      <c r="H19" s="435" t="s">
        <v>105</v>
      </c>
      <c r="J19" s="17">
        <v>6</v>
      </c>
      <c r="K19" s="17">
        <f t="shared" si="5"/>
        <v>65.150000000000006</v>
      </c>
      <c r="L19" s="17">
        <f t="shared" si="6"/>
        <v>34.785353524564883</v>
      </c>
      <c r="M19" s="17" t="e">
        <f t="shared" si="7"/>
        <v>#NUM!</v>
      </c>
      <c r="N19" s="600" t="e">
        <f t="shared" si="8"/>
        <v>#NUM!</v>
      </c>
      <c r="O19" s="17" t="e">
        <f t="shared" si="9"/>
        <v>#NUM!</v>
      </c>
      <c r="Q19" s="599"/>
      <c r="S19" s="17"/>
      <c r="T19" s="17"/>
      <c r="U19" s="17">
        <v>10</v>
      </c>
      <c r="V19" s="17">
        <v>10</v>
      </c>
      <c r="W19" s="17">
        <v>10</v>
      </c>
      <c r="X19" s="798" t="s">
        <v>1121</v>
      </c>
      <c r="Y19" s="17"/>
      <c r="Z19" s="54" t="e">
        <f>1+INT((J24-AA16)/AA15)&amp;"÷"&amp;INT((J24+J27-AA16)/AA15)</f>
        <v>#REF!</v>
      </c>
      <c r="AA19" s="17"/>
      <c r="AB19" s="17"/>
      <c r="AC19" s="720">
        <f t="shared" si="2"/>
        <v>18</v>
      </c>
      <c r="AD19" s="193">
        <f t="shared" si="3"/>
        <v>0</v>
      </c>
      <c r="AE19" s="193">
        <f t="shared" si="0"/>
        <v>0</v>
      </c>
      <c r="AF19" s="193">
        <f t="shared" si="1"/>
        <v>0</v>
      </c>
      <c r="AG19" s="721" t="e">
        <f t="shared" si="4"/>
        <v>#DIV/0!</v>
      </c>
      <c r="AH19" s="17" t="e">
        <f ca="1">Ron!B13-C$41</f>
        <v>#N/A</v>
      </c>
      <c r="AI19" s="17" t="e">
        <f t="shared" ref="AI19:AI24" ca="1" si="10">360*AH19/(2*PI()*D$8)</f>
        <v>#N/A</v>
      </c>
      <c r="AJ19" s="59" t="e">
        <f t="shared" ref="AJ19:AJ24" ca="1" si="11">-D$7+AI19</f>
        <v>#N/A</v>
      </c>
      <c r="AK19" s="59" t="e">
        <f ca="1">D$8*SIN(RADIANS(AJ19))</f>
        <v>#N/A</v>
      </c>
      <c r="AM19" s="16" t="e">
        <f ca="1">D$8*SIN(RADIANS(-D$7+360*(Ron!B13-C$41)/(2*PI()*D$8)))</f>
        <v>#N/A</v>
      </c>
      <c r="AP19" s="16" t="e">
        <f ca="1">Ron!B13-C$41</f>
        <v>#N/A</v>
      </c>
    </row>
    <row r="20" spans="2:42" ht="15.75" customHeight="1" thickBot="1" x14ac:dyDescent="0.3">
      <c r="B20" s="81"/>
      <c r="C20" s="81"/>
      <c r="D20" s="81"/>
      <c r="E20" s="442" t="s">
        <v>238</v>
      </c>
      <c r="F20" s="75"/>
      <c r="G20" s="439">
        <f>G18*G19*PI()/360</f>
        <v>0</v>
      </c>
      <c r="H20" s="435" t="s">
        <v>105</v>
      </c>
      <c r="J20" s="17">
        <v>7</v>
      </c>
      <c r="K20" s="17">
        <f t="shared" si="5"/>
        <v>60.18</v>
      </c>
      <c r="L20" s="17">
        <f t="shared" si="6"/>
        <v>30.163389718203231</v>
      </c>
      <c r="M20" s="17" t="e">
        <f t="shared" si="7"/>
        <v>#NUM!</v>
      </c>
      <c r="N20" s="600" t="e">
        <f t="shared" si="8"/>
        <v>#NUM!</v>
      </c>
      <c r="O20" s="17" t="e">
        <f t="shared" si="9"/>
        <v>#NUM!</v>
      </c>
      <c r="Q20" s="599"/>
      <c r="S20" s="17"/>
      <c r="T20" s="17"/>
      <c r="U20" s="17">
        <v>15</v>
      </c>
      <c r="V20" s="17">
        <v>15</v>
      </c>
      <c r="W20" s="17">
        <v>11.5</v>
      </c>
      <c r="X20" s="17"/>
      <c r="Y20" s="17"/>
      <c r="Z20" s="54" t="e">
        <f>1+INT((J24+J27-AA16)/AA15)&amp;"÷"&amp;INT((J24+J27+J29-AA16)/AA15)</f>
        <v>#REF!</v>
      </c>
      <c r="AA20" s="17">
        <v>0</v>
      </c>
      <c r="AB20" s="459">
        <f>TAN(RADIANS(AA20))</f>
        <v>0</v>
      </c>
      <c r="AC20" s="720">
        <f t="shared" si="2"/>
        <v>19</v>
      </c>
      <c r="AD20" s="193">
        <f t="shared" si="3"/>
        <v>0</v>
      </c>
      <c r="AE20" s="193">
        <f t="shared" si="0"/>
        <v>0</v>
      </c>
      <c r="AF20" s="193">
        <f t="shared" si="1"/>
        <v>0</v>
      </c>
      <c r="AG20" s="721" t="e">
        <f t="shared" si="4"/>
        <v>#DIV/0!</v>
      </c>
      <c r="AH20" s="17" t="e">
        <f ca="1">Ron!B14-C$41</f>
        <v>#N/A</v>
      </c>
      <c r="AI20" s="17" t="e">
        <f t="shared" ca="1" si="10"/>
        <v>#N/A</v>
      </c>
      <c r="AJ20" s="59" t="e">
        <f t="shared" ca="1" si="11"/>
        <v>#N/A</v>
      </c>
      <c r="AK20" s="28" t="e">
        <f ca="1">AH20+AJ20</f>
        <v>#N/A</v>
      </c>
      <c r="AP20" s="16" t="e">
        <f ca="1">Ron!B14-C$41</f>
        <v>#N/A</v>
      </c>
    </row>
    <row r="21" spans="2:42" x14ac:dyDescent="0.25">
      <c r="B21" s="759"/>
      <c r="C21" s="81"/>
      <c r="D21" s="151"/>
      <c r="E21" s="434" t="s">
        <v>240</v>
      </c>
      <c r="F21" s="440"/>
      <c r="G21" s="487">
        <f>C49</f>
        <v>29.96852747327296</v>
      </c>
      <c r="H21" s="435" t="s">
        <v>105</v>
      </c>
      <c r="J21" s="17">
        <v>8</v>
      </c>
      <c r="K21" s="17">
        <f t="shared" si="5"/>
        <v>55.21</v>
      </c>
      <c r="L21" s="17">
        <f t="shared" si="6"/>
        <v>25.765785514848041</v>
      </c>
      <c r="M21" s="17" t="e">
        <f t="shared" si="7"/>
        <v>#NUM!</v>
      </c>
      <c r="N21" s="600" t="e">
        <f t="shared" si="8"/>
        <v>#NUM!</v>
      </c>
      <c r="O21" s="17" t="e">
        <f t="shared" si="9"/>
        <v>#NUM!</v>
      </c>
      <c r="Q21" s="599"/>
      <c r="S21" s="17"/>
      <c r="T21" s="17"/>
      <c r="U21" s="798" t="s">
        <v>1121</v>
      </c>
      <c r="V21" s="17">
        <v>20</v>
      </c>
      <c r="W21" s="17">
        <v>20</v>
      </c>
      <c r="X21" s="17"/>
      <c r="Y21" s="17"/>
      <c r="Z21" s="54" t="e">
        <f>1+INT((J24+J27+J29-AA16)/AA15)&amp;"÷"&amp;INT((J24+J27+J29+J33-AA16)/AA15)</f>
        <v>#REF!</v>
      </c>
      <c r="AA21" s="17"/>
      <c r="AB21" s="17"/>
      <c r="AC21" s="720">
        <f t="shared" si="2"/>
        <v>20</v>
      </c>
      <c r="AD21" s="193">
        <f t="shared" si="3"/>
        <v>0</v>
      </c>
      <c r="AE21" s="193">
        <f t="shared" si="0"/>
        <v>0</v>
      </c>
      <c r="AF21" s="193">
        <f t="shared" si="1"/>
        <v>0</v>
      </c>
      <c r="AG21" s="721" t="e">
        <f t="shared" si="4"/>
        <v>#DIV/0!</v>
      </c>
      <c r="AH21" s="17" t="e">
        <f ca="1">Ron!B15-C$41</f>
        <v>#N/A</v>
      </c>
      <c r="AI21" s="17" t="e">
        <f t="shared" ca="1" si="10"/>
        <v>#N/A</v>
      </c>
      <c r="AJ21" s="59" t="e">
        <f t="shared" ca="1" si="11"/>
        <v>#N/A</v>
      </c>
      <c r="AK21" s="28" t="e">
        <f ca="1">AH21+AJ21</f>
        <v>#N/A</v>
      </c>
      <c r="AP21" s="16" t="e">
        <f ca="1">Ron!B15-C$41</f>
        <v>#N/A</v>
      </c>
    </row>
    <row r="22" spans="2:42" ht="15.75" customHeight="1" thickBot="1" x14ac:dyDescent="0.3">
      <c r="B22" s="81"/>
      <c r="C22" s="81"/>
      <c r="D22" s="151"/>
      <c r="E22" s="438" t="s">
        <v>241</v>
      </c>
      <c r="F22" s="441"/>
      <c r="G22" s="439" t="e">
        <f>360*G21/(2*G19*PI())</f>
        <v>#DIV/0!</v>
      </c>
      <c r="H22" s="435" t="s">
        <v>236</v>
      </c>
      <c r="J22" s="17">
        <v>9</v>
      </c>
      <c r="K22" s="17">
        <f t="shared" si="5"/>
        <v>50.24</v>
      </c>
      <c r="L22" s="17">
        <f t="shared" si="6"/>
        <v>21.625609172720516</v>
      </c>
      <c r="M22" s="17" t="e">
        <f t="shared" si="7"/>
        <v>#NUM!</v>
      </c>
      <c r="N22" s="600" t="e">
        <f t="shared" si="8"/>
        <v>#NUM!</v>
      </c>
      <c r="O22" s="17" t="e">
        <f t="shared" si="9"/>
        <v>#NUM!</v>
      </c>
      <c r="Q22" s="599"/>
      <c r="S22" s="17"/>
      <c r="T22" s="17"/>
      <c r="U22" s="17"/>
      <c r="V22" s="17"/>
      <c r="W22" s="17"/>
      <c r="X22" s="17"/>
      <c r="Y22" s="17"/>
      <c r="Z22" s="54" t="e">
        <f>1+INT((J24+J27+J29+J33-AA16)/AA15)&amp;"÷"&amp;INT((J24+J27+J29+J33+J36-AA16)/AA15)</f>
        <v>#REF!</v>
      </c>
      <c r="AA22" s="17" t="e">
        <f>#REF!</f>
        <v>#REF!</v>
      </c>
      <c r="AB22" s="459" t="e">
        <f>TAN(RADIANS(AA22))</f>
        <v>#REF!</v>
      </c>
      <c r="AC22" s="720">
        <f t="shared" si="2"/>
        <v>21</v>
      </c>
      <c r="AD22" s="193">
        <f t="shared" si="3"/>
        <v>0</v>
      </c>
      <c r="AE22" s="193">
        <f t="shared" si="0"/>
        <v>0</v>
      </c>
      <c r="AF22" s="193">
        <f t="shared" si="1"/>
        <v>0</v>
      </c>
      <c r="AG22" s="721" t="e">
        <f t="shared" si="4"/>
        <v>#DIV/0!</v>
      </c>
      <c r="AH22" s="17" t="e">
        <f ca="1">Ron!B16-C$41</f>
        <v>#N/A</v>
      </c>
      <c r="AI22" s="17" t="e">
        <f t="shared" ca="1" si="10"/>
        <v>#N/A</v>
      </c>
      <c r="AJ22" s="59" t="e">
        <f t="shared" ca="1" si="11"/>
        <v>#N/A</v>
      </c>
      <c r="AK22" s="28" t="e">
        <f ca="1">AH22+AJ22</f>
        <v>#N/A</v>
      </c>
      <c r="AP22" s="16" t="e">
        <f ca="1">Ron!B16-C$41</f>
        <v>#N/A</v>
      </c>
    </row>
    <row r="23" spans="2:42" x14ac:dyDescent="0.25">
      <c r="B23" s="443"/>
      <c r="C23" s="81"/>
      <c r="D23" s="151"/>
      <c r="J23" s="17">
        <v>10</v>
      </c>
      <c r="K23" s="17">
        <f t="shared" si="5"/>
        <v>45.27</v>
      </c>
      <c r="L23" s="17">
        <f t="shared" si="6"/>
        <v>17.773993193526572</v>
      </c>
      <c r="M23" s="17" t="e">
        <f t="shared" si="7"/>
        <v>#NUM!</v>
      </c>
      <c r="N23" s="600" t="e">
        <f t="shared" si="8"/>
        <v>#NUM!</v>
      </c>
      <c r="O23" s="17" t="e">
        <f t="shared" si="9"/>
        <v>#NUM!</v>
      </c>
      <c r="Q23" s="599"/>
      <c r="S23" s="17"/>
      <c r="T23" s="17"/>
      <c r="U23" s="17"/>
      <c r="V23" s="17"/>
      <c r="W23" s="17"/>
      <c r="X23" s="17"/>
      <c r="Y23" s="17"/>
      <c r="AC23" s="720">
        <f t="shared" si="2"/>
        <v>22</v>
      </c>
      <c r="AD23" s="193">
        <f t="shared" si="3"/>
        <v>0</v>
      </c>
      <c r="AE23" s="193">
        <f t="shared" si="0"/>
        <v>0</v>
      </c>
      <c r="AF23" s="193">
        <f t="shared" si="1"/>
        <v>0</v>
      </c>
      <c r="AG23" s="721" t="e">
        <f t="shared" si="4"/>
        <v>#DIV/0!</v>
      </c>
      <c r="AH23" s="16">
        <f>(C$41+C$44)</f>
        <v>40.08913528831458</v>
      </c>
      <c r="AI23" s="17">
        <f t="shared" si="10"/>
        <v>38.282304272490002</v>
      </c>
      <c r="AJ23" s="59">
        <f t="shared" si="11"/>
        <v>20.282304272490002</v>
      </c>
      <c r="AK23" s="28">
        <f>AH23+AJ23</f>
        <v>60.371439560804582</v>
      </c>
      <c r="AP23" s="16" t="e">
        <f ca="1">Ron!B17-C$41</f>
        <v>#N/A</v>
      </c>
    </row>
    <row r="24" spans="2:42" x14ac:dyDescent="0.25">
      <c r="B24" s="81"/>
      <c r="C24" s="81"/>
      <c r="D24" s="151"/>
      <c r="E24" s="432" t="s">
        <v>242</v>
      </c>
      <c r="F24" s="432"/>
      <c r="G24" s="432" t="s">
        <v>243</v>
      </c>
      <c r="H24" s="433" t="s">
        <v>242</v>
      </c>
      <c r="J24" s="17"/>
      <c r="K24" s="57"/>
      <c r="L24" s="17"/>
      <c r="M24" s="17"/>
      <c r="N24" s="17"/>
      <c r="O24" s="17"/>
      <c r="Q24" s="599"/>
      <c r="S24" s="17"/>
      <c r="T24" s="17"/>
      <c r="U24" s="17"/>
      <c r="V24" s="17"/>
      <c r="W24" s="17"/>
      <c r="X24" s="17"/>
      <c r="Y24" s="17"/>
      <c r="AC24" s="720">
        <f t="shared" si="2"/>
        <v>23</v>
      </c>
      <c r="AD24" s="193">
        <f t="shared" si="3"/>
        <v>0</v>
      </c>
      <c r="AE24" s="193">
        <f t="shared" si="0"/>
        <v>0</v>
      </c>
      <c r="AF24" s="193">
        <f t="shared" si="1"/>
        <v>0</v>
      </c>
      <c r="AG24" s="721" t="e">
        <f t="shared" si="4"/>
        <v>#DIV/0!</v>
      </c>
      <c r="AI24" s="17">
        <f t="shared" si="10"/>
        <v>0</v>
      </c>
      <c r="AJ24" s="59">
        <f t="shared" si="11"/>
        <v>-18</v>
      </c>
      <c r="AP24" s="16" t="e">
        <f ca="1">Ron!B18-C$41</f>
        <v>#N/A</v>
      </c>
    </row>
    <row r="25" spans="2:42" x14ac:dyDescent="0.25">
      <c r="B25" s="81"/>
      <c r="C25" s="81"/>
      <c r="D25" s="151"/>
      <c r="E25" s="490">
        <v>48.53</v>
      </c>
      <c r="G25" s="486">
        <v>5</v>
      </c>
      <c r="H25" s="159">
        <f>M10-G25</f>
        <v>221.72269087159117</v>
      </c>
      <c r="I25" s="431"/>
      <c r="J25" s="17">
        <v>0.71</v>
      </c>
      <c r="K25" s="17" t="s">
        <v>244</v>
      </c>
      <c r="L25" s="17"/>
      <c r="M25" s="17"/>
      <c r="N25" s="17"/>
      <c r="O25" s="17"/>
      <c r="Q25" s="599"/>
      <c r="AC25" s="720">
        <f t="shared" si="2"/>
        <v>24</v>
      </c>
      <c r="AD25" s="193">
        <f t="shared" si="3"/>
        <v>0</v>
      </c>
      <c r="AE25" s="193">
        <f t="shared" si="0"/>
        <v>0</v>
      </c>
      <c r="AF25" s="193">
        <f t="shared" si="1"/>
        <v>0</v>
      </c>
      <c r="AG25" s="721" t="e">
        <f t="shared" si="4"/>
        <v>#DIV/0!</v>
      </c>
    </row>
    <row r="26" spans="2:42" x14ac:dyDescent="0.25">
      <c r="B26" s="81"/>
      <c r="C26" s="81"/>
      <c r="D26" s="55"/>
      <c r="E26" s="427" t="s">
        <v>245</v>
      </c>
      <c r="F26" s="372" t="s">
        <v>246</v>
      </c>
      <c r="G26" s="372" t="s">
        <v>247</v>
      </c>
      <c r="J26" s="17">
        <f>94.97-C2*4.97</f>
        <v>60.18</v>
      </c>
      <c r="K26" s="598" t="s">
        <v>248</v>
      </c>
      <c r="L26" s="17"/>
      <c r="M26" s="17"/>
      <c r="N26" s="17"/>
      <c r="O26" s="17"/>
      <c r="Q26" s="599"/>
      <c r="AC26" s="720">
        <f t="shared" si="2"/>
        <v>25</v>
      </c>
      <c r="AD26" s="193">
        <f t="shared" si="3"/>
        <v>0</v>
      </c>
      <c r="AE26" s="193">
        <f t="shared" si="0"/>
        <v>0</v>
      </c>
      <c r="AF26" s="193">
        <f t="shared" si="1"/>
        <v>0</v>
      </c>
      <c r="AG26" s="721" t="e">
        <f t="shared" si="4"/>
        <v>#DIV/0!</v>
      </c>
    </row>
    <row r="27" spans="2:42" x14ac:dyDescent="0.25">
      <c r="B27" s="553" t="s">
        <v>249</v>
      </c>
      <c r="C27" s="34">
        <f ca="1">HLOOKUP(C6,Variabelen!N2:AA11,7,FALSE)</f>
        <v>110</v>
      </c>
      <c r="D27" s="553" t="s">
        <v>239</v>
      </c>
      <c r="E27" s="160">
        <f>IF(E25&lt;=P274,U$273+(E$25*V$274/R$274),IF(E25&lt;=P275,Z266+C38-Z266*COS(ASIN((C45-E25)/Z266)),IF(E25&lt;=P276,U$276,IF(E25&lt;=P277,Z269+C38-Z269*COS(ASIN((E25-C45-C46)/Z269)),IF(E25&lt;=P278,U$277+((E$25-P277)*V$278/R$278),"Formule bijwerken voor  T6")))))</f>
        <v>-9.5</v>
      </c>
      <c r="F27" s="34">
        <f>E27+G$49</f>
        <v>-8.4907652139663696</v>
      </c>
      <c r="G27" s="34">
        <f>F27-VLOOKUP(E25,K$291:L$1291,2,TRUE)</f>
        <v>-9.7082948684692383</v>
      </c>
      <c r="J27" s="17">
        <f>C4-(C$4*COS(RADIANS(J26)))</f>
        <v>3.9196799521925487</v>
      </c>
      <c r="K27" s="598" t="s">
        <v>250</v>
      </c>
      <c r="L27" s="17"/>
      <c r="M27" s="17"/>
      <c r="N27" s="17"/>
      <c r="O27" s="17"/>
      <c r="Q27" s="599"/>
      <c r="AC27" s="720">
        <f t="shared" si="2"/>
        <v>26</v>
      </c>
      <c r="AD27" s="193">
        <f t="shared" si="3"/>
        <v>0</v>
      </c>
      <c r="AE27" s="193">
        <f t="shared" si="0"/>
        <v>0</v>
      </c>
      <c r="AF27" s="193">
        <f t="shared" si="1"/>
        <v>0</v>
      </c>
      <c r="AG27" s="721" t="e">
        <f t="shared" si="4"/>
        <v>#DIV/0!</v>
      </c>
    </row>
    <row r="28" spans="2:42" x14ac:dyDescent="0.25">
      <c r="B28" s="300" t="s">
        <v>251</v>
      </c>
      <c r="C28" s="645">
        <f>INPUT!E20</f>
        <v>160</v>
      </c>
      <c r="D28" s="55" t="s">
        <v>239</v>
      </c>
      <c r="J28" s="597">
        <f>DEGREES(ACOS((($C$4-(J27-J25))/$C$4)))</f>
        <v>53.960792635533686</v>
      </c>
      <c r="K28" s="598" t="s">
        <v>252</v>
      </c>
      <c r="L28" s="17"/>
      <c r="M28" s="17"/>
      <c r="N28" s="17"/>
      <c r="O28" s="17"/>
      <c r="Q28" s="599"/>
      <c r="AC28" s="720">
        <f t="shared" si="2"/>
        <v>27</v>
      </c>
      <c r="AD28" s="193">
        <f t="shared" si="3"/>
        <v>0</v>
      </c>
      <c r="AE28" s="193">
        <f t="shared" si="0"/>
        <v>0</v>
      </c>
      <c r="AF28" s="193">
        <f t="shared" si="1"/>
        <v>0</v>
      </c>
      <c r="AG28" s="721" t="e">
        <f t="shared" si="4"/>
        <v>#DIV/0!</v>
      </c>
    </row>
    <row r="29" spans="2:42" x14ac:dyDescent="0.25">
      <c r="B29" s="300" t="s">
        <v>253</v>
      </c>
      <c r="C29" s="34">
        <f>HLOOKUP(INPUT!E19,Variabelen!M19:U21,2,FALSE)</f>
        <v>1</v>
      </c>
      <c r="D29" s="51">
        <f>INPUT!E19</f>
        <v>1</v>
      </c>
      <c r="E29" s="300" t="s">
        <v>254</v>
      </c>
      <c r="J29" s="115"/>
      <c r="K29" s="57"/>
      <c r="L29" s="17"/>
      <c r="M29" s="17"/>
      <c r="N29" s="17"/>
      <c r="O29" s="17"/>
      <c r="Q29" s="599"/>
      <c r="AC29" s="720">
        <f t="shared" si="2"/>
        <v>28</v>
      </c>
      <c r="AD29" s="193">
        <f t="shared" si="3"/>
        <v>0</v>
      </c>
      <c r="AE29" s="193">
        <f t="shared" si="0"/>
        <v>0</v>
      </c>
      <c r="AF29" s="193">
        <f t="shared" si="1"/>
        <v>0</v>
      </c>
      <c r="AG29" s="721" t="e">
        <f t="shared" si="4"/>
        <v>#DIV/0!</v>
      </c>
    </row>
    <row r="30" spans="2:42" x14ac:dyDescent="0.25">
      <c r="B30" s="198" t="s">
        <v>255</v>
      </c>
      <c r="C30" s="298">
        <f>IF(C32=0,IF(C31&gt;0,C31,D30),ROUND(C32/(C28*C29),1))</f>
        <v>1.5</v>
      </c>
      <c r="D30" s="34">
        <f>IF(INPUT!D28=INPUT!S27,Variabelen!P23,HLOOKUP(INPUT!E19,Variabelen!M19:U21,3,FALSE))</f>
        <v>1.5</v>
      </c>
      <c r="E30" s="199" t="s">
        <v>255</v>
      </c>
      <c r="J30" s="115" t="str">
        <f>_xlfn.XLOOKUP(M8,N14:N23,N14:N23,"Manually find P",-1)</f>
        <v>Manually find P</v>
      </c>
      <c r="K30" s="601" t="s">
        <v>256</v>
      </c>
      <c r="L30" s="17"/>
      <c r="M30" s="17"/>
      <c r="N30" s="17"/>
      <c r="O30" s="17"/>
      <c r="Q30" s="599"/>
      <c r="AB30" s="163"/>
      <c r="AC30" s="720">
        <f t="shared" si="2"/>
        <v>29</v>
      </c>
      <c r="AD30" s="193">
        <f t="shared" si="3"/>
        <v>0</v>
      </c>
      <c r="AE30" s="193">
        <f>IF(AD30&lt;I$41,AD30*COS(RADIANS(J$3)),IF(AD30&lt;(I$41+I$44),I$40+I$43+J$4*SIN(RADIANS(-J$3+360*(AD30-I$41)/(2*PI()*J$4))),IF(AD30&lt;(I$41+I$44+I$46),AD30-(I$41+I$44)+I$40+I$43,IF(AD30&lt;(I$41+I$44+I$46+I$50),I$40+I$43+I$46+J$8*SIN(RADIANS(360*(AD30-(I$41+I$44+I$46))/(2*PI()*J$8))),IF(AD30&lt;=(I$41+I$44+I$46+I$50+I$53),I$40+I$43+I$46+I$49+(AD30-(I$41+I$44+I$46+I$49))*COS(RADIANS(J$9)),"CHECK FORMULE")))))</f>
        <v>0</v>
      </c>
      <c r="AF30" s="193">
        <f t="shared" si="1"/>
        <v>0</v>
      </c>
      <c r="AG30" s="721" t="e">
        <f t="shared" si="4"/>
        <v>#DIV/0!</v>
      </c>
    </row>
    <row r="31" spans="2:42" x14ac:dyDescent="0.25">
      <c r="B31" s="198" t="s">
        <v>257</v>
      </c>
      <c r="C31" s="188"/>
      <c r="J31" s="115" t="e">
        <f>_xlfn.XLOOKUP(M8,N14:N23,N14:N23,"Manually find P",1)</f>
        <v>#NUM!</v>
      </c>
      <c r="K31" s="601" t="s">
        <v>258</v>
      </c>
      <c r="L31" s="17"/>
      <c r="M31" s="17"/>
      <c r="N31" s="17"/>
      <c r="O31" s="17"/>
      <c r="P31" s="28"/>
      <c r="Q31" s="599"/>
      <c r="S31" s="460" t="s">
        <v>229</v>
      </c>
      <c r="T31" s="16">
        <f>(M9-1.5)/3</f>
        <v>76.028434322284838</v>
      </c>
      <c r="AB31" s="163"/>
      <c r="AC31" s="720">
        <f t="shared" si="2"/>
        <v>30</v>
      </c>
      <c r="AD31" s="193">
        <f t="shared" si="3"/>
        <v>0</v>
      </c>
      <c r="AE31" s="193">
        <f>IF(AD31&lt;I$41,AD31*COS(RADIANS(J$3)),IF(AD31&lt;(I$41+I$44),I$40+I$43+J$4*SIN(RADIANS(-J$3+360*(AD31-I$41)/(2*PI()*J$4))),IF(AD31&lt;(I$41+I$44+I$46),AD31-(I$41+I$44)+I$40+I$43,IF(AD31&lt;(I$41+I$44+I$46+I$50),I$40+I$43+I$46+J$8*SIN(RADIANS(360*(AD31-(I$41+I$44+I$46))/(2*PI()*J$8))),IF(AD31&lt;=(I$41+I$44+I$46+I$50+I$53),I$40+I$43+I$46+I$49+(AD31-(I$41+I$44+I$46+I$49))*COS(RADIANS(J$9)),"CHECK FORMULE")))))</f>
        <v>0</v>
      </c>
      <c r="AF31" s="193">
        <f t="shared" si="1"/>
        <v>0</v>
      </c>
      <c r="AG31" s="721" t="e">
        <f t="shared" si="4"/>
        <v>#DIV/0!</v>
      </c>
    </row>
    <row r="32" spans="2:42" x14ac:dyDescent="0.25">
      <c r="B32" s="300" t="s">
        <v>259</v>
      </c>
      <c r="C32" s="188"/>
      <c r="E32" s="28"/>
      <c r="F32" s="151"/>
      <c r="J32" s="115" t="e">
        <f>(J30+J31) /2</f>
        <v>#VALUE!</v>
      </c>
      <c r="K32" s="142" t="s">
        <v>260</v>
      </c>
      <c r="L32" s="17"/>
      <c r="M32" s="17"/>
      <c r="N32" s="17"/>
      <c r="O32" s="17"/>
      <c r="Q32" s="599"/>
      <c r="S32" s="460" t="s">
        <v>230</v>
      </c>
      <c r="T32" s="16" t="e">
        <f ca="1">HLOOKUP(C6,Variabelen!N2:Q5,3,FALSE)</f>
        <v>#N/A</v>
      </c>
      <c r="V32" s="652" t="s">
        <v>261</v>
      </c>
      <c r="X32" s="16" t="e">
        <f ca="1">ROUND((C41-T33)/T32,0)</f>
        <v>#N/A</v>
      </c>
      <c r="AB32" s="163"/>
      <c r="AC32" s="720">
        <f t="shared" si="2"/>
        <v>31</v>
      </c>
      <c r="AD32" s="193">
        <f t="shared" si="3"/>
        <v>0</v>
      </c>
      <c r="AE32" s="193">
        <f>IF(AD32&lt;I$41,AD32*COS(RADIANS(J$3)),IF(AD32&lt;(I$41+I$44),I$40+I$43+J$4*SIN(RADIANS(-J$3+360*(AD32-I$41)/(2*PI()*J$4))),IF(AD32&lt;(I$41+I$44+I$46),AD32-(I$41+I$44)+I$40+I$43,IF(AD32&lt;(I$41+I$44+I$46+I$50),I$40+I$43+I$46+J$8*SIN(RADIANS(360*(AD32-(I$41+I$44+I$46))/(2*PI()*J$8))),IF(AD32&lt;=(I$41+I$44+I$46+I$50+I$53),I$40+I$43+I$46+I$49+(AD32-(I$41+I$44+I$46+I$49))*COS(RADIANS(J$9)),"CHECK FORMULE")))))</f>
        <v>0</v>
      </c>
      <c r="AF32" s="193">
        <f t="shared" si="1"/>
        <v>0</v>
      </c>
      <c r="AG32" s="721" t="e">
        <f t="shared" si="4"/>
        <v>#DIV/0!</v>
      </c>
    </row>
    <row r="33" spans="2:44" x14ac:dyDescent="0.25">
      <c r="B33" s="81" t="s">
        <v>262</v>
      </c>
      <c r="C33" s="298">
        <f>IF(INPUT!E19&lt;10,IF(C32=0,ROUND(0.1*Ontwerp!C30*C29*C28,0)*10,C32),INPUT!E19)</f>
        <v>240</v>
      </c>
      <c r="D33" s="55" t="s">
        <v>239</v>
      </c>
      <c r="F33" s="413" t="s">
        <v>263</v>
      </c>
      <c r="J33" s="60"/>
      <c r="S33" s="460" t="s">
        <v>233</v>
      </c>
      <c r="T33" s="16" t="e">
        <f ca="1">HLOOKUP(C6,Variabelen!N2:Q5,2,FALSE)</f>
        <v>#N/A</v>
      </c>
      <c r="AB33" s="163"/>
      <c r="AC33" s="720">
        <f t="shared" si="2"/>
        <v>32</v>
      </c>
      <c r="AD33" s="193">
        <f t="shared" si="3"/>
        <v>0</v>
      </c>
      <c r="AE33" s="193">
        <f>IF(AD33&lt;I$41,AD33*COS(RADIANS(J$3)),IF(AD33&lt;(I$41+I$44),I$40+I$43+J$4*SIN(RADIANS(-J$3+360*(AD33-I$41)/(2*PI()*J$4))),IF(AD33&lt;(I$41+I$44+I$46),AD33-(I$41+I$44)+I$40+I$43,IF(AD33&lt;(I$41+I$44+I$46+I$50),I$40+I$43+I$46+J$8*SIN(RADIANS(360*(AD33-(I$41+I$44+I$46))/(2*PI()*J$8))),IF(AD33&lt;=(I$41+I$44+I$46+I$50+I$53),I$40+I$43+I$46+I$49+(AD33-(I$41+I$44+I$46+I$49))*COS(RADIANS(J$9)),"CHECK FORMULE")))))</f>
        <v>0</v>
      </c>
      <c r="AF33" s="193">
        <f t="shared" si="1"/>
        <v>0</v>
      </c>
      <c r="AG33" s="721" t="e">
        <f t="shared" si="4"/>
        <v>#DIV/0!</v>
      </c>
    </row>
    <row r="34" spans="2:44" ht="15.75" customHeight="1" thickBot="1" x14ac:dyDescent="0.3">
      <c r="E34" s="401" t="s">
        <v>264</v>
      </c>
      <c r="F34" s="413" t="s">
        <v>265</v>
      </c>
      <c r="G34" s="413" t="s">
        <v>266</v>
      </c>
      <c r="H34" s="413" t="s">
        <v>267</v>
      </c>
      <c r="J34" s="147" t="s">
        <v>268</v>
      </c>
      <c r="S34" s="458" t="s">
        <v>234</v>
      </c>
      <c r="T34" s="652" t="s">
        <v>149</v>
      </c>
      <c r="AC34" s="720">
        <f t="shared" si="2"/>
        <v>33</v>
      </c>
      <c r="AD34" s="193">
        <f t="shared" si="3"/>
        <v>0</v>
      </c>
      <c r="AE34" s="193">
        <f>IF(AD34&lt;I$41,AD34*COS(RADIANS(J$3)),IF(AD34&lt;(I$41+I$44),I$40+I$43+J$4*SIN(RADIANS(-J$3+360*(AD34-I$41)/(2*PI()*J$4))),IF(AD34&lt;(I$41+I$44+I$46),AD34-(I$41+I$44)+I$40+I$43,IF(AD34&lt;(I$41+I$44+I$46+I$50),I$40+I$43+I$46+J$8*SIN(RADIANS(360*(AD34-(I$41+I$44+I$46))/(2*PI()*J$8))),IF(AD34&lt;=(I$41+I$44+I$46+I$50+I$53),I$40+I$43+I$46+I$49+(AD34-(I$41+I$44+I$46+I$49))*COS(RADIANS(J$9)),"CHECK FORMULE")))))</f>
        <v>0</v>
      </c>
      <c r="AF34" s="193">
        <f t="shared" si="1"/>
        <v>0</v>
      </c>
      <c r="AG34" s="721" t="e">
        <f t="shared" si="4"/>
        <v>#DIV/0!</v>
      </c>
      <c r="AI34" s="16">
        <f>D$12*COS(RADIANS(D$13))</f>
        <v>74.174708365342994</v>
      </c>
    </row>
    <row r="35" spans="2:44" ht="15.75" customHeight="1" thickBot="1" x14ac:dyDescent="0.3">
      <c r="B35" s="413" t="s">
        <v>269</v>
      </c>
      <c r="C35" s="836" t="s">
        <v>142</v>
      </c>
      <c r="E35" s="402">
        <f>C38+G49</f>
        <v>-8.4907652139663696</v>
      </c>
      <c r="F35" s="488">
        <v>-11</v>
      </c>
      <c r="G35" s="488">
        <v>-12</v>
      </c>
      <c r="H35" s="488">
        <v>2.5</v>
      </c>
      <c r="J35" s="141" t="s">
        <v>270</v>
      </c>
      <c r="K35" s="115" t="s">
        <v>271</v>
      </c>
      <c r="L35" s="169" t="s">
        <v>272</v>
      </c>
      <c r="M35" s="170" t="s">
        <v>273</v>
      </c>
      <c r="N35" s="541" t="s">
        <v>274</v>
      </c>
      <c r="O35" s="539" t="s">
        <v>275</v>
      </c>
      <c r="P35" s="539" t="s">
        <v>276</v>
      </c>
      <c r="Q35" s="540" t="s">
        <v>277</v>
      </c>
      <c r="S35" s="57" t="e">
        <f ca="1">"1÷"&amp;ROUND((C41-T33)/T32,0)</f>
        <v>#N/A</v>
      </c>
      <c r="T35" s="16" t="e">
        <f ca="1">(T33+(X32-1)*T32)*SIN(RADIANS(D7))</f>
        <v>#N/A</v>
      </c>
      <c r="U35" s="17" t="str">
        <f>-D7&amp;"°"</f>
        <v>-18°</v>
      </c>
      <c r="V35" s="459">
        <f>TAN(RADIANS(D7))</f>
        <v>0.32491969623290629</v>
      </c>
      <c r="W35" s="16">
        <f>6.1*V35</f>
        <v>1.9820101470207283</v>
      </c>
    </row>
    <row r="36" spans="2:44" ht="15.75" customHeight="1" thickBot="1" x14ac:dyDescent="0.3">
      <c r="B36" s="58"/>
      <c r="C36" s="58"/>
      <c r="D36" s="151" t="s">
        <v>278</v>
      </c>
      <c r="I36" s="116"/>
      <c r="J36" s="115">
        <f>IF(K36&gt;0,1,"")</f>
        <v>1</v>
      </c>
      <c r="K36" s="193">
        <f>I274</f>
        <v>52.319742684608748</v>
      </c>
      <c r="L36" s="193">
        <f>K36</f>
        <v>52.319742684608748</v>
      </c>
      <c r="M36" s="486">
        <f>K36</f>
        <v>52.319742684608748</v>
      </c>
      <c r="N36" s="193">
        <f>C41</f>
        <v>21.239579366775825</v>
      </c>
      <c r="O36" s="193">
        <f>N36</f>
        <v>21.239579366775825</v>
      </c>
      <c r="P36" s="193">
        <f>C40</f>
        <v>20.200040360140243</v>
      </c>
      <c r="Q36" s="193">
        <f>P36</f>
        <v>20.200040360140243</v>
      </c>
      <c r="S36" s="57" t="e">
        <f ca="1">1+INT((C41-T33)/T32)</f>
        <v>#N/A</v>
      </c>
      <c r="U36" s="17"/>
      <c r="V36" s="17"/>
    </row>
    <row r="37" spans="2:44" ht="15.75" customHeight="1" thickBot="1" x14ac:dyDescent="0.3">
      <c r="B37" s="403" t="s">
        <v>279</v>
      </c>
      <c r="C37" s="587">
        <v>9.5</v>
      </c>
      <c r="D37" s="171" t="s">
        <v>105</v>
      </c>
      <c r="E37" s="346"/>
      <c r="F37" s="812" t="s">
        <v>298</v>
      </c>
      <c r="G37" s="814"/>
      <c r="H37" s="147" t="s">
        <v>1147</v>
      </c>
      <c r="I37" s="447" t="s">
        <v>280</v>
      </c>
      <c r="J37" s="115">
        <f>IF(K37&gt;0,J36+1,"")</f>
        <v>2</v>
      </c>
      <c r="K37" s="34">
        <f>I275</f>
        <v>13.851939727512205</v>
      </c>
      <c r="L37" s="34">
        <f t="shared" ref="L37:L42" si="12">IF(K37="","",L36+K37)</f>
        <v>66.171682412120958</v>
      </c>
      <c r="M37" s="486">
        <f>K37</f>
        <v>13.851939727512205</v>
      </c>
      <c r="N37" s="34">
        <f>C44</f>
        <v>18.849555921538759</v>
      </c>
      <c r="O37" s="34">
        <f>O36+N37</f>
        <v>40.08913528831458</v>
      </c>
      <c r="P37" s="34">
        <f>C43</f>
        <v>18.541019662496847</v>
      </c>
      <c r="Q37" s="34">
        <f t="shared" ref="Q37:Q42" si="13">Q36+P37</f>
        <v>38.741060022637086</v>
      </c>
      <c r="S37" s="57" t="e">
        <f ca="1">1+INT((C41+C44-T33)/T32)&amp;"÷"&amp;INT((C41+C44+C46-T33)/T32)</f>
        <v>#N/A</v>
      </c>
      <c r="U37" s="17">
        <v>0</v>
      </c>
      <c r="V37" s="459">
        <f>TAN(RADIANS(U37))</f>
        <v>0</v>
      </c>
    </row>
    <row r="38" spans="2:44" x14ac:dyDescent="0.25">
      <c r="B38" s="81" t="s">
        <v>281</v>
      </c>
      <c r="C38" s="729">
        <f>IF(OR(INPUT!D27=1,INPUT!D27=4,INPUT!D27=5),-C37,-(D8-D8*COS(RADIANS(D7))))</f>
        <v>-9.5</v>
      </c>
      <c r="D38" s="58" t="s">
        <v>105</v>
      </c>
      <c r="E38" s="35"/>
      <c r="F38" s="151"/>
      <c r="J38" s="115">
        <f>IF(K38&gt;0,J37+1,"")</f>
        <v>3</v>
      </c>
      <c r="K38" s="193">
        <f>I277</f>
        <v>160.55100845947021</v>
      </c>
      <c r="L38" s="193">
        <f t="shared" si="12"/>
        <v>226.72269087159117</v>
      </c>
      <c r="M38" s="486">
        <f>K38</f>
        <v>160.55100845947021</v>
      </c>
      <c r="N38" s="193">
        <f>C46</f>
        <v>148.26876040507608</v>
      </c>
      <c r="O38" s="193">
        <f>O37+N38</f>
        <v>188.35789569339067</v>
      </c>
      <c r="P38" s="193">
        <f>C46</f>
        <v>148.26876040507608</v>
      </c>
      <c r="Q38" s="193">
        <f t="shared" si="13"/>
        <v>187.00982042771318</v>
      </c>
      <c r="S38" s="57" t="e">
        <f ca="1">1+INT((C41+C44+C46-T33)/T32)&amp;"÷"&amp;INT((C41+C44+C46+C50-T33)/T32)</f>
        <v>#N/A</v>
      </c>
      <c r="U38" s="17"/>
      <c r="V38" s="17"/>
    </row>
    <row r="39" spans="2:44" x14ac:dyDescent="0.25">
      <c r="B39" s="55" t="s">
        <v>282</v>
      </c>
      <c r="C39" s="283">
        <f>C38-C42-G37</f>
        <v>-6.5633909777092141</v>
      </c>
      <c r="D39" s="226" t="s">
        <v>105</v>
      </c>
      <c r="F39" s="151"/>
      <c r="I39" s="447" t="s">
        <v>280</v>
      </c>
      <c r="J39" s="115">
        <f>IF(K39&gt;0,J38+1,"")</f>
        <v>4</v>
      </c>
      <c r="K39" s="34" t="str">
        <f>I278</f>
        <v/>
      </c>
      <c r="L39" s="34" t="str">
        <f t="shared" si="12"/>
        <v/>
      </c>
      <c r="M39" s="486"/>
      <c r="N39" s="34">
        <f>C50</f>
        <v>30.7177948351002</v>
      </c>
      <c r="O39" s="34">
        <f>O38+N39</f>
        <v>219.07569052849087</v>
      </c>
      <c r="P39" s="34">
        <f>C49</f>
        <v>29.96852747327296</v>
      </c>
      <c r="Q39" s="34">
        <f t="shared" si="13"/>
        <v>216.97834790098614</v>
      </c>
      <c r="S39" s="57" t="e">
        <f ca="1">1+INT((C41+C44+C46+C50-T33)/T32)&amp;"÷"&amp;INT((C41+C44+C46+C50+C53-T33)/T32)</f>
        <v>#N/A</v>
      </c>
      <c r="U39" s="17">
        <f>D13</f>
        <v>22</v>
      </c>
      <c r="V39" s="459">
        <f>TAN(RADIANS(U39))</f>
        <v>0.40402622583515679</v>
      </c>
    </row>
    <row r="40" spans="2:44" x14ac:dyDescent="0.25">
      <c r="B40" s="211" t="s">
        <v>145</v>
      </c>
      <c r="C40" s="294">
        <f>(-C39-G37)/TAN(RADIANS(D7))</f>
        <v>20.200040360140243</v>
      </c>
      <c r="D40" s="226" t="s">
        <v>105</v>
      </c>
      <c r="J40" s="115">
        <f>IF(K40&gt;0,J39+1,"")</f>
        <v>5</v>
      </c>
      <c r="K40" s="193" t="str">
        <f>I280</f>
        <v/>
      </c>
      <c r="L40" s="193" t="str">
        <f t="shared" si="12"/>
        <v/>
      </c>
      <c r="M40" s="486"/>
      <c r="N40" s="193">
        <f>C53</f>
        <v>10.509612438363634</v>
      </c>
      <c r="O40" s="193">
        <f>O39+N40</f>
        <v>229.5853029668545</v>
      </c>
      <c r="P40" s="193">
        <f>C52</f>
        <v>9.7443429706050484</v>
      </c>
      <c r="Q40" s="193">
        <f t="shared" si="13"/>
        <v>226.7226908715912</v>
      </c>
    </row>
    <row r="41" spans="2:44" x14ac:dyDescent="0.25">
      <c r="B41" s="226" t="s">
        <v>160</v>
      </c>
      <c r="C41" s="283">
        <f>(-C39-G37)/SIN(RADIANS(D7))</f>
        <v>21.239579366775825</v>
      </c>
      <c r="D41" s="226" t="s">
        <v>283</v>
      </c>
      <c r="G41" s="462" t="s">
        <v>284</v>
      </c>
      <c r="I41" s="447" t="s">
        <v>280</v>
      </c>
      <c r="J41" s="115">
        <f>IF(K41&gt;0,J40+1,"")</f>
        <v>6</v>
      </c>
      <c r="K41" s="34" t="str">
        <f>I281</f>
        <v/>
      </c>
      <c r="L41" s="34" t="str">
        <f t="shared" si="12"/>
        <v/>
      </c>
      <c r="M41" s="486"/>
      <c r="O41" s="17"/>
      <c r="P41" s="17"/>
      <c r="Q41" s="17">
        <f t="shared" si="13"/>
        <v>226.7226908715912</v>
      </c>
      <c r="AI41" s="501" t="s">
        <v>285</v>
      </c>
      <c r="AJ41" s="51">
        <v>1</v>
      </c>
      <c r="AK41" s="51">
        <v>2</v>
      </c>
      <c r="AL41" s="51">
        <v>3</v>
      </c>
      <c r="AM41" s="51">
        <v>4</v>
      </c>
      <c r="AN41" s="51">
        <v>5</v>
      </c>
      <c r="AO41" s="51">
        <v>6</v>
      </c>
      <c r="AP41" s="16">
        <v>1</v>
      </c>
    </row>
    <row r="42" spans="2:44" x14ac:dyDescent="0.25">
      <c r="B42" s="55" t="s">
        <v>168</v>
      </c>
      <c r="C42" s="283">
        <f>-(2*D8*SIN(RADIANS(0.5*D7)))*SIN(RADIANS(0.5*D7))</f>
        <v>-2.9366090222907859</v>
      </c>
      <c r="G42" s="44">
        <f>C45</f>
        <v>38.741060022637086</v>
      </c>
      <c r="J42" s="718"/>
      <c r="K42" s="193" t="str">
        <f>I283</f>
        <v/>
      </c>
      <c r="L42" s="193" t="str">
        <f t="shared" si="12"/>
        <v/>
      </c>
      <c r="M42" s="486"/>
      <c r="N42" s="17"/>
      <c r="O42" s="17"/>
      <c r="P42" s="17"/>
      <c r="Q42" s="17">
        <f t="shared" si="13"/>
        <v>226.7226908715912</v>
      </c>
      <c r="S42" s="501" t="s">
        <v>286</v>
      </c>
      <c r="AB42" s="614" t="s">
        <v>287</v>
      </c>
      <c r="AI42" s="557" t="s">
        <v>288</v>
      </c>
      <c r="AJ42" s="503">
        <f t="shared" ref="AJ42:AO42" si="14">S51</f>
        <v>-9.4</v>
      </c>
      <c r="AK42" s="503">
        <f t="shared" si="14"/>
        <v>-17</v>
      </c>
      <c r="AL42" s="503">
        <f t="shared" si="14"/>
        <v>-7.5</v>
      </c>
      <c r="AM42" s="503">
        <f t="shared" si="14"/>
        <v>-6.7</v>
      </c>
      <c r="AN42" s="503">
        <f t="shared" si="14"/>
        <v>-7.9</v>
      </c>
      <c r="AO42" s="503">
        <f t="shared" si="14"/>
        <v>-7.5</v>
      </c>
      <c r="AP42" s="16">
        <v>2</v>
      </c>
      <c r="AR42" s="16">
        <v>42</v>
      </c>
    </row>
    <row r="43" spans="2:44" x14ac:dyDescent="0.25">
      <c r="B43" s="812" t="s">
        <v>173</v>
      </c>
      <c r="C43" s="294">
        <f>(2*D8*SIN(RADIANS(0.5*D7)))*COS(RADIANS(0.5*D7))</f>
        <v>18.541019662496847</v>
      </c>
      <c r="D43" s="226" t="s">
        <v>105</v>
      </c>
      <c r="F43" s="177"/>
      <c r="G43" s="44">
        <f>C47</f>
        <v>39.71287044387801</v>
      </c>
      <c r="K43" s="16">
        <f>SUM(K36:K42)</f>
        <v>226.72269087159117</v>
      </c>
      <c r="M43" s="16">
        <f>SUM(M36:M42)</f>
        <v>226.72269087159117</v>
      </c>
      <c r="N43" s="16">
        <f>SUM(N36:N42)</f>
        <v>229.5853029668545</v>
      </c>
      <c r="R43" s="159">
        <f>MAX(S43:X43)</f>
        <v>0</v>
      </c>
      <c r="S43" s="504" t="str">
        <f>IF(ISBLANK(S44),"",1)</f>
        <v/>
      </c>
      <c r="T43" s="505" t="str">
        <f>IF(ISBLANK(T44),"",S43+1)</f>
        <v/>
      </c>
      <c r="U43" s="506" t="str">
        <f>IF(ISBLANK(U44),"",T43+1)</f>
        <v/>
      </c>
      <c r="V43" s="506" t="str">
        <f>IF(ISBLANK(V44),"",U43+1)</f>
        <v/>
      </c>
      <c r="W43" s="505" t="str">
        <f>IF(ISBLANK(W44),"",V43+1)</f>
        <v/>
      </c>
      <c r="X43" s="506" t="str">
        <f>IF(ISBLANK(X44),"",W43+1)</f>
        <v/>
      </c>
      <c r="Z43" s="16">
        <v>1</v>
      </c>
      <c r="AA43" s="615" t="s">
        <v>289</v>
      </c>
      <c r="AB43" s="193">
        <f t="shared" ref="AB43:AH43" si="15">S51-$L291</f>
        <v>-10.409234786033631</v>
      </c>
      <c r="AC43" s="193">
        <f t="shared" si="15"/>
        <v>-18.00923478603363</v>
      </c>
      <c r="AD43" s="193">
        <f t="shared" si="15"/>
        <v>-8.5092347860336304</v>
      </c>
      <c r="AE43" s="193">
        <f t="shared" si="15"/>
        <v>-7.7092347860336297</v>
      </c>
      <c r="AF43" s="193">
        <f t="shared" si="15"/>
        <v>-8.9092347860336307</v>
      </c>
      <c r="AG43" s="193">
        <f t="shared" si="15"/>
        <v>-8.5092347860336304</v>
      </c>
      <c r="AH43" s="193" t="e">
        <f t="shared" si="15"/>
        <v>#VALUE!</v>
      </c>
      <c r="AI43" s="502" t="s">
        <v>290</v>
      </c>
      <c r="AJ43" s="503">
        <f t="shared" ref="AJ43:AO43" si="16">S51-S48</f>
        <v>-10.409234786033631</v>
      </c>
      <c r="AK43" s="503">
        <f t="shared" si="16"/>
        <v>-18.249487400054932</v>
      </c>
      <c r="AL43" s="503">
        <f t="shared" si="16"/>
        <v>-8.7654916048049927</v>
      </c>
      <c r="AM43" s="503">
        <f t="shared" si="16"/>
        <v>-8.0114131689071666</v>
      </c>
      <c r="AN43" s="503">
        <f t="shared" si="16"/>
        <v>-9.1370442152023319</v>
      </c>
      <c r="AO43" s="503">
        <f t="shared" si="16"/>
        <v>-8.5092347860336304</v>
      </c>
      <c r="AP43" s="16">
        <v>3</v>
      </c>
      <c r="AR43" s="16">
        <v>43</v>
      </c>
    </row>
    <row r="44" spans="2:44" x14ac:dyDescent="0.25">
      <c r="B44" s="226" t="s">
        <v>179</v>
      </c>
      <c r="C44" s="283">
        <f>2*D8*PI()*D7/360</f>
        <v>18.849555921538759</v>
      </c>
      <c r="D44" s="226" t="s">
        <v>291</v>
      </c>
      <c r="G44" s="159">
        <f>SUM(G42:G43)</f>
        <v>78.453930466515089</v>
      </c>
      <c r="R44" s="501" t="s">
        <v>292</v>
      </c>
      <c r="S44" s="839"/>
      <c r="T44" s="788"/>
      <c r="U44" s="787"/>
      <c r="V44" s="677"/>
      <c r="W44" s="677"/>
      <c r="X44" s="677"/>
      <c r="Z44" s="16">
        <v>2</v>
      </c>
      <c r="AA44" s="615" t="s">
        <v>293</v>
      </c>
      <c r="AB44" s="616"/>
      <c r="AC44" s="193"/>
      <c r="AD44" s="193"/>
      <c r="AE44" s="193"/>
      <c r="AF44" s="193"/>
      <c r="AG44" s="193"/>
      <c r="AH44" s="193"/>
      <c r="AI44" s="502" t="s">
        <v>282</v>
      </c>
      <c r="AJ44" s="283">
        <f t="shared" ref="AJ44:AO44" si="17">+AJ43-AJ47+S47</f>
        <v>-8.1409302748882375</v>
      </c>
      <c r="AK44" s="283">
        <f t="shared" si="17"/>
        <v>-15.981182888909537</v>
      </c>
      <c r="AL44" s="283">
        <f t="shared" si="17"/>
        <v>-7.091586724065702</v>
      </c>
      <c r="AM44" s="283">
        <f t="shared" si="17"/>
        <v>-6.2325434948102378</v>
      </c>
      <c r="AN44" s="283">
        <f t="shared" si="17"/>
        <v>-7.1134571225811714</v>
      </c>
      <c r="AO44" s="283">
        <f t="shared" si="17"/>
        <v>-5.9000134096108825</v>
      </c>
      <c r="AP44" s="16">
        <v>4</v>
      </c>
      <c r="AR44" s="16">
        <v>44</v>
      </c>
    </row>
    <row r="45" spans="2:44" ht="15.75" customHeight="1" thickBot="1" x14ac:dyDescent="0.3">
      <c r="B45" s="82" t="s">
        <v>187</v>
      </c>
      <c r="C45" s="475">
        <f>C40+C43</f>
        <v>38.741060022637086</v>
      </c>
      <c r="D45" s="226" t="s">
        <v>105</v>
      </c>
      <c r="R45" s="501" t="s">
        <v>294</v>
      </c>
      <c r="S45" s="788" t="s">
        <v>1194</v>
      </c>
      <c r="T45" s="758" t="s">
        <v>18</v>
      </c>
      <c r="U45" s="669" t="s">
        <v>18</v>
      </c>
      <c r="V45" s="669" t="s">
        <v>18</v>
      </c>
      <c r="W45" s="669" t="s">
        <v>18</v>
      </c>
      <c r="X45" s="669" t="s">
        <v>18</v>
      </c>
      <c r="Z45" s="16">
        <v>3</v>
      </c>
      <c r="AA45" s="17"/>
      <c r="AB45" s="193"/>
      <c r="AC45" s="193"/>
      <c r="AD45" s="193"/>
      <c r="AE45" s="193"/>
      <c r="AF45" s="193"/>
      <c r="AG45" s="193"/>
      <c r="AH45" s="193"/>
      <c r="AI45" s="502" t="s">
        <v>145</v>
      </c>
      <c r="AJ45" s="294">
        <f t="shared" ref="AJ45:AO45" si="18">-AJ44/TAN(RADIANS(S49))</f>
        <v>25.055207084315143</v>
      </c>
      <c r="AK45" s="294">
        <f t="shared" si="18"/>
        <v>49.185023481783745</v>
      </c>
      <c r="AL45" s="294">
        <f t="shared" si="18"/>
        <v>23.195535005617668</v>
      </c>
      <c r="AM45" s="294">
        <f t="shared" si="18"/>
        <v>19.181796508706192</v>
      </c>
      <c r="AN45" s="294">
        <f t="shared" si="18"/>
        <v>21.892969878570121</v>
      </c>
      <c r="AO45" s="294">
        <f t="shared" si="18"/>
        <v>16.210153617385377</v>
      </c>
      <c r="AP45" s="16">
        <v>5</v>
      </c>
      <c r="AR45" s="16">
        <v>45</v>
      </c>
    </row>
    <row r="46" spans="2:44" ht="15.75" customHeight="1" thickBot="1" x14ac:dyDescent="0.3">
      <c r="B46" s="58" t="s">
        <v>193</v>
      </c>
      <c r="C46" s="476">
        <f>IF(OR(INPUT!D27=1,INPUT!D27=4,INPUT!D27=5),IF(E46&gt;0,E46-C40-C43-C49-C52,C16-C40-C43-C49-C52),0)</f>
        <v>148.26876040507608</v>
      </c>
      <c r="D46" s="226" t="s">
        <v>105</v>
      </c>
      <c r="E46" s="188"/>
      <c r="F46" s="275" t="s">
        <v>295</v>
      </c>
      <c r="K46" s="16">
        <f>M10-G44</f>
        <v>148.26876040507608</v>
      </c>
      <c r="R46" s="501" t="s">
        <v>296</v>
      </c>
      <c r="S46" s="18">
        <v>-9.48</v>
      </c>
      <c r="T46" s="18">
        <v>19.46</v>
      </c>
      <c r="U46" s="18">
        <v>76.099999999999994</v>
      </c>
      <c r="V46" s="18">
        <v>79.55</v>
      </c>
      <c r="W46" s="18">
        <v>17.510000000000002</v>
      </c>
      <c r="X46" s="18"/>
      <c r="Y46" s="501" t="s">
        <v>105</v>
      </c>
      <c r="Z46" s="16">
        <v>4</v>
      </c>
      <c r="AA46" s="17"/>
      <c r="AB46" s="193"/>
      <c r="AC46" s="193"/>
      <c r="AD46" s="193"/>
      <c r="AE46" s="193"/>
      <c r="AF46" s="193"/>
      <c r="AG46" s="193"/>
      <c r="AH46" s="193"/>
      <c r="AI46" s="502" t="s">
        <v>160</v>
      </c>
      <c r="AJ46" s="283">
        <f t="shared" ref="AJ46:AO46" si="19">-AJ44/SIN(RADIANS(S49))</f>
        <v>26.344603769624388</v>
      </c>
      <c r="AK46" s="283">
        <f t="shared" si="19"/>
        <v>51.716194189367734</v>
      </c>
      <c r="AL46" s="283">
        <f t="shared" si="19"/>
        <v>24.25537974268347</v>
      </c>
      <c r="AM46" s="283">
        <f t="shared" si="19"/>
        <v>20.168934421930039</v>
      </c>
      <c r="AN46" s="283">
        <f t="shared" si="19"/>
        <v>23.019630803702729</v>
      </c>
      <c r="AO46" s="283">
        <f t="shared" si="19"/>
        <v>17.250485168041518</v>
      </c>
      <c r="AP46" s="16">
        <v>6</v>
      </c>
      <c r="AR46" s="16">
        <v>46</v>
      </c>
    </row>
    <row r="47" spans="2:44" x14ac:dyDescent="0.25">
      <c r="B47" s="277" t="s">
        <v>297</v>
      </c>
      <c r="C47" s="232">
        <f>C49+C52</f>
        <v>39.71287044387801</v>
      </c>
      <c r="D47" s="281" t="s">
        <v>105</v>
      </c>
      <c r="R47" s="501" t="s">
        <v>298</v>
      </c>
      <c r="S47" s="18">
        <v>0.8</v>
      </c>
      <c r="T47" s="18">
        <v>0.8</v>
      </c>
      <c r="U47" s="18">
        <v>0.8</v>
      </c>
      <c r="V47" s="18">
        <v>0.8</v>
      </c>
      <c r="W47" s="18">
        <v>0.8</v>
      </c>
      <c r="X47" s="18">
        <v>0.8</v>
      </c>
      <c r="Y47" s="501" t="s">
        <v>105</v>
      </c>
      <c r="Z47" s="16">
        <v>5</v>
      </c>
      <c r="AA47" s="17"/>
      <c r="AB47" s="193"/>
      <c r="AC47" s="193"/>
      <c r="AD47" s="193"/>
      <c r="AE47" s="193"/>
      <c r="AF47" s="193"/>
      <c r="AG47" s="193"/>
      <c r="AH47" s="193"/>
      <c r="AI47" s="502" t="s">
        <v>168</v>
      </c>
      <c r="AJ47" s="283">
        <f t="shared" ref="AJ47:AO47" si="20">-(2*S50*SIN(RADIANS(0.5*S49)))*SIN(RADIANS(0.5*S49))</f>
        <v>-1.468304511145393</v>
      </c>
      <c r="AK47" s="283">
        <f t="shared" si="20"/>
        <v>-1.468304511145393</v>
      </c>
      <c r="AL47" s="283">
        <f t="shared" si="20"/>
        <v>-0.87390488073929051</v>
      </c>
      <c r="AM47" s="283">
        <f t="shared" si="20"/>
        <v>-0.97886967409692849</v>
      </c>
      <c r="AN47" s="283">
        <f t="shared" si="20"/>
        <v>-1.2235870926211607</v>
      </c>
      <c r="AO47" s="283">
        <f t="shared" si="20"/>
        <v>-1.8092213764227481</v>
      </c>
      <c r="AP47" s="16">
        <v>7</v>
      </c>
      <c r="AR47" s="16">
        <v>47</v>
      </c>
    </row>
    <row r="48" spans="2:44" x14ac:dyDescent="0.25">
      <c r="B48" s="226" t="s">
        <v>299</v>
      </c>
      <c r="C48" s="283">
        <f>D12-(D12*COS(RADIANS(D13)))</f>
        <v>5.8252916346570061</v>
      </c>
      <c r="D48" s="226" t="s">
        <v>300</v>
      </c>
      <c r="G48" s="231"/>
      <c r="J48" s="147" t="s">
        <v>301</v>
      </c>
      <c r="R48" s="501" t="s">
        <v>302</v>
      </c>
      <c r="S48" s="34">
        <f t="shared" ref="S48:X48" si="21">IF(S46&lt;0,VLOOKUP(0,$K$291:$L$1291,2,TRUE),VLOOKUP(S46,$K$291:$L$1291,2,TRUE))</f>
        <v>1.0092347860336299</v>
      </c>
      <c r="T48" s="34">
        <f t="shared" si="21"/>
        <v>1.2494874000549321</v>
      </c>
      <c r="U48" s="34">
        <f t="shared" si="21"/>
        <v>1.2654916048049929</v>
      </c>
      <c r="V48" s="34">
        <f t="shared" si="21"/>
        <v>1.311413168907166</v>
      </c>
      <c r="W48" s="34">
        <f t="shared" si="21"/>
        <v>1.237044215202332</v>
      </c>
      <c r="X48" s="34">
        <f t="shared" si="21"/>
        <v>1.0092347860336299</v>
      </c>
      <c r="Y48" s="501" t="s">
        <v>303</v>
      </c>
      <c r="Z48" s="16">
        <v>6</v>
      </c>
      <c r="AA48" s="17"/>
      <c r="AB48" s="193"/>
      <c r="AC48" s="193"/>
      <c r="AD48" s="193"/>
      <c r="AE48" s="193"/>
      <c r="AF48" s="193"/>
      <c r="AG48" s="193"/>
      <c r="AH48" s="193"/>
      <c r="AI48" s="502" t="s">
        <v>173</v>
      </c>
      <c r="AJ48" s="294">
        <f t="shared" ref="AJ48:AO48" si="22">(2*S50*SIN(RADIANS(0.5*S49)))*COS(RADIANS(0.5*S49))</f>
        <v>9.2705098312484235</v>
      </c>
      <c r="AK48" s="294">
        <f t="shared" si="22"/>
        <v>9.2705098312484235</v>
      </c>
      <c r="AL48" s="294">
        <f t="shared" si="22"/>
        <v>5.8474340944547354</v>
      </c>
      <c r="AM48" s="294">
        <f t="shared" si="22"/>
        <v>6.1803398874989481</v>
      </c>
      <c r="AN48" s="294">
        <f t="shared" si="22"/>
        <v>7.7254248593736863</v>
      </c>
      <c r="AO48" s="294">
        <f t="shared" si="22"/>
        <v>10.26060429977006</v>
      </c>
      <c r="AP48" s="16">
        <v>8</v>
      </c>
      <c r="AR48" s="16">
        <v>48</v>
      </c>
    </row>
    <row r="49" spans="1:44" x14ac:dyDescent="0.25">
      <c r="B49" s="185" t="s">
        <v>199</v>
      </c>
      <c r="C49" s="294">
        <f>D12*SIN(RADIANS(D13))</f>
        <v>29.96852747327296</v>
      </c>
      <c r="D49" s="226" t="s">
        <v>304</v>
      </c>
      <c r="F49" s="151" t="s">
        <v>305</v>
      </c>
      <c r="G49" s="159">
        <f>L291</f>
        <v>1.0092347860336299</v>
      </c>
      <c r="H49" s="252" t="s">
        <v>306</v>
      </c>
      <c r="J49" s="948" t="s">
        <v>1077</v>
      </c>
      <c r="K49" s="949"/>
      <c r="L49" s="949"/>
      <c r="M49" s="949"/>
      <c r="N49" s="949"/>
      <c r="O49" s="949"/>
      <c r="P49" s="949"/>
      <c r="Q49" s="949"/>
      <c r="R49" s="501" t="s">
        <v>223</v>
      </c>
      <c r="S49" s="18">
        <v>18</v>
      </c>
      <c r="T49" s="18">
        <v>18</v>
      </c>
      <c r="U49" s="18">
        <v>17</v>
      </c>
      <c r="V49" s="18">
        <v>18</v>
      </c>
      <c r="W49" s="18">
        <v>18</v>
      </c>
      <c r="X49" s="18">
        <v>20</v>
      </c>
      <c r="Y49" s="501" t="s">
        <v>236</v>
      </c>
      <c r="Z49" s="16">
        <v>7</v>
      </c>
      <c r="AA49" s="17"/>
      <c r="AB49" s="193">
        <f>-C39/TAN(RADIANS(D7))</f>
        <v>20.200040360140243</v>
      </c>
      <c r="AC49" s="193"/>
      <c r="AD49" s="193"/>
      <c r="AE49" s="193"/>
      <c r="AF49" s="193"/>
      <c r="AG49" s="193"/>
      <c r="AH49" s="193"/>
      <c r="AI49" s="502" t="s">
        <v>179</v>
      </c>
      <c r="AJ49" s="283">
        <f t="shared" ref="AJ49:AO49" si="23">2*S50*PI()*S49/360</f>
        <v>9.4247779607693793</v>
      </c>
      <c r="AK49" s="283">
        <f t="shared" si="23"/>
        <v>9.4247779607693793</v>
      </c>
      <c r="AL49" s="283">
        <f t="shared" si="23"/>
        <v>5.9341194567807207</v>
      </c>
      <c r="AM49" s="283">
        <f t="shared" si="23"/>
        <v>6.2831853071795862</v>
      </c>
      <c r="AN49" s="283">
        <f t="shared" si="23"/>
        <v>7.8539816339744828</v>
      </c>
      <c r="AO49" s="283">
        <f t="shared" si="23"/>
        <v>10.471975511965978</v>
      </c>
      <c r="AP49" s="16">
        <v>9</v>
      </c>
      <c r="AR49" s="16">
        <v>49</v>
      </c>
    </row>
    <row r="50" spans="1:44" ht="15.75" customHeight="1" thickBot="1" x14ac:dyDescent="0.3">
      <c r="B50" s="89" t="s">
        <v>206</v>
      </c>
      <c r="C50" s="283">
        <f>2*D12*PI()*D13/360</f>
        <v>30.7177948351002</v>
      </c>
      <c r="D50" s="226" t="s">
        <v>307</v>
      </c>
      <c r="F50" s="226" t="s">
        <v>308</v>
      </c>
      <c r="G50" s="16">
        <f>VLOOKUP(M10,K$291:L$1291,2,TRUE)</f>
        <v>1.271496534347534</v>
      </c>
      <c r="H50" s="252"/>
      <c r="J50" s="949"/>
      <c r="K50" s="949"/>
      <c r="L50" s="949"/>
      <c r="M50" s="949"/>
      <c r="N50" s="949"/>
      <c r="O50" s="949"/>
      <c r="P50" s="949"/>
      <c r="Q50" s="949"/>
      <c r="R50" s="501" t="s">
        <v>309</v>
      </c>
      <c r="S50" s="18">
        <v>30</v>
      </c>
      <c r="T50" s="18">
        <v>30</v>
      </c>
      <c r="U50" s="18">
        <v>20</v>
      </c>
      <c r="V50" s="18">
        <v>20</v>
      </c>
      <c r="W50" s="18">
        <v>25</v>
      </c>
      <c r="X50" s="18">
        <v>30</v>
      </c>
      <c r="Y50" s="501" t="s">
        <v>105</v>
      </c>
      <c r="Z50" s="16">
        <v>8</v>
      </c>
      <c r="AA50" s="615" t="s">
        <v>310</v>
      </c>
      <c r="AB50" s="193">
        <f>(2*S50*SIN(RADIANS(0.5*S49)))*COS(RADIANS(0.5*S49))</f>
        <v>9.2705098312484235</v>
      </c>
      <c r="AC50" s="193"/>
      <c r="AD50" s="193"/>
      <c r="AE50" s="193"/>
      <c r="AF50" s="193"/>
      <c r="AG50" s="193"/>
      <c r="AH50" s="193"/>
      <c r="AI50" s="502" t="s">
        <v>187</v>
      </c>
      <c r="AJ50" s="475">
        <f t="shared" ref="AJ50:AO50" si="24">AJ45+AJ48</f>
        <v>34.325716915563568</v>
      </c>
      <c r="AK50" s="475">
        <f t="shared" si="24"/>
        <v>58.45553331303217</v>
      </c>
      <c r="AL50" s="475">
        <f t="shared" si="24"/>
        <v>29.042969100072405</v>
      </c>
      <c r="AM50" s="475">
        <f t="shared" si="24"/>
        <v>25.362136396205141</v>
      </c>
      <c r="AN50" s="475">
        <f t="shared" si="24"/>
        <v>29.618394737943806</v>
      </c>
      <c r="AO50" s="475">
        <f t="shared" si="24"/>
        <v>26.470757917155439</v>
      </c>
      <c r="AP50" s="16">
        <v>10</v>
      </c>
      <c r="AR50" s="16">
        <v>50</v>
      </c>
    </row>
    <row r="51" spans="1:44" ht="15.75" customHeight="1" thickBot="1" x14ac:dyDescent="0.3">
      <c r="B51" s="226" t="s">
        <v>311</v>
      </c>
      <c r="C51" s="284">
        <f>C54-C48</f>
        <v>3.9369701136568978</v>
      </c>
      <c r="D51" s="281" t="s">
        <v>105</v>
      </c>
      <c r="F51" s="226" t="s">
        <v>312</v>
      </c>
      <c r="G51" s="485"/>
      <c r="H51" s="147" t="s">
        <v>313</v>
      </c>
      <c r="J51" s="949"/>
      <c r="K51" s="949"/>
      <c r="L51" s="949"/>
      <c r="M51" s="949"/>
      <c r="N51" s="949"/>
      <c r="O51" s="949"/>
      <c r="P51" s="949"/>
      <c r="Q51" s="949"/>
      <c r="R51" s="147" t="s">
        <v>314</v>
      </c>
      <c r="S51" s="18">
        <v>-9.4</v>
      </c>
      <c r="T51" s="18">
        <v>-17</v>
      </c>
      <c r="U51" s="18">
        <v>-7.5</v>
      </c>
      <c r="V51" s="18">
        <v>-6.7</v>
      </c>
      <c r="W51" s="18">
        <v>-7.9</v>
      </c>
      <c r="X51" s="18">
        <v>-7.5</v>
      </c>
      <c r="Y51" s="501" t="s">
        <v>105</v>
      </c>
      <c r="Z51" s="16">
        <v>9</v>
      </c>
      <c r="AA51" s="17"/>
      <c r="AB51" s="193"/>
      <c r="AC51" s="193"/>
      <c r="AD51" s="193"/>
      <c r="AE51" s="193"/>
      <c r="AF51" s="193"/>
      <c r="AG51" s="193"/>
      <c r="AH51" s="193"/>
      <c r="AI51" s="502" t="s">
        <v>193</v>
      </c>
      <c r="AJ51" s="476">
        <f t="shared" ref="AJ51:AO51" si="25">S54-S46-AJ50-AJ52</f>
        <v>39.687733497754465</v>
      </c>
      <c r="AK51" s="476">
        <f t="shared" si="25"/>
        <v>116.53913256985958</v>
      </c>
      <c r="AL51" s="476">
        <f t="shared" si="25"/>
        <v>-22.170665466440504</v>
      </c>
      <c r="AM51" s="476">
        <f t="shared" si="25"/>
        <v>-16.194280306015894</v>
      </c>
      <c r="AN51" s="476">
        <f t="shared" si="25"/>
        <v>-47.6956403237198</v>
      </c>
      <c r="AO51" s="476">
        <f t="shared" si="25"/>
        <v>43.922589161639721</v>
      </c>
      <c r="AP51" s="16">
        <v>11</v>
      </c>
      <c r="AR51" s="16">
        <v>51</v>
      </c>
    </row>
    <row r="52" spans="1:44" x14ac:dyDescent="0.25">
      <c r="B52" s="226" t="s">
        <v>213</v>
      </c>
      <c r="C52" s="294">
        <f>C51/TAN(RADIANS(D13))</f>
        <v>9.7443429706050484</v>
      </c>
      <c r="D52" s="281" t="s">
        <v>105</v>
      </c>
      <c r="F52" s="226" t="s">
        <v>315</v>
      </c>
      <c r="G52" s="232">
        <f>G50-G51</f>
        <v>1.271496534347534</v>
      </c>
      <c r="J52" s="949"/>
      <c r="K52" s="949"/>
      <c r="L52" s="949"/>
      <c r="M52" s="949"/>
      <c r="N52" s="949"/>
      <c r="O52" s="949"/>
      <c r="P52" s="949"/>
      <c r="Q52" s="949"/>
      <c r="R52" s="501" t="s">
        <v>316</v>
      </c>
      <c r="S52" s="188">
        <f t="shared" ref="S52:X52" si="26">S50</f>
        <v>30</v>
      </c>
      <c r="T52" s="188">
        <f t="shared" si="26"/>
        <v>30</v>
      </c>
      <c r="U52" s="188">
        <f t="shared" si="26"/>
        <v>20</v>
      </c>
      <c r="V52" s="188">
        <f t="shared" si="26"/>
        <v>20</v>
      </c>
      <c r="W52" s="188">
        <f t="shared" si="26"/>
        <v>25</v>
      </c>
      <c r="X52" s="188">
        <f t="shared" si="26"/>
        <v>30</v>
      </c>
      <c r="Y52" s="501" t="s">
        <v>105</v>
      </c>
      <c r="Z52" s="16">
        <v>10</v>
      </c>
      <c r="AA52" s="615" t="s">
        <v>317</v>
      </c>
      <c r="AB52" s="193">
        <f>(2*S52*SIN(RADIANS(0.5*S53)))*COS(RADIANS(0.5*S53))</f>
        <v>9.2705098312484235</v>
      </c>
      <c r="AC52" s="193"/>
      <c r="AD52" s="193"/>
      <c r="AE52" s="193"/>
      <c r="AF52" s="193"/>
      <c r="AG52" s="193"/>
      <c r="AH52" s="193"/>
      <c r="AI52" s="502" t="s">
        <v>297</v>
      </c>
      <c r="AJ52" s="232">
        <f t="shared" ref="AJ52:AO52" si="27">AJ54+AJ57</f>
        <v>35.096549586681959</v>
      </c>
      <c r="AK52" s="232">
        <f t="shared" si="27"/>
        <v>58.523270463311988</v>
      </c>
      <c r="AL52" s="232">
        <f t="shared" si="27"/>
        <v>29.087696366368107</v>
      </c>
      <c r="AM52" s="232">
        <f t="shared" si="27"/>
        <v>25.342143909810758</v>
      </c>
      <c r="AN52" s="232">
        <f t="shared" si="27"/>
        <v>29.70724558577599</v>
      </c>
      <c r="AO52" s="232">
        <f t="shared" si="27"/>
        <v>27.12665292120484</v>
      </c>
      <c r="AP52" s="16">
        <v>12</v>
      </c>
      <c r="AR52" s="16">
        <v>52</v>
      </c>
    </row>
    <row r="53" spans="1:44" x14ac:dyDescent="0.25">
      <c r="B53" s="226" t="s">
        <v>217</v>
      </c>
      <c r="C53" s="283">
        <f>C51/SIN(RADIANS(D13))</f>
        <v>10.509612438363634</v>
      </c>
      <c r="D53" s="281" t="s">
        <v>105</v>
      </c>
      <c r="J53" s="949"/>
      <c r="K53" s="949"/>
      <c r="L53" s="949"/>
      <c r="M53" s="949"/>
      <c r="N53" s="949"/>
      <c r="O53" s="949"/>
      <c r="P53" s="949"/>
      <c r="Q53" s="949"/>
      <c r="R53" s="501" t="s">
        <v>318</v>
      </c>
      <c r="S53" s="188">
        <f t="shared" ref="S53:X53" si="28">S49</f>
        <v>18</v>
      </c>
      <c r="T53" s="188">
        <f t="shared" si="28"/>
        <v>18</v>
      </c>
      <c r="U53" s="188">
        <f t="shared" si="28"/>
        <v>17</v>
      </c>
      <c r="V53" s="188">
        <f t="shared" si="28"/>
        <v>18</v>
      </c>
      <c r="W53" s="188">
        <f t="shared" si="28"/>
        <v>18</v>
      </c>
      <c r="X53" s="188">
        <f t="shared" si="28"/>
        <v>20</v>
      </c>
      <c r="Y53" s="501" t="s">
        <v>236</v>
      </c>
      <c r="AI53" s="502" t="s">
        <v>299</v>
      </c>
      <c r="AJ53" s="283">
        <f t="shared" ref="AJ53:AO53" si="29">S52-(S52*COS(RADIANS(S53)))</f>
        <v>1.4683045111453943</v>
      </c>
      <c r="AK53" s="283">
        <f t="shared" si="29"/>
        <v>1.4683045111453943</v>
      </c>
      <c r="AL53" s="283">
        <f t="shared" si="29"/>
        <v>0.87390488073929262</v>
      </c>
      <c r="AM53" s="283">
        <f t="shared" si="29"/>
        <v>0.97886967409693071</v>
      </c>
      <c r="AN53" s="283">
        <f t="shared" si="29"/>
        <v>1.2235870926211625</v>
      </c>
      <c r="AO53" s="283">
        <f t="shared" si="29"/>
        <v>1.8092213764227481</v>
      </c>
      <c r="AP53" s="16">
        <v>13</v>
      </c>
      <c r="AR53" s="16">
        <v>53</v>
      </c>
    </row>
    <row r="54" spans="1:44" x14ac:dyDescent="0.25">
      <c r="A54" s="94"/>
      <c r="B54" s="226" t="s">
        <v>319</v>
      </c>
      <c r="C54" s="285">
        <f>(-C38+G52-G49)</f>
        <v>9.7622617483139038</v>
      </c>
      <c r="D54" s="109" t="s">
        <v>320</v>
      </c>
      <c r="J54" s="949"/>
      <c r="K54" s="949"/>
      <c r="L54" s="949"/>
      <c r="M54" s="949"/>
      <c r="N54" s="949"/>
      <c r="O54" s="949"/>
      <c r="P54" s="949"/>
      <c r="Q54" s="949"/>
      <c r="R54" s="501" t="s">
        <v>321</v>
      </c>
      <c r="S54" s="18">
        <v>99.63</v>
      </c>
      <c r="T54" s="18">
        <v>252.97793634620373</v>
      </c>
      <c r="U54" s="18">
        <v>112.06</v>
      </c>
      <c r="V54" s="18">
        <v>114.06</v>
      </c>
      <c r="W54" s="18">
        <v>29.14</v>
      </c>
      <c r="X54" s="18">
        <v>97.52</v>
      </c>
      <c r="Y54" s="501" t="s">
        <v>105</v>
      </c>
      <c r="AI54" s="502" t="s">
        <v>199</v>
      </c>
      <c r="AJ54" s="294">
        <f t="shared" ref="AJ54:AO54" si="30">S52*SIN(RADIANS(S53))</f>
        <v>9.2705098312484218</v>
      </c>
      <c r="AK54" s="294">
        <f t="shared" si="30"/>
        <v>9.2705098312484218</v>
      </c>
      <c r="AL54" s="294">
        <f t="shared" si="30"/>
        <v>5.8474340944547354</v>
      </c>
      <c r="AM54" s="294">
        <f t="shared" si="30"/>
        <v>6.1803398874989481</v>
      </c>
      <c r="AN54" s="294">
        <f t="shared" si="30"/>
        <v>7.7254248593736845</v>
      </c>
      <c r="AO54" s="294">
        <f t="shared" si="30"/>
        <v>10.260604299770062</v>
      </c>
      <c r="AP54" s="16">
        <v>14</v>
      </c>
      <c r="AR54" s="16">
        <v>54</v>
      </c>
    </row>
    <row r="55" spans="1:44" ht="15" customHeight="1" x14ac:dyDescent="0.25">
      <c r="B55" s="102" t="s">
        <v>322</v>
      </c>
      <c r="D55" s="94"/>
      <c r="E55" s="94"/>
      <c r="F55" s="94"/>
      <c r="G55" s="94"/>
      <c r="H55" s="94"/>
      <c r="R55" s="501" t="s">
        <v>323</v>
      </c>
      <c r="S55" s="34">
        <f t="shared" ref="S55:X55" si="31">VLOOKUP(S54,$K$291:$L$1291,2,TRUE)</f>
        <v>1.259693503379822</v>
      </c>
      <c r="T55" s="34">
        <f t="shared" si="31"/>
        <v>1.271496534347534</v>
      </c>
      <c r="U55" s="34">
        <f t="shared" si="31"/>
        <v>1.279166102409363</v>
      </c>
      <c r="V55" s="34">
        <f t="shared" si="31"/>
        <v>1.3049172163009639</v>
      </c>
      <c r="W55" s="34">
        <f t="shared" si="31"/>
        <v>1.265913605690002</v>
      </c>
      <c r="X55" s="34">
        <f t="shared" si="31"/>
        <v>1.247961044311523</v>
      </c>
      <c r="Y55" s="501" t="s">
        <v>303</v>
      </c>
      <c r="AA55" s="251">
        <f>MAX(AA57:AA61)</f>
        <v>4</v>
      </c>
      <c r="AB55" s="556" t="s">
        <v>324</v>
      </c>
      <c r="AI55" s="502" t="s">
        <v>206</v>
      </c>
      <c r="AJ55" s="283">
        <f t="shared" ref="AJ55:AO55" si="32">2*S52*PI()*S53/360</f>
        <v>9.4247779607693793</v>
      </c>
      <c r="AK55" s="283">
        <f t="shared" si="32"/>
        <v>9.4247779607693793</v>
      </c>
      <c r="AL55" s="283">
        <f t="shared" si="32"/>
        <v>5.9341194567807207</v>
      </c>
      <c r="AM55" s="283">
        <f t="shared" si="32"/>
        <v>6.2831853071795862</v>
      </c>
      <c r="AN55" s="283">
        <f t="shared" si="32"/>
        <v>7.8539816339744828</v>
      </c>
      <c r="AO55" s="283">
        <f t="shared" si="32"/>
        <v>10.471975511965978</v>
      </c>
      <c r="AP55" s="16">
        <v>15</v>
      </c>
      <c r="AR55" s="16">
        <v>55</v>
      </c>
    </row>
    <row r="56" spans="1:44" x14ac:dyDescent="0.25">
      <c r="A56" s="51">
        <v>1</v>
      </c>
      <c r="B56" s="51">
        <v>2</v>
      </c>
      <c r="C56" s="51">
        <v>3</v>
      </c>
      <c r="D56" s="51">
        <v>4</v>
      </c>
      <c r="E56" s="51">
        <v>5</v>
      </c>
      <c r="F56" s="51">
        <v>6</v>
      </c>
      <c r="G56" s="51">
        <v>7</v>
      </c>
      <c r="H56" s="51">
        <v>8</v>
      </c>
      <c r="I56" s="51">
        <v>9</v>
      </c>
      <c r="J56" s="51">
        <v>10</v>
      </c>
      <c r="K56" s="51">
        <v>11</v>
      </c>
      <c r="L56" s="51">
        <v>12</v>
      </c>
      <c r="M56" s="51">
        <v>13</v>
      </c>
      <c r="N56" s="51">
        <v>14</v>
      </c>
      <c r="AB56" s="335"/>
      <c r="AI56" s="502" t="s">
        <v>311</v>
      </c>
      <c r="AJ56" s="284">
        <f t="shared" ref="AJ56:AO56" si="33">AJ59-AJ53</f>
        <v>8.3913889922344271</v>
      </c>
      <c r="AK56" s="284">
        <f t="shared" si="33"/>
        <v>16.003192023202139</v>
      </c>
      <c r="AL56" s="284">
        <f t="shared" si="33"/>
        <v>7.1052612216700703</v>
      </c>
      <c r="AM56" s="284">
        <f t="shared" si="33"/>
        <v>6.2260475422040349</v>
      </c>
      <c r="AN56" s="284">
        <f t="shared" si="33"/>
        <v>7.1423265130688396</v>
      </c>
      <c r="AO56" s="284">
        <f t="shared" si="33"/>
        <v>6.1387396678887756</v>
      </c>
      <c r="AP56" s="16">
        <v>16</v>
      </c>
      <c r="AR56" s="16">
        <v>56</v>
      </c>
    </row>
    <row r="57" spans="1:44" ht="15" customHeight="1" x14ac:dyDescent="0.25">
      <c r="A57" s="255"/>
      <c r="B57" s="255"/>
      <c r="C57" s="946" t="s">
        <v>325</v>
      </c>
      <c r="D57" s="946" t="s">
        <v>326</v>
      </c>
      <c r="E57" s="946" t="s">
        <v>327</v>
      </c>
      <c r="F57" s="943" t="s">
        <v>328</v>
      </c>
      <c r="G57" s="943" t="s">
        <v>329</v>
      </c>
      <c r="H57" s="32"/>
      <c r="I57" s="255"/>
      <c r="J57" s="950" t="s">
        <v>330</v>
      </c>
      <c r="K57" s="950" t="s">
        <v>331</v>
      </c>
      <c r="L57" s="953" t="s">
        <v>332</v>
      </c>
      <c r="N57" s="255"/>
      <c r="O57" s="106"/>
      <c r="Q57" s="685"/>
      <c r="R57" s="685"/>
      <c r="S57" s="34" t="str">
        <f>IF(Q57="","",M$43+Q57)</f>
        <v/>
      </c>
      <c r="T57" s="34" t="str">
        <f>IF(R57="","",M$43+R57)</f>
        <v/>
      </c>
      <c r="AA57" s="338">
        <v>1</v>
      </c>
      <c r="AB57" s="336" t="s">
        <v>333</v>
      </c>
      <c r="AI57" s="502" t="s">
        <v>213</v>
      </c>
      <c r="AJ57" s="294">
        <f t="shared" ref="AJ57:AO57" si="34">AJ56/TAN(RADIANS(S53))</f>
        <v>25.826039755433541</v>
      </c>
      <c r="AK57" s="294">
        <f t="shared" si="34"/>
        <v>49.252760632063563</v>
      </c>
      <c r="AL57" s="294">
        <f t="shared" si="34"/>
        <v>23.240262271913373</v>
      </c>
      <c r="AM57" s="294">
        <f t="shared" si="34"/>
        <v>19.161804022311809</v>
      </c>
      <c r="AN57" s="294">
        <f t="shared" si="34"/>
        <v>21.981820726402304</v>
      </c>
      <c r="AO57" s="294">
        <f t="shared" si="34"/>
        <v>16.866048621434778</v>
      </c>
      <c r="AP57" s="16">
        <v>17</v>
      </c>
      <c r="AR57" s="16">
        <v>57</v>
      </c>
    </row>
    <row r="58" spans="1:44" ht="15" customHeight="1" x14ac:dyDescent="0.25">
      <c r="A58" s="378"/>
      <c r="B58" s="378"/>
      <c r="C58" s="944"/>
      <c r="D58" s="944"/>
      <c r="E58" s="944"/>
      <c r="F58" s="944"/>
      <c r="G58" s="944"/>
      <c r="H58" s="29"/>
      <c r="I58" s="378"/>
      <c r="J58" s="951"/>
      <c r="K58" s="951"/>
      <c r="L58" s="954"/>
      <c r="N58" s="378"/>
      <c r="O58" s="94"/>
      <c r="Q58" s="649"/>
      <c r="R58" s="613"/>
      <c r="S58" s="34" t="str">
        <f>IF(Q58="","",M$43+Q58)</f>
        <v/>
      </c>
      <c r="T58" s="34" t="str">
        <f>IF(R58="","",M$43+R58)</f>
        <v/>
      </c>
      <c r="AA58" s="36">
        <f>IF(AB58="","",AA57+1)</f>
        <v>2</v>
      </c>
      <c r="AB58" s="336" t="s">
        <v>334</v>
      </c>
      <c r="AI58" s="502" t="s">
        <v>217</v>
      </c>
      <c r="AJ58" s="283">
        <f t="shared" ref="AJ58:AO58" si="35">AJ56/SIN(RADIANS(S53))</f>
        <v>27.155105204514065</v>
      </c>
      <c r="AK58" s="283">
        <f t="shared" si="35"/>
        <v>51.787417244064521</v>
      </c>
      <c r="AL58" s="283">
        <f t="shared" si="35"/>
        <v>24.302150676339092</v>
      </c>
      <c r="AM58" s="283">
        <f t="shared" si="35"/>
        <v>20.14791307771775</v>
      </c>
      <c r="AN58" s="283">
        <f t="shared" si="35"/>
        <v>23.113054113789808</v>
      </c>
      <c r="AO58" s="283">
        <f t="shared" si="35"/>
        <v>17.948474052428892</v>
      </c>
      <c r="AP58" s="16">
        <v>18</v>
      </c>
      <c r="AR58" s="16">
        <v>58</v>
      </c>
    </row>
    <row r="59" spans="1:44" ht="15" customHeight="1" x14ac:dyDescent="0.25">
      <c r="A59" s="378"/>
      <c r="B59" s="378"/>
      <c r="C59" s="944"/>
      <c r="D59" s="944"/>
      <c r="E59" s="944"/>
      <c r="F59" s="944"/>
      <c r="G59" s="944"/>
      <c r="H59" s="29"/>
      <c r="I59" s="378"/>
      <c r="J59" s="951"/>
      <c r="K59" s="951"/>
      <c r="L59" s="954"/>
      <c r="N59" s="378"/>
      <c r="O59" s="94">
        <v>1</v>
      </c>
      <c r="Q59" s="486"/>
      <c r="R59" s="486"/>
      <c r="S59" s="34" t="str">
        <f>IF(Q59="","",M$43+Q59)</f>
        <v/>
      </c>
      <c r="T59" s="34" t="str">
        <f>IF(R59="","",M$43+R59)</f>
        <v/>
      </c>
      <c r="AA59" s="36">
        <f>IF(AB59="","",AA58+1)</f>
        <v>3</v>
      </c>
      <c r="AB59" s="337" t="s">
        <v>335</v>
      </c>
      <c r="AI59" s="502" t="s">
        <v>319</v>
      </c>
      <c r="AJ59" s="285">
        <f t="shared" ref="AJ59:AO59" si="36">(-AJ43+S55-S48-S47)</f>
        <v>9.8596935033798214</v>
      </c>
      <c r="AK59" s="285">
        <f t="shared" si="36"/>
        <v>17.471496534347533</v>
      </c>
      <c r="AL59" s="285">
        <f t="shared" si="36"/>
        <v>7.979166102409363</v>
      </c>
      <c r="AM59" s="285">
        <f t="shared" si="36"/>
        <v>7.2049172163009656</v>
      </c>
      <c r="AN59" s="285">
        <f t="shared" si="36"/>
        <v>8.3659136056900021</v>
      </c>
      <c r="AO59" s="285">
        <f t="shared" si="36"/>
        <v>7.9479610443115236</v>
      </c>
      <c r="AP59" s="16">
        <v>19</v>
      </c>
      <c r="AR59" s="16">
        <v>59</v>
      </c>
    </row>
    <row r="60" spans="1:44" ht="14.25" customHeight="1" x14ac:dyDescent="0.25">
      <c r="A60" s="97" t="s">
        <v>336</v>
      </c>
      <c r="B60" s="156" t="s">
        <v>337</v>
      </c>
      <c r="C60" s="945"/>
      <c r="D60" s="945"/>
      <c r="E60" s="945"/>
      <c r="F60" s="945"/>
      <c r="G60" s="945"/>
      <c r="H60" s="157" t="s">
        <v>338</v>
      </c>
      <c r="I60" s="156" t="s">
        <v>339</v>
      </c>
      <c r="J60" s="952"/>
      <c r="K60" s="952"/>
      <c r="L60" s="955"/>
      <c r="M60" s="379"/>
      <c r="N60" s="380" t="s">
        <v>340</v>
      </c>
      <c r="O60" s="94">
        <v>2</v>
      </c>
      <c r="Q60" s="486"/>
      <c r="R60" s="486"/>
      <c r="S60" s="34" t="str">
        <f>IF(Q60="","",M$43+Q60)</f>
        <v/>
      </c>
      <c r="T60" s="34" t="str">
        <f>IF(R60="","",M$43+R60)</f>
        <v/>
      </c>
      <c r="AA60" s="36">
        <f>IF(AB60="","",AA59+1)</f>
        <v>4</v>
      </c>
      <c r="AB60" s="574" t="str">
        <f>IF(INPUT!D28=INPUT!S27,"","KADASTER")</f>
        <v>KADASTER</v>
      </c>
      <c r="AR60" s="16">
        <v>60</v>
      </c>
    </row>
    <row r="61" spans="1:44" x14ac:dyDescent="0.25">
      <c r="A61" s="94"/>
      <c r="B61" s="94"/>
      <c r="C61" s="94"/>
      <c r="D61" s="94"/>
      <c r="E61" s="96" t="s">
        <v>105</v>
      </c>
      <c r="F61" s="381" t="s">
        <v>105</v>
      </c>
      <c r="G61" s="96" t="s">
        <v>105</v>
      </c>
      <c r="H61" s="96" t="s">
        <v>239</v>
      </c>
      <c r="I61" s="382" t="s">
        <v>239</v>
      </c>
      <c r="J61" s="96" t="s">
        <v>105</v>
      </c>
      <c r="K61" s="96" t="s">
        <v>105</v>
      </c>
      <c r="L61" s="96" t="s">
        <v>105</v>
      </c>
      <c r="M61" s="96"/>
      <c r="N61" s="94"/>
      <c r="O61" s="94">
        <v>3</v>
      </c>
      <c r="S61" s="387" t="s">
        <v>341</v>
      </c>
      <c r="AA61" s="36" t="str">
        <f>IF(AB61="","",AA60+1)</f>
        <v/>
      </c>
      <c r="AB61" s="193"/>
    </row>
    <row r="62" spans="1:44" x14ac:dyDescent="0.25">
      <c r="A62" s="95">
        <f t="shared" ref="A62:A261" si="37">IF(B62="","",A61+1)</f>
        <v>1</v>
      </c>
      <c r="B62" s="740" t="s">
        <v>347</v>
      </c>
      <c r="C62" s="489"/>
      <c r="D62" s="383" t="str">
        <f t="shared" ref="D62" si="38">IF(B62="","",IF(B62="RV","BOB","BVK"))</f>
        <v>BVK</v>
      </c>
      <c r="E62" s="490">
        <v>4.2268600000000003</v>
      </c>
      <c r="F62" s="95"/>
      <c r="G62" s="164">
        <f>IF(B62="","",IF(F62="",VLOOKUP(B62,Variabelen!A$47:D$58,4,FALSE),F62-G$49))</f>
        <v>-0.7</v>
      </c>
      <c r="H62" s="490">
        <f>IF(B62="","",VLOOKUP(B62,Variabelen!A$47:D$58,3,FALSE))</f>
        <v>80</v>
      </c>
      <c r="I62" s="196" t="str">
        <f t="shared" ref="I62" si="39">IF(D62="BOB",0.75*H62,"")</f>
        <v/>
      </c>
      <c r="J62" s="196">
        <f t="shared" ref="J62" si="40">IF(B62="","",ROUND(IF(D62="BOB",G62+(0.5*I62/1000),IF(D62="BVK",G62-(0.5*H62/1000),"FOUT")),2))</f>
        <v>-0.74</v>
      </c>
      <c r="K62" s="196">
        <f t="shared" ref="K62" si="41">IF(B62="","",IF(AND(D62="BVK",F62=""),J62+VLOOKUP(E62,K$290:L$1291,2,TRUE)-G$49,IF(F62&lt;&gt;"",J62,"CHECK BVK of BOB!!!")))</f>
        <v>-0.61270426750183082</v>
      </c>
      <c r="L62" s="196">
        <f t="shared" ref="L62" si="42">IF(B62="","",G$49+K62)</f>
        <v>0.3965305185317991</v>
      </c>
      <c r="M62" s="34" t="str">
        <f t="shared" ref="M62" si="43">IF(P62="","",M$43+P62+Q62)</f>
        <v/>
      </c>
      <c r="N62" s="196" t="str">
        <f>IF(B62="","",VLOOKUP(B62,Variabelen!A$47:D$58,2,FALSE))</f>
        <v>DATA</v>
      </c>
      <c r="O62" s="94">
        <v>4</v>
      </c>
      <c r="P62" s="486"/>
      <c r="Q62" s="34"/>
      <c r="R62" s="159">
        <f>MAX(R63:R67)</f>
        <v>3</v>
      </c>
      <c r="S62" s="387"/>
      <c r="T62" s="387"/>
      <c r="U62" s="396" t="s">
        <v>343</v>
      </c>
      <c r="V62" t="s">
        <v>344</v>
      </c>
      <c r="W62" t="s">
        <v>345</v>
      </c>
      <c r="AA62" s="338">
        <f>IF(AB62="","",AA55+1)</f>
        <v>5</v>
      </c>
      <c r="AB62" s="193" t="str" cm="1">
        <f t="array" ref="AB62:AB69">IF(A62="","",_xlfn.UNIQUE(N62:N261,FALSE))</f>
        <v>DATA</v>
      </c>
      <c r="AD62" s="750" t="s">
        <v>1042</v>
      </c>
      <c r="AH62" s="334"/>
    </row>
    <row r="63" spans="1:44" x14ac:dyDescent="0.25">
      <c r="A63" s="95">
        <f t="shared" si="37"/>
        <v>2</v>
      </c>
      <c r="B63" s="740" t="s">
        <v>342</v>
      </c>
      <c r="C63" s="489"/>
      <c r="D63" s="383" t="str">
        <f t="shared" ref="D63:D126" si="44">IF(B63="","",IF(B63="RV","BOB","BVK"))</f>
        <v>BVK</v>
      </c>
      <c r="E63" s="490">
        <v>5.5377500000000008</v>
      </c>
      <c r="F63" s="95"/>
      <c r="G63" s="164">
        <f>IF(B63="","",IF(F63="",VLOOKUP(B63,Variabelen!A$47:D$58,4,FALSE),F63-G$49))</f>
        <v>-0.7</v>
      </c>
      <c r="H63" s="490">
        <f>IF(B63="","",VLOOKUP(B63,Variabelen!A$47:D$58,3,FALSE))</f>
        <v>80</v>
      </c>
      <c r="I63" s="196" t="str">
        <f t="shared" ref="I63:I126" si="45">IF(D63="BOB",0.75*H63,"")</f>
        <v/>
      </c>
      <c r="J63" s="196">
        <f t="shared" ref="J63:J126" si="46">IF(B63="","",ROUND(IF(D63="BOB",G63+(0.5*I63/1000),IF(D63="BVK",G63-(0.5*H63/1000),"FOUT")),2))</f>
        <v>-0.74</v>
      </c>
      <c r="K63" s="196">
        <f t="shared" ref="K63:K126" si="47">IF(B63="","",IF(AND(D63="BVK",F63=""),J63+VLOOKUP(E63,K$290:L$1291,2,TRUE)-G$49,IF(F63&lt;&gt;"",J63,"CHECK BVK of BOB!!!")))</f>
        <v>-0.58679746627807594</v>
      </c>
      <c r="L63" s="196">
        <f t="shared" ref="L63:L126" si="48">IF(B63="","",G$49+K63)</f>
        <v>0.42243731975555399</v>
      </c>
      <c r="M63" s="34" t="str">
        <f t="shared" ref="M63:M126" si="49">IF(P63="","",M$43+P63+Q63)</f>
        <v/>
      </c>
      <c r="N63" s="196" t="str">
        <f>IF(B63="","",VLOOKUP(B63,Variabelen!A$47:D$58,2,FALSE))</f>
        <v>LAAGSPANNING</v>
      </c>
      <c r="O63" s="94">
        <v>5</v>
      </c>
      <c r="P63" s="486"/>
      <c r="Q63" s="34"/>
      <c r="R63" s="44">
        <f>IF(S63="","",1)</f>
        <v>1</v>
      </c>
      <c r="S63" s="18">
        <v>37.051184544972322</v>
      </c>
      <c r="T63" s="18">
        <v>55.551844192899111</v>
      </c>
      <c r="U63" s="838" t="s">
        <v>1192</v>
      </c>
      <c r="V63" s="34">
        <f>VLOOKUP(S63,K$290:L$1291,2,TRUE)</f>
        <v>1.1673340797424321</v>
      </c>
      <c r="W63" s="34">
        <f>VLOOKUP(T63,K$290:L$1291,2,TRUE)</f>
        <v>1.1618490219116211</v>
      </c>
      <c r="Y63" s="16">
        <v>15.22254800251469</v>
      </c>
      <c r="Z63" s="16">
        <v>33.036204868168859</v>
      </c>
      <c r="AA63" s="36">
        <f t="shared" ref="AA63:AA261" si="50">IF(AB63="","",AA62+1)</f>
        <v>6</v>
      </c>
      <c r="AB63" s="193" t="str">
        <v>LAAGSPANNING</v>
      </c>
    </row>
    <row r="64" spans="1:44" x14ac:dyDescent="0.25">
      <c r="A64" s="95">
        <f t="shared" si="37"/>
        <v>3</v>
      </c>
      <c r="B64" s="740" t="s">
        <v>347</v>
      </c>
      <c r="C64" s="489"/>
      <c r="D64" s="383" t="str">
        <f t="shared" si="44"/>
        <v>BVK</v>
      </c>
      <c r="E64" s="490">
        <v>17.519400000000001</v>
      </c>
      <c r="F64" s="95"/>
      <c r="G64" s="164">
        <f>IF(B64="","",IF(F64="",VLOOKUP(B64,Variabelen!A$47:D$58,4,FALSE),F64-G$49))</f>
        <v>-0.7</v>
      </c>
      <c r="H64" s="490">
        <f>IF(B64="","",VLOOKUP(B64,Variabelen!A$47:D$58,3,FALSE))</f>
        <v>80</v>
      </c>
      <c r="I64" s="196" t="str">
        <f t="shared" si="45"/>
        <v/>
      </c>
      <c r="J64" s="196">
        <f t="shared" si="46"/>
        <v>-0.74</v>
      </c>
      <c r="K64" s="196">
        <f t="shared" si="47"/>
        <v>-0.51219057083129793</v>
      </c>
      <c r="L64" s="196">
        <f t="shared" si="48"/>
        <v>0.497044215202332</v>
      </c>
      <c r="M64" s="34" t="str">
        <f t="shared" si="49"/>
        <v/>
      </c>
      <c r="N64" s="196" t="str">
        <f>IF(B64="","",VLOOKUP(B64,Variabelen!A$47:D$58,2,FALSE))</f>
        <v>DATA</v>
      </c>
      <c r="O64" s="94">
        <v>6</v>
      </c>
      <c r="P64" s="486"/>
      <c r="Q64" s="34"/>
      <c r="R64" s="44">
        <f>IF(S64="","",R63+1)</f>
        <v>2</v>
      </c>
      <c r="S64" s="18">
        <v>147.32217248139148</v>
      </c>
      <c r="T64" s="18">
        <v>181.34040680461101</v>
      </c>
      <c r="U64" s="908" t="s">
        <v>1315</v>
      </c>
      <c r="V64" s="34">
        <f>VLOOKUP(S64,K$290:L$1291,2,TRUE)</f>
        <v>1.2911515235900879</v>
      </c>
      <c r="W64" s="34">
        <f>VLOOKUP(T64,K$290:L$1291,2,TRUE)</f>
        <v>1.2670789957046511</v>
      </c>
      <c r="Y64" s="16">
        <v>41.200024890144753</v>
      </c>
      <c r="Z64" s="16">
        <v>53.118048426949827</v>
      </c>
      <c r="AA64" s="36">
        <f t="shared" si="50"/>
        <v>7</v>
      </c>
      <c r="AB64" s="193" t="str">
        <v>WATERLEIDING</v>
      </c>
    </row>
    <row r="65" spans="1:37" x14ac:dyDescent="0.25">
      <c r="A65" s="95">
        <f t="shared" ref="A65:A75" si="51">IF(B65="","",A64+1)</f>
        <v>4</v>
      </c>
      <c r="B65" s="740" t="s">
        <v>342</v>
      </c>
      <c r="C65" s="489"/>
      <c r="D65" s="383" t="str">
        <f t="shared" si="44"/>
        <v>BVK</v>
      </c>
      <c r="E65" s="490">
        <v>20.715499999999999</v>
      </c>
      <c r="F65" s="95"/>
      <c r="G65" s="164">
        <f>IF(B65="","",IF(F65="",VLOOKUP(B65,Variabelen!A$47:D$58,4,FALSE),F65-G$49))</f>
        <v>-0.7</v>
      </c>
      <c r="H65" s="490">
        <f>IF(B65="","",VLOOKUP(B65,Variabelen!A$47:D$58,3,FALSE))</f>
        <v>80</v>
      </c>
      <c r="I65" s="196" t="str">
        <f t="shared" si="45"/>
        <v/>
      </c>
      <c r="J65" s="196">
        <f t="shared" si="46"/>
        <v>-0.74</v>
      </c>
      <c r="K65" s="196">
        <f t="shared" si="47"/>
        <v>-0.49153160095214798</v>
      </c>
      <c r="L65" s="196">
        <f t="shared" si="48"/>
        <v>0.51770318508148194</v>
      </c>
      <c r="M65" s="34" t="str">
        <f t="shared" si="49"/>
        <v/>
      </c>
      <c r="N65" s="196" t="str">
        <f>IF(B65="","",VLOOKUP(B65,Variabelen!A$47:D$58,2,FALSE))</f>
        <v>LAAGSPANNING</v>
      </c>
      <c r="O65" s="94">
        <v>7</v>
      </c>
      <c r="P65" s="486"/>
      <c r="Q65" s="34"/>
      <c r="R65" s="44">
        <f>IF(S65="","",R64+1)</f>
        <v>3</v>
      </c>
      <c r="S65" s="18">
        <v>189.53032513511113</v>
      </c>
      <c r="T65" s="18">
        <v>194.12407369614772</v>
      </c>
      <c r="U65" s="838" t="s">
        <v>1192</v>
      </c>
      <c r="V65" s="34">
        <f>VLOOKUP(S65,K$290:L$1291,2,TRUE)</f>
        <v>1.2202854156494141</v>
      </c>
      <c r="W65" s="34">
        <f>VLOOKUP(T65,K$290:L$1291,2,TRUE)</f>
        <v>1.273425817489624</v>
      </c>
      <c r="Y65" s="16">
        <v>61.285331364299033</v>
      </c>
      <c r="Z65" s="16">
        <v>80.959426625486728</v>
      </c>
      <c r="AA65" s="36">
        <f t="shared" si="50"/>
        <v>8</v>
      </c>
      <c r="AB65" s="193" t="str">
        <v>MIDDENSPANNING</v>
      </c>
    </row>
    <row r="66" spans="1:37" x14ac:dyDescent="0.25">
      <c r="A66" s="95">
        <f t="shared" si="51"/>
        <v>5</v>
      </c>
      <c r="B66" s="740" t="s">
        <v>347</v>
      </c>
      <c r="C66" s="489"/>
      <c r="D66" s="383" t="str">
        <f t="shared" si="44"/>
        <v>BVK</v>
      </c>
      <c r="E66" s="490">
        <v>22.956199999999999</v>
      </c>
      <c r="F66" s="95"/>
      <c r="G66" s="164">
        <f>IF(B66="","",IF(F66="",VLOOKUP(B66,Variabelen!A$47:D$58,4,FALSE),F66-G$49))</f>
        <v>-0.7</v>
      </c>
      <c r="H66" s="490">
        <f>IF(B66="","",VLOOKUP(B66,Variabelen!A$47:D$58,3,FALSE))</f>
        <v>80</v>
      </c>
      <c r="I66" s="196" t="str">
        <f t="shared" si="45"/>
        <v/>
      </c>
      <c r="J66" s="196">
        <f t="shared" si="46"/>
        <v>-0.74</v>
      </c>
      <c r="K66" s="196">
        <f t="shared" si="47"/>
        <v>-0.49451838970184281</v>
      </c>
      <c r="L66" s="196">
        <f t="shared" si="48"/>
        <v>0.51471639633178712</v>
      </c>
      <c r="M66" s="34" t="str">
        <f t="shared" si="49"/>
        <v/>
      </c>
      <c r="N66" s="196" t="str">
        <f>IF(B66="","",VLOOKUP(B66,Variabelen!A$47:D$58,2,FALSE))</f>
        <v>DATA</v>
      </c>
      <c r="O66" s="94">
        <v>8</v>
      </c>
      <c r="P66" s="486"/>
      <c r="Q66" s="34"/>
      <c r="R66" s="44" t="str">
        <f>IF(S66="","",R65+1)</f>
        <v/>
      </c>
      <c r="S66" s="18" t="s">
        <v>1150</v>
      </c>
      <c r="T66" s="18" t="s">
        <v>1150</v>
      </c>
      <c r="U66" s="908" t="s">
        <v>1268</v>
      </c>
      <c r="V66" s="34">
        <f>VLOOKUP(S66,K$290:L$1291,2,TRUE)</f>
        <v>0</v>
      </c>
      <c r="W66" s="34">
        <f>VLOOKUP(T66,K$290:L$1291,2,TRUE)</f>
        <v>0</v>
      </c>
      <c r="Y66" s="16">
        <v>99.32037183491363</v>
      </c>
      <c r="Z66" s="16">
        <v>107.2669954153812</v>
      </c>
      <c r="AA66" s="36">
        <f t="shared" si="50"/>
        <v>9</v>
      </c>
      <c r="AB66" s="193" t="str">
        <v>LD-GAS</v>
      </c>
    </row>
    <row r="67" spans="1:37" x14ac:dyDescent="0.25">
      <c r="A67" s="95">
        <f t="shared" si="51"/>
        <v>6</v>
      </c>
      <c r="B67" s="740" t="s">
        <v>347</v>
      </c>
      <c r="C67" s="489"/>
      <c r="D67" s="383" t="str">
        <f t="shared" si="44"/>
        <v>BVK</v>
      </c>
      <c r="E67" s="490">
        <v>22.961400000000001</v>
      </c>
      <c r="F67" s="95"/>
      <c r="G67" s="164">
        <f>IF(B67="","",IF(F67="",VLOOKUP(B67,Variabelen!A$47:D$58,4,FALSE),F67-G$49))</f>
        <v>-0.7</v>
      </c>
      <c r="H67" s="490">
        <f>IF(B67="","",VLOOKUP(B67,Variabelen!A$47:D$58,3,FALSE))</f>
        <v>80</v>
      </c>
      <c r="I67" s="196" t="str">
        <f t="shared" si="45"/>
        <v/>
      </c>
      <c r="J67" s="196">
        <f t="shared" si="46"/>
        <v>-0.74</v>
      </c>
      <c r="K67" s="196">
        <f t="shared" si="47"/>
        <v>-0.49451838970184281</v>
      </c>
      <c r="L67" s="196">
        <f t="shared" si="48"/>
        <v>0.51471639633178712</v>
      </c>
      <c r="M67" s="34" t="str">
        <f t="shared" si="49"/>
        <v/>
      </c>
      <c r="N67" s="196" t="str">
        <f>IF(B67="","",VLOOKUP(B67,Variabelen!A$47:D$58,2,FALSE))</f>
        <v>DATA</v>
      </c>
      <c r="O67" s="94">
        <v>9</v>
      </c>
      <c r="P67" s="486"/>
      <c r="Q67" s="34"/>
      <c r="R67" s="44" t="str">
        <f>IF(S67="","",R66+1)</f>
        <v/>
      </c>
      <c r="S67" s="18" t="s">
        <v>1150</v>
      </c>
      <c r="T67" s="18" t="s">
        <v>1150</v>
      </c>
      <c r="U67" s="838" t="s">
        <v>1193</v>
      </c>
      <c r="V67" s="34">
        <f>VLOOKUP(S67,K$290:L$1291,2,TRUE)</f>
        <v>0</v>
      </c>
      <c r="W67" s="34">
        <f>VLOOKUP(T67,K$290:L$1291,2,TRUE)</f>
        <v>0</v>
      </c>
      <c r="AA67" s="36">
        <f t="shared" si="50"/>
        <v>10</v>
      </c>
      <c r="AB67" s="193" t="str">
        <v>RIOOL-VRIJVERVAL</v>
      </c>
    </row>
    <row r="68" spans="1:37" x14ac:dyDescent="0.25">
      <c r="A68" s="95">
        <f t="shared" si="51"/>
        <v>7</v>
      </c>
      <c r="B68" s="740" t="s">
        <v>347</v>
      </c>
      <c r="C68" s="489"/>
      <c r="D68" s="383" t="str">
        <f t="shared" si="44"/>
        <v>BVK</v>
      </c>
      <c r="E68" s="490">
        <v>23.2544</v>
      </c>
      <c r="F68" s="95"/>
      <c r="G68" s="164">
        <f>IF(B68="","",IF(F68="",VLOOKUP(B68,Variabelen!A$47:D$58,4,FALSE),F68-G$49))</f>
        <v>-0.7</v>
      </c>
      <c r="H68" s="490">
        <f>IF(B68="","",VLOOKUP(B68,Variabelen!A$47:D$58,3,FALSE))</f>
        <v>80</v>
      </c>
      <c r="I68" s="196" t="str">
        <f t="shared" si="45"/>
        <v/>
      </c>
      <c r="J68" s="196">
        <f t="shared" si="46"/>
        <v>-0.74</v>
      </c>
      <c r="K68" s="196">
        <f t="shared" si="47"/>
        <v>-0.49451838970184281</v>
      </c>
      <c r="L68" s="196">
        <f t="shared" si="48"/>
        <v>0.51471639633178712</v>
      </c>
      <c r="M68" s="34" t="str">
        <f t="shared" si="49"/>
        <v/>
      </c>
      <c r="N68" s="196" t="str">
        <f>IF(B68="","",VLOOKUP(B68,Variabelen!A$47:D$58,2,FALSE))</f>
        <v>DATA</v>
      </c>
      <c r="O68" s="94">
        <v>10</v>
      </c>
      <c r="P68" s="486"/>
      <c r="Q68" s="34"/>
      <c r="U68" s="400" t="str">
        <f ca="1">INPUT!J$1</f>
        <v>N200</v>
      </c>
      <c r="AA68" s="36">
        <f t="shared" si="50"/>
        <v>11</v>
      </c>
      <c r="AB68" s="193" t="str">
        <v>HOOGSPANNING</v>
      </c>
    </row>
    <row r="69" spans="1:37" x14ac:dyDescent="0.25">
      <c r="A69" s="95">
        <f t="shared" si="51"/>
        <v>8</v>
      </c>
      <c r="B69" s="740" t="s">
        <v>347</v>
      </c>
      <c r="C69" s="489"/>
      <c r="D69" s="383" t="str">
        <f t="shared" si="44"/>
        <v>BVK</v>
      </c>
      <c r="E69" s="490">
        <v>23.2547</v>
      </c>
      <c r="F69" s="95"/>
      <c r="G69" s="164">
        <f>IF(B69="","",IF(F69="",VLOOKUP(B69,Variabelen!A$47:D$58,4,FALSE),F69-G$49))</f>
        <v>-0.7</v>
      </c>
      <c r="H69" s="490">
        <f>IF(B69="","",VLOOKUP(B69,Variabelen!A$47:D$58,3,FALSE))</f>
        <v>80</v>
      </c>
      <c r="I69" s="196" t="str">
        <f t="shared" si="45"/>
        <v/>
      </c>
      <c r="J69" s="196">
        <f t="shared" si="46"/>
        <v>-0.74</v>
      </c>
      <c r="K69" s="196">
        <f t="shared" si="47"/>
        <v>-0.49451838970184281</v>
      </c>
      <c r="L69" s="196">
        <f t="shared" si="48"/>
        <v>0.51471639633178712</v>
      </c>
      <c r="M69" s="34" t="str">
        <f t="shared" si="49"/>
        <v/>
      </c>
      <c r="N69" s="196" t="str">
        <f>IF(B69="","",VLOOKUP(B69,Variabelen!A$47:D$58,2,FALSE))</f>
        <v>DATA</v>
      </c>
      <c r="O69" s="94">
        <v>11</v>
      </c>
      <c r="P69" s="486"/>
      <c r="Q69" s="34"/>
      <c r="S69" s="387" t="s">
        <v>349</v>
      </c>
      <c r="AA69" s="36" t="str">
        <f t="shared" si="50"/>
        <v/>
      </c>
      <c r="AB69" s="193" t="str">
        <v/>
      </c>
      <c r="AE69" s="786" t="s">
        <v>1117</v>
      </c>
      <c r="AI69" s="17"/>
      <c r="AJ69" s="16">
        <v>36.049999999999997</v>
      </c>
    </row>
    <row r="70" spans="1:37" x14ac:dyDescent="0.25">
      <c r="A70" s="95">
        <f t="shared" si="51"/>
        <v>9</v>
      </c>
      <c r="B70" s="740" t="s">
        <v>347</v>
      </c>
      <c r="C70" s="489"/>
      <c r="D70" s="383" t="str">
        <f t="shared" si="44"/>
        <v>BVK</v>
      </c>
      <c r="E70" s="490">
        <v>23.5259</v>
      </c>
      <c r="F70" s="95"/>
      <c r="G70" s="164">
        <f>IF(B70="","",IF(F70="",VLOOKUP(B70,Variabelen!A$47:D$58,4,FALSE),F70-G$49))</f>
        <v>-0.7</v>
      </c>
      <c r="H70" s="490">
        <f>IF(B70="","",VLOOKUP(B70,Variabelen!A$47:D$58,3,FALSE))</f>
        <v>80</v>
      </c>
      <c r="I70" s="196" t="str">
        <f t="shared" si="45"/>
        <v/>
      </c>
      <c r="J70" s="196">
        <f t="shared" si="46"/>
        <v>-0.74</v>
      </c>
      <c r="K70" s="196">
        <f t="shared" si="47"/>
        <v>-0.49150012969970702</v>
      </c>
      <c r="L70" s="196">
        <f t="shared" si="48"/>
        <v>0.5177346563339229</v>
      </c>
      <c r="M70" s="34" t="str">
        <f t="shared" si="49"/>
        <v/>
      </c>
      <c r="N70" s="196" t="str">
        <f>IF(B70="","",VLOOKUP(B70,Variabelen!A$47:D$58,2,FALSE))</f>
        <v>DATA</v>
      </c>
      <c r="O70" s="94">
        <v>12</v>
      </c>
      <c r="P70" s="486"/>
      <c r="Q70" s="34"/>
      <c r="S70" s="387" t="s">
        <v>350</v>
      </c>
      <c r="T70" s="387" t="s">
        <v>351</v>
      </c>
      <c r="U70" t="s">
        <v>344</v>
      </c>
      <c r="V70" t="s">
        <v>345</v>
      </c>
      <c r="AA70" s="36" t="str">
        <f t="shared" si="50"/>
        <v/>
      </c>
      <c r="AB70" s="193"/>
      <c r="AE70" s="786" t="s">
        <v>1116</v>
      </c>
      <c r="AI70" s="17"/>
      <c r="AJ70" s="16">
        <f t="shared" ref="AJ70:AJ78" si="52">AJ69+AK$80/9</f>
        <v>36.498888888888885</v>
      </c>
    </row>
    <row r="71" spans="1:37" x14ac:dyDescent="0.25">
      <c r="A71" s="95">
        <f t="shared" si="51"/>
        <v>10</v>
      </c>
      <c r="B71" s="740" t="s">
        <v>347</v>
      </c>
      <c r="C71" s="489"/>
      <c r="D71" s="383" t="str">
        <f t="shared" si="44"/>
        <v>BVK</v>
      </c>
      <c r="E71" s="490">
        <v>23.527699999999999</v>
      </c>
      <c r="F71" s="95"/>
      <c r="G71" s="164">
        <f>IF(B71="","",IF(F71="",VLOOKUP(B71,Variabelen!A$47:D$58,4,FALSE),F71-G$49))</f>
        <v>-0.7</v>
      </c>
      <c r="H71" s="490">
        <f>IF(B71="","",VLOOKUP(B71,Variabelen!A$47:D$58,3,FALSE))</f>
        <v>80</v>
      </c>
      <c r="I71" s="196" t="str">
        <f t="shared" si="45"/>
        <v/>
      </c>
      <c r="J71" s="196">
        <f t="shared" si="46"/>
        <v>-0.74</v>
      </c>
      <c r="K71" s="196">
        <f t="shared" si="47"/>
        <v>-0.49150012969970702</v>
      </c>
      <c r="L71" s="196">
        <f t="shared" si="48"/>
        <v>0.5177346563339229</v>
      </c>
      <c r="M71" s="34" t="str">
        <f t="shared" si="49"/>
        <v/>
      </c>
      <c r="N71" s="196" t="str">
        <f>IF(B71="","",VLOOKUP(B71,Variabelen!A$47:D$58,2,FALSE))</f>
        <v>DATA</v>
      </c>
      <c r="O71" s="94">
        <v>13</v>
      </c>
      <c r="P71" s="486"/>
      <c r="Q71" s="34"/>
      <c r="S71" s="18"/>
      <c r="T71" s="18"/>
      <c r="U71" s="34">
        <f>VLOOKUP(S71,K290:L1291,2,TRUE)</f>
        <v>1.0092347860336299</v>
      </c>
      <c r="V71" s="34">
        <f>VLOOKUP(T71,K290:L1291,2,TRUE)</f>
        <v>1.0092347860336299</v>
      </c>
      <c r="AA71" s="36" t="str">
        <f t="shared" si="50"/>
        <v/>
      </c>
      <c r="AB71" s="193"/>
      <c r="AI71" s="17"/>
      <c r="AJ71" s="16">
        <f t="shared" si="52"/>
        <v>36.947777777777773</v>
      </c>
    </row>
    <row r="72" spans="1:37" x14ac:dyDescent="0.25">
      <c r="A72" s="95">
        <f t="shared" si="51"/>
        <v>11</v>
      </c>
      <c r="B72" s="740" t="s">
        <v>347</v>
      </c>
      <c r="C72" s="489"/>
      <c r="D72" s="383" t="str">
        <f t="shared" si="44"/>
        <v>BVK</v>
      </c>
      <c r="E72" s="490">
        <v>23.553699999999999</v>
      </c>
      <c r="F72" s="95"/>
      <c r="G72" s="164">
        <f>IF(B72="","",IF(F72="",VLOOKUP(B72,Variabelen!A$47:D$58,4,FALSE),F72-G$49))</f>
        <v>-0.7</v>
      </c>
      <c r="H72" s="490">
        <f>IF(B72="","",VLOOKUP(B72,Variabelen!A$47:D$58,3,FALSE))</f>
        <v>80</v>
      </c>
      <c r="I72" s="196" t="str">
        <f t="shared" si="45"/>
        <v/>
      </c>
      <c r="J72" s="196">
        <f t="shared" si="46"/>
        <v>-0.74</v>
      </c>
      <c r="K72" s="196">
        <f t="shared" si="47"/>
        <v>-0.49150012969970702</v>
      </c>
      <c r="L72" s="196">
        <f t="shared" si="48"/>
        <v>0.5177346563339229</v>
      </c>
      <c r="M72" s="34" t="str">
        <f t="shared" si="49"/>
        <v/>
      </c>
      <c r="N72" s="196" t="str">
        <f>IF(B72="","",VLOOKUP(B72,Variabelen!A$47:D$58,2,FALSE))</f>
        <v>DATA</v>
      </c>
      <c r="O72" s="94">
        <v>14</v>
      </c>
      <c r="P72" s="486"/>
      <c r="Q72" s="34"/>
      <c r="S72" s="18"/>
      <c r="T72" s="18"/>
      <c r="U72" s="34">
        <f>VLOOKUP(S63,K290:L1291,2,TRUE)</f>
        <v>1.1673340797424321</v>
      </c>
      <c r="V72" s="34">
        <f>VLOOKUP(T72,K290:L1291,2,TRUE)</f>
        <v>1.0092347860336299</v>
      </c>
      <c r="AA72" s="36" t="str">
        <f t="shared" si="50"/>
        <v/>
      </c>
      <c r="AB72" s="193"/>
      <c r="AI72" s="17"/>
      <c r="AJ72" s="16">
        <f t="shared" si="52"/>
        <v>37.396666666666661</v>
      </c>
    </row>
    <row r="73" spans="1:37" x14ac:dyDescent="0.25">
      <c r="A73" s="95">
        <f t="shared" si="51"/>
        <v>12</v>
      </c>
      <c r="B73" s="740" t="s">
        <v>347</v>
      </c>
      <c r="C73" s="489"/>
      <c r="D73" s="383" t="str">
        <f t="shared" si="44"/>
        <v>BVK</v>
      </c>
      <c r="E73" s="490">
        <v>23.567699999999999</v>
      </c>
      <c r="F73" s="95"/>
      <c r="G73" s="164">
        <f>IF(B73="","",IF(F73="",VLOOKUP(B73,Variabelen!A$47:D$58,4,FALSE),F73-G$49))</f>
        <v>-0.7</v>
      </c>
      <c r="H73" s="490">
        <f>IF(B73="","",VLOOKUP(B73,Variabelen!A$47:D$58,3,FALSE))</f>
        <v>80</v>
      </c>
      <c r="I73" s="196" t="str">
        <f t="shared" si="45"/>
        <v/>
      </c>
      <c r="J73" s="196">
        <f t="shared" si="46"/>
        <v>-0.74</v>
      </c>
      <c r="K73" s="196">
        <f t="shared" si="47"/>
        <v>-0.49150012969970702</v>
      </c>
      <c r="L73" s="196">
        <f t="shared" si="48"/>
        <v>0.5177346563339229</v>
      </c>
      <c r="M73" s="34" t="str">
        <f t="shared" si="49"/>
        <v/>
      </c>
      <c r="N73" s="196" t="str">
        <f>IF(B73="","",VLOOKUP(B73,Variabelen!A$47:D$58,2,FALSE))</f>
        <v>DATA</v>
      </c>
      <c r="O73" s="94">
        <v>15</v>
      </c>
      <c r="P73" s="486"/>
      <c r="Q73" s="34"/>
      <c r="S73" s="491"/>
      <c r="T73" s="486"/>
      <c r="U73" s="34">
        <f>VLOOKUP(S73,K290:L1291,2,TRUE)</f>
        <v>1.0092347860336299</v>
      </c>
      <c r="V73" s="34">
        <f>VLOOKUP(T73,K290:L1291,2,TRUE)</f>
        <v>1.0092347860336299</v>
      </c>
      <c r="AA73" s="36" t="str">
        <f t="shared" si="50"/>
        <v/>
      </c>
      <c r="AB73" s="193"/>
      <c r="AI73" s="17"/>
      <c r="AJ73" s="16">
        <f t="shared" si="52"/>
        <v>37.845555555555549</v>
      </c>
    </row>
    <row r="74" spans="1:37" x14ac:dyDescent="0.25">
      <c r="A74" s="95">
        <f t="shared" si="51"/>
        <v>13</v>
      </c>
      <c r="B74" s="740" t="s">
        <v>347</v>
      </c>
      <c r="C74" s="489"/>
      <c r="D74" s="383" t="str">
        <f t="shared" si="44"/>
        <v>BVK</v>
      </c>
      <c r="E74" s="490">
        <v>27.711600000000001</v>
      </c>
      <c r="F74" s="95"/>
      <c r="G74" s="164">
        <f>IF(B74="","",IF(F74="",VLOOKUP(B74,Variabelen!A$47:D$58,4,FALSE),F74-G$49))</f>
        <v>-0.7</v>
      </c>
      <c r="H74" s="490">
        <f>IF(B74="","",VLOOKUP(B74,Variabelen!A$47:D$58,3,FALSE))</f>
        <v>80</v>
      </c>
      <c r="I74" s="196" t="str">
        <f t="shared" si="45"/>
        <v/>
      </c>
      <c r="J74" s="196">
        <f t="shared" si="46"/>
        <v>-0.74</v>
      </c>
      <c r="K74" s="196">
        <f t="shared" si="47"/>
        <v>-0.49544726848602294</v>
      </c>
      <c r="L74" s="196">
        <f t="shared" si="48"/>
        <v>0.51378751754760699</v>
      </c>
      <c r="M74" s="34" t="str">
        <f t="shared" si="49"/>
        <v/>
      </c>
      <c r="N74" s="196" t="str">
        <f>IF(B74="","",VLOOKUP(B74,Variabelen!A$47:D$58,2,FALSE))</f>
        <v>DATA</v>
      </c>
      <c r="O74" s="94">
        <v>16</v>
      </c>
      <c r="P74" s="486"/>
      <c r="Q74" s="34"/>
      <c r="T74" s="413" t="s">
        <v>352</v>
      </c>
      <c r="U74" s="413" t="s">
        <v>353</v>
      </c>
      <c r="V74" s="413" t="s">
        <v>354</v>
      </c>
      <c r="AA74" s="36" t="str">
        <f t="shared" si="50"/>
        <v/>
      </c>
      <c r="AB74" s="193"/>
      <c r="AI74" s="17"/>
      <c r="AJ74" s="16">
        <f t="shared" si="52"/>
        <v>38.294444444444437</v>
      </c>
    </row>
    <row r="75" spans="1:37" x14ac:dyDescent="0.25">
      <c r="A75" s="95">
        <f t="shared" si="51"/>
        <v>14</v>
      </c>
      <c r="B75" s="740" t="s">
        <v>348</v>
      </c>
      <c r="C75" s="489"/>
      <c r="D75" s="383" t="str">
        <f t="shared" si="44"/>
        <v>BVK</v>
      </c>
      <c r="E75" s="490">
        <v>30.9009</v>
      </c>
      <c r="F75" s="95"/>
      <c r="G75" s="164">
        <f>IF(B75="","",IF(F75="",VLOOKUP(B75,Variabelen!A$47:D$58,4,FALSE),F75-G$49))</f>
        <v>-1</v>
      </c>
      <c r="H75" s="490">
        <f>IF(B75="","",VLOOKUP(B75,Variabelen!A$47:D$58,3,FALSE))</f>
        <v>150</v>
      </c>
      <c r="I75" s="196" t="str">
        <f t="shared" si="45"/>
        <v/>
      </c>
      <c r="J75" s="196">
        <f t="shared" si="46"/>
        <v>-1.08</v>
      </c>
      <c r="K75" s="196">
        <f t="shared" si="47"/>
        <v>-0.82887526035308801</v>
      </c>
      <c r="L75" s="196">
        <f t="shared" si="48"/>
        <v>0.18035952568054192</v>
      </c>
      <c r="M75" s="34" t="str">
        <f t="shared" si="49"/>
        <v/>
      </c>
      <c r="N75" s="196" t="str">
        <f>IF(B75="","",VLOOKUP(B75,Variabelen!A$47:D$58,2,FALSE))</f>
        <v>WATERLEIDING</v>
      </c>
      <c r="O75" s="94">
        <v>17</v>
      </c>
      <c r="P75" s="486"/>
      <c r="Q75" s="34"/>
      <c r="S75" s="389" t="s">
        <v>355</v>
      </c>
      <c r="T75" s="486">
        <v>14.25</v>
      </c>
      <c r="U75" s="486">
        <v>-6.7</v>
      </c>
      <c r="V75" s="486"/>
      <c r="AA75" s="36" t="str">
        <f t="shared" si="50"/>
        <v/>
      </c>
      <c r="AB75" s="193"/>
      <c r="AI75" s="17"/>
      <c r="AJ75" s="16">
        <f t="shared" si="52"/>
        <v>38.743333333333325</v>
      </c>
    </row>
    <row r="76" spans="1:37" x14ac:dyDescent="0.25">
      <c r="A76" s="95">
        <f t="shared" si="37"/>
        <v>15</v>
      </c>
      <c r="B76" s="740" t="s">
        <v>342</v>
      </c>
      <c r="C76" s="489"/>
      <c r="D76" s="383" t="str">
        <f t="shared" si="44"/>
        <v>BVK</v>
      </c>
      <c r="E76" s="490">
        <v>30.927500000000002</v>
      </c>
      <c r="F76" s="95"/>
      <c r="G76" s="164">
        <f>IF(B76="","",IF(F76="",VLOOKUP(B76,Variabelen!A$47:D$58,4,FALSE),F76-G$49))</f>
        <v>-0.7</v>
      </c>
      <c r="H76" s="490">
        <f>IF(B76="","",VLOOKUP(B76,Variabelen!A$47:D$58,3,FALSE))</f>
        <v>80</v>
      </c>
      <c r="I76" s="196" t="str">
        <f t="shared" si="45"/>
        <v/>
      </c>
      <c r="J76" s="196">
        <f t="shared" si="46"/>
        <v>-0.74</v>
      </c>
      <c r="K76" s="196">
        <f t="shared" si="47"/>
        <v>-0.48887526035308793</v>
      </c>
      <c r="L76" s="196">
        <f t="shared" si="48"/>
        <v>0.520359525680542</v>
      </c>
      <c r="M76" s="34" t="str">
        <f t="shared" si="49"/>
        <v/>
      </c>
      <c r="N76" s="196" t="str">
        <f>IF(B76="","",VLOOKUP(B76,Variabelen!A$47:D$58,2,FALSE))</f>
        <v>LAAGSPANNING</v>
      </c>
      <c r="O76" s="94">
        <v>18</v>
      </c>
      <c r="P76" s="486"/>
      <c r="Q76" s="34"/>
      <c r="S76" s="91" t="s">
        <v>357</v>
      </c>
      <c r="T76" s="486">
        <v>1</v>
      </c>
      <c r="U76" s="486">
        <v>0.9</v>
      </c>
      <c r="V76" s="486"/>
      <c r="W76" s="397" t="s">
        <v>358</v>
      </c>
      <c r="AA76" s="36" t="str">
        <f t="shared" si="50"/>
        <v/>
      </c>
      <c r="AB76" s="193"/>
      <c r="AI76" s="17"/>
      <c r="AJ76" s="16">
        <f t="shared" si="52"/>
        <v>39.192222222222213</v>
      </c>
    </row>
    <row r="77" spans="1:37" x14ac:dyDescent="0.25">
      <c r="A77" s="95">
        <f>IF(B77="","",A76+1)</f>
        <v>16</v>
      </c>
      <c r="B77" s="740" t="s">
        <v>342</v>
      </c>
      <c r="C77" s="489"/>
      <c r="D77" s="383" t="str">
        <f t="shared" si="44"/>
        <v>BVK</v>
      </c>
      <c r="E77" s="490">
        <v>31.096400000000003</v>
      </c>
      <c r="F77" s="95"/>
      <c r="G77" s="164">
        <f>IF(B77="","",IF(F77="",VLOOKUP(B77,Variabelen!A$47:D$58,4,FALSE),F77-G$49))</f>
        <v>-0.7</v>
      </c>
      <c r="H77" s="490">
        <f>IF(B77="","",VLOOKUP(B77,Variabelen!A$47:D$58,3,FALSE))</f>
        <v>80</v>
      </c>
      <c r="I77" s="196" t="str">
        <f t="shared" si="45"/>
        <v/>
      </c>
      <c r="J77" s="196">
        <f t="shared" si="46"/>
        <v>-0.74</v>
      </c>
      <c r="K77" s="196">
        <f t="shared" si="47"/>
        <v>-0.47772144317626886</v>
      </c>
      <c r="L77" s="196">
        <f t="shared" si="48"/>
        <v>0.53151334285736107</v>
      </c>
      <c r="M77" s="34" t="str">
        <f t="shared" si="49"/>
        <v/>
      </c>
      <c r="N77" s="196" t="str">
        <f>IF(B77="","",VLOOKUP(B77,Variabelen!A$47:D$58,2,FALSE))</f>
        <v>LAAGSPANNING</v>
      </c>
      <c r="O77" s="94">
        <v>19</v>
      </c>
      <c r="P77" s="486"/>
      <c r="Q77" s="34"/>
      <c r="S77" s="391" t="s">
        <v>359</v>
      </c>
      <c r="T77" s="34">
        <f>T71-S71</f>
        <v>0</v>
      </c>
      <c r="U77" s="34">
        <f>T72-S72</f>
        <v>0</v>
      </c>
      <c r="V77" s="34">
        <f>T73-S73</f>
        <v>0</v>
      </c>
      <c r="AA77" s="36" t="str">
        <f t="shared" si="50"/>
        <v/>
      </c>
      <c r="AB77" s="193"/>
      <c r="AI77" s="17"/>
      <c r="AJ77" s="16">
        <f t="shared" si="52"/>
        <v>39.641111111111101</v>
      </c>
    </row>
    <row r="78" spans="1:37" x14ac:dyDescent="0.25">
      <c r="A78" s="95">
        <f>IF(B78="","",A77+1)</f>
        <v>17</v>
      </c>
      <c r="B78" s="740" t="s">
        <v>348</v>
      </c>
      <c r="C78" s="489"/>
      <c r="D78" s="383" t="str">
        <f t="shared" si="44"/>
        <v>BVK</v>
      </c>
      <c r="E78" s="490">
        <v>32.8035</v>
      </c>
      <c r="F78" s="95"/>
      <c r="G78" s="164">
        <f>IF(B78="","",IF(F78="",VLOOKUP(B78,Variabelen!A$47:D$58,4,FALSE),F78-G$49))</f>
        <v>-1</v>
      </c>
      <c r="H78" s="490">
        <f>IF(B78="","",VLOOKUP(B78,Variabelen!A$47:D$58,3,FALSE))</f>
        <v>150</v>
      </c>
      <c r="I78" s="196" t="str">
        <f t="shared" si="45"/>
        <v/>
      </c>
      <c r="J78" s="196">
        <f t="shared" si="46"/>
        <v>-1.08</v>
      </c>
      <c r="K78" s="196">
        <f t="shared" si="47"/>
        <v>-0.8477522897720331</v>
      </c>
      <c r="L78" s="196">
        <f t="shared" si="48"/>
        <v>0.16148249626159683</v>
      </c>
      <c r="M78" s="34" t="str">
        <f t="shared" si="49"/>
        <v/>
      </c>
      <c r="N78" s="196" t="str">
        <f>IF(B78="","",VLOOKUP(B78,Variabelen!A$47:D$58,2,FALSE))</f>
        <v>WATERLEIDING</v>
      </c>
      <c r="O78" s="94">
        <v>20</v>
      </c>
      <c r="P78" s="486"/>
      <c r="Q78" s="34"/>
      <c r="S78" s="392" t="s">
        <v>360</v>
      </c>
      <c r="T78" s="34">
        <f>T77-(T80*T76)-(T81*T76)</f>
        <v>-3</v>
      </c>
      <c r="U78" s="34">
        <f>U77-(U80*U76)-(U81*U76)</f>
        <v>-2.7</v>
      </c>
      <c r="V78" s="34">
        <f>V77-(V80*V76)-(V81*V76)</f>
        <v>0</v>
      </c>
      <c r="AA78" s="36" t="str">
        <f t="shared" si="50"/>
        <v/>
      </c>
      <c r="AB78" s="193"/>
      <c r="AI78" s="17"/>
      <c r="AJ78" s="16">
        <f t="shared" si="52"/>
        <v>40.089999999999989</v>
      </c>
      <c r="AK78" s="16">
        <f>AJ78-AJ67</f>
        <v>40.089999999999989</v>
      </c>
    </row>
    <row r="79" spans="1:37" x14ac:dyDescent="0.25">
      <c r="A79" s="95">
        <f t="shared" si="37"/>
        <v>18</v>
      </c>
      <c r="B79" s="740" t="s">
        <v>342</v>
      </c>
      <c r="C79" s="489"/>
      <c r="D79" s="383" t="str">
        <f t="shared" si="44"/>
        <v>BVK</v>
      </c>
      <c r="E79" s="490">
        <v>35.4041</v>
      </c>
      <c r="F79" s="95"/>
      <c r="G79" s="164">
        <f>IF(B79="","",IF(F79="",VLOOKUP(B79,Variabelen!A$47:D$58,4,FALSE),F79-G$49))</f>
        <v>-0.7</v>
      </c>
      <c r="H79" s="490">
        <f>IF(B79="","",VLOOKUP(B79,Variabelen!A$47:D$58,3,FALSE))</f>
        <v>80</v>
      </c>
      <c r="I79" s="196" t="str">
        <f t="shared" si="45"/>
        <v/>
      </c>
      <c r="J79" s="196">
        <f t="shared" si="46"/>
        <v>-0.74</v>
      </c>
      <c r="K79" s="196">
        <f t="shared" si="47"/>
        <v>-0.55950926780700594</v>
      </c>
      <c r="L79" s="196">
        <f t="shared" si="48"/>
        <v>0.44972551822662399</v>
      </c>
      <c r="M79" s="34" t="str">
        <f t="shared" si="49"/>
        <v/>
      </c>
      <c r="N79" s="196" t="str">
        <f>IF(B79="","",VLOOKUP(B79,Variabelen!A$47:D$58,2,FALSE))</f>
        <v>LAAGSPANNING</v>
      </c>
      <c r="O79" s="94">
        <v>21</v>
      </c>
      <c r="P79" s="486"/>
      <c r="Q79" s="34"/>
      <c r="S79" s="617" t="s">
        <v>361</v>
      </c>
      <c r="T79" s="193">
        <f>T75-T76</f>
        <v>13.25</v>
      </c>
      <c r="U79" s="193">
        <f>U75-U76</f>
        <v>-7.6000000000000005</v>
      </c>
      <c r="V79" s="193">
        <f>V78-(V81*V77)-(V82*V77)</f>
        <v>0</v>
      </c>
      <c r="AA79" s="36" t="str">
        <f t="shared" si="50"/>
        <v/>
      </c>
      <c r="AB79" s="193"/>
      <c r="AI79" s="17"/>
      <c r="AJ79" s="16">
        <v>40.090000000000003</v>
      </c>
      <c r="AK79" s="16">
        <f>AJ79-AJ68</f>
        <v>40.090000000000003</v>
      </c>
    </row>
    <row r="80" spans="1:37" x14ac:dyDescent="0.25">
      <c r="A80" s="95">
        <f t="shared" si="37"/>
        <v>19</v>
      </c>
      <c r="B80" s="740" t="s">
        <v>347</v>
      </c>
      <c r="C80" s="489"/>
      <c r="D80" s="383" t="str">
        <f t="shared" si="44"/>
        <v>BVK</v>
      </c>
      <c r="E80" s="490">
        <v>35.641199999999998</v>
      </c>
      <c r="F80" s="95"/>
      <c r="G80" s="164">
        <f>IF(B80="","",IF(F80="",VLOOKUP(B80,Variabelen!A$47:D$58,4,FALSE),F80-G$49))</f>
        <v>-0.7</v>
      </c>
      <c r="H80" s="490">
        <f>IF(B80="","",VLOOKUP(B80,Variabelen!A$47:D$58,3,FALSE))</f>
        <v>80</v>
      </c>
      <c r="I80" s="196" t="str">
        <f t="shared" si="45"/>
        <v/>
      </c>
      <c r="J80" s="196">
        <f t="shared" si="46"/>
        <v>-0.74</v>
      </c>
      <c r="K80" s="196">
        <f t="shared" si="47"/>
        <v>-0.55059646606445289</v>
      </c>
      <c r="L80" s="196">
        <f t="shared" si="48"/>
        <v>0.45863831996917703</v>
      </c>
      <c r="M80" s="34" t="str">
        <f t="shared" si="49"/>
        <v/>
      </c>
      <c r="N80" s="196" t="str">
        <f>IF(B80="","",VLOOKUP(B80,Variabelen!A$47:D$58,2,FALSE))</f>
        <v>DATA</v>
      </c>
      <c r="O80" s="94">
        <v>22</v>
      </c>
      <c r="P80" s="486"/>
      <c r="Q80" s="34"/>
      <c r="S80" s="390" t="s">
        <v>362</v>
      </c>
      <c r="T80" s="486">
        <v>1.5</v>
      </c>
      <c r="U80" s="486">
        <v>1.5</v>
      </c>
      <c r="V80" s="486"/>
      <c r="AA80" s="36" t="str">
        <f t="shared" si="50"/>
        <v/>
      </c>
      <c r="AB80" s="193"/>
      <c r="AI80" s="17"/>
      <c r="AJ80" s="16">
        <v>40.090000000000003</v>
      </c>
      <c r="AK80" s="16">
        <f>AJ80-AJ69</f>
        <v>4.0400000000000063</v>
      </c>
    </row>
    <row r="81" spans="1:46" x14ac:dyDescent="0.25">
      <c r="A81" s="95">
        <f t="shared" si="37"/>
        <v>20</v>
      </c>
      <c r="B81" s="740" t="s">
        <v>370</v>
      </c>
      <c r="C81" s="489"/>
      <c r="D81" s="383" t="str">
        <f t="shared" si="44"/>
        <v>BVK</v>
      </c>
      <c r="E81" s="490">
        <v>36.009399999999999</v>
      </c>
      <c r="F81" s="95"/>
      <c r="G81" s="164">
        <f>IF(B81="","",IF(F81="",VLOOKUP(B81,Variabelen!A$47:D$58,4,FALSE),F81-G$49))</f>
        <v>-0.8</v>
      </c>
      <c r="H81" s="490">
        <f>IF(B81="","",VLOOKUP(B81,Variabelen!A$47:D$58,3,FALSE))</f>
        <v>120</v>
      </c>
      <c r="I81" s="196" t="str">
        <f t="shared" si="45"/>
        <v/>
      </c>
      <c r="J81" s="196">
        <f t="shared" si="46"/>
        <v>-0.86</v>
      </c>
      <c r="K81" s="196">
        <f t="shared" si="47"/>
        <v>-0.68581508159637383</v>
      </c>
      <c r="L81" s="196">
        <f t="shared" si="48"/>
        <v>0.32341970443725609</v>
      </c>
      <c r="M81" s="34" t="str">
        <f t="shared" si="49"/>
        <v/>
      </c>
      <c r="N81" s="196" t="str">
        <f>IF(B81="","",VLOOKUP(B81,Variabelen!A$47:D$58,2,FALSE))</f>
        <v>MIDDENSPANNING</v>
      </c>
      <c r="O81" s="94">
        <v>23</v>
      </c>
      <c r="P81" s="486"/>
      <c r="Q81" s="34"/>
      <c r="S81" s="390" t="s">
        <v>363</v>
      </c>
      <c r="T81" s="484">
        <f>T80</f>
        <v>1.5</v>
      </c>
      <c r="U81" s="484">
        <f>U80</f>
        <v>1.5</v>
      </c>
      <c r="V81" s="484">
        <f>V80</f>
        <v>0</v>
      </c>
      <c r="W81" s="90" t="s">
        <v>364</v>
      </c>
      <c r="AA81" s="36" t="str">
        <f t="shared" si="50"/>
        <v/>
      </c>
      <c r="AB81" s="193"/>
    </row>
    <row r="82" spans="1:46" x14ac:dyDescent="0.25">
      <c r="A82" s="95">
        <f t="shared" si="37"/>
        <v>21</v>
      </c>
      <c r="B82" s="740" t="s">
        <v>348</v>
      </c>
      <c r="C82" s="489"/>
      <c r="D82" s="383" t="str">
        <f t="shared" si="44"/>
        <v>BVK</v>
      </c>
      <c r="E82" s="490">
        <v>36.535800000000002</v>
      </c>
      <c r="F82" s="95"/>
      <c r="G82" s="164">
        <f>IF(B82="","",IF(F82="",VLOOKUP(B82,Variabelen!A$47:D$58,4,FALSE),F82-G$49))</f>
        <v>-1</v>
      </c>
      <c r="H82" s="490">
        <f>IF(B82="","",VLOOKUP(B82,Variabelen!A$47:D$58,3,FALSE))</f>
        <v>150</v>
      </c>
      <c r="I82" s="196" t="str">
        <f t="shared" si="45"/>
        <v/>
      </c>
      <c r="J82" s="196">
        <f t="shared" si="46"/>
        <v>-1.08</v>
      </c>
      <c r="K82" s="196">
        <f t="shared" si="47"/>
        <v>-0.92085512161254801</v>
      </c>
      <c r="L82" s="196">
        <f t="shared" si="48"/>
        <v>8.8379664421081916E-2</v>
      </c>
      <c r="M82" s="34" t="str">
        <f t="shared" si="49"/>
        <v/>
      </c>
      <c r="N82" s="196" t="str">
        <f>IF(B82="","",VLOOKUP(B82,Variabelen!A$47:D$58,2,FALSE))</f>
        <v>WATERLEIDING</v>
      </c>
      <c r="O82" s="94">
        <v>24</v>
      </c>
      <c r="P82" s="490"/>
      <c r="Q82" s="34"/>
      <c r="AA82" s="36" t="str">
        <f t="shared" si="50"/>
        <v/>
      </c>
      <c r="AB82" s="193"/>
    </row>
    <row r="83" spans="1:46" x14ac:dyDescent="0.25">
      <c r="A83" s="95">
        <f t="shared" si="37"/>
        <v>22</v>
      </c>
      <c r="B83" s="740" t="s">
        <v>347</v>
      </c>
      <c r="C83" s="489"/>
      <c r="D83" s="383" t="str">
        <f t="shared" si="44"/>
        <v>BVK</v>
      </c>
      <c r="E83" s="490">
        <v>37.097000000000001</v>
      </c>
      <c r="F83" s="95"/>
      <c r="G83" s="164">
        <f>IF(B83="","",IF(F83="",VLOOKUP(B83,Variabelen!A$47:D$58,4,FALSE),F83-G$49))</f>
        <v>-0.7</v>
      </c>
      <c r="H83" s="490">
        <f>IF(B83="","",VLOOKUP(B83,Variabelen!A$47:D$58,3,FALSE))</f>
        <v>80</v>
      </c>
      <c r="I83" s="196" t="str">
        <f t="shared" si="45"/>
        <v/>
      </c>
      <c r="J83" s="196">
        <f t="shared" si="46"/>
        <v>-0.74</v>
      </c>
      <c r="K83" s="196">
        <f t="shared" si="47"/>
        <v>-0.58190070629119783</v>
      </c>
      <c r="L83" s="196">
        <f t="shared" si="48"/>
        <v>0.42733407974243209</v>
      </c>
      <c r="M83" s="34" t="str">
        <f t="shared" si="49"/>
        <v/>
      </c>
      <c r="N83" s="196" t="str">
        <f>IF(B83="","",VLOOKUP(B83,Variabelen!A$47:D$58,2,FALSE))</f>
        <v>DATA</v>
      </c>
      <c r="O83" s="94">
        <v>25</v>
      </c>
      <c r="P83" s="486"/>
      <c r="Q83" s="34"/>
      <c r="S83" s="167" t="s">
        <v>365</v>
      </c>
      <c r="AA83" s="36" t="str">
        <f t="shared" si="50"/>
        <v/>
      </c>
      <c r="AB83" s="193"/>
    </row>
    <row r="84" spans="1:46" x14ac:dyDescent="0.25">
      <c r="A84" s="95">
        <f t="shared" si="37"/>
        <v>23</v>
      </c>
      <c r="B84" s="740" t="s">
        <v>347</v>
      </c>
      <c r="C84" s="489"/>
      <c r="D84" s="383" t="str">
        <f t="shared" si="44"/>
        <v>BVK</v>
      </c>
      <c r="E84" s="490">
        <v>37.097999999999999</v>
      </c>
      <c r="F84" s="95"/>
      <c r="G84" s="164">
        <f>IF(B84="","",IF(F84="",VLOOKUP(B84,Variabelen!A$47:D$58,4,FALSE),F84-G$49))</f>
        <v>-0.7</v>
      </c>
      <c r="H84" s="490">
        <f>IF(B84="","",VLOOKUP(B84,Variabelen!A$47:D$58,3,FALSE))</f>
        <v>80</v>
      </c>
      <c r="I84" s="196" t="str">
        <f t="shared" si="45"/>
        <v/>
      </c>
      <c r="J84" s="196">
        <f t="shared" si="46"/>
        <v>-0.74</v>
      </c>
      <c r="K84" s="196">
        <f t="shared" si="47"/>
        <v>-0.58190070629119783</v>
      </c>
      <c r="L84" s="196">
        <f t="shared" si="48"/>
        <v>0.42733407974243209</v>
      </c>
      <c r="M84" s="34" t="str">
        <f t="shared" si="49"/>
        <v/>
      </c>
      <c r="N84" s="196" t="str">
        <f>IF(B84="","",VLOOKUP(B84,Variabelen!A$47:D$58,2,FALSE))</f>
        <v>DATA</v>
      </c>
      <c r="O84" s="94">
        <v>26</v>
      </c>
      <c r="P84" s="486"/>
      <c r="Q84" s="34"/>
      <c r="T84" s="168" t="s">
        <v>366</v>
      </c>
      <c r="U84" s="34">
        <f>T75</f>
        <v>14.25</v>
      </c>
      <c r="V84" s="175" t="s">
        <v>246</v>
      </c>
      <c r="AA84" s="36" t="str">
        <f t="shared" si="50"/>
        <v/>
      </c>
      <c r="AB84" s="193"/>
    </row>
    <row r="85" spans="1:46" x14ac:dyDescent="0.25">
      <c r="A85" s="95">
        <f t="shared" si="37"/>
        <v>24</v>
      </c>
      <c r="B85" s="740" t="s">
        <v>347</v>
      </c>
      <c r="C85" s="489"/>
      <c r="D85" s="383" t="str">
        <f t="shared" si="44"/>
        <v>BVK</v>
      </c>
      <c r="E85" s="490">
        <v>37.503399999999999</v>
      </c>
      <c r="F85" s="95"/>
      <c r="G85" s="164">
        <f>IF(B85="","",IF(F85="",VLOOKUP(B85,Variabelen!A$47:D$58,4,FALSE),F85-G$49))</f>
        <v>-0.7</v>
      </c>
      <c r="H85" s="490">
        <f>IF(B85="","",VLOOKUP(B85,Variabelen!A$47:D$58,3,FALSE))</f>
        <v>80</v>
      </c>
      <c r="I85" s="196" t="str">
        <f t="shared" si="45"/>
        <v/>
      </c>
      <c r="J85" s="196">
        <f t="shared" si="46"/>
        <v>-0.74</v>
      </c>
      <c r="K85" s="196">
        <f t="shared" si="47"/>
        <v>-0.58463691711425692</v>
      </c>
      <c r="L85" s="196">
        <f t="shared" si="48"/>
        <v>0.42459786891937301</v>
      </c>
      <c r="M85" s="34" t="str">
        <f t="shared" si="49"/>
        <v/>
      </c>
      <c r="N85" s="196" t="str">
        <f>IF(B85="","",VLOOKUP(B85,Variabelen!A$47:D$58,2,FALSE))</f>
        <v>DATA</v>
      </c>
      <c r="O85" s="94">
        <v>27</v>
      </c>
      <c r="P85" s="486"/>
      <c r="Q85" s="34"/>
      <c r="T85" s="168" t="s">
        <v>367</v>
      </c>
      <c r="U85" s="34">
        <f>T76</f>
        <v>1</v>
      </c>
      <c r="AA85" s="36" t="str">
        <f t="shared" si="50"/>
        <v/>
      </c>
      <c r="AB85" s="193"/>
    </row>
    <row r="86" spans="1:46" x14ac:dyDescent="0.25">
      <c r="A86" s="95">
        <f t="shared" si="37"/>
        <v>25</v>
      </c>
      <c r="B86" s="740" t="s">
        <v>347</v>
      </c>
      <c r="C86" s="489"/>
      <c r="D86" s="383" t="str">
        <f t="shared" si="44"/>
        <v>BVK</v>
      </c>
      <c r="E86" s="490">
        <v>37.503999999999998</v>
      </c>
      <c r="F86" s="95"/>
      <c r="G86" s="164">
        <f>IF(B86="","",IF(F86="",VLOOKUP(B86,Variabelen!A$47:D$58,4,FALSE),F86-G$49))</f>
        <v>-0.7</v>
      </c>
      <c r="H86" s="490">
        <f>IF(B86="","",VLOOKUP(B86,Variabelen!A$47:D$58,3,FALSE))</f>
        <v>80</v>
      </c>
      <c r="I86" s="196" t="str">
        <f t="shared" si="45"/>
        <v/>
      </c>
      <c r="J86" s="196">
        <f t="shared" si="46"/>
        <v>-0.74</v>
      </c>
      <c r="K86" s="196">
        <f t="shared" si="47"/>
        <v>-0.58463691711425692</v>
      </c>
      <c r="L86" s="196">
        <f t="shared" si="48"/>
        <v>0.42459786891937301</v>
      </c>
      <c r="M86" s="34" t="str">
        <f t="shared" si="49"/>
        <v/>
      </c>
      <c r="N86" s="196" t="str">
        <f>IF(B86="","",VLOOKUP(B86,Variabelen!A$47:D$58,2,FALSE))</f>
        <v>DATA</v>
      </c>
      <c r="O86" s="94">
        <v>28</v>
      </c>
      <c r="P86" s="486"/>
      <c r="Q86" s="34"/>
      <c r="T86" s="168" t="s">
        <v>368</v>
      </c>
      <c r="U86" s="486">
        <v>3</v>
      </c>
      <c r="AA86" s="36" t="str">
        <f t="shared" si="50"/>
        <v/>
      </c>
      <c r="AB86" s="193"/>
      <c r="AD86" s="922" t="s">
        <v>1300</v>
      </c>
    </row>
    <row r="87" spans="1:46" x14ac:dyDescent="0.25">
      <c r="A87" s="95">
        <f t="shared" si="37"/>
        <v>26</v>
      </c>
      <c r="B87" s="740" t="s">
        <v>347</v>
      </c>
      <c r="C87" s="489"/>
      <c r="D87" s="383" t="str">
        <f t="shared" si="44"/>
        <v>BVK</v>
      </c>
      <c r="E87" s="490">
        <v>37.945599999999999</v>
      </c>
      <c r="F87" s="95"/>
      <c r="G87" s="164">
        <f>IF(B87="","",IF(F87="",VLOOKUP(B87,Variabelen!A$47:D$58,4,FALSE),F87-G$49))</f>
        <v>-0.7</v>
      </c>
      <c r="H87" s="490">
        <f>IF(B87="","",VLOOKUP(B87,Variabelen!A$47:D$58,3,FALSE))</f>
        <v>80</v>
      </c>
      <c r="I87" s="196" t="str">
        <f t="shared" si="45"/>
        <v/>
      </c>
      <c r="J87" s="196">
        <f t="shared" si="46"/>
        <v>-0.74</v>
      </c>
      <c r="K87" s="196">
        <f t="shared" si="47"/>
        <v>-0.58309768676757789</v>
      </c>
      <c r="L87" s="196">
        <f t="shared" si="48"/>
        <v>0.42613709926605203</v>
      </c>
      <c r="M87" s="34" t="str">
        <f t="shared" si="49"/>
        <v/>
      </c>
      <c r="N87" s="196" t="str">
        <f>IF(B87="","",VLOOKUP(B87,Variabelen!A$47:D$58,2,FALSE))</f>
        <v>DATA</v>
      </c>
      <c r="O87" s="94">
        <v>29</v>
      </c>
      <c r="P87" s="486"/>
      <c r="Q87" s="34"/>
      <c r="T87" s="451" t="s">
        <v>369</v>
      </c>
      <c r="U87" s="450">
        <f>0.001*C33*0.5</f>
        <v>0.12</v>
      </c>
      <c r="AA87" s="36" t="str">
        <f t="shared" si="50"/>
        <v/>
      </c>
      <c r="AB87" s="193"/>
      <c r="AD87" s="147" t="s">
        <v>826</v>
      </c>
      <c r="AE87" s="147" t="s">
        <v>827</v>
      </c>
      <c r="AS87" s="16" t="e">
        <f>B$279+(E$280*(AG270-J$278)/I$280)</f>
        <v>#VALUE!</v>
      </c>
    </row>
    <row r="88" spans="1:46" x14ac:dyDescent="0.25">
      <c r="A88" s="95">
        <f t="shared" si="37"/>
        <v>27</v>
      </c>
      <c r="B88" s="740" t="s">
        <v>342</v>
      </c>
      <c r="C88" s="489"/>
      <c r="D88" s="383" t="str">
        <f t="shared" si="44"/>
        <v>BVK</v>
      </c>
      <c r="E88" s="490">
        <v>44.8611</v>
      </c>
      <c r="F88" s="95"/>
      <c r="G88" s="164">
        <f>IF(B88="","",IF(F88="",VLOOKUP(B88,Variabelen!A$47:D$58,4,FALSE),F88-G$49))</f>
        <v>-0.7</v>
      </c>
      <c r="H88" s="490">
        <f>IF(B88="","",VLOOKUP(B88,Variabelen!A$47:D$58,3,FALSE))</f>
        <v>80</v>
      </c>
      <c r="I88" s="196" t="str">
        <f t="shared" si="45"/>
        <v/>
      </c>
      <c r="J88" s="196">
        <f t="shared" si="46"/>
        <v>-0.74</v>
      </c>
      <c r="K88" s="196">
        <f t="shared" si="47"/>
        <v>-0.57229732513427689</v>
      </c>
      <c r="L88" s="196">
        <f t="shared" si="48"/>
        <v>0.43693746089935304</v>
      </c>
      <c r="M88" s="34" t="str">
        <f t="shared" si="49"/>
        <v/>
      </c>
      <c r="N88" s="196" t="str">
        <f>IF(B88="","",VLOOKUP(B88,Variabelen!A$47:D$58,2,FALSE))</f>
        <v>LAAGSPANNING</v>
      </c>
      <c r="O88" s="94">
        <v>30</v>
      </c>
      <c r="P88" s="486"/>
      <c r="Q88" s="34"/>
      <c r="T88" s="168" t="s">
        <v>371</v>
      </c>
      <c r="U88" s="34">
        <f>U84-U85-U86-U87</f>
        <v>10.130000000000001</v>
      </c>
      <c r="V88" s="452" t="s">
        <v>372</v>
      </c>
      <c r="AA88" s="36" t="str">
        <f t="shared" si="50"/>
        <v/>
      </c>
      <c r="AB88" s="193"/>
      <c r="AD88" s="923" t="str">
        <f>Variabelen!J47</f>
        <v>K</v>
      </c>
      <c r="AE88" s="923" t="str">
        <f>Variabelen!K47</f>
        <v>Boom_Klein</v>
      </c>
      <c r="AS88" s="16" t="e">
        <f>B$279+(E$280*(AG270-J$278)/I$280)</f>
        <v>#VALUE!</v>
      </c>
    </row>
    <row r="89" spans="1:46" x14ac:dyDescent="0.25">
      <c r="A89" s="95">
        <f t="shared" si="37"/>
        <v>28</v>
      </c>
      <c r="B89" s="740" t="s">
        <v>346</v>
      </c>
      <c r="C89" s="489"/>
      <c r="D89" s="383" t="str">
        <f t="shared" si="44"/>
        <v>BVK</v>
      </c>
      <c r="E89" s="490">
        <v>46.354799999999997</v>
      </c>
      <c r="F89" s="95"/>
      <c r="G89" s="164">
        <f>IF(B89="","",IF(F89="",VLOOKUP(B89,Variabelen!A$47:D$58,4,FALSE),F89-G$49))</f>
        <v>-0.7</v>
      </c>
      <c r="H89" s="490">
        <f>IF(B89="","",VLOOKUP(B89,Variabelen!A$47:D$58,3,FALSE))</f>
        <v>120</v>
      </c>
      <c r="I89" s="196" t="str">
        <f t="shared" si="45"/>
        <v/>
      </c>
      <c r="J89" s="196">
        <f t="shared" si="46"/>
        <v>-0.76</v>
      </c>
      <c r="K89" s="196">
        <f t="shared" si="47"/>
        <v>-0.57597721576690586</v>
      </c>
      <c r="L89" s="196">
        <f t="shared" si="48"/>
        <v>0.43325757026672407</v>
      </c>
      <c r="M89" s="34" t="str">
        <f t="shared" si="49"/>
        <v/>
      </c>
      <c r="N89" s="196" t="str">
        <f>IF(B89="","",VLOOKUP(B89,Variabelen!A$47:D$58,2,FALSE))</f>
        <v>LD-GAS</v>
      </c>
      <c r="O89" s="94">
        <v>31</v>
      </c>
      <c r="P89" s="490"/>
      <c r="Q89" s="34"/>
      <c r="T89" s="151" t="s">
        <v>305</v>
      </c>
      <c r="U89" s="34">
        <f>L291</f>
        <v>1.0092347860336299</v>
      </c>
      <c r="V89" s="452" t="s">
        <v>246</v>
      </c>
      <c r="AA89" s="36" t="str">
        <f t="shared" si="50"/>
        <v/>
      </c>
      <c r="AB89" s="193"/>
      <c r="AD89" s="923" t="str">
        <f>Variabelen!J48</f>
        <v>G</v>
      </c>
      <c r="AE89" s="923" t="str">
        <f>Variabelen!K48</f>
        <v>Boom_Groot</v>
      </c>
      <c r="AS89" s="16" t="e">
        <f ca="1">B$277+(D$278*COS(RADIANS(((G$279-G$278)*(AG270-J$277)/(J$278-J$277))+G$278))-D$278*COS(RADIANS(G$278)))</f>
        <v>#VALUE!</v>
      </c>
      <c r="AT89" s="16" t="e">
        <f ca="1">C$277+(D$278*SIN(RADIANS(((G$279-G$278)*(AG270-J$277)/(J$278-J$277))+G$278))-D$278*SIN(RADIANS(G$278)))</f>
        <v>#VALUE!</v>
      </c>
    </row>
    <row r="90" spans="1:46" x14ac:dyDescent="0.25">
      <c r="A90" s="95">
        <f t="shared" si="37"/>
        <v>29</v>
      </c>
      <c r="B90" s="740" t="s">
        <v>342</v>
      </c>
      <c r="C90" s="489"/>
      <c r="D90" s="383" t="str">
        <f t="shared" si="44"/>
        <v>BVK</v>
      </c>
      <c r="E90" s="490">
        <v>49.855899999999998</v>
      </c>
      <c r="F90" s="95"/>
      <c r="G90" s="164">
        <f>IF(B90="","",IF(F90="",VLOOKUP(B90,Variabelen!A$47:D$58,4,FALSE),F90-G$49))</f>
        <v>-0.7</v>
      </c>
      <c r="H90" s="490">
        <f>IF(B90="","",VLOOKUP(B90,Variabelen!A$47:D$58,3,FALSE))</f>
        <v>80</v>
      </c>
      <c r="I90" s="196" t="str">
        <f t="shared" si="45"/>
        <v/>
      </c>
      <c r="J90" s="196">
        <f t="shared" si="46"/>
        <v>-0.74</v>
      </c>
      <c r="K90" s="196">
        <f t="shared" si="47"/>
        <v>-0.55171059608459383</v>
      </c>
      <c r="L90" s="196">
        <f t="shared" si="48"/>
        <v>0.4575241899490361</v>
      </c>
      <c r="M90" s="34" t="str">
        <f t="shared" si="49"/>
        <v/>
      </c>
      <c r="N90" s="196" t="str">
        <f>IF(B90="","",VLOOKUP(B90,Variabelen!A$47:D$58,2,FALSE))</f>
        <v>LAAGSPANNING</v>
      </c>
      <c r="O90" s="94">
        <v>32</v>
      </c>
      <c r="P90" s="490"/>
      <c r="Q90" s="34"/>
      <c r="U90" s="159">
        <f>U88-U89</f>
        <v>9.1207652139663704</v>
      </c>
      <c r="V90" s="452" t="s">
        <v>373</v>
      </c>
      <c r="AA90" s="36" t="str">
        <f t="shared" si="50"/>
        <v/>
      </c>
      <c r="AB90" s="193"/>
      <c r="AD90" s="923" t="str">
        <f>Variabelen!J49</f>
        <v>B</v>
      </c>
      <c r="AE90" s="923" t="str">
        <f>Variabelen!K49</f>
        <v>Boom_Boven</v>
      </c>
    </row>
    <row r="91" spans="1:46" x14ac:dyDescent="0.25">
      <c r="A91" s="95">
        <f t="shared" si="37"/>
        <v>30</v>
      </c>
      <c r="B91" s="740" t="s">
        <v>342</v>
      </c>
      <c r="C91" s="489"/>
      <c r="D91" s="383" t="str">
        <f t="shared" si="44"/>
        <v>BVK</v>
      </c>
      <c r="E91" s="490">
        <v>51.481999999999999</v>
      </c>
      <c r="F91" s="95"/>
      <c r="G91" s="164">
        <f>IF(B91="","",IF(F91="",VLOOKUP(B91,Variabelen!A$47:D$58,4,FALSE),F91-G$49))</f>
        <v>-0.7</v>
      </c>
      <c r="H91" s="490">
        <f>IF(B91="","",VLOOKUP(B91,Variabelen!A$47:D$58,3,FALSE))</f>
        <v>80</v>
      </c>
      <c r="I91" s="196" t="str">
        <f t="shared" si="45"/>
        <v/>
      </c>
      <c r="J91" s="196">
        <f t="shared" si="46"/>
        <v>-0.74</v>
      </c>
      <c r="K91" s="196">
        <f t="shared" si="47"/>
        <v>-0.54309712886810302</v>
      </c>
      <c r="L91" s="196">
        <f t="shared" si="48"/>
        <v>0.46613765716552691</v>
      </c>
      <c r="M91" s="34" t="str">
        <f t="shared" si="49"/>
        <v/>
      </c>
      <c r="N91" s="196" t="str">
        <f>IF(B91="","",VLOOKUP(B91,Variabelen!A$47:D$58,2,FALSE))</f>
        <v>LAAGSPANNING</v>
      </c>
      <c r="O91" s="94">
        <v>33</v>
      </c>
      <c r="P91" s="490"/>
      <c r="Q91" s="34"/>
      <c r="S91" s="469" t="s">
        <v>374</v>
      </c>
      <c r="AA91" s="36" t="str">
        <f t="shared" si="50"/>
        <v/>
      </c>
      <c r="AB91" s="193"/>
      <c r="AD91" s="923" t="str">
        <f>Variabelen!J50</f>
        <v>L</v>
      </c>
      <c r="AE91" s="923" t="str">
        <f>Variabelen!K50</f>
        <v>Lantaarn</v>
      </c>
    </row>
    <row r="92" spans="1:46" x14ac:dyDescent="0.25">
      <c r="A92" s="95">
        <f t="shared" si="37"/>
        <v>31</v>
      </c>
      <c r="B92" s="740" t="s">
        <v>356</v>
      </c>
      <c r="C92" s="489"/>
      <c r="D92" s="383" t="str">
        <f t="shared" si="44"/>
        <v>BOB</v>
      </c>
      <c r="E92" s="490">
        <v>54.064500000000002</v>
      </c>
      <c r="F92" s="95">
        <v>-0.85</v>
      </c>
      <c r="G92" s="164">
        <f>IF(B92="","",IF(F92="",VLOOKUP(B92,Variabelen!A$47:D$58,4,FALSE),F92-G$49))</f>
        <v>-1.85923478603363</v>
      </c>
      <c r="H92" s="937">
        <v>600</v>
      </c>
      <c r="I92" s="196">
        <f t="shared" si="45"/>
        <v>450</v>
      </c>
      <c r="J92" s="196">
        <f t="shared" si="46"/>
        <v>-1.63</v>
      </c>
      <c r="K92" s="196">
        <f t="shared" si="47"/>
        <v>-1.63</v>
      </c>
      <c r="L92" s="196">
        <f t="shared" si="48"/>
        <v>-0.62076521396636997</v>
      </c>
      <c r="M92" s="34" t="str">
        <f t="shared" si="49"/>
        <v/>
      </c>
      <c r="N92" s="196" t="str">
        <f>IF(B92="","",VLOOKUP(B92,Variabelen!A$47:D$58,2,FALSE))</f>
        <v>RIOOL-VRIJVERVAL</v>
      </c>
      <c r="O92" s="94">
        <v>34</v>
      </c>
      <c r="P92" s="490"/>
      <c r="Q92" s="344"/>
      <c r="R92" s="34">
        <f>MAX(R93:R98)</f>
        <v>0</v>
      </c>
      <c r="S92" s="469" t="s">
        <v>375</v>
      </c>
      <c r="T92" s="922" t="s">
        <v>1301</v>
      </c>
      <c r="U92" s="575" t="s">
        <v>376</v>
      </c>
      <c r="V92" t="s">
        <v>344</v>
      </c>
      <c r="W92" s="928" t="s">
        <v>1306</v>
      </c>
      <c r="AA92" s="36"/>
      <c r="AB92" s="193"/>
      <c r="AD92" s="923" t="str">
        <f>Variabelen!J51</f>
        <v>D</v>
      </c>
      <c r="AE92" s="923" t="str">
        <f>Variabelen!K51</f>
        <v>Damwand</v>
      </c>
    </row>
    <row r="93" spans="1:46" x14ac:dyDescent="0.25">
      <c r="A93" s="95">
        <f t="shared" si="37"/>
        <v>32</v>
      </c>
      <c r="B93" s="740" t="s">
        <v>347</v>
      </c>
      <c r="C93" s="489"/>
      <c r="D93" s="383" t="str">
        <f t="shared" si="44"/>
        <v>BVK</v>
      </c>
      <c r="E93" s="490">
        <v>54.855699999999999</v>
      </c>
      <c r="F93" s="95"/>
      <c r="G93" s="164">
        <f>IF(B93="","",IF(F93="",VLOOKUP(B93,Variabelen!A$47:D$58,4,FALSE),F93-G$49))</f>
        <v>-0.7</v>
      </c>
      <c r="H93" s="490">
        <f>IF(B93="","",VLOOKUP(B93,Variabelen!A$47:D$58,3,FALSE))</f>
        <v>80</v>
      </c>
      <c r="I93" s="196" t="str">
        <f t="shared" si="45"/>
        <v/>
      </c>
      <c r="J93" s="196">
        <f t="shared" si="46"/>
        <v>-0.74</v>
      </c>
      <c r="K93" s="196">
        <f t="shared" si="47"/>
        <v>-0.587683787345886</v>
      </c>
      <c r="L93" s="196">
        <f t="shared" si="48"/>
        <v>0.42155099868774393</v>
      </c>
      <c r="M93" s="34" t="str">
        <f t="shared" si="49"/>
        <v/>
      </c>
      <c r="N93" s="196" t="str">
        <f>IF(B93="","",VLOOKUP(B93,Variabelen!A$47:D$58,2,FALSE))</f>
        <v>DATA</v>
      </c>
      <c r="O93" s="94">
        <v>35</v>
      </c>
      <c r="P93" s="490"/>
      <c r="Q93" s="344"/>
      <c r="R93" s="193" t="str">
        <f>IF(S93="","",1)</f>
        <v/>
      </c>
      <c r="S93" s="490"/>
      <c r="T93" s="827" t="s">
        <v>1078</v>
      </c>
      <c r="U93" s="414">
        <v>3</v>
      </c>
      <c r="V93" s="34">
        <f t="shared" ref="V93:V98" si="53">VLOOKUP(S93,K$290:L$1291,2,TRUE)</f>
        <v>1.0092347860336299</v>
      </c>
      <c r="W93" s="828"/>
      <c r="X93" s="926" t="str">
        <f>VLOOKUP(T93,Variabelen!J$47:K$58,2,FALSE)</f>
        <v>Perceelgrens</v>
      </c>
      <c r="AA93" s="36"/>
      <c r="AB93" s="193"/>
      <c r="AD93" s="923" t="str">
        <f>Variabelen!J52</f>
        <v>A</v>
      </c>
      <c r="AE93" s="923" t="str">
        <f>Variabelen!K52</f>
        <v>Afrastering</v>
      </c>
    </row>
    <row r="94" spans="1:46" x14ac:dyDescent="0.25">
      <c r="A94" s="95">
        <f t="shared" si="37"/>
        <v>33</v>
      </c>
      <c r="B94" s="740" t="s">
        <v>347</v>
      </c>
      <c r="C94" s="489"/>
      <c r="D94" s="383" t="str">
        <f t="shared" si="44"/>
        <v>BVK</v>
      </c>
      <c r="E94" s="490">
        <v>54.967700000000001</v>
      </c>
      <c r="F94" s="95"/>
      <c r="G94" s="164">
        <f>IF(B94="","",IF(F94="",VLOOKUP(B94,Variabelen!A$47:D$58,4,FALSE),F94-G$49))</f>
        <v>-0.7</v>
      </c>
      <c r="H94" s="490">
        <f>IF(B94="","",VLOOKUP(B94,Variabelen!A$47:D$58,3,FALSE))</f>
        <v>80</v>
      </c>
      <c r="I94" s="196" t="str">
        <f t="shared" si="45"/>
        <v/>
      </c>
      <c r="J94" s="196">
        <f t="shared" si="46"/>
        <v>-0.74</v>
      </c>
      <c r="K94" s="196">
        <f t="shared" si="47"/>
        <v>-0.587683787345886</v>
      </c>
      <c r="L94" s="196">
        <f t="shared" si="48"/>
        <v>0.42155099868774393</v>
      </c>
      <c r="M94" s="34" t="str">
        <f t="shared" si="49"/>
        <v/>
      </c>
      <c r="N94" s="196" t="str">
        <f>IF(B94="","",VLOOKUP(B94,Variabelen!A$47:D$58,2,FALSE))</f>
        <v>DATA</v>
      </c>
      <c r="O94" s="94">
        <v>36</v>
      </c>
      <c r="P94" s="490"/>
      <c r="Q94" s="344"/>
      <c r="R94" s="193" t="str">
        <f>IF(S94="","",R93+1)</f>
        <v/>
      </c>
      <c r="S94" s="490"/>
      <c r="T94" s="827" t="s">
        <v>1078</v>
      </c>
      <c r="U94" s="414">
        <v>3</v>
      </c>
      <c r="V94" s="34">
        <f t="shared" si="53"/>
        <v>1.0092347860336299</v>
      </c>
      <c r="W94" s="694"/>
      <c r="X94" s="926" t="str">
        <f>VLOOKUP(T94,Variabelen!J$47:K$58,2,FALSE)</f>
        <v>Perceelgrens</v>
      </c>
      <c r="AA94" s="36"/>
      <c r="AB94" s="193"/>
      <c r="AD94" s="923" t="str">
        <f>Variabelen!J53</f>
        <v>M</v>
      </c>
      <c r="AE94" s="923" t="str">
        <f>Variabelen!K53</f>
        <v>Muur</v>
      </c>
    </row>
    <row r="95" spans="1:46" x14ac:dyDescent="0.25">
      <c r="A95" s="95">
        <f t="shared" si="37"/>
        <v>34</v>
      </c>
      <c r="B95" s="740" t="s">
        <v>348</v>
      </c>
      <c r="C95" s="489"/>
      <c r="D95" s="383" t="str">
        <f t="shared" si="44"/>
        <v>BVK</v>
      </c>
      <c r="E95" s="490">
        <v>56.6663</v>
      </c>
      <c r="F95" s="95"/>
      <c r="G95" s="164">
        <f>IF(B95="","",IF(F95="",VLOOKUP(B95,Variabelen!A$47:D$58,4,FALSE),F95-G$49))</f>
        <v>-1</v>
      </c>
      <c r="H95" s="490">
        <f>IF(B95="","",VLOOKUP(B95,Variabelen!A$47:D$58,3,FALSE))</f>
        <v>150</v>
      </c>
      <c r="I95" s="196" t="str">
        <f t="shared" si="45"/>
        <v/>
      </c>
      <c r="J95" s="196">
        <f t="shared" si="46"/>
        <v>-1.08</v>
      </c>
      <c r="K95" s="196">
        <f t="shared" si="47"/>
        <v>-0.90993710041046105</v>
      </c>
      <c r="L95" s="196">
        <f t="shared" si="48"/>
        <v>9.9297685623168874E-2</v>
      </c>
      <c r="M95" s="34" t="str">
        <f t="shared" si="49"/>
        <v/>
      </c>
      <c r="N95" s="196" t="str">
        <f>IF(B95="","",VLOOKUP(B95,Variabelen!A$47:D$58,2,FALSE))</f>
        <v>WATERLEIDING</v>
      </c>
      <c r="O95" s="94">
        <v>37</v>
      </c>
      <c r="P95" s="490"/>
      <c r="Q95" s="344"/>
      <c r="R95" s="193" t="str">
        <f>IF(S95="","",R94+1)</f>
        <v/>
      </c>
      <c r="S95" s="490"/>
      <c r="T95" s="769" t="s">
        <v>1078</v>
      </c>
      <c r="U95" s="414">
        <v>3</v>
      </c>
      <c r="V95" s="34">
        <f t="shared" si="53"/>
        <v>1.0092347860336299</v>
      </c>
      <c r="W95" s="828"/>
      <c r="X95" s="926" t="str">
        <f>VLOOKUP(T95,Variabelen!J$47:K$58,2,FALSE)</f>
        <v>Perceelgrens</v>
      </c>
      <c r="AA95" s="36"/>
      <c r="AB95" s="193"/>
      <c r="AD95" s="923" t="str">
        <f>Variabelen!J54</f>
        <v>P</v>
      </c>
      <c r="AE95" s="923" t="str">
        <f>Variabelen!K54</f>
        <v>Perceelgrens</v>
      </c>
    </row>
    <row r="96" spans="1:46" x14ac:dyDescent="0.25">
      <c r="A96" s="95">
        <f t="shared" si="37"/>
        <v>35</v>
      </c>
      <c r="B96" s="740" t="s">
        <v>347</v>
      </c>
      <c r="C96" s="489"/>
      <c r="D96" s="383" t="str">
        <f t="shared" si="44"/>
        <v>BVK</v>
      </c>
      <c r="E96" s="490">
        <v>56.729399999999998</v>
      </c>
      <c r="F96" s="95"/>
      <c r="G96" s="164">
        <f>IF(B96="","",IF(F96="",VLOOKUP(B96,Variabelen!A$47:D$58,4,FALSE),F96-G$49))</f>
        <v>-0.7</v>
      </c>
      <c r="H96" s="490">
        <f>IF(B96="","",VLOOKUP(B96,Variabelen!A$47:D$58,3,FALSE))</f>
        <v>80</v>
      </c>
      <c r="I96" s="196" t="str">
        <f t="shared" si="45"/>
        <v/>
      </c>
      <c r="J96" s="196">
        <f t="shared" si="46"/>
        <v>-0.74</v>
      </c>
      <c r="K96" s="196">
        <f t="shared" si="47"/>
        <v>-0.56993710041046097</v>
      </c>
      <c r="L96" s="196">
        <f t="shared" si="48"/>
        <v>0.43929768562316895</v>
      </c>
      <c r="M96" s="34" t="str">
        <f t="shared" si="49"/>
        <v/>
      </c>
      <c r="N96" s="196" t="str">
        <f>IF(B96="","",VLOOKUP(B96,Variabelen!A$47:D$58,2,FALSE))</f>
        <v>DATA</v>
      </c>
      <c r="O96" s="94">
        <v>38</v>
      </c>
      <c r="P96" s="490"/>
      <c r="Q96" s="344"/>
      <c r="R96" s="193" t="str">
        <f>IF(S96="","",R95+1)</f>
        <v/>
      </c>
      <c r="S96" s="18"/>
      <c r="T96" s="769" t="s">
        <v>1078</v>
      </c>
      <c r="U96" s="414">
        <v>3</v>
      </c>
      <c r="V96" s="34">
        <f t="shared" si="53"/>
        <v>1.0092347860336299</v>
      </c>
      <c r="W96" s="711"/>
      <c r="X96" s="926" t="str">
        <f>VLOOKUP(T96,Variabelen!J$47:K$58,2,FALSE)</f>
        <v>Perceelgrens</v>
      </c>
      <c r="AA96" s="36"/>
      <c r="AB96" s="193"/>
      <c r="AD96" s="923">
        <f>Variabelen!J55</f>
        <v>0</v>
      </c>
      <c r="AE96" s="923">
        <f>Variabelen!K55</f>
        <v>0</v>
      </c>
    </row>
    <row r="97" spans="1:28" x14ac:dyDescent="0.25">
      <c r="A97" s="95">
        <f t="shared" si="37"/>
        <v>36</v>
      </c>
      <c r="B97" s="740" t="s">
        <v>347</v>
      </c>
      <c r="C97" s="489"/>
      <c r="D97" s="383" t="str">
        <f t="shared" si="44"/>
        <v>BVK</v>
      </c>
      <c r="E97" s="490">
        <v>56.729500000000002</v>
      </c>
      <c r="F97" s="95"/>
      <c r="G97" s="164">
        <f>IF(B97="","",IF(F97="",VLOOKUP(B97,Variabelen!A$47:D$58,4,FALSE),F97-G$49))</f>
        <v>-0.7</v>
      </c>
      <c r="H97" s="490">
        <f>IF(B97="","",VLOOKUP(B97,Variabelen!A$47:D$58,3,FALSE))</f>
        <v>80</v>
      </c>
      <c r="I97" s="196" t="str">
        <f t="shared" si="45"/>
        <v/>
      </c>
      <c r="J97" s="196">
        <f t="shared" si="46"/>
        <v>-0.74</v>
      </c>
      <c r="K97" s="196">
        <f t="shared" si="47"/>
        <v>-0.56993710041046097</v>
      </c>
      <c r="L97" s="196">
        <f t="shared" si="48"/>
        <v>0.43929768562316895</v>
      </c>
      <c r="M97" s="34" t="str">
        <f t="shared" si="49"/>
        <v/>
      </c>
      <c r="N97" s="196" t="str">
        <f>IF(B97="","",VLOOKUP(B97,Variabelen!A$47:D$58,2,FALSE))</f>
        <v>DATA</v>
      </c>
      <c r="O97" s="94">
        <v>39</v>
      </c>
      <c r="P97" s="490"/>
      <c r="Q97" s="344"/>
      <c r="R97" s="193" t="str">
        <f>IF(S97="","",R96+1)</f>
        <v/>
      </c>
      <c r="S97" s="18"/>
      <c r="T97" s="769" t="s">
        <v>1078</v>
      </c>
      <c r="U97" s="414">
        <v>5</v>
      </c>
      <c r="V97" s="34">
        <f t="shared" si="53"/>
        <v>1.0092347860336299</v>
      </c>
      <c r="W97" s="767"/>
      <c r="X97" s="926" t="str">
        <f>VLOOKUP(T97,Variabelen!J$47:K$58,2,FALSE)</f>
        <v>Perceelgrens</v>
      </c>
      <c r="AA97" s="36"/>
      <c r="AB97" s="193"/>
    </row>
    <row r="98" spans="1:28" outlineLevel="2" x14ac:dyDescent="0.25">
      <c r="A98" s="95">
        <f t="shared" si="37"/>
        <v>37</v>
      </c>
      <c r="B98" s="740" t="s">
        <v>342</v>
      </c>
      <c r="C98" s="489"/>
      <c r="D98" s="383" t="str">
        <f t="shared" si="44"/>
        <v>BVK</v>
      </c>
      <c r="E98" s="490">
        <v>57.012300000000003</v>
      </c>
      <c r="F98" s="95"/>
      <c r="G98" s="164">
        <f>IF(B98="","",IF(F98="",VLOOKUP(B98,Variabelen!A$47:D$58,4,FALSE),F98-G$49))</f>
        <v>-0.7</v>
      </c>
      <c r="H98" s="490">
        <f>IF(B98="","",VLOOKUP(B98,Variabelen!A$47:D$58,3,FALSE))</f>
        <v>80</v>
      </c>
      <c r="I98" s="196" t="str">
        <f t="shared" si="45"/>
        <v/>
      </c>
      <c r="J98" s="196">
        <f t="shared" si="46"/>
        <v>-0.74</v>
      </c>
      <c r="K98" s="196">
        <f t="shared" si="47"/>
        <v>-0.55851708889007501</v>
      </c>
      <c r="L98" s="196">
        <f t="shared" si="48"/>
        <v>0.45071769714355492</v>
      </c>
      <c r="M98" s="34" t="str">
        <f t="shared" si="49"/>
        <v/>
      </c>
      <c r="N98" s="196" t="str">
        <f>IF(B98="","",VLOOKUP(B98,Variabelen!A$47:D$58,2,FALSE))</f>
        <v>LAAGSPANNING</v>
      </c>
      <c r="O98" s="94">
        <v>40</v>
      </c>
      <c r="P98" s="490"/>
      <c r="Q98" s="344"/>
      <c r="R98" s="193" t="str">
        <f>IF(S98="","",R97+1)</f>
        <v/>
      </c>
      <c r="S98" s="18"/>
      <c r="T98" s="924" t="s">
        <v>1303</v>
      </c>
      <c r="U98" s="414">
        <v>1</v>
      </c>
      <c r="V98" s="34">
        <f t="shared" si="53"/>
        <v>1.0092347860336299</v>
      </c>
      <c r="W98" s="925"/>
      <c r="X98" s="926" t="str">
        <f>VLOOKUP(T98,Variabelen!J$47:K$58,2,FALSE)</f>
        <v>Boom_Groot</v>
      </c>
      <c r="AA98" s="36"/>
      <c r="AB98" s="193"/>
    </row>
    <row r="99" spans="1:28" outlineLevel="2" x14ac:dyDescent="0.25">
      <c r="A99" s="95">
        <f t="shared" si="37"/>
        <v>38</v>
      </c>
      <c r="B99" s="740" t="s">
        <v>342</v>
      </c>
      <c r="C99" s="489"/>
      <c r="D99" s="383" t="str">
        <f t="shared" si="44"/>
        <v>BVK</v>
      </c>
      <c r="E99" s="490">
        <v>57.654499999999999</v>
      </c>
      <c r="F99" s="95"/>
      <c r="G99" s="164">
        <f>IF(B99="","",IF(F99="",VLOOKUP(B99,Variabelen!A$47:D$58,4,FALSE),F99-G$49))</f>
        <v>-0.7</v>
      </c>
      <c r="H99" s="490">
        <f>IF(B99="","",VLOOKUP(B99,Variabelen!A$47:D$58,3,FALSE))</f>
        <v>80</v>
      </c>
      <c r="I99" s="196" t="str">
        <f t="shared" si="45"/>
        <v/>
      </c>
      <c r="J99" s="196">
        <f t="shared" si="46"/>
        <v>-0.74</v>
      </c>
      <c r="K99" s="196">
        <f t="shared" si="47"/>
        <v>-0.56580327987670898</v>
      </c>
      <c r="L99" s="196">
        <f t="shared" si="48"/>
        <v>0.44343150615692095</v>
      </c>
      <c r="M99" s="34" t="str">
        <f t="shared" si="49"/>
        <v/>
      </c>
      <c r="N99" s="196" t="str">
        <f>IF(B99="","",VLOOKUP(B99,Variabelen!A$47:D$58,2,FALSE))</f>
        <v>LAAGSPANNING</v>
      </c>
      <c r="O99" s="94">
        <v>41</v>
      </c>
      <c r="P99" s="490"/>
      <c r="Q99" s="344"/>
      <c r="S99" s="469"/>
      <c r="W99" s="16" t="s">
        <v>1043</v>
      </c>
      <c r="AA99" s="36"/>
      <c r="AB99" s="193"/>
    </row>
    <row r="100" spans="1:28" outlineLevel="2" x14ac:dyDescent="0.25">
      <c r="A100" s="95">
        <f t="shared" si="37"/>
        <v>39</v>
      </c>
      <c r="B100" s="740" t="s">
        <v>347</v>
      </c>
      <c r="C100" s="489"/>
      <c r="D100" s="383" t="str">
        <f t="shared" si="44"/>
        <v>BVK</v>
      </c>
      <c r="E100" s="490">
        <v>63.779600000000002</v>
      </c>
      <c r="F100" s="95"/>
      <c r="G100" s="164">
        <f>IF(B100="","",IF(F100="",VLOOKUP(B100,Variabelen!A$47:D$58,4,FALSE),F100-G$49))</f>
        <v>-0.7</v>
      </c>
      <c r="H100" s="490">
        <f>IF(B100="","",VLOOKUP(B100,Variabelen!A$47:D$58,3,FALSE))</f>
        <v>80</v>
      </c>
      <c r="I100" s="196" t="str">
        <f t="shared" si="45"/>
        <v/>
      </c>
      <c r="J100" s="196">
        <f t="shared" si="46"/>
        <v>-0.74</v>
      </c>
      <c r="K100" s="196">
        <f t="shared" si="47"/>
        <v>-0.57672869205474786</v>
      </c>
      <c r="L100" s="196">
        <f t="shared" si="48"/>
        <v>0.43250609397888207</v>
      </c>
      <c r="M100" s="34" t="str">
        <f t="shared" si="49"/>
        <v/>
      </c>
      <c r="N100" s="196" t="str">
        <f>IF(B100="","",VLOOKUP(B100,Variabelen!A$47:D$58,2,FALSE))</f>
        <v>DATA</v>
      </c>
      <c r="O100" s="94">
        <v>42</v>
      </c>
      <c r="P100" s="490"/>
      <c r="Q100" s="344"/>
      <c r="S100" s="469"/>
      <c r="AA100" s="36"/>
      <c r="AB100" s="193"/>
    </row>
    <row r="101" spans="1:28" outlineLevel="2" x14ac:dyDescent="0.25">
      <c r="A101" s="95">
        <f t="shared" si="37"/>
        <v>40</v>
      </c>
      <c r="B101" s="740" t="s">
        <v>347</v>
      </c>
      <c r="C101" s="489"/>
      <c r="D101" s="383" t="str">
        <f t="shared" si="44"/>
        <v>BVK</v>
      </c>
      <c r="E101" s="490">
        <v>64.326099999999997</v>
      </c>
      <c r="F101" s="95"/>
      <c r="G101" s="164">
        <f>IF(B101="","",IF(F101="",VLOOKUP(B101,Variabelen!A$47:D$58,4,FALSE),F101-G$49))</f>
        <v>-0.7</v>
      </c>
      <c r="H101" s="490">
        <f>IF(B101="","",VLOOKUP(B101,Variabelen!A$47:D$58,3,FALSE))</f>
        <v>80</v>
      </c>
      <c r="I101" s="196" t="str">
        <f t="shared" si="45"/>
        <v/>
      </c>
      <c r="J101" s="196">
        <f t="shared" si="46"/>
        <v>-0.74</v>
      </c>
      <c r="K101" s="196">
        <f t="shared" si="47"/>
        <v>-0.58246003627777099</v>
      </c>
      <c r="L101" s="196">
        <f t="shared" si="48"/>
        <v>0.42677474975585894</v>
      </c>
      <c r="M101" s="34" t="str">
        <f t="shared" si="49"/>
        <v/>
      </c>
      <c r="N101" s="196" t="str">
        <f>IF(B101="","",VLOOKUP(B101,Variabelen!A$47:D$58,2,FALSE))</f>
        <v>DATA</v>
      </c>
      <c r="O101" s="94">
        <v>43</v>
      </c>
      <c r="P101" s="490"/>
      <c r="Q101" s="344"/>
      <c r="S101" s="469"/>
      <c r="AA101" s="36"/>
      <c r="AB101" s="193"/>
    </row>
    <row r="102" spans="1:28" outlineLevel="2" x14ac:dyDescent="0.25">
      <c r="A102" s="95">
        <f t="shared" si="37"/>
        <v>41</v>
      </c>
      <c r="B102" s="740" t="s">
        <v>347</v>
      </c>
      <c r="C102" s="489"/>
      <c r="D102" s="383" t="str">
        <f t="shared" si="44"/>
        <v>BVK</v>
      </c>
      <c r="E102" s="490">
        <v>64.440100000000001</v>
      </c>
      <c r="F102" s="95"/>
      <c r="G102" s="164">
        <f>IF(B102="","",IF(F102="",VLOOKUP(B102,Variabelen!A$47:D$58,4,FALSE),F102-G$49))</f>
        <v>-0.7</v>
      </c>
      <c r="H102" s="490">
        <f>IF(B102="","",VLOOKUP(B102,Variabelen!A$47:D$58,3,FALSE))</f>
        <v>80</v>
      </c>
      <c r="I102" s="196" t="str">
        <f t="shared" si="45"/>
        <v/>
      </c>
      <c r="J102" s="196">
        <f t="shared" si="46"/>
        <v>-0.74</v>
      </c>
      <c r="K102" s="196">
        <f t="shared" si="47"/>
        <v>-0.58246003627777099</v>
      </c>
      <c r="L102" s="196">
        <f t="shared" si="48"/>
        <v>0.42677474975585894</v>
      </c>
      <c r="M102" s="34" t="str">
        <f t="shared" si="49"/>
        <v/>
      </c>
      <c r="N102" s="196" t="str">
        <f>IF(B102="","",VLOOKUP(B102,Variabelen!A$47:D$58,2,FALSE))</f>
        <v>DATA</v>
      </c>
      <c r="O102" s="94">
        <v>44</v>
      </c>
      <c r="P102" s="490"/>
      <c r="Q102" s="344"/>
      <c r="S102" s="469"/>
      <c r="AA102" s="36"/>
      <c r="AB102" s="193"/>
    </row>
    <row r="103" spans="1:28" outlineLevel="2" x14ac:dyDescent="0.25">
      <c r="A103" s="95">
        <f t="shared" si="37"/>
        <v>42</v>
      </c>
      <c r="B103" s="740" t="s">
        <v>347</v>
      </c>
      <c r="C103" s="489"/>
      <c r="D103" s="383" t="str">
        <f t="shared" si="44"/>
        <v>BVK</v>
      </c>
      <c r="E103" s="490">
        <v>64.544300000000007</v>
      </c>
      <c r="F103" s="95"/>
      <c r="G103" s="164">
        <f>IF(B103="","",IF(F103="",VLOOKUP(B103,Variabelen!A$47:D$58,4,FALSE),F103-G$49))</f>
        <v>-0.7</v>
      </c>
      <c r="H103" s="490">
        <f>IF(B103="","",VLOOKUP(B103,Variabelen!A$47:D$58,3,FALSE))</f>
        <v>80</v>
      </c>
      <c r="I103" s="196" t="str">
        <f t="shared" si="45"/>
        <v/>
      </c>
      <c r="J103" s="196">
        <f t="shared" si="46"/>
        <v>-0.74</v>
      </c>
      <c r="K103" s="196">
        <f t="shared" si="47"/>
        <v>-0.58314763545989989</v>
      </c>
      <c r="L103" s="196">
        <f t="shared" si="48"/>
        <v>0.42608715057373003</v>
      </c>
      <c r="M103" s="34" t="str">
        <f t="shared" si="49"/>
        <v/>
      </c>
      <c r="N103" s="196" t="str">
        <f>IF(B103="","",VLOOKUP(B103,Variabelen!A$47:D$58,2,FALSE))</f>
        <v>DATA</v>
      </c>
      <c r="O103" s="94">
        <v>45</v>
      </c>
      <c r="P103" s="490"/>
      <c r="Q103" s="344"/>
      <c r="S103" s="469"/>
      <c r="AA103" s="36"/>
      <c r="AB103" s="193"/>
    </row>
    <row r="104" spans="1:28" outlineLevel="2" x14ac:dyDescent="0.25">
      <c r="A104" s="95">
        <f t="shared" si="37"/>
        <v>43</v>
      </c>
      <c r="B104" s="740" t="s">
        <v>342</v>
      </c>
      <c r="C104" s="489"/>
      <c r="D104" s="383" t="str">
        <f t="shared" si="44"/>
        <v>BVK</v>
      </c>
      <c r="E104" s="490">
        <v>64.676100000000005</v>
      </c>
      <c r="F104" s="95"/>
      <c r="G104" s="164">
        <f>IF(B104="","",IF(F104="",VLOOKUP(B104,Variabelen!A$47:D$58,4,FALSE),F104-G$49))</f>
        <v>-0.7</v>
      </c>
      <c r="H104" s="490">
        <f>IF(B104="","",VLOOKUP(B104,Variabelen!A$47:D$58,3,FALSE))</f>
        <v>80</v>
      </c>
      <c r="I104" s="196" t="str">
        <f t="shared" si="45"/>
        <v/>
      </c>
      <c r="J104" s="196">
        <f t="shared" si="46"/>
        <v>-0.74</v>
      </c>
      <c r="K104" s="196">
        <f t="shared" si="47"/>
        <v>-0.58314763545989989</v>
      </c>
      <c r="L104" s="196">
        <f t="shared" si="48"/>
        <v>0.42608715057373003</v>
      </c>
      <c r="M104" s="34" t="str">
        <f t="shared" si="49"/>
        <v/>
      </c>
      <c r="N104" s="196" t="str">
        <f>IF(B104="","",VLOOKUP(B104,Variabelen!A$47:D$58,2,FALSE))</f>
        <v>LAAGSPANNING</v>
      </c>
      <c r="O104" s="94">
        <v>46</v>
      </c>
      <c r="P104" s="490"/>
      <c r="Q104" s="344"/>
      <c r="S104" s="469"/>
      <c r="AA104" s="36"/>
      <c r="AB104" s="193"/>
    </row>
    <row r="105" spans="1:28" outlineLevel="2" x14ac:dyDescent="0.25">
      <c r="A105" s="95">
        <f t="shared" si="37"/>
        <v>44</v>
      </c>
      <c r="B105" s="740" t="s">
        <v>342</v>
      </c>
      <c r="C105" s="489"/>
      <c r="D105" s="383" t="str">
        <f t="shared" si="44"/>
        <v>BVK</v>
      </c>
      <c r="E105" s="490">
        <v>64.753</v>
      </c>
      <c r="F105" s="95"/>
      <c r="G105" s="164">
        <f>IF(B105="","",IF(F105="",VLOOKUP(B105,Variabelen!A$47:D$58,4,FALSE),F105-G$49))</f>
        <v>-0.7</v>
      </c>
      <c r="H105" s="490">
        <f>IF(B105="","",VLOOKUP(B105,Variabelen!A$47:D$58,3,FALSE))</f>
        <v>80</v>
      </c>
      <c r="I105" s="196" t="str">
        <f t="shared" si="45"/>
        <v/>
      </c>
      <c r="J105" s="196">
        <f t="shared" si="46"/>
        <v>-0.74</v>
      </c>
      <c r="K105" s="196">
        <f t="shared" si="47"/>
        <v>-0.58314763545989989</v>
      </c>
      <c r="L105" s="196">
        <f t="shared" si="48"/>
        <v>0.42608715057373003</v>
      </c>
      <c r="M105" s="34" t="str">
        <f t="shared" si="49"/>
        <v/>
      </c>
      <c r="N105" s="196" t="str">
        <f>IF(B105="","",VLOOKUP(B105,Variabelen!A$47:D$58,2,FALSE))</f>
        <v>LAAGSPANNING</v>
      </c>
      <c r="O105" s="94">
        <v>47</v>
      </c>
      <c r="P105" s="490"/>
      <c r="Q105" s="344"/>
      <c r="S105" s="469"/>
      <c r="AA105" s="36"/>
      <c r="AB105" s="193"/>
    </row>
    <row r="106" spans="1:28" outlineLevel="2" x14ac:dyDescent="0.25">
      <c r="A106" s="95">
        <f t="shared" si="37"/>
        <v>45</v>
      </c>
      <c r="B106" s="740" t="s">
        <v>342</v>
      </c>
      <c r="C106" s="489"/>
      <c r="D106" s="383" t="str">
        <f t="shared" si="44"/>
        <v>BVK</v>
      </c>
      <c r="E106" s="490">
        <v>66.505899999999997</v>
      </c>
      <c r="F106" s="95"/>
      <c r="G106" s="164">
        <f>IF(B106="","",IF(F106="",VLOOKUP(B106,Variabelen!A$47:D$58,4,FALSE),F106-G$49))</f>
        <v>-0.7</v>
      </c>
      <c r="H106" s="490">
        <f>IF(B106="","",VLOOKUP(B106,Variabelen!A$47:D$58,3,FALSE))</f>
        <v>80</v>
      </c>
      <c r="I106" s="196" t="str">
        <f t="shared" si="45"/>
        <v/>
      </c>
      <c r="J106" s="196">
        <f t="shared" si="46"/>
        <v>-0.74</v>
      </c>
      <c r="K106" s="196">
        <f t="shared" si="47"/>
        <v>-0.57030962944030694</v>
      </c>
      <c r="L106" s="196">
        <f t="shared" si="48"/>
        <v>0.43892515659332298</v>
      </c>
      <c r="M106" s="34" t="str">
        <f t="shared" si="49"/>
        <v/>
      </c>
      <c r="N106" s="196" t="str">
        <f>IF(B106="","",VLOOKUP(B106,Variabelen!A$47:D$58,2,FALSE))</f>
        <v>LAAGSPANNING</v>
      </c>
      <c r="O106" s="94">
        <v>48</v>
      </c>
      <c r="P106" s="490"/>
      <c r="Q106" s="344"/>
      <c r="S106" s="469"/>
      <c r="AA106" s="36"/>
      <c r="AB106" s="193"/>
    </row>
    <row r="107" spans="1:28" outlineLevel="2" x14ac:dyDescent="0.25">
      <c r="A107" s="95">
        <f t="shared" si="37"/>
        <v>46</v>
      </c>
      <c r="B107" s="740" t="s">
        <v>342</v>
      </c>
      <c r="C107" s="489"/>
      <c r="D107" s="383" t="str">
        <f t="shared" si="44"/>
        <v>BVK</v>
      </c>
      <c r="E107" s="490">
        <v>66.506</v>
      </c>
      <c r="F107" s="95"/>
      <c r="G107" s="164">
        <f>IF(B107="","",IF(F107="",VLOOKUP(B107,Variabelen!A$47:D$58,4,FALSE),F107-G$49))</f>
        <v>-0.7</v>
      </c>
      <c r="H107" s="490">
        <f>IF(B107="","",VLOOKUP(B107,Variabelen!A$47:D$58,3,FALSE))</f>
        <v>80</v>
      </c>
      <c r="I107" s="196" t="str">
        <f t="shared" si="45"/>
        <v/>
      </c>
      <c r="J107" s="196">
        <f t="shared" si="46"/>
        <v>-0.74</v>
      </c>
      <c r="K107" s="196">
        <f t="shared" si="47"/>
        <v>-0.57030962944030694</v>
      </c>
      <c r="L107" s="196">
        <f t="shared" si="48"/>
        <v>0.43892515659332298</v>
      </c>
      <c r="M107" s="34" t="str">
        <f t="shared" si="49"/>
        <v/>
      </c>
      <c r="N107" s="196" t="str">
        <f>IF(B107="","",VLOOKUP(B107,Variabelen!A$47:D$58,2,FALSE))</f>
        <v>LAAGSPANNING</v>
      </c>
      <c r="O107" s="94">
        <v>49</v>
      </c>
      <c r="P107" s="490"/>
      <c r="Q107" s="344"/>
      <c r="S107" s="469"/>
      <c r="AA107" s="36"/>
      <c r="AB107" s="193"/>
    </row>
    <row r="108" spans="1:28" outlineLevel="2" x14ac:dyDescent="0.25">
      <c r="A108" s="95">
        <f t="shared" si="37"/>
        <v>47</v>
      </c>
      <c r="B108" s="740" t="s">
        <v>346</v>
      </c>
      <c r="C108" s="489"/>
      <c r="D108" s="383" t="str">
        <f t="shared" si="44"/>
        <v>BVK</v>
      </c>
      <c r="E108" s="490">
        <v>67.883300000000006</v>
      </c>
      <c r="F108" s="95"/>
      <c r="G108" s="164">
        <f>IF(B108="","",IF(F108="",VLOOKUP(B108,Variabelen!A$47:D$58,4,FALSE),F108-G$49))</f>
        <v>-0.7</v>
      </c>
      <c r="H108" s="490">
        <f>IF(B108="","",VLOOKUP(B108,Variabelen!A$47:D$58,3,FALSE))</f>
        <v>120</v>
      </c>
      <c r="I108" s="196" t="str">
        <f t="shared" si="45"/>
        <v/>
      </c>
      <c r="J108" s="196">
        <f t="shared" si="46"/>
        <v>-0.76</v>
      </c>
      <c r="K108" s="196">
        <f t="shared" si="47"/>
        <v>-0.57432700157165484</v>
      </c>
      <c r="L108" s="196">
        <f t="shared" si="48"/>
        <v>0.43490778446197509</v>
      </c>
      <c r="M108" s="34" t="str">
        <f t="shared" si="49"/>
        <v/>
      </c>
      <c r="N108" s="196" t="str">
        <f>IF(B108="","",VLOOKUP(B108,Variabelen!A$47:D$58,2,FALSE))</f>
        <v>LD-GAS</v>
      </c>
      <c r="O108" s="94">
        <v>50</v>
      </c>
      <c r="P108" s="490"/>
      <c r="Q108" s="344"/>
      <c r="S108" s="469"/>
      <c r="AA108" s="36"/>
      <c r="AB108" s="193"/>
    </row>
    <row r="109" spans="1:28" outlineLevel="2" x14ac:dyDescent="0.25">
      <c r="A109" s="95">
        <f t="shared" si="37"/>
        <v>48</v>
      </c>
      <c r="B109" s="740" t="s">
        <v>342</v>
      </c>
      <c r="C109" s="489"/>
      <c r="D109" s="383" t="str">
        <f t="shared" si="44"/>
        <v>BVK</v>
      </c>
      <c r="E109" s="490">
        <v>67.897400000000005</v>
      </c>
      <c r="F109" s="95"/>
      <c r="G109" s="164">
        <f>IF(B109="","",IF(F109="",VLOOKUP(B109,Variabelen!A$47:D$58,4,FALSE),F109-G$49))</f>
        <v>-0.7</v>
      </c>
      <c r="H109" s="490">
        <f>IF(B109="","",VLOOKUP(B109,Variabelen!A$47:D$58,3,FALSE))</f>
        <v>80</v>
      </c>
      <c r="I109" s="196" t="str">
        <f t="shared" si="45"/>
        <v/>
      </c>
      <c r="J109" s="196">
        <f t="shared" si="46"/>
        <v>-0.74</v>
      </c>
      <c r="K109" s="196">
        <f t="shared" si="47"/>
        <v>-0.55432700157165482</v>
      </c>
      <c r="L109" s="196">
        <f t="shared" si="48"/>
        <v>0.45490778446197511</v>
      </c>
      <c r="M109" s="34" t="str">
        <f t="shared" si="49"/>
        <v/>
      </c>
      <c r="N109" s="196" t="str">
        <f>IF(B109="","",VLOOKUP(B109,Variabelen!A$47:D$58,2,FALSE))</f>
        <v>LAAGSPANNING</v>
      </c>
      <c r="O109" s="94">
        <v>51</v>
      </c>
      <c r="P109" s="490"/>
      <c r="Q109" s="344"/>
      <c r="S109" s="469"/>
      <c r="AA109" s="36"/>
      <c r="AB109" s="193"/>
    </row>
    <row r="110" spans="1:28" outlineLevel="2" x14ac:dyDescent="0.25">
      <c r="A110" s="95">
        <f t="shared" si="37"/>
        <v>49</v>
      </c>
      <c r="B110" s="740" t="s">
        <v>347</v>
      </c>
      <c r="C110" s="935" t="s">
        <v>1336</v>
      </c>
      <c r="D110" s="383" t="str">
        <f t="shared" si="44"/>
        <v>BVK</v>
      </c>
      <c r="E110" s="490">
        <v>68.194400000000002</v>
      </c>
      <c r="F110" s="95"/>
      <c r="G110" s="936">
        <v>-4.0999999999999996</v>
      </c>
      <c r="H110" s="490">
        <f>IF(B110="","",VLOOKUP(B110,Variabelen!A$47:D$58,3,FALSE))</f>
        <v>80</v>
      </c>
      <c r="I110" s="196" t="str">
        <f t="shared" si="45"/>
        <v/>
      </c>
      <c r="J110" s="196">
        <f t="shared" si="46"/>
        <v>-4.1399999999999997</v>
      </c>
      <c r="K110" s="196">
        <f t="shared" si="47"/>
        <v>-3.9625334882736198</v>
      </c>
      <c r="L110" s="196">
        <f t="shared" si="48"/>
        <v>-2.9532987022399899</v>
      </c>
      <c r="M110" s="34" t="str">
        <f t="shared" si="49"/>
        <v/>
      </c>
      <c r="N110" s="196" t="str">
        <f>IF(B110="","",VLOOKUP(B110,Variabelen!A$47:D$58,2,FALSE))</f>
        <v>DATA</v>
      </c>
      <c r="O110" s="94">
        <v>52</v>
      </c>
      <c r="P110" s="490"/>
      <c r="Q110" s="344"/>
      <c r="S110" s="469"/>
      <c r="AA110" s="36"/>
      <c r="AB110" s="193"/>
    </row>
    <row r="111" spans="1:28" outlineLevel="2" x14ac:dyDescent="0.25">
      <c r="A111" s="95">
        <f t="shared" si="37"/>
        <v>50</v>
      </c>
      <c r="B111" s="740" t="s">
        <v>346</v>
      </c>
      <c r="C111" s="489"/>
      <c r="D111" s="383" t="str">
        <f t="shared" si="44"/>
        <v>BVK</v>
      </c>
      <c r="E111" s="490">
        <v>69.688100000000006</v>
      </c>
      <c r="F111" s="95"/>
      <c r="G111" s="164">
        <f>IF(B111="","",IF(F111="",VLOOKUP(B111,Variabelen!A$47:D$58,4,FALSE),F111-G$49))</f>
        <v>-0.7</v>
      </c>
      <c r="H111" s="490">
        <f>IF(B111="","",VLOOKUP(B111,Variabelen!A$47:D$58,3,FALSE))</f>
        <v>120</v>
      </c>
      <c r="I111" s="196" t="str">
        <f t="shared" si="45"/>
        <v/>
      </c>
      <c r="J111" s="196">
        <f t="shared" si="46"/>
        <v>-0.76</v>
      </c>
      <c r="K111" s="196">
        <f t="shared" si="47"/>
        <v>-0.55806709289550693</v>
      </c>
      <c r="L111" s="196">
        <f t="shared" si="48"/>
        <v>0.45116769313812299</v>
      </c>
      <c r="M111" s="34" t="str">
        <f t="shared" si="49"/>
        <v/>
      </c>
      <c r="N111" s="196" t="str">
        <f>IF(B111="","",VLOOKUP(B111,Variabelen!A$47:D$58,2,FALSE))</f>
        <v>LD-GAS</v>
      </c>
      <c r="O111" s="94">
        <v>53</v>
      </c>
      <c r="P111" s="490"/>
      <c r="Q111" s="344"/>
      <c r="S111" s="469"/>
      <c r="AA111" s="36"/>
      <c r="AB111" s="193"/>
    </row>
    <row r="112" spans="1:28" outlineLevel="2" x14ac:dyDescent="0.25">
      <c r="A112" s="95">
        <f t="shared" si="37"/>
        <v>51</v>
      </c>
      <c r="B112" s="740" t="s">
        <v>347</v>
      </c>
      <c r="C112" s="489"/>
      <c r="D112" s="383" t="str">
        <f t="shared" si="44"/>
        <v>BVK</v>
      </c>
      <c r="E112" s="490">
        <v>70.340199999999996</v>
      </c>
      <c r="F112" s="95"/>
      <c r="G112" s="164">
        <f>IF(B112="","",IF(F112="",VLOOKUP(B112,Variabelen!A$47:D$58,4,FALSE),F112-G$49))</f>
        <v>-0.7</v>
      </c>
      <c r="H112" s="490">
        <f>IF(B112="","",VLOOKUP(B112,Variabelen!A$47:D$58,3,FALSE))</f>
        <v>80</v>
      </c>
      <c r="I112" s="196" t="str">
        <f t="shared" si="45"/>
        <v/>
      </c>
      <c r="J112" s="196">
        <f t="shared" si="46"/>
        <v>-0.74</v>
      </c>
      <c r="K112" s="196">
        <f t="shared" si="47"/>
        <v>-0.53798662662506103</v>
      </c>
      <c r="L112" s="196">
        <f t="shared" si="48"/>
        <v>0.4712481594085689</v>
      </c>
      <c r="M112" s="34" t="str">
        <f t="shared" si="49"/>
        <v/>
      </c>
      <c r="N112" s="196" t="str">
        <f>IF(B112="","",VLOOKUP(B112,Variabelen!A$47:D$58,2,FALSE))</f>
        <v>DATA</v>
      </c>
      <c r="O112" s="94">
        <v>54</v>
      </c>
      <c r="P112" s="490"/>
      <c r="Q112" s="344"/>
      <c r="S112" s="469"/>
      <c r="AA112" s="36"/>
      <c r="AB112" s="193"/>
    </row>
    <row r="113" spans="1:28" outlineLevel="2" x14ac:dyDescent="0.25">
      <c r="A113" s="95">
        <f t="shared" si="37"/>
        <v>52</v>
      </c>
      <c r="B113" s="740" t="s">
        <v>342</v>
      </c>
      <c r="C113" s="489"/>
      <c r="D113" s="383" t="str">
        <f t="shared" si="44"/>
        <v>BVK</v>
      </c>
      <c r="E113" s="490">
        <v>71.879400000000004</v>
      </c>
      <c r="F113" s="95"/>
      <c r="G113" s="164">
        <f>IF(B113="","",IF(F113="",VLOOKUP(B113,Variabelen!A$47:D$58,4,FALSE),F113-G$49))</f>
        <v>-0.7</v>
      </c>
      <c r="H113" s="490">
        <f>IF(B113="","",VLOOKUP(B113,Variabelen!A$47:D$58,3,FALSE))</f>
        <v>80</v>
      </c>
      <c r="I113" s="196" t="str">
        <f t="shared" si="45"/>
        <v/>
      </c>
      <c r="J113" s="196">
        <f t="shared" si="46"/>
        <v>-0.74</v>
      </c>
      <c r="K113" s="196">
        <f t="shared" si="47"/>
        <v>-0.50686072349548295</v>
      </c>
      <c r="L113" s="196">
        <f t="shared" si="48"/>
        <v>0.50237406253814698</v>
      </c>
      <c r="M113" s="34" t="str">
        <f t="shared" si="49"/>
        <v/>
      </c>
      <c r="N113" s="196" t="str">
        <f>IF(B113="","",VLOOKUP(B113,Variabelen!A$47:D$58,2,FALSE))</f>
        <v>LAAGSPANNING</v>
      </c>
      <c r="O113" s="94">
        <v>55</v>
      </c>
      <c r="P113" s="490"/>
      <c r="Q113" s="344"/>
      <c r="S113" s="469"/>
      <c r="AA113" s="36"/>
      <c r="AB113" s="193"/>
    </row>
    <row r="114" spans="1:28" outlineLevel="2" x14ac:dyDescent="0.25">
      <c r="A114" s="95">
        <f t="shared" si="37"/>
        <v>53</v>
      </c>
      <c r="B114" s="740" t="s">
        <v>342</v>
      </c>
      <c r="C114" s="489"/>
      <c r="D114" s="383" t="str">
        <f t="shared" si="44"/>
        <v>BVK</v>
      </c>
      <c r="E114" s="490">
        <v>73.015000000000001</v>
      </c>
      <c r="F114" s="95"/>
      <c r="G114" s="164">
        <f>IF(B114="","",IF(F114="",VLOOKUP(B114,Variabelen!A$47:D$58,4,FALSE),F114-G$49))</f>
        <v>-0.7</v>
      </c>
      <c r="H114" s="490">
        <f>IF(B114="","",VLOOKUP(B114,Variabelen!A$47:D$58,3,FALSE))</f>
        <v>80</v>
      </c>
      <c r="I114" s="196" t="str">
        <f t="shared" si="45"/>
        <v/>
      </c>
      <c r="J114" s="196">
        <f t="shared" si="46"/>
        <v>-0.74</v>
      </c>
      <c r="K114" s="196">
        <f t="shared" si="47"/>
        <v>-0.49710690021514892</v>
      </c>
      <c r="L114" s="196">
        <f t="shared" si="48"/>
        <v>0.51212788581848101</v>
      </c>
      <c r="M114" s="34" t="str">
        <f t="shared" si="49"/>
        <v/>
      </c>
      <c r="N114" s="196" t="str">
        <f>IF(B114="","",VLOOKUP(B114,Variabelen!A$47:D$58,2,FALSE))</f>
        <v>LAAGSPANNING</v>
      </c>
      <c r="O114" s="94">
        <v>56</v>
      </c>
      <c r="P114" s="490"/>
      <c r="Q114" s="344"/>
      <c r="S114" s="469"/>
      <c r="AA114" s="36"/>
      <c r="AB114" s="193"/>
    </row>
    <row r="115" spans="1:28" outlineLevel="2" x14ac:dyDescent="0.25">
      <c r="A115" s="95">
        <f t="shared" si="37"/>
        <v>54</v>
      </c>
      <c r="B115" s="740" t="s">
        <v>342</v>
      </c>
      <c r="C115" s="489"/>
      <c r="D115" s="383" t="str">
        <f t="shared" si="44"/>
        <v>BVK</v>
      </c>
      <c r="E115" s="490">
        <v>73.015299999999996</v>
      </c>
      <c r="F115" s="95"/>
      <c r="G115" s="164">
        <f>IF(B115="","",IF(F115="",VLOOKUP(B115,Variabelen!A$47:D$58,4,FALSE),F115-G$49))</f>
        <v>-0.7</v>
      </c>
      <c r="H115" s="490">
        <f>IF(B115="","",VLOOKUP(B115,Variabelen!A$47:D$58,3,FALSE))</f>
        <v>80</v>
      </c>
      <c r="I115" s="196" t="str">
        <f t="shared" si="45"/>
        <v/>
      </c>
      <c r="J115" s="196">
        <f t="shared" si="46"/>
        <v>-0.74</v>
      </c>
      <c r="K115" s="196">
        <f t="shared" si="47"/>
        <v>-0.49710690021514892</v>
      </c>
      <c r="L115" s="196">
        <f t="shared" si="48"/>
        <v>0.51212788581848101</v>
      </c>
      <c r="M115" s="34" t="str">
        <f t="shared" si="49"/>
        <v/>
      </c>
      <c r="N115" s="196" t="str">
        <f>IF(B115="","",VLOOKUP(B115,Variabelen!A$47:D$58,2,FALSE))</f>
        <v>LAAGSPANNING</v>
      </c>
      <c r="O115" s="94">
        <v>57</v>
      </c>
      <c r="P115" s="490"/>
      <c r="Q115" s="344"/>
      <c r="S115" s="469"/>
      <c r="AA115" s="36"/>
      <c r="AB115" s="193"/>
    </row>
    <row r="116" spans="1:28" outlineLevel="2" x14ac:dyDescent="0.25">
      <c r="A116" s="95">
        <f t="shared" si="37"/>
        <v>55</v>
      </c>
      <c r="B116" s="740" t="s">
        <v>347</v>
      </c>
      <c r="C116" s="489"/>
      <c r="D116" s="383" t="str">
        <f t="shared" si="44"/>
        <v>BVK</v>
      </c>
      <c r="E116" s="490">
        <v>76.388900000000007</v>
      </c>
      <c r="F116" s="95"/>
      <c r="G116" s="164">
        <f>IF(B116="","",IF(F116="",VLOOKUP(B116,Variabelen!A$47:D$58,4,FALSE),F116-G$49))</f>
        <v>-0.7</v>
      </c>
      <c r="H116" s="490">
        <f>IF(B116="","",VLOOKUP(B116,Variabelen!A$47:D$58,3,FALSE))</f>
        <v>80</v>
      </c>
      <c r="I116" s="196" t="str">
        <f t="shared" si="45"/>
        <v/>
      </c>
      <c r="J116" s="196">
        <f t="shared" si="46"/>
        <v>-0.74</v>
      </c>
      <c r="K116" s="196">
        <f t="shared" si="47"/>
        <v>-0.48008452892303399</v>
      </c>
      <c r="L116" s="196">
        <f t="shared" si="48"/>
        <v>0.52915025711059593</v>
      </c>
      <c r="M116" s="34" t="str">
        <f t="shared" si="49"/>
        <v/>
      </c>
      <c r="N116" s="196" t="str">
        <f>IF(B116="","",VLOOKUP(B116,Variabelen!A$47:D$58,2,FALSE))</f>
        <v>DATA</v>
      </c>
      <c r="O116" s="94">
        <v>58</v>
      </c>
      <c r="P116" s="490"/>
      <c r="Q116" s="344"/>
      <c r="S116" s="469"/>
      <c r="AA116" s="36"/>
      <c r="AB116" s="193"/>
    </row>
    <row r="117" spans="1:28" outlineLevel="2" x14ac:dyDescent="0.25">
      <c r="A117" s="95">
        <f t="shared" si="37"/>
        <v>56</v>
      </c>
      <c r="B117" s="740" t="s">
        <v>342</v>
      </c>
      <c r="C117" s="489"/>
      <c r="D117" s="383" t="str">
        <f t="shared" si="44"/>
        <v>BVK</v>
      </c>
      <c r="E117" s="490">
        <v>78.504499999999993</v>
      </c>
      <c r="F117" s="95"/>
      <c r="G117" s="164">
        <f>IF(B117="","",IF(F117="",VLOOKUP(B117,Variabelen!A$47:D$58,4,FALSE),F117-G$49))</f>
        <v>-0.7</v>
      </c>
      <c r="H117" s="490">
        <f>IF(B117="","",VLOOKUP(B117,Variabelen!A$47:D$58,3,FALSE))</f>
        <v>80</v>
      </c>
      <c r="I117" s="196" t="str">
        <f t="shared" si="45"/>
        <v/>
      </c>
      <c r="J117" s="196">
        <f t="shared" si="46"/>
        <v>-0.74</v>
      </c>
      <c r="K117" s="196">
        <f t="shared" si="47"/>
        <v>-0.44580673217773392</v>
      </c>
      <c r="L117" s="196">
        <f t="shared" si="48"/>
        <v>0.563428053855896</v>
      </c>
      <c r="M117" s="34" t="str">
        <f t="shared" si="49"/>
        <v/>
      </c>
      <c r="N117" s="196" t="str">
        <f>IF(B117="","",VLOOKUP(B117,Variabelen!A$47:D$58,2,FALSE))</f>
        <v>LAAGSPANNING</v>
      </c>
      <c r="O117" s="94">
        <v>59</v>
      </c>
      <c r="P117" s="490"/>
      <c r="Q117" s="344"/>
      <c r="S117" s="469"/>
      <c r="AA117" s="36"/>
      <c r="AB117" s="193"/>
    </row>
    <row r="118" spans="1:28" outlineLevel="2" x14ac:dyDescent="0.25">
      <c r="A118" s="95">
        <f t="shared" si="37"/>
        <v>57</v>
      </c>
      <c r="B118" s="740" t="s">
        <v>342</v>
      </c>
      <c r="C118" s="489"/>
      <c r="D118" s="383" t="str">
        <f t="shared" si="44"/>
        <v>BVK</v>
      </c>
      <c r="E118" s="490">
        <v>81.184799999999996</v>
      </c>
      <c r="F118" s="95"/>
      <c r="G118" s="164">
        <f>IF(B118="","",IF(F118="",VLOOKUP(B118,Variabelen!A$47:D$58,4,FALSE),F118-G$49))</f>
        <v>-0.7</v>
      </c>
      <c r="H118" s="490">
        <f>IF(B118="","",VLOOKUP(B118,Variabelen!A$47:D$58,3,FALSE))</f>
        <v>80</v>
      </c>
      <c r="I118" s="196" t="str">
        <f t="shared" si="45"/>
        <v/>
      </c>
      <c r="J118" s="196">
        <f t="shared" si="46"/>
        <v>-0.74</v>
      </c>
      <c r="K118" s="196">
        <f t="shared" si="47"/>
        <v>-0.44153188705444291</v>
      </c>
      <c r="L118" s="196">
        <f t="shared" si="48"/>
        <v>0.56770289897918702</v>
      </c>
      <c r="M118" s="34" t="str">
        <f t="shared" si="49"/>
        <v/>
      </c>
      <c r="N118" s="196" t="str">
        <f>IF(B118="","",VLOOKUP(B118,Variabelen!A$47:D$58,2,FALSE))</f>
        <v>LAAGSPANNING</v>
      </c>
      <c r="O118" s="94">
        <v>60</v>
      </c>
      <c r="P118" s="490"/>
      <c r="Q118" s="344"/>
      <c r="S118" s="469"/>
      <c r="AA118" s="36"/>
      <c r="AB118" s="193"/>
    </row>
    <row r="119" spans="1:28" outlineLevel="2" x14ac:dyDescent="0.25">
      <c r="A119" s="95">
        <f t="shared" si="37"/>
        <v>58</v>
      </c>
      <c r="B119" s="740" t="s">
        <v>347</v>
      </c>
      <c r="C119" s="489"/>
      <c r="D119" s="383" t="str">
        <f t="shared" si="44"/>
        <v>BVK</v>
      </c>
      <c r="E119" s="490">
        <v>85.903999999999996</v>
      </c>
      <c r="F119" s="95"/>
      <c r="G119" s="164">
        <f>IF(B119="","",IF(F119="",VLOOKUP(B119,Variabelen!A$47:D$58,4,FALSE),F119-G$49))</f>
        <v>-0.7</v>
      </c>
      <c r="H119" s="490">
        <f>IF(B119="","",VLOOKUP(B119,Variabelen!A$47:D$58,3,FALSE))</f>
        <v>80</v>
      </c>
      <c r="I119" s="196" t="str">
        <f t="shared" si="45"/>
        <v/>
      </c>
      <c r="J119" s="196">
        <f t="shared" si="46"/>
        <v>-0.74</v>
      </c>
      <c r="K119" s="196">
        <f t="shared" si="47"/>
        <v>-0.44470154285430885</v>
      </c>
      <c r="L119" s="196">
        <f t="shared" si="48"/>
        <v>0.56453324317932108</v>
      </c>
      <c r="M119" s="34" t="str">
        <f t="shared" si="49"/>
        <v/>
      </c>
      <c r="N119" s="196" t="str">
        <f>IF(B119="","",VLOOKUP(B119,Variabelen!A$47:D$58,2,FALSE))</f>
        <v>DATA</v>
      </c>
      <c r="O119" s="94">
        <v>61</v>
      </c>
      <c r="P119" s="490"/>
      <c r="Q119" s="344"/>
      <c r="S119" s="469"/>
      <c r="AA119" s="36"/>
      <c r="AB119" s="193"/>
    </row>
    <row r="120" spans="1:28" outlineLevel="2" x14ac:dyDescent="0.25">
      <c r="A120" s="95">
        <f t="shared" si="37"/>
        <v>59</v>
      </c>
      <c r="B120" s="740" t="s">
        <v>347</v>
      </c>
      <c r="C120" s="489"/>
      <c r="D120" s="383" t="str">
        <f t="shared" si="44"/>
        <v>BVK</v>
      </c>
      <c r="E120" s="490">
        <v>85.904499999999999</v>
      </c>
      <c r="F120" s="95"/>
      <c r="G120" s="164">
        <f>IF(B120="","",IF(F120="",VLOOKUP(B120,Variabelen!A$47:D$58,4,FALSE),F120-G$49))</f>
        <v>-0.7</v>
      </c>
      <c r="H120" s="490">
        <f>IF(B120="","",VLOOKUP(B120,Variabelen!A$47:D$58,3,FALSE))</f>
        <v>80</v>
      </c>
      <c r="I120" s="196" t="str">
        <f t="shared" si="45"/>
        <v/>
      </c>
      <c r="J120" s="196">
        <f t="shared" si="46"/>
        <v>-0.74</v>
      </c>
      <c r="K120" s="196">
        <f t="shared" si="47"/>
        <v>-0.44470154285430885</v>
      </c>
      <c r="L120" s="196">
        <f t="shared" si="48"/>
        <v>0.56453324317932108</v>
      </c>
      <c r="M120" s="34" t="str">
        <f t="shared" si="49"/>
        <v/>
      </c>
      <c r="N120" s="196" t="str">
        <f>IF(B120="","",VLOOKUP(B120,Variabelen!A$47:D$58,2,FALSE))</f>
        <v>DATA</v>
      </c>
      <c r="O120" s="94">
        <v>62</v>
      </c>
      <c r="P120" s="490"/>
      <c r="Q120" s="344"/>
      <c r="S120" s="469"/>
      <c r="AA120" s="36"/>
      <c r="AB120" s="193"/>
    </row>
    <row r="121" spans="1:28" outlineLevel="2" x14ac:dyDescent="0.25">
      <c r="A121" s="95">
        <f t="shared" si="37"/>
        <v>60</v>
      </c>
      <c r="B121" s="740" t="s">
        <v>347</v>
      </c>
      <c r="C121" s="489"/>
      <c r="D121" s="383" t="str">
        <f t="shared" si="44"/>
        <v>BVK</v>
      </c>
      <c r="E121" s="490">
        <v>86.075999999999993</v>
      </c>
      <c r="F121" s="95"/>
      <c r="G121" s="164">
        <f>IF(B121="","",IF(F121="",VLOOKUP(B121,Variabelen!A$47:D$58,4,FALSE),F121-G$49))</f>
        <v>-0.7</v>
      </c>
      <c r="H121" s="490">
        <f>IF(B121="","",VLOOKUP(B121,Variabelen!A$47:D$58,3,FALSE))</f>
        <v>80</v>
      </c>
      <c r="I121" s="196" t="str">
        <f t="shared" si="45"/>
        <v/>
      </c>
      <c r="J121" s="196">
        <f t="shared" si="46"/>
        <v>-0.74</v>
      </c>
      <c r="K121" s="196">
        <f t="shared" si="47"/>
        <v>-0.44470154285430885</v>
      </c>
      <c r="L121" s="196">
        <f t="shared" si="48"/>
        <v>0.56453324317932108</v>
      </c>
      <c r="M121" s="34" t="str">
        <f t="shared" si="49"/>
        <v/>
      </c>
      <c r="N121" s="196" t="str">
        <f>IF(B121="","",VLOOKUP(B121,Variabelen!A$47:D$58,2,FALSE))</f>
        <v>DATA</v>
      </c>
      <c r="O121" s="94">
        <v>63</v>
      </c>
      <c r="P121" s="490"/>
      <c r="Q121" s="344"/>
      <c r="S121" s="469"/>
      <c r="AA121" s="36"/>
      <c r="AB121" s="193"/>
    </row>
    <row r="122" spans="1:28" outlineLevel="2" x14ac:dyDescent="0.25">
      <c r="A122" s="95">
        <f t="shared" si="37"/>
        <v>61</v>
      </c>
      <c r="B122" s="740" t="s">
        <v>347</v>
      </c>
      <c r="C122" s="489"/>
      <c r="D122" s="383" t="str">
        <f t="shared" si="44"/>
        <v>BVK</v>
      </c>
      <c r="E122" s="490">
        <v>86.076099999999997</v>
      </c>
      <c r="F122" s="95"/>
      <c r="G122" s="164">
        <f>IF(B122="","",IF(F122="",VLOOKUP(B122,Variabelen!A$47:D$58,4,FALSE),F122-G$49))</f>
        <v>-0.7</v>
      </c>
      <c r="H122" s="490">
        <f>IF(B122="","",VLOOKUP(B122,Variabelen!A$47:D$58,3,FALSE))</f>
        <v>80</v>
      </c>
      <c r="I122" s="196" t="str">
        <f t="shared" si="45"/>
        <v/>
      </c>
      <c r="J122" s="196">
        <f t="shared" si="46"/>
        <v>-0.74</v>
      </c>
      <c r="K122" s="196">
        <f t="shared" si="47"/>
        <v>-0.44470154285430885</v>
      </c>
      <c r="L122" s="196">
        <f t="shared" si="48"/>
        <v>0.56453324317932108</v>
      </c>
      <c r="M122" s="34" t="str">
        <f t="shared" si="49"/>
        <v/>
      </c>
      <c r="N122" s="196" t="str">
        <f>IF(B122="","",VLOOKUP(B122,Variabelen!A$47:D$58,2,FALSE))</f>
        <v>DATA</v>
      </c>
      <c r="O122" s="94">
        <v>64</v>
      </c>
      <c r="P122" s="490"/>
      <c r="Q122" s="344"/>
      <c r="S122" s="469"/>
      <c r="AA122" s="36"/>
      <c r="AB122" s="193"/>
    </row>
    <row r="123" spans="1:28" outlineLevel="2" x14ac:dyDescent="0.25">
      <c r="A123" s="95">
        <f t="shared" si="37"/>
        <v>62</v>
      </c>
      <c r="B123" s="740" t="s">
        <v>346</v>
      </c>
      <c r="C123" s="489"/>
      <c r="D123" s="383" t="str">
        <f t="shared" si="44"/>
        <v>BVK</v>
      </c>
      <c r="E123" s="490">
        <v>87.4846</v>
      </c>
      <c r="F123" s="95"/>
      <c r="G123" s="164">
        <f>IF(B123="","",IF(F123="",VLOOKUP(B123,Variabelen!A$47:D$58,4,FALSE),F123-G$49))</f>
        <v>-0.7</v>
      </c>
      <c r="H123" s="490">
        <f>IF(B123="","",VLOOKUP(B123,Variabelen!A$47:D$58,3,FALSE))</f>
        <v>120</v>
      </c>
      <c r="I123" s="196" t="str">
        <f t="shared" si="45"/>
        <v/>
      </c>
      <c r="J123" s="196">
        <f t="shared" si="46"/>
        <v>-0.76</v>
      </c>
      <c r="K123" s="196">
        <f t="shared" si="47"/>
        <v>-0.49063194751739503</v>
      </c>
      <c r="L123" s="196">
        <f t="shared" si="48"/>
        <v>0.5186028385162349</v>
      </c>
      <c r="M123" s="34" t="str">
        <f t="shared" si="49"/>
        <v/>
      </c>
      <c r="N123" s="196" t="str">
        <f>IF(B123="","",VLOOKUP(B123,Variabelen!A$47:D$58,2,FALSE))</f>
        <v>LD-GAS</v>
      </c>
      <c r="O123" s="94">
        <v>65</v>
      </c>
      <c r="P123" s="490"/>
      <c r="Q123" s="344"/>
      <c r="S123" s="469"/>
      <c r="AA123" s="36"/>
      <c r="AB123" s="193"/>
    </row>
    <row r="124" spans="1:28" outlineLevel="2" x14ac:dyDescent="0.25">
      <c r="A124" s="95">
        <f t="shared" si="37"/>
        <v>63</v>
      </c>
      <c r="B124" s="740" t="s">
        <v>342</v>
      </c>
      <c r="C124" s="489"/>
      <c r="D124" s="383" t="str">
        <f t="shared" si="44"/>
        <v>BVK</v>
      </c>
      <c r="E124" s="490">
        <v>89.155799999999999</v>
      </c>
      <c r="F124" s="95"/>
      <c r="G124" s="164">
        <f>IF(B124="","",IF(F124="",VLOOKUP(B124,Variabelen!A$47:D$58,4,FALSE),F124-G$49))</f>
        <v>-0.7</v>
      </c>
      <c r="H124" s="490">
        <f>IF(B124="","",VLOOKUP(B124,Variabelen!A$47:D$58,3,FALSE))</f>
        <v>80</v>
      </c>
      <c r="I124" s="196" t="str">
        <f t="shared" si="45"/>
        <v/>
      </c>
      <c r="J124" s="196">
        <f t="shared" si="46"/>
        <v>-0.74</v>
      </c>
      <c r="K124" s="196">
        <f t="shared" si="47"/>
        <v>-0.47828148841857887</v>
      </c>
      <c r="L124" s="196">
        <f t="shared" si="48"/>
        <v>0.53095329761505106</v>
      </c>
      <c r="M124" s="34" t="str">
        <f t="shared" si="49"/>
        <v/>
      </c>
      <c r="N124" s="196" t="str">
        <f>IF(B124="","",VLOOKUP(B124,Variabelen!A$47:D$58,2,FALSE))</f>
        <v>LAAGSPANNING</v>
      </c>
      <c r="O124" s="94">
        <v>66</v>
      </c>
      <c r="P124" s="490"/>
      <c r="Q124" s="344"/>
      <c r="S124" s="469"/>
      <c r="AA124" s="36"/>
      <c r="AB124" s="193"/>
    </row>
    <row r="125" spans="1:28" outlineLevel="2" x14ac:dyDescent="0.25">
      <c r="A125" s="95">
        <f t="shared" si="37"/>
        <v>64</v>
      </c>
      <c r="B125" s="740" t="s">
        <v>342</v>
      </c>
      <c r="C125" s="489"/>
      <c r="D125" s="383" t="str">
        <f t="shared" si="44"/>
        <v>BVK</v>
      </c>
      <c r="E125" s="490">
        <v>111.28</v>
      </c>
      <c r="F125" s="95"/>
      <c r="G125" s="164">
        <f>IF(B125="","",IF(F125="",VLOOKUP(B125,Variabelen!A$47:D$58,4,FALSE),F125-G$49))</f>
        <v>-0.7</v>
      </c>
      <c r="H125" s="490">
        <f>IF(B125="","",VLOOKUP(B125,Variabelen!A$47:D$58,3,FALSE))</f>
        <v>80</v>
      </c>
      <c r="I125" s="196" t="str">
        <f t="shared" si="45"/>
        <v/>
      </c>
      <c r="J125" s="196">
        <f t="shared" si="46"/>
        <v>-0.74</v>
      </c>
      <c r="K125" s="196">
        <f t="shared" si="47"/>
        <v>-0.46876310348510697</v>
      </c>
      <c r="L125" s="196">
        <f t="shared" si="48"/>
        <v>0.54047168254852296</v>
      </c>
      <c r="M125" s="34" t="str">
        <f t="shared" si="49"/>
        <v/>
      </c>
      <c r="N125" s="196" t="str">
        <f>IF(B125="","",VLOOKUP(B125,Variabelen!A$47:D$58,2,FALSE))</f>
        <v>LAAGSPANNING</v>
      </c>
      <c r="O125" s="94">
        <v>67</v>
      </c>
      <c r="P125" s="490"/>
      <c r="Q125" s="344"/>
      <c r="S125" s="469"/>
      <c r="AA125" s="36"/>
      <c r="AB125" s="193"/>
    </row>
    <row r="126" spans="1:28" outlineLevel="2" x14ac:dyDescent="0.25">
      <c r="A126" s="95">
        <f t="shared" si="37"/>
        <v>65</v>
      </c>
      <c r="B126" s="740" t="s">
        <v>348</v>
      </c>
      <c r="C126" s="489"/>
      <c r="D126" s="383" t="str">
        <f t="shared" si="44"/>
        <v>BVK</v>
      </c>
      <c r="E126" s="490">
        <v>124.57899999999999</v>
      </c>
      <c r="F126" s="95"/>
      <c r="G126" s="164">
        <f>IF(B126="","",IF(F126="",VLOOKUP(B126,Variabelen!A$47:D$58,4,FALSE),F126-G$49))</f>
        <v>-1</v>
      </c>
      <c r="H126" s="490">
        <f>IF(B126="","",VLOOKUP(B126,Variabelen!A$47:D$58,3,FALSE))</f>
        <v>150</v>
      </c>
      <c r="I126" s="196" t="str">
        <f t="shared" si="45"/>
        <v/>
      </c>
      <c r="J126" s="196">
        <f t="shared" si="46"/>
        <v>-1.08</v>
      </c>
      <c r="K126" s="196">
        <f t="shared" si="47"/>
        <v>-0.78353293418884196</v>
      </c>
      <c r="L126" s="196">
        <f t="shared" si="48"/>
        <v>0.22570185184478797</v>
      </c>
      <c r="M126" s="34" t="str">
        <f t="shared" si="49"/>
        <v/>
      </c>
      <c r="N126" s="196" t="str">
        <f>IF(B126="","",VLOOKUP(B126,Variabelen!A$47:D$58,2,FALSE))</f>
        <v>WATERLEIDING</v>
      </c>
      <c r="O126" s="94">
        <v>68</v>
      </c>
      <c r="P126" s="490"/>
      <c r="Q126" s="344"/>
      <c r="S126" s="469"/>
      <c r="AA126" s="36"/>
      <c r="AB126" s="193"/>
    </row>
    <row r="127" spans="1:28" outlineLevel="2" x14ac:dyDescent="0.25">
      <c r="A127" s="95">
        <f t="shared" si="37"/>
        <v>66</v>
      </c>
      <c r="B127" s="740" t="s">
        <v>342</v>
      </c>
      <c r="C127" s="489"/>
      <c r="D127" s="383" t="str">
        <f t="shared" ref="D127:D143" si="54">IF(B127="","",IF(B127="RV","BOB","BVK"))</f>
        <v>BVK</v>
      </c>
      <c r="E127" s="490">
        <v>130.357</v>
      </c>
      <c r="F127" s="95"/>
      <c r="G127" s="164">
        <f>IF(B127="","",IF(F127="",VLOOKUP(B127,Variabelen!A$47:D$58,4,FALSE),F127-G$49))</f>
        <v>-0.7</v>
      </c>
      <c r="H127" s="490">
        <f>IF(B127="","",VLOOKUP(B127,Variabelen!A$47:D$58,3,FALSE))</f>
        <v>80</v>
      </c>
      <c r="I127" s="196" t="str">
        <f t="shared" ref="I127:I143" si="55">IF(D127="BOB",0.75*H127,"")</f>
        <v/>
      </c>
      <c r="J127" s="196">
        <f t="shared" ref="J127:J143" si="56">IF(B127="","",ROUND(IF(D127="BOB",G127+(0.5*I127/1000),IF(D127="BVK",G127-(0.5*H127/1000),"FOUT")),2))</f>
        <v>-0.74</v>
      </c>
      <c r="K127" s="196">
        <f t="shared" ref="K127:K143" si="57">IF(B127="","",IF(AND(D127="BVK",F127=""),J127+VLOOKUP(E127,K$290:L$1291,2,TRUE)-G$49,IF(F127&lt;&gt;"",J127,"CHECK BVK of BOB!!!")))</f>
        <v>-0.40218912601470902</v>
      </c>
      <c r="L127" s="196">
        <f t="shared" ref="L127:L143" si="58">IF(B127="","",G$49+K127)</f>
        <v>0.60704566001892091</v>
      </c>
      <c r="M127" s="34" t="str">
        <f t="shared" ref="M127:M143" si="59">IF(P127="","",M$43+P127+Q127)</f>
        <v/>
      </c>
      <c r="N127" s="196" t="str">
        <f>IF(B127="","",VLOOKUP(B127,Variabelen!A$47:D$58,2,FALSE))</f>
        <v>LAAGSPANNING</v>
      </c>
      <c r="O127" s="94">
        <v>69</v>
      </c>
      <c r="P127" s="490"/>
      <c r="Q127" s="344"/>
      <c r="S127" s="469"/>
      <c r="AA127" s="36"/>
      <c r="AB127" s="193"/>
    </row>
    <row r="128" spans="1:28" outlineLevel="2" x14ac:dyDescent="0.25">
      <c r="A128" s="95">
        <f t="shared" si="37"/>
        <v>67</v>
      </c>
      <c r="B128" s="740" t="s">
        <v>347</v>
      </c>
      <c r="C128" s="489"/>
      <c r="D128" s="383" t="str">
        <f t="shared" si="54"/>
        <v>BVK</v>
      </c>
      <c r="E128" s="490">
        <v>133.374</v>
      </c>
      <c r="F128" s="95"/>
      <c r="G128" s="164">
        <f>IF(B128="","",IF(F128="",VLOOKUP(B128,Variabelen!A$47:D$58,4,FALSE),F128-G$49))</f>
        <v>-0.7</v>
      </c>
      <c r="H128" s="490">
        <f>IF(B128="","",VLOOKUP(B128,Variabelen!A$47:D$58,3,FALSE))</f>
        <v>80</v>
      </c>
      <c r="I128" s="196" t="str">
        <f t="shared" si="55"/>
        <v/>
      </c>
      <c r="J128" s="196">
        <f t="shared" si="56"/>
        <v>-0.74</v>
      </c>
      <c r="K128" s="196">
        <f t="shared" si="57"/>
        <v>-0.41586028575897194</v>
      </c>
      <c r="L128" s="196">
        <f t="shared" si="58"/>
        <v>0.59337450027465799</v>
      </c>
      <c r="M128" s="34" t="str">
        <f t="shared" si="59"/>
        <v/>
      </c>
      <c r="N128" s="196" t="str">
        <f>IF(B128="","",VLOOKUP(B128,Variabelen!A$47:D$58,2,FALSE))</f>
        <v>DATA</v>
      </c>
      <c r="O128" s="94">
        <v>70</v>
      </c>
      <c r="P128" s="490"/>
      <c r="Q128" s="344"/>
      <c r="S128" s="469"/>
      <c r="AA128" s="36"/>
      <c r="AB128" s="193"/>
    </row>
    <row r="129" spans="1:28" outlineLevel="2" x14ac:dyDescent="0.25">
      <c r="A129" s="95">
        <f t="shared" si="37"/>
        <v>68</v>
      </c>
      <c r="B129" s="740" t="s">
        <v>347</v>
      </c>
      <c r="C129" s="489"/>
      <c r="D129" s="383" t="str">
        <f t="shared" si="54"/>
        <v>BVK</v>
      </c>
      <c r="E129" s="490">
        <v>133.43899999999999</v>
      </c>
      <c r="F129" s="95"/>
      <c r="G129" s="164">
        <f>IF(B129="","",IF(F129="",VLOOKUP(B129,Variabelen!A$47:D$58,4,FALSE),F129-G$49))</f>
        <v>-0.7</v>
      </c>
      <c r="H129" s="490">
        <f>IF(B129="","",VLOOKUP(B129,Variabelen!A$47:D$58,3,FALSE))</f>
        <v>80</v>
      </c>
      <c r="I129" s="196" t="str">
        <f t="shared" si="55"/>
        <v/>
      </c>
      <c r="J129" s="196">
        <f t="shared" si="56"/>
        <v>-0.74</v>
      </c>
      <c r="K129" s="196">
        <f t="shared" si="57"/>
        <v>-0.41842137813568092</v>
      </c>
      <c r="L129" s="196">
        <f t="shared" si="58"/>
        <v>0.59081340789794901</v>
      </c>
      <c r="M129" s="34" t="str">
        <f t="shared" si="59"/>
        <v/>
      </c>
      <c r="N129" s="196" t="str">
        <f>IF(B129="","",VLOOKUP(B129,Variabelen!A$47:D$58,2,FALSE))</f>
        <v>DATA</v>
      </c>
      <c r="O129" s="94">
        <v>71</v>
      </c>
      <c r="P129" s="490"/>
      <c r="Q129" s="344"/>
      <c r="S129" s="469"/>
      <c r="AA129" s="36"/>
      <c r="AB129" s="193"/>
    </row>
    <row r="130" spans="1:28" outlineLevel="2" x14ac:dyDescent="0.25">
      <c r="A130" s="95">
        <f t="shared" si="37"/>
        <v>69</v>
      </c>
      <c r="B130" s="740" t="s">
        <v>342</v>
      </c>
      <c r="C130" s="489"/>
      <c r="D130" s="383" t="str">
        <f t="shared" si="54"/>
        <v>BVK</v>
      </c>
      <c r="E130" s="490">
        <v>139.05600000000001</v>
      </c>
      <c r="F130" s="95"/>
      <c r="G130" s="936">
        <v>-1</v>
      </c>
      <c r="H130" s="490">
        <f>IF(B130="","",VLOOKUP(B130,Variabelen!A$47:D$58,3,FALSE))</f>
        <v>80</v>
      </c>
      <c r="I130" s="196" t="str">
        <f t="shared" si="55"/>
        <v/>
      </c>
      <c r="J130" s="196">
        <f t="shared" si="56"/>
        <v>-1.04</v>
      </c>
      <c r="K130" s="196">
        <f t="shared" si="57"/>
        <v>-0.70104960441589292</v>
      </c>
      <c r="L130" s="196">
        <f t="shared" si="58"/>
        <v>0.308185181617737</v>
      </c>
      <c r="M130" s="34" t="str">
        <f t="shared" si="59"/>
        <v/>
      </c>
      <c r="N130" s="196" t="str">
        <f>IF(B130="","",VLOOKUP(B130,Variabelen!A$47:D$58,2,FALSE))</f>
        <v>LAAGSPANNING</v>
      </c>
      <c r="O130" s="94">
        <v>72</v>
      </c>
      <c r="P130" s="490"/>
      <c r="Q130" s="344"/>
      <c r="S130" s="469"/>
      <c r="AA130" s="36"/>
      <c r="AB130" s="193"/>
    </row>
    <row r="131" spans="1:28" outlineLevel="2" x14ac:dyDescent="0.25">
      <c r="A131" s="95">
        <f t="shared" si="37"/>
        <v>70</v>
      </c>
      <c r="B131" s="740" t="s">
        <v>342</v>
      </c>
      <c r="C131" s="935" t="s">
        <v>1337</v>
      </c>
      <c r="D131" s="383" t="str">
        <f t="shared" si="54"/>
        <v>BVK</v>
      </c>
      <c r="E131" s="490">
        <v>139.05699999999999</v>
      </c>
      <c r="F131" s="95"/>
      <c r="G131" s="936">
        <v>-1</v>
      </c>
      <c r="H131" s="937">
        <v>160</v>
      </c>
      <c r="I131" s="196" t="str">
        <f t="shared" si="55"/>
        <v/>
      </c>
      <c r="J131" s="196">
        <f t="shared" si="56"/>
        <v>-1.08</v>
      </c>
      <c r="K131" s="196">
        <f t="shared" si="57"/>
        <v>-0.74104960441589296</v>
      </c>
      <c r="L131" s="196">
        <f t="shared" si="58"/>
        <v>0.26818518161773697</v>
      </c>
      <c r="M131" s="34" t="str">
        <f t="shared" si="59"/>
        <v/>
      </c>
      <c r="N131" s="196" t="str">
        <f>IF(B131="","",VLOOKUP(B131,Variabelen!A$47:D$58,2,FALSE))</f>
        <v>LAAGSPANNING</v>
      </c>
      <c r="O131" s="94">
        <v>73</v>
      </c>
      <c r="P131" s="490"/>
      <c r="Q131" s="344"/>
      <c r="AA131" s="36"/>
      <c r="AB131" s="193"/>
    </row>
    <row r="132" spans="1:28" outlineLevel="2" x14ac:dyDescent="0.25">
      <c r="A132" s="95">
        <f t="shared" si="37"/>
        <v>71</v>
      </c>
      <c r="B132" s="740" t="s">
        <v>370</v>
      </c>
      <c r="C132" s="489"/>
      <c r="D132" s="383" t="str">
        <f t="shared" si="54"/>
        <v>BVK</v>
      </c>
      <c r="E132" s="490">
        <v>139.56299999999999</v>
      </c>
      <c r="F132" s="95"/>
      <c r="G132" s="164">
        <f>IF(B132="","",IF(F132="",VLOOKUP(B132,Variabelen!A$47:D$58,4,FALSE),F132-G$49))</f>
        <v>-0.8</v>
      </c>
      <c r="H132" s="490">
        <f>IF(B132="","",VLOOKUP(B132,Variabelen!A$47:D$58,3,FALSE))</f>
        <v>120</v>
      </c>
      <c r="I132" s="196" t="str">
        <f t="shared" si="55"/>
        <v/>
      </c>
      <c r="J132" s="196">
        <f t="shared" si="56"/>
        <v>-0.86</v>
      </c>
      <c r="K132" s="196">
        <f t="shared" si="57"/>
        <v>-0.49938748836517288</v>
      </c>
      <c r="L132" s="196">
        <f t="shared" si="58"/>
        <v>0.50984729766845704</v>
      </c>
      <c r="M132" s="34" t="str">
        <f t="shared" si="59"/>
        <v/>
      </c>
      <c r="N132" s="196" t="str">
        <f>IF(B132="","",VLOOKUP(B132,Variabelen!A$47:D$58,2,FALSE))</f>
        <v>MIDDENSPANNING</v>
      </c>
      <c r="O132" s="94">
        <v>74</v>
      </c>
      <c r="P132" s="490"/>
      <c r="Q132" s="344"/>
      <c r="AA132" s="36"/>
      <c r="AB132" s="193"/>
    </row>
    <row r="133" spans="1:28" outlineLevel="2" x14ac:dyDescent="0.25">
      <c r="A133" s="95">
        <f t="shared" si="37"/>
        <v>72</v>
      </c>
      <c r="B133" s="740" t="s">
        <v>347</v>
      </c>
      <c r="C133" s="489"/>
      <c r="D133" s="383" t="str">
        <f t="shared" si="54"/>
        <v>BVK</v>
      </c>
      <c r="E133" s="490">
        <v>141.55000000000001</v>
      </c>
      <c r="F133" s="95"/>
      <c r="G133" s="164">
        <f>IF(B133="","",IF(F133="",VLOOKUP(B133,Variabelen!A$47:D$58,4,FALSE),F133-G$49))</f>
        <v>-0.7</v>
      </c>
      <c r="H133" s="490">
        <f>IF(B133="","",VLOOKUP(B133,Variabelen!A$47:D$58,3,FALSE))</f>
        <v>80</v>
      </c>
      <c r="I133" s="196" t="str">
        <f t="shared" si="55"/>
        <v/>
      </c>
      <c r="J133" s="196">
        <f t="shared" si="56"/>
        <v>-0.74</v>
      </c>
      <c r="K133" s="196">
        <f t="shared" si="57"/>
        <v>-0.39155017375946</v>
      </c>
      <c r="L133" s="196">
        <f t="shared" si="58"/>
        <v>0.61768461227416993</v>
      </c>
      <c r="M133" s="34" t="str">
        <f t="shared" si="59"/>
        <v/>
      </c>
      <c r="N133" s="196" t="str">
        <f>IF(B133="","",VLOOKUP(B133,Variabelen!A$47:D$58,2,FALSE))</f>
        <v>DATA</v>
      </c>
      <c r="O133" s="94">
        <v>75</v>
      </c>
      <c r="P133" s="490"/>
      <c r="Q133" s="344"/>
      <c r="AA133" s="36"/>
      <c r="AB133" s="193"/>
    </row>
    <row r="134" spans="1:28" outlineLevel="2" x14ac:dyDescent="0.25">
      <c r="A134" s="95">
        <f t="shared" si="37"/>
        <v>73</v>
      </c>
      <c r="B134" s="740" t="s">
        <v>347</v>
      </c>
      <c r="C134" s="489"/>
      <c r="D134" s="383" t="str">
        <f t="shared" si="54"/>
        <v>BVK</v>
      </c>
      <c r="E134" s="490">
        <v>141.65899999999999</v>
      </c>
      <c r="F134" s="95"/>
      <c r="G134" s="164">
        <f>IF(B134="","",IF(F134="",VLOOKUP(B134,Variabelen!A$47:D$58,4,FALSE),F134-G$49))</f>
        <v>-0.7</v>
      </c>
      <c r="H134" s="490">
        <f>IF(B134="","",VLOOKUP(B134,Variabelen!A$47:D$58,3,FALSE))</f>
        <v>80</v>
      </c>
      <c r="I134" s="196" t="str">
        <f t="shared" si="55"/>
        <v/>
      </c>
      <c r="J134" s="196">
        <f t="shared" si="56"/>
        <v>-0.74</v>
      </c>
      <c r="K134" s="196">
        <f t="shared" si="57"/>
        <v>-0.39155017375946</v>
      </c>
      <c r="L134" s="196">
        <f t="shared" si="58"/>
        <v>0.61768461227416993</v>
      </c>
      <c r="M134" s="34" t="str">
        <f t="shared" si="59"/>
        <v/>
      </c>
      <c r="N134" s="196" t="str">
        <f>IF(B134="","",VLOOKUP(B134,Variabelen!A$47:D$58,2,FALSE))</f>
        <v>DATA</v>
      </c>
      <c r="O134" s="94">
        <v>76</v>
      </c>
      <c r="P134" s="490"/>
      <c r="Q134" s="344"/>
      <c r="AA134" s="36"/>
      <c r="AB134" s="193"/>
    </row>
    <row r="135" spans="1:28" outlineLevel="2" x14ac:dyDescent="0.25">
      <c r="A135" s="95">
        <f t="shared" si="37"/>
        <v>74</v>
      </c>
      <c r="B135" s="740" t="s">
        <v>342</v>
      </c>
      <c r="C135" s="489"/>
      <c r="D135" s="383" t="str">
        <f t="shared" si="54"/>
        <v>BVK</v>
      </c>
      <c r="E135" s="490">
        <v>141.721</v>
      </c>
      <c r="F135" s="95"/>
      <c r="G135" s="164">
        <f>IF(B135="","",IF(F135="",VLOOKUP(B135,Variabelen!A$47:D$58,4,FALSE),F135-G$49))</f>
        <v>-0.7</v>
      </c>
      <c r="H135" s="490">
        <f>IF(B135="","",VLOOKUP(B135,Variabelen!A$47:D$58,3,FALSE))</f>
        <v>80</v>
      </c>
      <c r="I135" s="196" t="str">
        <f t="shared" si="55"/>
        <v/>
      </c>
      <c r="J135" s="196">
        <f t="shared" si="56"/>
        <v>-0.74</v>
      </c>
      <c r="K135" s="196">
        <f t="shared" si="57"/>
        <v>-0.39155017375946</v>
      </c>
      <c r="L135" s="196">
        <f t="shared" si="58"/>
        <v>0.61768461227416993</v>
      </c>
      <c r="M135" s="34" t="str">
        <f t="shared" si="59"/>
        <v/>
      </c>
      <c r="N135" s="196" t="str">
        <f>IF(B135="","",VLOOKUP(B135,Variabelen!A$47:D$58,2,FALSE))</f>
        <v>LAAGSPANNING</v>
      </c>
      <c r="O135" s="94">
        <v>77</v>
      </c>
      <c r="P135" s="490"/>
      <c r="Q135" s="344"/>
      <c r="AA135" s="36"/>
      <c r="AB135" s="193"/>
    </row>
    <row r="136" spans="1:28" outlineLevel="2" x14ac:dyDescent="0.25">
      <c r="A136" s="95">
        <f t="shared" si="37"/>
        <v>75</v>
      </c>
      <c r="B136" s="740" t="s">
        <v>342</v>
      </c>
      <c r="C136" s="489"/>
      <c r="D136" s="383" t="str">
        <f t="shared" si="54"/>
        <v>BVK</v>
      </c>
      <c r="E136" s="490">
        <v>141.79300000000001</v>
      </c>
      <c r="F136" s="95"/>
      <c r="G136" s="164">
        <f>IF(B136="","",IF(F136="",VLOOKUP(B136,Variabelen!A$47:D$58,4,FALSE),F136-G$49))</f>
        <v>-0.7</v>
      </c>
      <c r="H136" s="490">
        <f>IF(B136="","",VLOOKUP(B136,Variabelen!A$47:D$58,3,FALSE))</f>
        <v>80</v>
      </c>
      <c r="I136" s="196" t="str">
        <f t="shared" si="55"/>
        <v/>
      </c>
      <c r="J136" s="196">
        <f t="shared" si="56"/>
        <v>-0.74</v>
      </c>
      <c r="K136" s="196">
        <f t="shared" si="57"/>
        <v>-0.39155017375946</v>
      </c>
      <c r="L136" s="196">
        <f t="shared" si="58"/>
        <v>0.61768461227416993</v>
      </c>
      <c r="M136" s="34" t="str">
        <f t="shared" si="59"/>
        <v/>
      </c>
      <c r="N136" s="196" t="str">
        <f>IF(B136="","",VLOOKUP(B136,Variabelen!A$47:D$58,2,FALSE))</f>
        <v>LAAGSPANNING</v>
      </c>
      <c r="O136" s="94">
        <v>78</v>
      </c>
      <c r="P136" s="490"/>
      <c r="Q136" s="344"/>
      <c r="S136" s="469"/>
      <c r="AA136" s="36"/>
      <c r="AB136" s="193"/>
    </row>
    <row r="137" spans="1:28" outlineLevel="2" x14ac:dyDescent="0.25">
      <c r="A137" s="95">
        <f t="shared" si="37"/>
        <v>76</v>
      </c>
      <c r="B137" s="740" t="s">
        <v>346</v>
      </c>
      <c r="C137" s="489"/>
      <c r="D137" s="383" t="str">
        <f t="shared" si="54"/>
        <v>BVK</v>
      </c>
      <c r="E137" s="490">
        <v>142.07900000000001</v>
      </c>
      <c r="F137" s="95"/>
      <c r="G137" s="164">
        <f>IF(B137="","",IF(F137="",VLOOKUP(B137,Variabelen!A$47:D$58,4,FALSE),F137-G$49))</f>
        <v>-0.7</v>
      </c>
      <c r="H137" s="490">
        <f>IF(B137="","",VLOOKUP(B137,Variabelen!A$47:D$58,3,FALSE))</f>
        <v>120</v>
      </c>
      <c r="I137" s="196" t="str">
        <f t="shared" si="55"/>
        <v/>
      </c>
      <c r="J137" s="196">
        <f t="shared" si="56"/>
        <v>-0.76</v>
      </c>
      <c r="K137" s="196">
        <f t="shared" si="57"/>
        <v>-0.42230499744415195</v>
      </c>
      <c r="L137" s="196">
        <f t="shared" si="58"/>
        <v>0.58692978858947797</v>
      </c>
      <c r="M137" s="34" t="str">
        <f t="shared" si="59"/>
        <v/>
      </c>
      <c r="N137" s="196" t="str">
        <f>IF(B137="","",VLOOKUP(B137,Variabelen!A$47:D$58,2,FALSE))</f>
        <v>LD-GAS</v>
      </c>
      <c r="O137" s="94">
        <v>79</v>
      </c>
      <c r="P137" s="490"/>
      <c r="Q137" s="344"/>
      <c r="S137" s="469"/>
      <c r="AA137" s="36"/>
      <c r="AB137" s="193"/>
    </row>
    <row r="138" spans="1:28" outlineLevel="2" x14ac:dyDescent="0.25">
      <c r="A138" s="95">
        <f t="shared" si="37"/>
        <v>77</v>
      </c>
      <c r="B138" s="740" t="s">
        <v>342</v>
      </c>
      <c r="C138" s="489"/>
      <c r="D138" s="383" t="str">
        <f t="shared" si="54"/>
        <v>BVK</v>
      </c>
      <c r="E138" s="490">
        <v>142.43799999999999</v>
      </c>
      <c r="F138" s="95"/>
      <c r="G138" s="164">
        <f>IF(B138="","",IF(F138="",VLOOKUP(B138,Variabelen!A$47:D$58,4,FALSE),F138-G$49))</f>
        <v>-0.7</v>
      </c>
      <c r="H138" s="490">
        <f>IF(B138="","",VLOOKUP(B138,Variabelen!A$47:D$58,3,FALSE))</f>
        <v>80</v>
      </c>
      <c r="I138" s="196" t="str">
        <f t="shared" si="55"/>
        <v/>
      </c>
      <c r="J138" s="196">
        <f t="shared" si="56"/>
        <v>-0.74</v>
      </c>
      <c r="K138" s="196">
        <f t="shared" si="57"/>
        <v>-0.41156982421874999</v>
      </c>
      <c r="L138" s="196">
        <f t="shared" si="58"/>
        <v>0.59766496181487994</v>
      </c>
      <c r="M138" s="34" t="str">
        <f t="shared" si="59"/>
        <v/>
      </c>
      <c r="N138" s="196" t="str">
        <f>IF(B138="","",VLOOKUP(B138,Variabelen!A$47:D$58,2,FALSE))</f>
        <v>LAAGSPANNING</v>
      </c>
      <c r="O138" s="94">
        <v>80</v>
      </c>
      <c r="P138" s="490"/>
      <c r="Q138" s="344"/>
      <c r="S138" s="469"/>
      <c r="AA138" s="36"/>
      <c r="AB138" s="193"/>
    </row>
    <row r="139" spans="1:28" outlineLevel="2" x14ac:dyDescent="0.25">
      <c r="A139" s="95">
        <f t="shared" si="37"/>
        <v>78</v>
      </c>
      <c r="B139" s="740" t="s">
        <v>347</v>
      </c>
      <c r="C139" s="489"/>
      <c r="D139" s="383" t="str">
        <f t="shared" si="54"/>
        <v>BVK</v>
      </c>
      <c r="E139" s="490">
        <v>142.64400000000001</v>
      </c>
      <c r="F139" s="95"/>
      <c r="G139" s="164">
        <f>IF(B139="","",IF(F139="",VLOOKUP(B139,Variabelen!A$47:D$58,4,FALSE),F139-G$49))</f>
        <v>-0.7</v>
      </c>
      <c r="H139" s="490">
        <f>IF(B139="","",VLOOKUP(B139,Variabelen!A$47:D$58,3,FALSE))</f>
        <v>80</v>
      </c>
      <c r="I139" s="196" t="str">
        <f t="shared" si="55"/>
        <v/>
      </c>
      <c r="J139" s="196">
        <f t="shared" si="56"/>
        <v>-0.74</v>
      </c>
      <c r="K139" s="196">
        <f t="shared" si="57"/>
        <v>-0.42052113056182794</v>
      </c>
      <c r="L139" s="196">
        <f t="shared" si="58"/>
        <v>0.58871365547180199</v>
      </c>
      <c r="M139" s="34" t="str">
        <f t="shared" si="59"/>
        <v/>
      </c>
      <c r="N139" s="196" t="str">
        <f>IF(B139="","",VLOOKUP(B139,Variabelen!A$47:D$58,2,FALSE))</f>
        <v>DATA</v>
      </c>
      <c r="O139" s="94">
        <v>81</v>
      </c>
      <c r="P139" s="490"/>
      <c r="Q139" s="344"/>
      <c r="S139" s="469"/>
      <c r="AA139" s="36"/>
      <c r="AB139" s="193"/>
    </row>
    <row r="140" spans="1:28" outlineLevel="2" x14ac:dyDescent="0.25">
      <c r="A140" s="95">
        <f t="shared" si="37"/>
        <v>79</v>
      </c>
      <c r="B140" s="740" t="s">
        <v>342</v>
      </c>
      <c r="C140" s="489"/>
      <c r="D140" s="383" t="str">
        <f t="shared" si="54"/>
        <v>BVK</v>
      </c>
      <c r="E140" s="490">
        <v>143.952</v>
      </c>
      <c r="F140" s="95"/>
      <c r="G140" s="164">
        <f>IF(B140="","",IF(F140="",VLOOKUP(B140,Variabelen!A$47:D$58,4,FALSE),F140-G$49))</f>
        <v>-0.7</v>
      </c>
      <c r="H140" s="490">
        <f>IF(B140="","",VLOOKUP(B140,Variabelen!A$47:D$58,3,FALSE))</f>
        <v>80</v>
      </c>
      <c r="I140" s="196" t="str">
        <f t="shared" si="55"/>
        <v/>
      </c>
      <c r="J140" s="196">
        <f t="shared" si="56"/>
        <v>-0.74</v>
      </c>
      <c r="K140" s="196">
        <f t="shared" si="57"/>
        <v>-0.44467162132263094</v>
      </c>
      <c r="L140" s="196">
        <f t="shared" si="58"/>
        <v>0.56456316471099899</v>
      </c>
      <c r="M140" s="34" t="str">
        <f t="shared" si="59"/>
        <v/>
      </c>
      <c r="N140" s="196" t="str">
        <f>IF(B140="","",VLOOKUP(B140,Variabelen!A$47:D$58,2,FALSE))</f>
        <v>LAAGSPANNING</v>
      </c>
      <c r="O140" s="94">
        <v>82</v>
      </c>
      <c r="P140" s="490"/>
      <c r="Q140" s="344"/>
      <c r="S140" s="469"/>
      <c r="AA140" s="36"/>
      <c r="AB140" s="193"/>
    </row>
    <row r="141" spans="1:28" outlineLevel="2" x14ac:dyDescent="0.25">
      <c r="A141" s="95">
        <f t="shared" si="37"/>
        <v>80</v>
      </c>
      <c r="B141" s="740" t="s">
        <v>356</v>
      </c>
      <c r="C141" s="489"/>
      <c r="D141" s="383" t="str">
        <f t="shared" si="54"/>
        <v>BOB</v>
      </c>
      <c r="E141" s="490">
        <v>147.47</v>
      </c>
      <c r="F141" s="95">
        <v>-0.1</v>
      </c>
      <c r="G141" s="164">
        <f>IF(B141="","",IF(F141="",VLOOKUP(B141,Variabelen!A$47:D$58,4,FALSE),F141-G$49))</f>
        <v>-1.10923478603363</v>
      </c>
      <c r="H141" s="490">
        <f>IF(B141="","",VLOOKUP(B141,Variabelen!A$47:D$58,3,FALSE))</f>
        <v>400</v>
      </c>
      <c r="I141" s="196">
        <f t="shared" si="55"/>
        <v>300</v>
      </c>
      <c r="J141" s="196">
        <f t="shared" si="56"/>
        <v>-0.96</v>
      </c>
      <c r="K141" s="196">
        <f t="shared" si="57"/>
        <v>-0.96</v>
      </c>
      <c r="L141" s="196">
        <f t="shared" si="58"/>
        <v>4.9234786033629963E-2</v>
      </c>
      <c r="M141" s="34" t="str">
        <f t="shared" si="59"/>
        <v/>
      </c>
      <c r="N141" s="196" t="str">
        <f>IF(B141="","",VLOOKUP(B141,Variabelen!A$47:D$58,2,FALSE))</f>
        <v>RIOOL-VRIJVERVAL</v>
      </c>
      <c r="O141" s="94">
        <v>83</v>
      </c>
      <c r="P141" s="490"/>
      <c r="Q141" s="344"/>
      <c r="S141" s="469"/>
      <c r="AA141" s="36"/>
      <c r="AB141" s="193"/>
    </row>
    <row r="142" spans="1:28" outlineLevel="2" x14ac:dyDescent="0.25">
      <c r="A142" s="95">
        <f t="shared" si="37"/>
        <v>81</v>
      </c>
      <c r="B142" s="740" t="s">
        <v>342</v>
      </c>
      <c r="C142" s="489"/>
      <c r="D142" s="383" t="str">
        <f t="shared" si="54"/>
        <v>BVK</v>
      </c>
      <c r="E142" s="490">
        <v>151.73500000000001</v>
      </c>
      <c r="F142" s="95"/>
      <c r="G142" s="164">
        <f>IF(B142="","",IF(F142="",VLOOKUP(B142,Variabelen!A$47:D$58,4,FALSE),F142-G$49))</f>
        <v>-0.7</v>
      </c>
      <c r="H142" s="490">
        <f>IF(B142="","",VLOOKUP(B142,Variabelen!A$47:D$58,3,FALSE))</f>
        <v>80</v>
      </c>
      <c r="I142" s="196" t="str">
        <f t="shared" si="55"/>
        <v/>
      </c>
      <c r="J142" s="196">
        <f t="shared" si="56"/>
        <v>-0.74</v>
      </c>
      <c r="K142" s="196">
        <f t="shared" si="57"/>
        <v>-0.4845673942565909</v>
      </c>
      <c r="L142" s="196">
        <f t="shared" si="58"/>
        <v>0.52466739177703903</v>
      </c>
      <c r="M142" s="34" t="str">
        <f t="shared" si="59"/>
        <v/>
      </c>
      <c r="N142" s="196" t="str">
        <f>IF(B142="","",VLOOKUP(B142,Variabelen!A$47:D$58,2,FALSE))</f>
        <v>LAAGSPANNING</v>
      </c>
      <c r="O142" s="94">
        <v>84</v>
      </c>
      <c r="P142" s="490"/>
      <c r="Q142" s="344"/>
      <c r="S142" s="469"/>
      <c r="AA142" s="36"/>
      <c r="AB142" s="193"/>
    </row>
    <row r="143" spans="1:28" outlineLevel="2" x14ac:dyDescent="0.25">
      <c r="A143" s="95">
        <f t="shared" si="37"/>
        <v>82</v>
      </c>
      <c r="B143" s="740" t="s">
        <v>342</v>
      </c>
      <c r="C143" s="489"/>
      <c r="D143" s="383" t="str">
        <f t="shared" si="54"/>
        <v>BVK</v>
      </c>
      <c r="E143" s="490">
        <v>183.352</v>
      </c>
      <c r="F143" s="95"/>
      <c r="G143" s="164">
        <f>IF(B143="","",IF(F143="",VLOOKUP(B143,Variabelen!A$47:D$58,4,FALSE),F143-G$49))</f>
        <v>-0.7</v>
      </c>
      <c r="H143" s="490">
        <f>IF(B143="","",VLOOKUP(B143,Variabelen!A$47:D$58,3,FALSE))</f>
        <v>80</v>
      </c>
      <c r="I143" s="196" t="str">
        <f t="shared" si="55"/>
        <v/>
      </c>
      <c r="J143" s="196">
        <f t="shared" si="56"/>
        <v>-0.74</v>
      </c>
      <c r="K143" s="196">
        <f t="shared" si="57"/>
        <v>-0.44989394187927201</v>
      </c>
      <c r="L143" s="196">
        <f t="shared" si="58"/>
        <v>0.55934084415435792</v>
      </c>
      <c r="M143" s="34" t="str">
        <f t="shared" si="59"/>
        <v/>
      </c>
      <c r="N143" s="196" t="str">
        <f>IF(B143="","",VLOOKUP(B143,Variabelen!A$47:D$58,2,FALSE))</f>
        <v>LAAGSPANNING</v>
      </c>
      <c r="O143" s="94">
        <v>85</v>
      </c>
      <c r="P143" s="490"/>
      <c r="Q143" s="344"/>
      <c r="S143" s="469"/>
      <c r="AA143" s="36"/>
      <c r="AB143" s="193"/>
    </row>
    <row r="144" spans="1:28" outlineLevel="2" x14ac:dyDescent="0.25">
      <c r="A144" s="95">
        <f t="shared" si="37"/>
        <v>83</v>
      </c>
      <c r="B144" s="973" t="s">
        <v>692</v>
      </c>
      <c r="C144" s="972" t="s">
        <v>1340</v>
      </c>
      <c r="D144" s="383" t="str">
        <f t="shared" ref="D144:D197" si="60">IF(B144="","",IF(B144="RV","BOB","BVK"))</f>
        <v>BVK</v>
      </c>
      <c r="E144" s="490">
        <v>166.2313</v>
      </c>
      <c r="F144" s="936">
        <v>-4.82</v>
      </c>
      <c r="G144" s="164">
        <f>IF(B144="","",IF(F144="",VLOOKUP(B144,Variabelen!A$47:D$58,4,FALSE),F144-G$49))</f>
        <v>-5.8292347860336307</v>
      </c>
      <c r="H144" s="937">
        <v>160</v>
      </c>
      <c r="I144" s="196" t="str">
        <f t="shared" ref="I144:I197" si="61">IF(D144="BOB",0.75*H144,"")</f>
        <v/>
      </c>
      <c r="J144" s="196">
        <f t="shared" ref="J144:J197" si="62">IF(B144="","",ROUND(IF(D144="BOB",G144+(0.5*I144/1000),IF(D144="BVK",G144-(0.5*H144/1000),"FOUT")),2))</f>
        <v>-5.91</v>
      </c>
      <c r="K144" s="196">
        <f t="shared" ref="K144:K197" si="63">IF(B144="","",IF(AND(D144="BVK",F144=""),J144+VLOOKUP(E144,K$290:L$1291,2,TRUE)-G$49,IF(F144&lt;&gt;"",J144,"CHECK BVK of BOB!!!")))</f>
        <v>-5.91</v>
      </c>
      <c r="L144" s="196">
        <f t="shared" ref="L144:L197" si="64">IF(B144="","",G$49+K144)</f>
        <v>-4.9007652139663698</v>
      </c>
      <c r="M144" s="34" t="str">
        <f t="shared" ref="M144:M197" si="65">IF(P144="","",M$43+P144+Q144)</f>
        <v/>
      </c>
      <c r="N144" s="196" t="str">
        <f>IF(B144="","",VLOOKUP(B144,Variabelen!A$47:D$58,2,FALSE))</f>
        <v>HOOGSPANNING</v>
      </c>
      <c r="O144" s="94">
        <v>86</v>
      </c>
      <c r="P144" s="490"/>
      <c r="Q144" s="344"/>
      <c r="S144" s="469"/>
      <c r="AA144" s="36"/>
      <c r="AB144" s="193"/>
    </row>
    <row r="145" spans="1:28" outlineLevel="2" x14ac:dyDescent="0.25">
      <c r="A145" s="95">
        <f t="shared" si="37"/>
        <v>84</v>
      </c>
      <c r="B145" s="740" t="s">
        <v>347</v>
      </c>
      <c r="C145" s="489"/>
      <c r="D145" s="383" t="str">
        <f t="shared" si="60"/>
        <v>BVK</v>
      </c>
      <c r="E145" s="490">
        <v>183.874</v>
      </c>
      <c r="F145" s="95"/>
      <c r="G145" s="164">
        <f>IF(B145="","",IF(F145="",VLOOKUP(B145,Variabelen!A$47:D$58,4,FALSE),F145-G$49))</f>
        <v>-0.7</v>
      </c>
      <c r="H145" s="490">
        <f>IF(B145="","",VLOOKUP(B145,Variabelen!A$47:D$58,3,FALSE))</f>
        <v>80</v>
      </c>
      <c r="I145" s="196" t="str">
        <f t="shared" si="61"/>
        <v/>
      </c>
      <c r="J145" s="196">
        <f t="shared" si="62"/>
        <v>-0.74</v>
      </c>
      <c r="K145" s="196">
        <f t="shared" si="63"/>
        <v>-0.45660363674163795</v>
      </c>
      <c r="L145" s="196">
        <f t="shared" si="64"/>
        <v>0.55263114929199197</v>
      </c>
      <c r="M145" s="34" t="str">
        <f t="shared" si="65"/>
        <v/>
      </c>
      <c r="N145" s="196" t="str">
        <f>IF(B145="","",VLOOKUP(B145,Variabelen!A$47:D$58,2,FALSE))</f>
        <v>DATA</v>
      </c>
      <c r="O145" s="94">
        <v>87</v>
      </c>
      <c r="P145" s="490"/>
      <c r="Q145" s="344"/>
      <c r="S145" s="469"/>
      <c r="AA145" s="36"/>
      <c r="AB145" s="193"/>
    </row>
    <row r="146" spans="1:28" outlineLevel="2" x14ac:dyDescent="0.25">
      <c r="A146" s="95">
        <f t="shared" si="37"/>
        <v>85</v>
      </c>
      <c r="B146" s="740" t="s">
        <v>347</v>
      </c>
      <c r="C146" s="489"/>
      <c r="D146" s="383" t="str">
        <f t="shared" si="60"/>
        <v>BVK</v>
      </c>
      <c r="E146" s="490">
        <v>183.96</v>
      </c>
      <c r="F146" s="95"/>
      <c r="G146" s="164">
        <f>IF(B146="","",IF(F146="",VLOOKUP(B146,Variabelen!A$47:D$58,4,FALSE),F146-G$49))</f>
        <v>-0.7</v>
      </c>
      <c r="H146" s="490">
        <f>IF(B146="","",VLOOKUP(B146,Variabelen!A$47:D$58,3,FALSE))</f>
        <v>80</v>
      </c>
      <c r="I146" s="196" t="str">
        <f t="shared" si="61"/>
        <v/>
      </c>
      <c r="J146" s="196">
        <f t="shared" si="62"/>
        <v>-0.74</v>
      </c>
      <c r="K146" s="196">
        <f t="shared" si="63"/>
        <v>-0.45536254882812499</v>
      </c>
      <c r="L146" s="196">
        <f t="shared" si="64"/>
        <v>0.55387223720550494</v>
      </c>
      <c r="M146" s="34" t="str">
        <f t="shared" si="65"/>
        <v/>
      </c>
      <c r="N146" s="196" t="str">
        <f>IF(B146="","",VLOOKUP(B146,Variabelen!A$47:D$58,2,FALSE))</f>
        <v>DATA</v>
      </c>
      <c r="O146" s="94">
        <v>88</v>
      </c>
      <c r="P146" s="490"/>
      <c r="Q146" s="344"/>
      <c r="S146" s="469"/>
      <c r="AA146" s="36"/>
      <c r="AB146" s="193"/>
    </row>
    <row r="147" spans="1:28" outlineLevel="2" x14ac:dyDescent="0.25">
      <c r="A147" s="95">
        <f t="shared" si="37"/>
        <v>86</v>
      </c>
      <c r="B147" s="740" t="s">
        <v>356</v>
      </c>
      <c r="C147" s="489"/>
      <c r="D147" s="383" t="str">
        <f t="shared" si="60"/>
        <v>BOB</v>
      </c>
      <c r="E147" s="490">
        <v>188.80500000000001</v>
      </c>
      <c r="F147" s="95">
        <v>-0.2</v>
      </c>
      <c r="G147" s="164">
        <f>IF(B147="","",IF(F147="",VLOOKUP(B147,Variabelen!A$47:D$58,4,FALSE),F147-G$49))</f>
        <v>-1.2092347860336299</v>
      </c>
      <c r="H147" s="937">
        <v>600</v>
      </c>
      <c r="I147" s="196">
        <f t="shared" si="61"/>
        <v>450</v>
      </c>
      <c r="J147" s="196">
        <f t="shared" si="62"/>
        <v>-0.98</v>
      </c>
      <c r="K147" s="196">
        <f t="shared" si="63"/>
        <v>-0.98</v>
      </c>
      <c r="L147" s="196">
        <f t="shared" si="64"/>
        <v>2.9234786033629945E-2</v>
      </c>
      <c r="M147" s="34" t="str">
        <f t="shared" si="65"/>
        <v/>
      </c>
      <c r="N147" s="196" t="str">
        <f>IF(B147="","",VLOOKUP(B147,Variabelen!A$47:D$58,2,FALSE))</f>
        <v>RIOOL-VRIJVERVAL</v>
      </c>
      <c r="O147" s="94">
        <v>89</v>
      </c>
      <c r="P147" s="490"/>
      <c r="Q147" s="344"/>
      <c r="S147" s="469"/>
      <c r="AA147" s="36"/>
      <c r="AB147" s="193"/>
    </row>
    <row r="148" spans="1:28" outlineLevel="2" x14ac:dyDescent="0.25">
      <c r="A148" s="95">
        <f t="shared" si="37"/>
        <v>87</v>
      </c>
      <c r="B148" s="740" t="s">
        <v>342</v>
      </c>
      <c r="C148" s="489"/>
      <c r="D148" s="383" t="str">
        <f t="shared" si="60"/>
        <v>BVK</v>
      </c>
      <c r="E148" s="490">
        <v>193.12700000000001</v>
      </c>
      <c r="F148" s="95"/>
      <c r="G148" s="164">
        <f>IF(B148="","",IF(F148="",VLOOKUP(B148,Variabelen!A$47:D$58,4,FALSE),F148-G$49))</f>
        <v>-0.7</v>
      </c>
      <c r="H148" s="490">
        <f>IF(B148="","",VLOOKUP(B148,Variabelen!A$47:D$58,3,FALSE))</f>
        <v>80</v>
      </c>
      <c r="I148" s="196" t="str">
        <f t="shared" si="61"/>
        <v/>
      </c>
      <c r="J148" s="196">
        <f t="shared" si="62"/>
        <v>-0.74</v>
      </c>
      <c r="K148" s="196">
        <f t="shared" si="63"/>
        <v>-0.48674296379089288</v>
      </c>
      <c r="L148" s="196">
        <f t="shared" si="64"/>
        <v>0.52249182224273705</v>
      </c>
      <c r="M148" s="34" t="str">
        <f t="shared" si="65"/>
        <v/>
      </c>
      <c r="N148" s="196" t="str">
        <f>IF(B148="","",VLOOKUP(B148,Variabelen!A$47:D$58,2,FALSE))</f>
        <v>LAAGSPANNING</v>
      </c>
      <c r="O148" s="94">
        <v>90</v>
      </c>
      <c r="P148" s="490"/>
      <c r="Q148" s="344"/>
      <c r="S148" s="469"/>
      <c r="AA148" s="36"/>
      <c r="AB148" s="193"/>
    </row>
    <row r="149" spans="1:28" outlineLevel="2" x14ac:dyDescent="0.25">
      <c r="A149" s="95">
        <f t="shared" si="37"/>
        <v>88</v>
      </c>
      <c r="B149" s="740" t="s">
        <v>342</v>
      </c>
      <c r="C149" s="489"/>
      <c r="D149" s="383" t="str">
        <f t="shared" si="60"/>
        <v>BVK</v>
      </c>
      <c r="E149" s="490">
        <v>195.87899999999999</v>
      </c>
      <c r="F149" s="95"/>
      <c r="G149" s="164">
        <f>IF(B149="","",IF(F149="",VLOOKUP(B149,Variabelen!A$47:D$58,4,FALSE),F149-G$49))</f>
        <v>-0.7</v>
      </c>
      <c r="H149" s="490">
        <f>IF(B149="","",VLOOKUP(B149,Variabelen!A$47:D$58,3,FALSE))</f>
        <v>80</v>
      </c>
      <c r="I149" s="196" t="str">
        <f t="shared" si="61"/>
        <v/>
      </c>
      <c r="J149" s="196">
        <f t="shared" si="62"/>
        <v>-0.74</v>
      </c>
      <c r="K149" s="196">
        <f t="shared" si="63"/>
        <v>-0.46309613227844193</v>
      </c>
      <c r="L149" s="196">
        <f t="shared" si="64"/>
        <v>0.546138653755188</v>
      </c>
      <c r="M149" s="34" t="str">
        <f t="shared" si="65"/>
        <v/>
      </c>
      <c r="N149" s="196" t="str">
        <f>IF(B149="","",VLOOKUP(B149,Variabelen!A$47:D$58,2,FALSE))</f>
        <v>LAAGSPANNING</v>
      </c>
      <c r="O149" s="94">
        <v>91</v>
      </c>
      <c r="P149" s="490"/>
      <c r="Q149" s="344"/>
      <c r="S149" s="469"/>
      <c r="AA149" s="36"/>
      <c r="AB149" s="193"/>
    </row>
    <row r="150" spans="1:28" outlineLevel="2" x14ac:dyDescent="0.25">
      <c r="A150" s="95">
        <f t="shared" si="37"/>
        <v>89</v>
      </c>
      <c r="B150" s="740" t="s">
        <v>342</v>
      </c>
      <c r="C150" s="489"/>
      <c r="D150" s="383" t="str">
        <f t="shared" si="60"/>
        <v>BVK</v>
      </c>
      <c r="E150" s="490">
        <v>195.881</v>
      </c>
      <c r="F150" s="95"/>
      <c r="G150" s="164">
        <f>IF(B150="","",IF(F150="",VLOOKUP(B150,Variabelen!A$47:D$58,4,FALSE),F150-G$49))</f>
        <v>-0.7</v>
      </c>
      <c r="H150" s="490">
        <f>IF(B150="","",VLOOKUP(B150,Variabelen!A$47:D$58,3,FALSE))</f>
        <v>80</v>
      </c>
      <c r="I150" s="196" t="str">
        <f t="shared" si="61"/>
        <v/>
      </c>
      <c r="J150" s="196">
        <f t="shared" si="62"/>
        <v>-0.74</v>
      </c>
      <c r="K150" s="196">
        <f t="shared" si="63"/>
        <v>-0.46309613227844193</v>
      </c>
      <c r="L150" s="196">
        <f t="shared" si="64"/>
        <v>0.546138653755188</v>
      </c>
      <c r="M150" s="34" t="str">
        <f t="shared" si="65"/>
        <v/>
      </c>
      <c r="N150" s="196" t="str">
        <f>IF(B150="","",VLOOKUP(B150,Variabelen!A$47:D$58,2,FALSE))</f>
        <v>LAAGSPANNING</v>
      </c>
      <c r="O150" s="94">
        <v>92</v>
      </c>
      <c r="P150" s="490"/>
      <c r="Q150" s="344"/>
      <c r="S150" s="469"/>
      <c r="AA150" s="36"/>
      <c r="AB150" s="193"/>
    </row>
    <row r="151" spans="1:28" outlineLevel="2" x14ac:dyDescent="0.25">
      <c r="A151" s="95">
        <f t="shared" si="37"/>
        <v>90</v>
      </c>
      <c r="B151" s="740" t="s">
        <v>342</v>
      </c>
      <c r="C151" s="489"/>
      <c r="D151" s="383" t="str">
        <f t="shared" si="60"/>
        <v>BVK</v>
      </c>
      <c r="E151" s="490">
        <v>195.88300000000001</v>
      </c>
      <c r="F151" s="95"/>
      <c r="G151" s="164">
        <f>IF(B151="","",IF(F151="",VLOOKUP(B151,Variabelen!A$47:D$58,4,FALSE),F151-G$49))</f>
        <v>-0.7</v>
      </c>
      <c r="H151" s="490">
        <f>IF(B151="","",VLOOKUP(B151,Variabelen!A$47:D$58,3,FALSE))</f>
        <v>80</v>
      </c>
      <c r="I151" s="196" t="str">
        <f t="shared" si="61"/>
        <v/>
      </c>
      <c r="J151" s="196">
        <f t="shared" si="62"/>
        <v>-0.74</v>
      </c>
      <c r="K151" s="196">
        <f t="shared" si="63"/>
        <v>-0.46309613227844193</v>
      </c>
      <c r="L151" s="196">
        <f t="shared" si="64"/>
        <v>0.546138653755188</v>
      </c>
      <c r="M151" s="34" t="str">
        <f t="shared" si="65"/>
        <v/>
      </c>
      <c r="N151" s="196" t="str">
        <f>IF(B151="","",VLOOKUP(B151,Variabelen!A$47:D$58,2,FALSE))</f>
        <v>LAAGSPANNING</v>
      </c>
      <c r="O151" s="94">
        <v>93</v>
      </c>
      <c r="P151" s="490"/>
      <c r="Q151" s="344"/>
      <c r="S151" s="469"/>
      <c r="AA151" s="36"/>
      <c r="AB151" s="193"/>
    </row>
    <row r="152" spans="1:28" outlineLevel="2" x14ac:dyDescent="0.25">
      <c r="A152" s="95">
        <f t="shared" si="37"/>
        <v>91</v>
      </c>
      <c r="B152" s="740" t="s">
        <v>342</v>
      </c>
      <c r="C152" s="489"/>
      <c r="D152" s="383" t="str">
        <f t="shared" si="60"/>
        <v>BVK</v>
      </c>
      <c r="E152" s="490">
        <v>198.50399999999999</v>
      </c>
      <c r="F152" s="95"/>
      <c r="G152" s="164">
        <f>IF(B152="","",IF(F152="",VLOOKUP(B152,Variabelen!A$47:D$58,4,FALSE),F152-G$49))</f>
        <v>-0.7</v>
      </c>
      <c r="H152" s="490">
        <f>IF(B152="","",VLOOKUP(B152,Variabelen!A$47:D$58,3,FALSE))</f>
        <v>80</v>
      </c>
      <c r="I152" s="196" t="str">
        <f t="shared" si="61"/>
        <v/>
      </c>
      <c r="J152" s="196">
        <f t="shared" si="62"/>
        <v>-0.74</v>
      </c>
      <c r="K152" s="196">
        <f t="shared" si="63"/>
        <v>-0.48855041503906182</v>
      </c>
      <c r="L152" s="196">
        <f t="shared" si="64"/>
        <v>0.5206843709945681</v>
      </c>
      <c r="M152" s="34" t="str">
        <f t="shared" si="65"/>
        <v/>
      </c>
      <c r="N152" s="196" t="str">
        <f>IF(B152="","",VLOOKUP(B152,Variabelen!A$47:D$58,2,FALSE))</f>
        <v>LAAGSPANNING</v>
      </c>
      <c r="O152" s="94">
        <v>94</v>
      </c>
      <c r="P152" s="490"/>
      <c r="Q152" s="344"/>
      <c r="S152" s="469"/>
      <c r="AA152" s="36"/>
      <c r="AB152" s="193"/>
    </row>
    <row r="153" spans="1:28" outlineLevel="2" x14ac:dyDescent="0.25">
      <c r="A153" s="95">
        <f t="shared" si="37"/>
        <v>92</v>
      </c>
      <c r="B153" s="740" t="s">
        <v>342</v>
      </c>
      <c r="C153" s="489"/>
      <c r="D153" s="383" t="str">
        <f t="shared" si="60"/>
        <v>BVK</v>
      </c>
      <c r="E153" s="490">
        <v>201.619</v>
      </c>
      <c r="F153" s="95"/>
      <c r="G153" s="164">
        <f>IF(B153="","",IF(F153="",VLOOKUP(B153,Variabelen!A$47:D$58,4,FALSE),F153-G$49))</f>
        <v>-0.7</v>
      </c>
      <c r="H153" s="490">
        <f>IF(B153="","",VLOOKUP(B153,Variabelen!A$47:D$58,3,FALSE))</f>
        <v>80</v>
      </c>
      <c r="I153" s="196" t="str">
        <f t="shared" si="61"/>
        <v/>
      </c>
      <c r="J153" s="196">
        <f t="shared" si="62"/>
        <v>-0.74</v>
      </c>
      <c r="K153" s="196">
        <f t="shared" si="63"/>
        <v>-0.51660024166107088</v>
      </c>
      <c r="L153" s="196">
        <f t="shared" si="64"/>
        <v>0.49263454437255905</v>
      </c>
      <c r="M153" s="34" t="str">
        <f t="shared" si="65"/>
        <v/>
      </c>
      <c r="N153" s="196" t="str">
        <f>IF(B153="","",VLOOKUP(B153,Variabelen!A$47:D$58,2,FALSE))</f>
        <v>LAAGSPANNING</v>
      </c>
      <c r="O153" s="94">
        <v>95</v>
      </c>
      <c r="P153" s="490"/>
      <c r="Q153" s="344"/>
      <c r="S153" s="469"/>
      <c r="AA153" s="36"/>
      <c r="AB153" s="193"/>
    </row>
    <row r="154" spans="1:28" outlineLevel="2" x14ac:dyDescent="0.25">
      <c r="A154" s="95">
        <f t="shared" si="37"/>
        <v>93</v>
      </c>
      <c r="B154" s="740" t="s">
        <v>342</v>
      </c>
      <c r="C154" s="489"/>
      <c r="D154" s="383" t="str">
        <f t="shared" si="60"/>
        <v>BVK</v>
      </c>
      <c r="E154" s="490">
        <v>205.398</v>
      </c>
      <c r="F154" s="95"/>
      <c r="G154" s="164">
        <f>IF(B154="","",IF(F154="",VLOOKUP(B154,Variabelen!A$47:D$58,4,FALSE),F154-G$49))</f>
        <v>-0.7</v>
      </c>
      <c r="H154" s="490">
        <f>IF(B154="","",VLOOKUP(B154,Variabelen!A$47:D$58,3,FALSE))</f>
        <v>80</v>
      </c>
      <c r="I154" s="196" t="str">
        <f t="shared" si="61"/>
        <v/>
      </c>
      <c r="J154" s="196">
        <f t="shared" si="62"/>
        <v>-0.74</v>
      </c>
      <c r="K154" s="196">
        <f t="shared" si="63"/>
        <v>-0.47015022277831986</v>
      </c>
      <c r="L154" s="196">
        <f t="shared" si="64"/>
        <v>0.53908456325531007</v>
      </c>
      <c r="M154" s="34" t="str">
        <f t="shared" si="65"/>
        <v/>
      </c>
      <c r="N154" s="196" t="str">
        <f>IF(B154="","",VLOOKUP(B154,Variabelen!A$47:D$58,2,FALSE))</f>
        <v>LAAGSPANNING</v>
      </c>
      <c r="O154" s="94">
        <v>96</v>
      </c>
      <c r="P154" s="490"/>
      <c r="Q154" s="344"/>
      <c r="S154" s="469"/>
      <c r="AA154" s="36"/>
      <c r="AB154" s="193"/>
    </row>
    <row r="155" spans="1:28" outlineLevel="2" x14ac:dyDescent="0.25">
      <c r="A155" s="95">
        <f t="shared" si="37"/>
        <v>94</v>
      </c>
      <c r="B155" s="740" t="s">
        <v>342</v>
      </c>
      <c r="C155" s="489"/>
      <c r="D155" s="383" t="str">
        <f t="shared" si="60"/>
        <v>BVK</v>
      </c>
      <c r="E155" s="490">
        <v>215.65</v>
      </c>
      <c r="F155" s="95"/>
      <c r="G155" s="164">
        <f>IF(B155="","",IF(F155="",VLOOKUP(B155,Variabelen!A$47:D$58,4,FALSE),F155-G$49))</f>
        <v>-0.7</v>
      </c>
      <c r="H155" s="490">
        <f>IF(B155="","",VLOOKUP(B155,Variabelen!A$47:D$58,3,FALSE))</f>
        <v>80</v>
      </c>
      <c r="I155" s="196" t="str">
        <f t="shared" si="61"/>
        <v/>
      </c>
      <c r="J155" s="196">
        <f t="shared" si="62"/>
        <v>-0.74</v>
      </c>
      <c r="K155" s="196">
        <f t="shared" si="63"/>
        <v>-0.45562182903289794</v>
      </c>
      <c r="L155" s="196">
        <f t="shared" si="64"/>
        <v>0.55361295700073199</v>
      </c>
      <c r="M155" s="34" t="str">
        <f t="shared" si="65"/>
        <v/>
      </c>
      <c r="N155" s="196" t="str">
        <f>IF(B155="","",VLOOKUP(B155,Variabelen!A$47:D$58,2,FALSE))</f>
        <v>LAAGSPANNING</v>
      </c>
      <c r="O155" s="94">
        <v>97</v>
      </c>
      <c r="P155" s="490"/>
      <c r="Q155" s="344"/>
      <c r="S155" s="469"/>
      <c r="AA155" s="36"/>
      <c r="AB155" s="193"/>
    </row>
    <row r="156" spans="1:28" outlineLevel="2" x14ac:dyDescent="0.25">
      <c r="A156" s="95">
        <f t="shared" si="37"/>
        <v>95</v>
      </c>
      <c r="B156" s="740" t="s">
        <v>347</v>
      </c>
      <c r="C156" s="489"/>
      <c r="D156" s="383" t="str">
        <f t="shared" si="60"/>
        <v>BVK</v>
      </c>
      <c r="E156" s="490">
        <v>230.18899999999999</v>
      </c>
      <c r="F156" s="95"/>
      <c r="G156" s="164">
        <f>IF(B156="","",IF(F156="",VLOOKUP(B156,Variabelen!A$47:D$58,4,FALSE),F156-G$49))</f>
        <v>-0.7</v>
      </c>
      <c r="H156" s="490">
        <f>IF(B156="","",VLOOKUP(B156,Variabelen!A$47:D$58,3,FALSE))</f>
        <v>80</v>
      </c>
      <c r="I156" s="196" t="str">
        <f t="shared" si="61"/>
        <v/>
      </c>
      <c r="J156" s="196">
        <f t="shared" si="62"/>
        <v>-0.74</v>
      </c>
      <c r="K156" s="196">
        <f t="shared" si="63"/>
        <v>-0.47773825168609596</v>
      </c>
      <c r="L156" s="196">
        <f t="shared" si="64"/>
        <v>0.53149653434753397</v>
      </c>
      <c r="M156" s="34" t="str">
        <f t="shared" si="65"/>
        <v/>
      </c>
      <c r="N156" s="196" t="str">
        <f>IF(B156="","",VLOOKUP(B156,Variabelen!A$47:D$58,2,FALSE))</f>
        <v>DATA</v>
      </c>
      <c r="O156" s="94">
        <v>98</v>
      </c>
      <c r="P156" s="490"/>
      <c r="Q156" s="344"/>
      <c r="S156" s="469"/>
      <c r="AA156" s="36"/>
      <c r="AB156" s="193"/>
    </row>
    <row r="157" spans="1:28" outlineLevel="2" x14ac:dyDescent="0.25">
      <c r="A157" s="95">
        <f t="shared" si="37"/>
        <v>96</v>
      </c>
      <c r="B157" s="740" t="s">
        <v>342</v>
      </c>
      <c r="C157" s="489"/>
      <c r="D157" s="383" t="str">
        <f t="shared" si="60"/>
        <v>BVK</v>
      </c>
      <c r="E157" s="490">
        <v>231.41399999999999</v>
      </c>
      <c r="F157" s="95"/>
      <c r="G157" s="164">
        <f>IF(B157="","",IF(F157="",VLOOKUP(B157,Variabelen!A$47:D$58,4,FALSE),F157-G$49))</f>
        <v>-0.7</v>
      </c>
      <c r="H157" s="490">
        <f>IF(B157="","",VLOOKUP(B157,Variabelen!A$47:D$58,3,FALSE))</f>
        <v>80</v>
      </c>
      <c r="I157" s="196" t="str">
        <f t="shared" si="61"/>
        <v/>
      </c>
      <c r="J157" s="196">
        <f t="shared" si="62"/>
        <v>-0.74</v>
      </c>
      <c r="K157" s="196">
        <f t="shared" si="63"/>
        <v>-0.47773825168609596</v>
      </c>
      <c r="L157" s="196">
        <f t="shared" si="64"/>
        <v>0.53149653434753397</v>
      </c>
      <c r="M157" s="34" t="str">
        <f t="shared" si="65"/>
        <v/>
      </c>
      <c r="N157" s="196" t="str">
        <f>IF(B157="","",VLOOKUP(B157,Variabelen!A$47:D$58,2,FALSE))</f>
        <v>LAAGSPANNING</v>
      </c>
      <c r="O157" s="94">
        <v>99</v>
      </c>
      <c r="P157" s="490"/>
      <c r="Q157" s="344"/>
      <c r="S157" s="469"/>
      <c r="AA157" s="36"/>
      <c r="AB157" s="193"/>
    </row>
    <row r="158" spans="1:28" outlineLevel="2" x14ac:dyDescent="0.25">
      <c r="A158" s="95" t="str">
        <f t="shared" si="37"/>
        <v/>
      </c>
      <c r="B158" s="740" t="s">
        <v>1150</v>
      </c>
      <c r="C158" s="489"/>
      <c r="D158" s="383" t="str">
        <f t="shared" si="60"/>
        <v/>
      </c>
      <c r="E158" s="490">
        <v>0</v>
      </c>
      <c r="F158" s="95"/>
      <c r="G158" s="164" t="str">
        <f>IF(B158="","",IF(F158="",VLOOKUP(B158,Variabelen!A$47:D$58,4,FALSE),F158-G$49))</f>
        <v/>
      </c>
      <c r="H158" s="490" t="str">
        <f>IF(B158="","",VLOOKUP(B158,Variabelen!A$47:D$58,3,FALSE))</f>
        <v/>
      </c>
      <c r="I158" s="196" t="str">
        <f t="shared" si="61"/>
        <v/>
      </c>
      <c r="J158" s="196" t="str">
        <f t="shared" si="62"/>
        <v/>
      </c>
      <c r="K158" s="196" t="str">
        <f t="shared" si="63"/>
        <v/>
      </c>
      <c r="L158" s="196" t="str">
        <f t="shared" si="64"/>
        <v/>
      </c>
      <c r="M158" s="34" t="str">
        <f t="shared" si="65"/>
        <v/>
      </c>
      <c r="N158" s="196" t="str">
        <f>IF(B158="","",VLOOKUP(B158,Variabelen!A$47:D$58,2,FALSE))</f>
        <v/>
      </c>
      <c r="O158" s="94">
        <v>100</v>
      </c>
      <c r="P158" s="490"/>
      <c r="Q158" s="344"/>
      <c r="S158" s="469"/>
      <c r="AA158" s="36"/>
      <c r="AB158" s="193"/>
    </row>
    <row r="159" spans="1:28" outlineLevel="2" x14ac:dyDescent="0.25">
      <c r="A159" s="95" t="str">
        <f t="shared" si="37"/>
        <v/>
      </c>
      <c r="B159" s="740" t="s">
        <v>1150</v>
      </c>
      <c r="C159" s="489"/>
      <c r="D159" s="383" t="str">
        <f t="shared" si="60"/>
        <v/>
      </c>
      <c r="E159" s="490">
        <v>0</v>
      </c>
      <c r="F159" s="95"/>
      <c r="G159" s="164" t="str">
        <f>IF(B159="","",IF(F159="",VLOOKUP(B159,Variabelen!A$47:D$58,4,FALSE),F159-G$49))</f>
        <v/>
      </c>
      <c r="H159" s="490" t="str">
        <f>IF(B159="","",VLOOKUP(B159,Variabelen!A$47:D$58,3,FALSE))</f>
        <v/>
      </c>
      <c r="I159" s="196" t="str">
        <f t="shared" si="61"/>
        <v/>
      </c>
      <c r="J159" s="196" t="str">
        <f t="shared" si="62"/>
        <v/>
      </c>
      <c r="K159" s="196" t="str">
        <f t="shared" si="63"/>
        <v/>
      </c>
      <c r="L159" s="196" t="str">
        <f t="shared" si="64"/>
        <v/>
      </c>
      <c r="M159" s="34" t="str">
        <f t="shared" si="65"/>
        <v/>
      </c>
      <c r="N159" s="196" t="str">
        <f>IF(B159="","",VLOOKUP(B159,Variabelen!A$47:D$58,2,FALSE))</f>
        <v/>
      </c>
      <c r="O159" s="94">
        <v>101</v>
      </c>
      <c r="P159" s="490"/>
      <c r="Q159" s="344"/>
      <c r="S159" s="469"/>
      <c r="AA159" s="36"/>
      <c r="AB159" s="193"/>
    </row>
    <row r="160" spans="1:28" outlineLevel="2" x14ac:dyDescent="0.25">
      <c r="A160" s="95" t="str">
        <f t="shared" si="37"/>
        <v/>
      </c>
      <c r="B160" s="740" t="s">
        <v>1150</v>
      </c>
      <c r="C160" s="489"/>
      <c r="D160" s="383" t="str">
        <f t="shared" si="60"/>
        <v/>
      </c>
      <c r="E160" s="490">
        <v>0</v>
      </c>
      <c r="F160" s="95"/>
      <c r="G160" s="164" t="str">
        <f>IF(B160="","",IF(F160="",VLOOKUP(B160,Variabelen!A$47:D$58,4,FALSE),F160-G$49))</f>
        <v/>
      </c>
      <c r="H160" s="490" t="str">
        <f>IF(B160="","",VLOOKUP(B160,Variabelen!A$47:D$58,3,FALSE))</f>
        <v/>
      </c>
      <c r="I160" s="196" t="str">
        <f t="shared" si="61"/>
        <v/>
      </c>
      <c r="J160" s="196" t="str">
        <f t="shared" si="62"/>
        <v/>
      </c>
      <c r="K160" s="196" t="str">
        <f t="shared" si="63"/>
        <v/>
      </c>
      <c r="L160" s="196" t="str">
        <f t="shared" si="64"/>
        <v/>
      </c>
      <c r="M160" s="34" t="str">
        <f t="shared" si="65"/>
        <v/>
      </c>
      <c r="N160" s="196" t="str">
        <f>IF(B160="","",VLOOKUP(B160,Variabelen!A$47:D$58,2,FALSE))</f>
        <v/>
      </c>
      <c r="O160" s="94">
        <v>102</v>
      </c>
      <c r="P160" s="490"/>
      <c r="Q160" s="344"/>
      <c r="S160" s="469"/>
      <c r="AA160" s="36"/>
      <c r="AB160" s="193"/>
    </row>
    <row r="161" spans="1:28" outlineLevel="2" x14ac:dyDescent="0.25">
      <c r="A161" s="95" t="str">
        <f t="shared" si="37"/>
        <v/>
      </c>
      <c r="B161" s="740" t="s">
        <v>1150</v>
      </c>
      <c r="C161" s="489"/>
      <c r="D161" s="383" t="str">
        <f t="shared" si="60"/>
        <v/>
      </c>
      <c r="E161" s="490">
        <v>0</v>
      </c>
      <c r="F161" s="95"/>
      <c r="G161" s="164" t="str">
        <f>IF(B161="","",IF(F161="",VLOOKUP(B161,Variabelen!A$47:D$58,4,FALSE),F161-G$49))</f>
        <v/>
      </c>
      <c r="H161" s="490" t="str">
        <f>IF(B161="","",VLOOKUP(B161,Variabelen!A$47:D$58,3,FALSE))</f>
        <v/>
      </c>
      <c r="I161" s="196" t="str">
        <f t="shared" si="61"/>
        <v/>
      </c>
      <c r="J161" s="196" t="str">
        <f t="shared" si="62"/>
        <v/>
      </c>
      <c r="K161" s="196" t="str">
        <f t="shared" si="63"/>
        <v/>
      </c>
      <c r="L161" s="196" t="str">
        <f t="shared" si="64"/>
        <v/>
      </c>
      <c r="M161" s="34" t="str">
        <f t="shared" si="65"/>
        <v/>
      </c>
      <c r="N161" s="196" t="str">
        <f>IF(B161="","",VLOOKUP(B161,Variabelen!A$47:D$58,2,FALSE))</f>
        <v/>
      </c>
      <c r="O161" s="94">
        <v>103</v>
      </c>
      <c r="P161" s="490"/>
      <c r="Q161" s="344"/>
      <c r="S161" s="469"/>
      <c r="AA161" s="36"/>
      <c r="AB161" s="193"/>
    </row>
    <row r="162" spans="1:28" outlineLevel="2" x14ac:dyDescent="0.25">
      <c r="A162" s="95" t="str">
        <f t="shared" si="37"/>
        <v/>
      </c>
      <c r="B162" s="740" t="s">
        <v>1150</v>
      </c>
      <c r="C162" s="489"/>
      <c r="D162" s="383" t="str">
        <f t="shared" si="60"/>
        <v/>
      </c>
      <c r="E162" s="490">
        <v>0</v>
      </c>
      <c r="F162" s="95"/>
      <c r="G162" s="164" t="str">
        <f>IF(B162="","",IF(F162="",VLOOKUP(B162,Variabelen!A$47:D$58,4,FALSE),F162-G$49))</f>
        <v/>
      </c>
      <c r="H162" s="490" t="str">
        <f>IF(B162="","",VLOOKUP(B162,Variabelen!A$47:D$58,3,FALSE))</f>
        <v/>
      </c>
      <c r="I162" s="196" t="str">
        <f t="shared" si="61"/>
        <v/>
      </c>
      <c r="J162" s="196" t="str">
        <f t="shared" si="62"/>
        <v/>
      </c>
      <c r="K162" s="196" t="str">
        <f t="shared" si="63"/>
        <v/>
      </c>
      <c r="L162" s="196" t="str">
        <f t="shared" si="64"/>
        <v/>
      </c>
      <c r="M162" s="34" t="str">
        <f t="shared" si="65"/>
        <v/>
      </c>
      <c r="N162" s="196" t="str">
        <f>IF(B162="","",VLOOKUP(B162,Variabelen!A$47:D$58,2,FALSE))</f>
        <v/>
      </c>
      <c r="O162" s="94">
        <v>104</v>
      </c>
      <c r="P162" s="490"/>
      <c r="Q162" s="344"/>
      <c r="S162" s="469"/>
      <c r="AA162" s="36"/>
      <c r="AB162" s="193"/>
    </row>
    <row r="163" spans="1:28" outlineLevel="2" x14ac:dyDescent="0.25">
      <c r="A163" s="95" t="str">
        <f t="shared" si="37"/>
        <v/>
      </c>
      <c r="B163" s="740" t="s">
        <v>1150</v>
      </c>
      <c r="C163" s="489"/>
      <c r="D163" s="383" t="str">
        <f t="shared" si="60"/>
        <v/>
      </c>
      <c r="E163" s="490">
        <v>0</v>
      </c>
      <c r="F163" s="95"/>
      <c r="G163" s="164" t="str">
        <f>IF(B163="","",IF(F163="",VLOOKUP(B163,Variabelen!A$47:D$58,4,FALSE),F163-G$49))</f>
        <v/>
      </c>
      <c r="H163" s="490" t="str">
        <f>IF(B163="","",VLOOKUP(B163,Variabelen!A$47:D$58,3,FALSE))</f>
        <v/>
      </c>
      <c r="I163" s="196" t="str">
        <f t="shared" si="61"/>
        <v/>
      </c>
      <c r="J163" s="196" t="str">
        <f t="shared" si="62"/>
        <v/>
      </c>
      <c r="K163" s="196" t="str">
        <f t="shared" si="63"/>
        <v/>
      </c>
      <c r="L163" s="196" t="str">
        <f t="shared" si="64"/>
        <v/>
      </c>
      <c r="M163" s="34" t="str">
        <f t="shared" si="65"/>
        <v/>
      </c>
      <c r="N163" s="196" t="str">
        <f>IF(B163="","",VLOOKUP(B163,Variabelen!A$47:D$58,2,FALSE))</f>
        <v/>
      </c>
      <c r="O163" s="94">
        <v>105</v>
      </c>
      <c r="P163" s="490"/>
      <c r="Q163" s="344"/>
      <c r="S163" s="469"/>
      <c r="AA163" s="36"/>
      <c r="AB163" s="193"/>
    </row>
    <row r="164" spans="1:28" outlineLevel="2" x14ac:dyDescent="0.25">
      <c r="A164" s="95" t="str">
        <f t="shared" si="37"/>
        <v/>
      </c>
      <c r="B164" s="740" t="s">
        <v>1150</v>
      </c>
      <c r="C164" s="489"/>
      <c r="D164" s="383" t="str">
        <f t="shared" si="60"/>
        <v/>
      </c>
      <c r="E164" s="490">
        <v>0</v>
      </c>
      <c r="F164" s="95"/>
      <c r="G164" s="164" t="str">
        <f>IF(B164="","",IF(F164="",VLOOKUP(B164,Variabelen!A$47:D$58,4,FALSE),F164-G$49))</f>
        <v/>
      </c>
      <c r="H164" s="490" t="str">
        <f>IF(B164="","",VLOOKUP(B164,Variabelen!A$47:D$58,3,FALSE))</f>
        <v/>
      </c>
      <c r="I164" s="196" t="str">
        <f t="shared" si="61"/>
        <v/>
      </c>
      <c r="J164" s="196" t="str">
        <f t="shared" si="62"/>
        <v/>
      </c>
      <c r="K164" s="196" t="str">
        <f t="shared" si="63"/>
        <v/>
      </c>
      <c r="L164" s="196" t="str">
        <f t="shared" si="64"/>
        <v/>
      </c>
      <c r="M164" s="34" t="str">
        <f t="shared" si="65"/>
        <v/>
      </c>
      <c r="N164" s="196" t="str">
        <f>IF(B164="","",VLOOKUP(B164,Variabelen!A$47:D$58,2,FALSE))</f>
        <v/>
      </c>
      <c r="O164" s="94">
        <v>106</v>
      </c>
      <c r="P164" s="490"/>
      <c r="Q164" s="344"/>
      <c r="S164" s="469"/>
      <c r="AA164" s="36"/>
      <c r="AB164" s="193"/>
    </row>
    <row r="165" spans="1:28" outlineLevel="2" x14ac:dyDescent="0.25">
      <c r="A165" s="95" t="str">
        <f t="shared" si="37"/>
        <v/>
      </c>
      <c r="B165" s="740" t="s">
        <v>1150</v>
      </c>
      <c r="C165" s="489"/>
      <c r="D165" s="383" t="str">
        <f t="shared" si="60"/>
        <v/>
      </c>
      <c r="E165" s="490">
        <v>0</v>
      </c>
      <c r="F165" s="95"/>
      <c r="G165" s="164" t="str">
        <f>IF(B165="","",IF(F165="",VLOOKUP(B165,Variabelen!A$47:D$58,4,FALSE),F165-G$49))</f>
        <v/>
      </c>
      <c r="H165" s="490" t="str">
        <f>IF(B165="","",VLOOKUP(B165,Variabelen!A$47:D$58,3,FALSE))</f>
        <v/>
      </c>
      <c r="I165" s="196" t="str">
        <f t="shared" si="61"/>
        <v/>
      </c>
      <c r="J165" s="196" t="str">
        <f t="shared" si="62"/>
        <v/>
      </c>
      <c r="K165" s="196" t="str">
        <f t="shared" si="63"/>
        <v/>
      </c>
      <c r="L165" s="196" t="str">
        <f t="shared" si="64"/>
        <v/>
      </c>
      <c r="M165" s="34" t="str">
        <f t="shared" si="65"/>
        <v/>
      </c>
      <c r="N165" s="196" t="str">
        <f>IF(B165="","",VLOOKUP(B165,Variabelen!A$47:D$58,2,FALSE))</f>
        <v/>
      </c>
      <c r="O165" s="94">
        <v>107</v>
      </c>
      <c r="P165" s="490"/>
      <c r="Q165" s="344"/>
      <c r="S165" s="469"/>
      <c r="AA165" s="36"/>
      <c r="AB165" s="193"/>
    </row>
    <row r="166" spans="1:28" outlineLevel="2" x14ac:dyDescent="0.25">
      <c r="A166" s="95" t="str">
        <f t="shared" si="37"/>
        <v/>
      </c>
      <c r="B166" s="740" t="s">
        <v>1150</v>
      </c>
      <c r="C166" s="489"/>
      <c r="D166" s="383" t="str">
        <f t="shared" si="60"/>
        <v/>
      </c>
      <c r="E166" s="490">
        <v>0</v>
      </c>
      <c r="F166" s="95"/>
      <c r="G166" s="164" t="str">
        <f>IF(B166="","",IF(F166="",VLOOKUP(B166,Variabelen!A$47:D$58,4,FALSE),F166-G$49))</f>
        <v/>
      </c>
      <c r="H166" s="490" t="str">
        <f>IF(B166="","",VLOOKUP(B166,Variabelen!A$47:D$58,3,FALSE))</f>
        <v/>
      </c>
      <c r="I166" s="196" t="str">
        <f t="shared" si="61"/>
        <v/>
      </c>
      <c r="J166" s="196" t="str">
        <f t="shared" si="62"/>
        <v/>
      </c>
      <c r="K166" s="196" t="str">
        <f t="shared" si="63"/>
        <v/>
      </c>
      <c r="L166" s="196" t="str">
        <f t="shared" si="64"/>
        <v/>
      </c>
      <c r="M166" s="34" t="str">
        <f t="shared" si="65"/>
        <v/>
      </c>
      <c r="N166" s="196" t="str">
        <f>IF(B166="","",VLOOKUP(B166,Variabelen!A$47:D$58,2,FALSE))</f>
        <v/>
      </c>
      <c r="O166" s="94">
        <v>108</v>
      </c>
      <c r="P166" s="490"/>
      <c r="Q166" s="344"/>
      <c r="S166" s="469"/>
      <c r="AA166" s="36"/>
      <c r="AB166" s="193"/>
    </row>
    <row r="167" spans="1:28" outlineLevel="2" x14ac:dyDescent="0.25">
      <c r="A167" s="95" t="str">
        <f t="shared" si="37"/>
        <v/>
      </c>
      <c r="B167" s="740" t="s">
        <v>1150</v>
      </c>
      <c r="C167" s="489"/>
      <c r="D167" s="383" t="str">
        <f t="shared" si="60"/>
        <v/>
      </c>
      <c r="E167" s="490">
        <v>0</v>
      </c>
      <c r="F167" s="95"/>
      <c r="G167" s="164" t="str">
        <f>IF(B167="","",IF(F167="",VLOOKUP(B167,Variabelen!A$47:D$58,4,FALSE),F167-G$49))</f>
        <v/>
      </c>
      <c r="H167" s="490" t="str">
        <f>IF(B167="","",VLOOKUP(B167,Variabelen!A$47:D$58,3,FALSE))</f>
        <v/>
      </c>
      <c r="I167" s="196" t="str">
        <f t="shared" si="61"/>
        <v/>
      </c>
      <c r="J167" s="196" t="str">
        <f t="shared" si="62"/>
        <v/>
      </c>
      <c r="K167" s="196" t="str">
        <f t="shared" si="63"/>
        <v/>
      </c>
      <c r="L167" s="196" t="str">
        <f t="shared" si="64"/>
        <v/>
      </c>
      <c r="M167" s="34" t="str">
        <f t="shared" si="65"/>
        <v/>
      </c>
      <c r="N167" s="196" t="str">
        <f>IF(B167="","",VLOOKUP(B167,Variabelen!A$47:D$58,2,FALSE))</f>
        <v/>
      </c>
      <c r="O167" s="94">
        <v>109</v>
      </c>
      <c r="P167" s="490"/>
      <c r="Q167" s="344"/>
      <c r="S167" s="469"/>
      <c r="AA167" s="36"/>
      <c r="AB167" s="193"/>
    </row>
    <row r="168" spans="1:28" outlineLevel="2" x14ac:dyDescent="0.25">
      <c r="A168" s="95" t="str">
        <f t="shared" si="37"/>
        <v/>
      </c>
      <c r="B168" s="740" t="s">
        <v>1150</v>
      </c>
      <c r="C168" s="489"/>
      <c r="D168" s="383" t="str">
        <f t="shared" si="60"/>
        <v/>
      </c>
      <c r="E168" s="490">
        <v>0</v>
      </c>
      <c r="F168" s="95"/>
      <c r="G168" s="164" t="str">
        <f>IF(B168="","",IF(F168="",VLOOKUP(B168,Variabelen!A$47:D$58,4,FALSE),F168-G$49))</f>
        <v/>
      </c>
      <c r="H168" s="490" t="str">
        <f>IF(B168="","",VLOOKUP(B168,Variabelen!A$47:D$58,3,FALSE))</f>
        <v/>
      </c>
      <c r="I168" s="196" t="str">
        <f t="shared" si="61"/>
        <v/>
      </c>
      <c r="J168" s="196" t="str">
        <f t="shared" si="62"/>
        <v/>
      </c>
      <c r="K168" s="196" t="str">
        <f t="shared" si="63"/>
        <v/>
      </c>
      <c r="L168" s="196" t="str">
        <f t="shared" si="64"/>
        <v/>
      </c>
      <c r="M168" s="34" t="str">
        <f t="shared" si="65"/>
        <v/>
      </c>
      <c r="N168" s="196" t="str">
        <f>IF(B168="","",VLOOKUP(B168,Variabelen!A$47:D$58,2,FALSE))</f>
        <v/>
      </c>
      <c r="O168" s="94">
        <v>110</v>
      </c>
      <c r="P168" s="490"/>
      <c r="Q168" s="344"/>
      <c r="S168" s="469"/>
      <c r="AA168" s="36"/>
      <c r="AB168" s="193"/>
    </row>
    <row r="169" spans="1:28" outlineLevel="2" x14ac:dyDescent="0.25">
      <c r="A169" s="95" t="str">
        <f t="shared" si="37"/>
        <v/>
      </c>
      <c r="B169" s="740" t="s">
        <v>1150</v>
      </c>
      <c r="C169" s="489"/>
      <c r="D169" s="383" t="str">
        <f t="shared" si="60"/>
        <v/>
      </c>
      <c r="E169" s="490">
        <v>0</v>
      </c>
      <c r="F169" s="95"/>
      <c r="G169" s="164" t="str">
        <f>IF(B169="","",IF(F169="",VLOOKUP(B169,Variabelen!A$47:D$58,4,FALSE),F169-G$49))</f>
        <v/>
      </c>
      <c r="H169" s="490" t="str">
        <f>IF(B169="","",VLOOKUP(B169,Variabelen!A$47:D$58,3,FALSE))</f>
        <v/>
      </c>
      <c r="I169" s="196" t="str">
        <f t="shared" si="61"/>
        <v/>
      </c>
      <c r="J169" s="196" t="str">
        <f t="shared" si="62"/>
        <v/>
      </c>
      <c r="K169" s="196" t="str">
        <f t="shared" si="63"/>
        <v/>
      </c>
      <c r="L169" s="196" t="str">
        <f t="shared" si="64"/>
        <v/>
      </c>
      <c r="M169" s="34" t="str">
        <f t="shared" si="65"/>
        <v/>
      </c>
      <c r="N169" s="196" t="str">
        <f>IF(B169="","",VLOOKUP(B169,Variabelen!A$47:D$58,2,FALSE))</f>
        <v/>
      </c>
      <c r="O169" s="94">
        <v>111</v>
      </c>
      <c r="P169" s="490"/>
      <c r="Q169" s="344"/>
      <c r="S169" s="469"/>
      <c r="AA169" s="36"/>
      <c r="AB169" s="193"/>
    </row>
    <row r="170" spans="1:28" outlineLevel="2" x14ac:dyDescent="0.25">
      <c r="A170" s="95" t="str">
        <f t="shared" si="37"/>
        <v/>
      </c>
      <c r="B170" s="740" t="s">
        <v>1150</v>
      </c>
      <c r="C170" s="489"/>
      <c r="D170" s="383" t="str">
        <f t="shared" si="60"/>
        <v/>
      </c>
      <c r="E170" s="490">
        <v>0</v>
      </c>
      <c r="F170" s="95"/>
      <c r="G170" s="164" t="str">
        <f>IF(B170="","",IF(F170="",VLOOKUP(B170,Variabelen!A$47:D$58,4,FALSE),F170-G$49))</f>
        <v/>
      </c>
      <c r="H170" s="490" t="str">
        <f>IF(B170="","",VLOOKUP(B170,Variabelen!A$47:D$58,3,FALSE))</f>
        <v/>
      </c>
      <c r="I170" s="196" t="str">
        <f t="shared" si="61"/>
        <v/>
      </c>
      <c r="J170" s="196" t="str">
        <f t="shared" si="62"/>
        <v/>
      </c>
      <c r="K170" s="196" t="str">
        <f t="shared" si="63"/>
        <v/>
      </c>
      <c r="L170" s="196" t="str">
        <f t="shared" si="64"/>
        <v/>
      </c>
      <c r="M170" s="34" t="str">
        <f t="shared" si="65"/>
        <v/>
      </c>
      <c r="N170" s="196" t="str">
        <f>IF(B170="","",VLOOKUP(B170,Variabelen!A$47:D$58,2,FALSE))</f>
        <v/>
      </c>
      <c r="O170" s="94">
        <v>112</v>
      </c>
      <c r="P170" s="490"/>
      <c r="Q170" s="344"/>
      <c r="S170" s="469"/>
      <c r="AA170" s="36"/>
      <c r="AB170" s="193"/>
    </row>
    <row r="171" spans="1:28" outlineLevel="2" x14ac:dyDescent="0.25">
      <c r="A171" s="95" t="str">
        <f t="shared" si="37"/>
        <v/>
      </c>
      <c r="B171" s="740" t="s">
        <v>1150</v>
      </c>
      <c r="C171" s="489"/>
      <c r="D171" s="383" t="str">
        <f t="shared" si="60"/>
        <v/>
      </c>
      <c r="E171" s="490">
        <v>0</v>
      </c>
      <c r="F171" s="95"/>
      <c r="G171" s="164" t="str">
        <f>IF(B171="","",IF(F171="",VLOOKUP(B171,Variabelen!A$47:D$58,4,FALSE),F171-G$49))</f>
        <v/>
      </c>
      <c r="H171" s="490" t="str">
        <f>IF(B171="","",VLOOKUP(B171,Variabelen!A$47:D$58,3,FALSE))</f>
        <v/>
      </c>
      <c r="I171" s="196" t="str">
        <f t="shared" si="61"/>
        <v/>
      </c>
      <c r="J171" s="196" t="str">
        <f t="shared" si="62"/>
        <v/>
      </c>
      <c r="K171" s="196" t="str">
        <f t="shared" si="63"/>
        <v/>
      </c>
      <c r="L171" s="196" t="str">
        <f t="shared" si="64"/>
        <v/>
      </c>
      <c r="M171" s="34" t="str">
        <f t="shared" si="65"/>
        <v/>
      </c>
      <c r="N171" s="196" t="str">
        <f>IF(B171="","",VLOOKUP(B171,Variabelen!A$47:D$58,2,FALSE))</f>
        <v/>
      </c>
      <c r="O171" s="94">
        <v>113</v>
      </c>
      <c r="P171" s="490"/>
      <c r="Q171" s="344"/>
      <c r="S171" s="469"/>
      <c r="AA171" s="36"/>
      <c r="AB171" s="193"/>
    </row>
    <row r="172" spans="1:28" outlineLevel="2" x14ac:dyDescent="0.25">
      <c r="A172" s="95" t="str">
        <f t="shared" si="37"/>
        <v/>
      </c>
      <c r="B172" s="740" t="s">
        <v>1150</v>
      </c>
      <c r="C172" s="489"/>
      <c r="D172" s="383" t="str">
        <f t="shared" si="60"/>
        <v/>
      </c>
      <c r="E172" s="490">
        <v>0</v>
      </c>
      <c r="F172" s="95"/>
      <c r="G172" s="164" t="str">
        <f>IF(B172="","",IF(F172="",VLOOKUP(B172,Variabelen!A$47:D$58,4,FALSE),F172-G$49))</f>
        <v/>
      </c>
      <c r="H172" s="490" t="str">
        <f>IF(B172="","",VLOOKUP(B172,Variabelen!A$47:D$58,3,FALSE))</f>
        <v/>
      </c>
      <c r="I172" s="196" t="str">
        <f t="shared" si="61"/>
        <v/>
      </c>
      <c r="J172" s="196" t="str">
        <f t="shared" si="62"/>
        <v/>
      </c>
      <c r="K172" s="196" t="str">
        <f t="shared" si="63"/>
        <v/>
      </c>
      <c r="L172" s="196" t="str">
        <f t="shared" si="64"/>
        <v/>
      </c>
      <c r="M172" s="34" t="str">
        <f t="shared" si="65"/>
        <v/>
      </c>
      <c r="N172" s="196" t="str">
        <f>IF(B172="","",VLOOKUP(B172,Variabelen!A$47:D$58,2,FALSE))</f>
        <v/>
      </c>
      <c r="O172" s="94">
        <v>114</v>
      </c>
      <c r="P172" s="490"/>
      <c r="Q172" s="344"/>
      <c r="S172" s="469"/>
      <c r="AA172" s="36"/>
      <c r="AB172" s="193"/>
    </row>
    <row r="173" spans="1:28" outlineLevel="2" x14ac:dyDescent="0.25">
      <c r="A173" s="95" t="str">
        <f t="shared" si="37"/>
        <v/>
      </c>
      <c r="B173" s="740" t="s">
        <v>1150</v>
      </c>
      <c r="C173" s="489"/>
      <c r="D173" s="383" t="str">
        <f t="shared" si="60"/>
        <v/>
      </c>
      <c r="E173" s="490">
        <v>0</v>
      </c>
      <c r="F173" s="95"/>
      <c r="G173" s="164" t="str">
        <f>IF(B173="","",IF(F173="",VLOOKUP(B173,Variabelen!A$47:D$58,4,FALSE),F173-G$49))</f>
        <v/>
      </c>
      <c r="H173" s="490" t="str">
        <f>IF(B173="","",VLOOKUP(B173,Variabelen!A$47:D$58,3,FALSE))</f>
        <v/>
      </c>
      <c r="I173" s="196" t="str">
        <f t="shared" si="61"/>
        <v/>
      </c>
      <c r="J173" s="196" t="str">
        <f t="shared" si="62"/>
        <v/>
      </c>
      <c r="K173" s="196" t="str">
        <f t="shared" si="63"/>
        <v/>
      </c>
      <c r="L173" s="196" t="str">
        <f t="shared" si="64"/>
        <v/>
      </c>
      <c r="M173" s="34" t="str">
        <f t="shared" si="65"/>
        <v/>
      </c>
      <c r="N173" s="196" t="str">
        <f>IF(B173="","",VLOOKUP(B173,Variabelen!A$47:D$58,2,FALSE))</f>
        <v/>
      </c>
      <c r="O173" s="94">
        <v>115</v>
      </c>
      <c r="P173" s="490"/>
      <c r="Q173" s="344"/>
      <c r="S173" s="469"/>
      <c r="AA173" s="36"/>
      <c r="AB173" s="193"/>
    </row>
    <row r="174" spans="1:28" outlineLevel="2" x14ac:dyDescent="0.25">
      <c r="A174" s="95" t="str">
        <f t="shared" si="37"/>
        <v/>
      </c>
      <c r="B174" s="740" t="s">
        <v>1150</v>
      </c>
      <c r="C174" s="489"/>
      <c r="D174" s="383" t="str">
        <f t="shared" si="60"/>
        <v/>
      </c>
      <c r="E174" s="490">
        <v>0</v>
      </c>
      <c r="F174" s="95"/>
      <c r="G174" s="164" t="str">
        <f>IF(B174="","",IF(F174="",VLOOKUP(B174,Variabelen!A$47:D$58,4,FALSE),F174-G$49))</f>
        <v/>
      </c>
      <c r="H174" s="490" t="str">
        <f>IF(B174="","",VLOOKUP(B174,Variabelen!A$47:D$58,3,FALSE))</f>
        <v/>
      </c>
      <c r="I174" s="196" t="str">
        <f t="shared" si="61"/>
        <v/>
      </c>
      <c r="J174" s="196" t="str">
        <f t="shared" si="62"/>
        <v/>
      </c>
      <c r="K174" s="196" t="str">
        <f t="shared" si="63"/>
        <v/>
      </c>
      <c r="L174" s="196" t="str">
        <f t="shared" si="64"/>
        <v/>
      </c>
      <c r="M174" s="34" t="str">
        <f t="shared" si="65"/>
        <v/>
      </c>
      <c r="N174" s="196" t="str">
        <f>IF(B174="","",VLOOKUP(B174,Variabelen!A$47:D$58,2,FALSE))</f>
        <v/>
      </c>
      <c r="O174" s="94">
        <v>116</v>
      </c>
      <c r="P174" s="490"/>
      <c r="Q174" s="344"/>
      <c r="S174" s="469"/>
      <c r="AA174" s="36"/>
      <c r="AB174" s="193"/>
    </row>
    <row r="175" spans="1:28" outlineLevel="2" x14ac:dyDescent="0.25">
      <c r="A175" s="95" t="str">
        <f t="shared" si="37"/>
        <v/>
      </c>
      <c r="B175" s="740" t="s">
        <v>1150</v>
      </c>
      <c r="C175" s="489"/>
      <c r="D175" s="383" t="str">
        <f t="shared" si="60"/>
        <v/>
      </c>
      <c r="E175" s="490">
        <v>0</v>
      </c>
      <c r="F175" s="95"/>
      <c r="G175" s="164" t="str">
        <f>IF(B175="","",IF(F175="",VLOOKUP(B175,Variabelen!A$47:D$58,4,FALSE),F175-G$49))</f>
        <v/>
      </c>
      <c r="H175" s="490" t="str">
        <f>IF(B175="","",VLOOKUP(B175,Variabelen!A$47:D$58,3,FALSE))</f>
        <v/>
      </c>
      <c r="I175" s="196" t="str">
        <f t="shared" si="61"/>
        <v/>
      </c>
      <c r="J175" s="196" t="str">
        <f t="shared" si="62"/>
        <v/>
      </c>
      <c r="K175" s="196" t="str">
        <f t="shared" si="63"/>
        <v/>
      </c>
      <c r="L175" s="196" t="str">
        <f t="shared" si="64"/>
        <v/>
      </c>
      <c r="M175" s="34" t="str">
        <f t="shared" si="65"/>
        <v/>
      </c>
      <c r="N175" s="196" t="str">
        <f>IF(B175="","",VLOOKUP(B175,Variabelen!A$47:D$58,2,FALSE))</f>
        <v/>
      </c>
      <c r="O175" s="94">
        <v>117</v>
      </c>
      <c r="P175" s="490"/>
      <c r="Q175" s="344"/>
      <c r="AA175" s="36"/>
      <c r="AB175" s="193"/>
    </row>
    <row r="176" spans="1:28" outlineLevel="2" x14ac:dyDescent="0.25">
      <c r="A176" s="95" t="str">
        <f t="shared" si="37"/>
        <v/>
      </c>
      <c r="B176" s="740" t="s">
        <v>1150</v>
      </c>
      <c r="C176" s="489"/>
      <c r="D176" s="383" t="str">
        <f t="shared" si="60"/>
        <v/>
      </c>
      <c r="E176" s="490">
        <v>0</v>
      </c>
      <c r="F176" s="95"/>
      <c r="G176" s="164" t="str">
        <f>IF(B176="","",IF(F176="",VLOOKUP(B176,Variabelen!A$47:D$58,4,FALSE),F176-G$49))</f>
        <v/>
      </c>
      <c r="H176" s="490" t="str">
        <f>IF(B176="","",VLOOKUP(B176,Variabelen!A$47:D$58,3,FALSE))</f>
        <v/>
      </c>
      <c r="I176" s="196" t="str">
        <f t="shared" si="61"/>
        <v/>
      </c>
      <c r="J176" s="196" t="str">
        <f t="shared" si="62"/>
        <v/>
      </c>
      <c r="K176" s="196" t="str">
        <f t="shared" si="63"/>
        <v/>
      </c>
      <c r="L176" s="196" t="str">
        <f t="shared" si="64"/>
        <v/>
      </c>
      <c r="M176" s="34" t="str">
        <f t="shared" si="65"/>
        <v/>
      </c>
      <c r="N176" s="196" t="str">
        <f>IF(B176="","",VLOOKUP(B176,Variabelen!A$47:D$58,2,FALSE))</f>
        <v/>
      </c>
      <c r="O176" s="94">
        <v>118</v>
      </c>
      <c r="P176" s="490"/>
      <c r="Q176" s="344"/>
      <c r="AA176" s="36"/>
      <c r="AB176" s="193"/>
    </row>
    <row r="177" spans="1:28" outlineLevel="2" x14ac:dyDescent="0.25">
      <c r="A177" s="95" t="str">
        <f t="shared" si="37"/>
        <v/>
      </c>
      <c r="B177" s="740" t="s">
        <v>1150</v>
      </c>
      <c r="C177" s="489"/>
      <c r="D177" s="383" t="str">
        <f t="shared" si="60"/>
        <v/>
      </c>
      <c r="E177" s="490">
        <v>0</v>
      </c>
      <c r="F177" s="95"/>
      <c r="G177" s="164" t="str">
        <f>IF(B177="","",IF(F177="",VLOOKUP(B177,Variabelen!A$47:D$58,4,FALSE),F177-G$49))</f>
        <v/>
      </c>
      <c r="H177" s="490" t="str">
        <f>IF(B177="","",VLOOKUP(B177,Variabelen!A$47:D$58,3,FALSE))</f>
        <v/>
      </c>
      <c r="I177" s="196" t="str">
        <f t="shared" si="61"/>
        <v/>
      </c>
      <c r="J177" s="196" t="str">
        <f t="shared" si="62"/>
        <v/>
      </c>
      <c r="K177" s="196" t="str">
        <f t="shared" si="63"/>
        <v/>
      </c>
      <c r="L177" s="196" t="str">
        <f t="shared" si="64"/>
        <v/>
      </c>
      <c r="M177" s="34" t="str">
        <f t="shared" si="65"/>
        <v/>
      </c>
      <c r="N177" s="196" t="str">
        <f>IF(B177="","",VLOOKUP(B177,Variabelen!A$47:D$58,2,FALSE))</f>
        <v/>
      </c>
      <c r="O177" s="94">
        <v>119</v>
      </c>
      <c r="P177" s="490"/>
      <c r="Q177" s="344"/>
      <c r="AA177" s="36"/>
      <c r="AB177" s="193"/>
    </row>
    <row r="178" spans="1:28" outlineLevel="2" x14ac:dyDescent="0.25">
      <c r="A178" s="95" t="str">
        <f t="shared" si="37"/>
        <v/>
      </c>
      <c r="B178" s="740" t="s">
        <v>1150</v>
      </c>
      <c r="C178" s="489"/>
      <c r="D178" s="383" t="str">
        <f t="shared" si="60"/>
        <v/>
      </c>
      <c r="E178" s="490">
        <v>0</v>
      </c>
      <c r="F178" s="95"/>
      <c r="G178" s="164" t="str">
        <f>IF(B178="","",IF(F178="",VLOOKUP(B178,Variabelen!A$47:D$58,4,FALSE),F178-G$49))</f>
        <v/>
      </c>
      <c r="H178" s="490" t="str">
        <f>IF(B178="","",VLOOKUP(B178,Variabelen!A$47:D$58,3,FALSE))</f>
        <v/>
      </c>
      <c r="I178" s="196" t="str">
        <f t="shared" si="61"/>
        <v/>
      </c>
      <c r="J178" s="196" t="str">
        <f t="shared" si="62"/>
        <v/>
      </c>
      <c r="K178" s="196" t="str">
        <f t="shared" si="63"/>
        <v/>
      </c>
      <c r="L178" s="196" t="str">
        <f t="shared" si="64"/>
        <v/>
      </c>
      <c r="M178" s="34" t="str">
        <f t="shared" si="65"/>
        <v/>
      </c>
      <c r="N178" s="196" t="str">
        <f>IF(B178="","",VLOOKUP(B178,Variabelen!A$47:D$58,2,FALSE))</f>
        <v/>
      </c>
      <c r="O178" s="94">
        <v>120</v>
      </c>
      <c r="P178" s="490"/>
      <c r="Q178" s="344"/>
      <c r="AA178" s="36"/>
      <c r="AB178" s="193"/>
    </row>
    <row r="179" spans="1:28" outlineLevel="2" x14ac:dyDescent="0.25">
      <c r="A179" s="95" t="str">
        <f t="shared" si="37"/>
        <v/>
      </c>
      <c r="B179" s="740" t="s">
        <v>1150</v>
      </c>
      <c r="C179" s="489"/>
      <c r="D179" s="383" t="str">
        <f t="shared" si="60"/>
        <v/>
      </c>
      <c r="E179" s="490">
        <v>0</v>
      </c>
      <c r="F179" s="95"/>
      <c r="G179" s="164" t="str">
        <f>IF(B179="","",IF(F179="",VLOOKUP(B179,Variabelen!A$47:D$58,4,FALSE),F179-G$49))</f>
        <v/>
      </c>
      <c r="H179" s="490" t="str">
        <f>IF(B179="","",VLOOKUP(B179,Variabelen!A$47:D$58,3,FALSE))</f>
        <v/>
      </c>
      <c r="I179" s="196" t="str">
        <f t="shared" si="61"/>
        <v/>
      </c>
      <c r="J179" s="196" t="str">
        <f t="shared" si="62"/>
        <v/>
      </c>
      <c r="K179" s="196" t="str">
        <f t="shared" si="63"/>
        <v/>
      </c>
      <c r="L179" s="196" t="str">
        <f t="shared" si="64"/>
        <v/>
      </c>
      <c r="M179" s="34" t="str">
        <f t="shared" si="65"/>
        <v/>
      </c>
      <c r="N179" s="196" t="str">
        <f>IF(B179="","",VLOOKUP(B179,Variabelen!A$47:D$58,2,FALSE))</f>
        <v/>
      </c>
      <c r="O179" s="94">
        <v>121</v>
      </c>
      <c r="P179" s="490"/>
      <c r="Q179" s="344"/>
      <c r="AA179" s="36"/>
      <c r="AB179" s="193"/>
    </row>
    <row r="180" spans="1:28" outlineLevel="2" x14ac:dyDescent="0.25">
      <c r="A180" s="95" t="str">
        <f t="shared" si="37"/>
        <v/>
      </c>
      <c r="B180" s="740" t="s">
        <v>1150</v>
      </c>
      <c r="C180" s="489"/>
      <c r="D180" s="383" t="str">
        <f t="shared" si="60"/>
        <v/>
      </c>
      <c r="E180" s="490">
        <v>0</v>
      </c>
      <c r="F180" s="95"/>
      <c r="G180" s="164" t="str">
        <f>IF(B180="","",IF(F180="",VLOOKUP(B180,Variabelen!A$47:D$58,4,FALSE),F180-G$49))</f>
        <v/>
      </c>
      <c r="H180" s="490" t="str">
        <f>IF(B180="","",VLOOKUP(B180,Variabelen!A$47:D$58,3,FALSE))</f>
        <v/>
      </c>
      <c r="I180" s="196" t="str">
        <f t="shared" si="61"/>
        <v/>
      </c>
      <c r="J180" s="196" t="str">
        <f t="shared" si="62"/>
        <v/>
      </c>
      <c r="K180" s="196" t="str">
        <f t="shared" si="63"/>
        <v/>
      </c>
      <c r="L180" s="196" t="str">
        <f t="shared" si="64"/>
        <v/>
      </c>
      <c r="M180" s="34" t="str">
        <f t="shared" si="65"/>
        <v/>
      </c>
      <c r="N180" s="196" t="str">
        <f>IF(B180="","",VLOOKUP(B180,Variabelen!A$47:D$58,2,FALSE))</f>
        <v/>
      </c>
      <c r="O180" s="94">
        <v>122</v>
      </c>
      <c r="P180" s="490"/>
      <c r="Q180" s="344"/>
      <c r="S180" s="469"/>
      <c r="AA180" s="36"/>
      <c r="AB180" s="193"/>
    </row>
    <row r="181" spans="1:28" outlineLevel="2" x14ac:dyDescent="0.25">
      <c r="A181" s="95" t="str">
        <f t="shared" si="37"/>
        <v/>
      </c>
      <c r="B181" s="740" t="s">
        <v>1150</v>
      </c>
      <c r="C181" s="489"/>
      <c r="D181" s="383" t="str">
        <f t="shared" si="60"/>
        <v/>
      </c>
      <c r="E181" s="490">
        <v>0</v>
      </c>
      <c r="F181" s="95"/>
      <c r="G181" s="164" t="str">
        <f>IF(B181="","",IF(F181="",VLOOKUP(B181,Variabelen!A$47:D$58,4,FALSE),F181-G$49))</f>
        <v/>
      </c>
      <c r="H181" s="490" t="str">
        <f>IF(B181="","",VLOOKUP(B181,Variabelen!A$47:D$58,3,FALSE))</f>
        <v/>
      </c>
      <c r="I181" s="196" t="str">
        <f t="shared" si="61"/>
        <v/>
      </c>
      <c r="J181" s="196" t="str">
        <f t="shared" si="62"/>
        <v/>
      </c>
      <c r="K181" s="196" t="str">
        <f t="shared" si="63"/>
        <v/>
      </c>
      <c r="L181" s="196" t="str">
        <f t="shared" si="64"/>
        <v/>
      </c>
      <c r="M181" s="34" t="str">
        <f t="shared" si="65"/>
        <v/>
      </c>
      <c r="N181" s="196" t="str">
        <f>IF(B181="","",VLOOKUP(B181,Variabelen!A$47:D$58,2,FALSE))</f>
        <v/>
      </c>
      <c r="O181" s="94">
        <v>123</v>
      </c>
      <c r="P181" s="490"/>
      <c r="Q181" s="344"/>
      <c r="S181" s="469"/>
      <c r="AA181" s="36"/>
      <c r="AB181" s="193"/>
    </row>
    <row r="182" spans="1:28" outlineLevel="2" x14ac:dyDescent="0.25">
      <c r="A182" s="95" t="str">
        <f t="shared" si="37"/>
        <v/>
      </c>
      <c r="B182" s="740" t="s">
        <v>1150</v>
      </c>
      <c r="C182" s="489"/>
      <c r="D182" s="383" t="str">
        <f t="shared" si="60"/>
        <v/>
      </c>
      <c r="E182" s="490">
        <v>0</v>
      </c>
      <c r="F182" s="95"/>
      <c r="G182" s="164" t="str">
        <f>IF(B182="","",IF(F182="",VLOOKUP(B182,Variabelen!A$47:D$58,4,FALSE),F182-G$49))</f>
        <v/>
      </c>
      <c r="H182" s="490" t="str">
        <f>IF(B182="","",VLOOKUP(B182,Variabelen!A$47:D$58,3,FALSE))</f>
        <v/>
      </c>
      <c r="I182" s="196" t="str">
        <f t="shared" si="61"/>
        <v/>
      </c>
      <c r="J182" s="196" t="str">
        <f t="shared" si="62"/>
        <v/>
      </c>
      <c r="K182" s="196" t="str">
        <f t="shared" si="63"/>
        <v/>
      </c>
      <c r="L182" s="196" t="str">
        <f t="shared" si="64"/>
        <v/>
      </c>
      <c r="M182" s="34" t="str">
        <f t="shared" si="65"/>
        <v/>
      </c>
      <c r="N182" s="196" t="str">
        <f>IF(B182="","",VLOOKUP(B182,Variabelen!A$47:D$58,2,FALSE))</f>
        <v/>
      </c>
      <c r="O182" s="94">
        <v>124</v>
      </c>
      <c r="P182" s="490"/>
      <c r="Q182" s="344"/>
      <c r="S182" s="469"/>
      <c r="AA182" s="36"/>
      <c r="AB182" s="193"/>
    </row>
    <row r="183" spans="1:28" outlineLevel="2" x14ac:dyDescent="0.25">
      <c r="A183" s="95" t="str">
        <f t="shared" si="37"/>
        <v/>
      </c>
      <c r="B183" s="740" t="s">
        <v>1150</v>
      </c>
      <c r="C183" s="489"/>
      <c r="D183" s="383" t="str">
        <f t="shared" si="60"/>
        <v/>
      </c>
      <c r="E183" s="490">
        <v>0</v>
      </c>
      <c r="F183" s="95"/>
      <c r="G183" s="164" t="str">
        <f>IF(B183="","",IF(F183="",VLOOKUP(B183,Variabelen!A$47:D$58,4,FALSE),F183-G$49))</f>
        <v/>
      </c>
      <c r="H183" s="490" t="str">
        <f>IF(B183="","",VLOOKUP(B183,Variabelen!A$47:D$58,3,FALSE))</f>
        <v/>
      </c>
      <c r="I183" s="196" t="str">
        <f t="shared" si="61"/>
        <v/>
      </c>
      <c r="J183" s="196" t="str">
        <f t="shared" si="62"/>
        <v/>
      </c>
      <c r="K183" s="196" t="str">
        <f t="shared" si="63"/>
        <v/>
      </c>
      <c r="L183" s="196" t="str">
        <f t="shared" si="64"/>
        <v/>
      </c>
      <c r="M183" s="34" t="str">
        <f t="shared" si="65"/>
        <v/>
      </c>
      <c r="N183" s="196" t="str">
        <f>IF(B183="","",VLOOKUP(B183,Variabelen!A$47:D$58,2,FALSE))</f>
        <v/>
      </c>
      <c r="O183" s="94">
        <v>125</v>
      </c>
      <c r="P183" s="490"/>
      <c r="Q183" s="344"/>
      <c r="S183" s="469"/>
      <c r="AA183" s="36"/>
      <c r="AB183" s="193"/>
    </row>
    <row r="184" spans="1:28" outlineLevel="2" x14ac:dyDescent="0.25">
      <c r="A184" s="95" t="str">
        <f t="shared" si="37"/>
        <v/>
      </c>
      <c r="B184" s="740" t="s">
        <v>1150</v>
      </c>
      <c r="C184" s="489"/>
      <c r="D184" s="383" t="str">
        <f t="shared" si="60"/>
        <v/>
      </c>
      <c r="E184" s="490">
        <v>0</v>
      </c>
      <c r="F184" s="95"/>
      <c r="G184" s="164" t="str">
        <f>IF(B184="","",IF(F184="",VLOOKUP(B184,Variabelen!A$47:D$58,4,FALSE),F184-G$49))</f>
        <v/>
      </c>
      <c r="H184" s="490" t="str">
        <f>IF(B184="","",VLOOKUP(B184,Variabelen!A$47:D$58,3,FALSE))</f>
        <v/>
      </c>
      <c r="I184" s="196" t="str">
        <f t="shared" si="61"/>
        <v/>
      </c>
      <c r="J184" s="196" t="str">
        <f t="shared" si="62"/>
        <v/>
      </c>
      <c r="K184" s="196" t="str">
        <f t="shared" si="63"/>
        <v/>
      </c>
      <c r="L184" s="196" t="str">
        <f t="shared" si="64"/>
        <v/>
      </c>
      <c r="M184" s="34" t="str">
        <f t="shared" si="65"/>
        <v/>
      </c>
      <c r="N184" s="196" t="str">
        <f>IF(B184="","",VLOOKUP(B184,Variabelen!A$47:D$58,2,FALSE))</f>
        <v/>
      </c>
      <c r="O184" s="94">
        <v>126</v>
      </c>
      <c r="P184" s="490"/>
      <c r="Q184" s="344"/>
      <c r="S184" s="469"/>
      <c r="AA184" s="36"/>
      <c r="AB184" s="193"/>
    </row>
    <row r="185" spans="1:28" outlineLevel="2" x14ac:dyDescent="0.25">
      <c r="A185" s="95" t="str">
        <f t="shared" si="37"/>
        <v/>
      </c>
      <c r="B185" s="740" t="s">
        <v>1150</v>
      </c>
      <c r="C185" s="489"/>
      <c r="D185" s="383" t="str">
        <f t="shared" si="60"/>
        <v/>
      </c>
      <c r="E185" s="490">
        <v>0</v>
      </c>
      <c r="F185" s="95"/>
      <c r="G185" s="164" t="str">
        <f>IF(B185="","",IF(F185="",VLOOKUP(B185,Variabelen!A$47:D$58,4,FALSE),F185-G$49))</f>
        <v/>
      </c>
      <c r="H185" s="490" t="str">
        <f>IF(B185="","",VLOOKUP(B185,Variabelen!A$47:D$58,3,FALSE))</f>
        <v/>
      </c>
      <c r="I185" s="196" t="str">
        <f t="shared" si="61"/>
        <v/>
      </c>
      <c r="J185" s="196" t="str">
        <f t="shared" si="62"/>
        <v/>
      </c>
      <c r="K185" s="196" t="str">
        <f t="shared" si="63"/>
        <v/>
      </c>
      <c r="L185" s="196" t="str">
        <f t="shared" si="64"/>
        <v/>
      </c>
      <c r="M185" s="34" t="str">
        <f t="shared" si="65"/>
        <v/>
      </c>
      <c r="N185" s="196" t="str">
        <f>IF(B185="","",VLOOKUP(B185,Variabelen!A$47:D$58,2,FALSE))</f>
        <v/>
      </c>
      <c r="O185" s="94">
        <v>127</v>
      </c>
      <c r="P185" s="490"/>
      <c r="Q185" s="344"/>
      <c r="S185" s="469"/>
      <c r="AA185" s="36"/>
      <c r="AB185" s="193"/>
    </row>
    <row r="186" spans="1:28" outlineLevel="2" x14ac:dyDescent="0.25">
      <c r="A186" s="95" t="str">
        <f t="shared" si="37"/>
        <v/>
      </c>
      <c r="B186" s="740" t="s">
        <v>1150</v>
      </c>
      <c r="C186" s="489"/>
      <c r="D186" s="383" t="str">
        <f t="shared" si="60"/>
        <v/>
      </c>
      <c r="E186" s="490">
        <v>0</v>
      </c>
      <c r="F186" s="95"/>
      <c r="G186" s="164" t="str">
        <f>IF(B186="","",IF(F186="",VLOOKUP(B186,Variabelen!A$47:D$58,4,FALSE),F186-G$49))</f>
        <v/>
      </c>
      <c r="H186" s="490" t="str">
        <f>IF(B186="","",VLOOKUP(B186,Variabelen!A$47:D$58,3,FALSE))</f>
        <v/>
      </c>
      <c r="I186" s="196" t="str">
        <f t="shared" si="61"/>
        <v/>
      </c>
      <c r="J186" s="196" t="str">
        <f t="shared" si="62"/>
        <v/>
      </c>
      <c r="K186" s="196" t="str">
        <f t="shared" si="63"/>
        <v/>
      </c>
      <c r="L186" s="196" t="str">
        <f t="shared" si="64"/>
        <v/>
      </c>
      <c r="M186" s="34" t="str">
        <f t="shared" si="65"/>
        <v/>
      </c>
      <c r="N186" s="196" t="str">
        <f>IF(B186="","",VLOOKUP(B186,Variabelen!A$47:D$58,2,FALSE))</f>
        <v/>
      </c>
      <c r="O186" s="94">
        <v>128</v>
      </c>
      <c r="P186" s="490"/>
      <c r="Q186" s="344"/>
      <c r="S186" s="469"/>
      <c r="AA186" s="36"/>
      <c r="AB186" s="193"/>
    </row>
    <row r="187" spans="1:28" outlineLevel="2" x14ac:dyDescent="0.25">
      <c r="A187" s="95" t="str">
        <f t="shared" si="37"/>
        <v/>
      </c>
      <c r="B187" s="740" t="s">
        <v>1150</v>
      </c>
      <c r="C187" s="489"/>
      <c r="D187" s="383" t="str">
        <f t="shared" si="60"/>
        <v/>
      </c>
      <c r="E187" s="490">
        <v>0</v>
      </c>
      <c r="F187" s="95"/>
      <c r="G187" s="164" t="str">
        <f>IF(B187="","",IF(F187="",VLOOKUP(B187,Variabelen!A$47:D$58,4,FALSE),F187-G$49))</f>
        <v/>
      </c>
      <c r="H187" s="490" t="str">
        <f>IF(B187="","",VLOOKUP(B187,Variabelen!A$47:D$58,3,FALSE))</f>
        <v/>
      </c>
      <c r="I187" s="196" t="str">
        <f t="shared" si="61"/>
        <v/>
      </c>
      <c r="J187" s="196" t="str">
        <f t="shared" si="62"/>
        <v/>
      </c>
      <c r="K187" s="196" t="str">
        <f t="shared" si="63"/>
        <v/>
      </c>
      <c r="L187" s="196" t="str">
        <f t="shared" si="64"/>
        <v/>
      </c>
      <c r="M187" s="34" t="str">
        <f t="shared" si="65"/>
        <v/>
      </c>
      <c r="N187" s="196" t="str">
        <f>IF(B187="","",VLOOKUP(B187,Variabelen!A$47:D$58,2,FALSE))</f>
        <v/>
      </c>
      <c r="O187" s="94">
        <v>129</v>
      </c>
      <c r="P187" s="490"/>
      <c r="Q187" s="344"/>
      <c r="S187" s="469"/>
      <c r="AA187" s="36"/>
      <c r="AB187" s="193"/>
    </row>
    <row r="188" spans="1:28" outlineLevel="2" x14ac:dyDescent="0.25">
      <c r="A188" s="95" t="str">
        <f t="shared" si="37"/>
        <v/>
      </c>
      <c r="B188" s="740" t="s">
        <v>1150</v>
      </c>
      <c r="C188" s="489"/>
      <c r="D188" s="383" t="str">
        <f t="shared" si="60"/>
        <v/>
      </c>
      <c r="E188" s="490">
        <v>0</v>
      </c>
      <c r="F188" s="95"/>
      <c r="G188" s="164" t="str">
        <f>IF(B188="","",IF(F188="",VLOOKUP(B188,Variabelen!A$47:D$58,4,FALSE),F188-G$49))</f>
        <v/>
      </c>
      <c r="H188" s="490" t="str">
        <f>IF(B188="","",VLOOKUP(B188,Variabelen!A$47:D$58,3,FALSE))</f>
        <v/>
      </c>
      <c r="I188" s="196" t="str">
        <f t="shared" si="61"/>
        <v/>
      </c>
      <c r="J188" s="196" t="str">
        <f t="shared" si="62"/>
        <v/>
      </c>
      <c r="K188" s="196" t="str">
        <f t="shared" si="63"/>
        <v/>
      </c>
      <c r="L188" s="196" t="str">
        <f t="shared" si="64"/>
        <v/>
      </c>
      <c r="M188" s="34" t="str">
        <f t="shared" si="65"/>
        <v/>
      </c>
      <c r="N188" s="196" t="str">
        <f>IF(B188="","",VLOOKUP(B188,Variabelen!A$47:D$58,2,FALSE))</f>
        <v/>
      </c>
      <c r="O188" s="94">
        <v>130</v>
      </c>
      <c r="P188" s="490"/>
      <c r="Q188" s="344"/>
      <c r="S188" s="469"/>
      <c r="AA188" s="36"/>
      <c r="AB188" s="193"/>
    </row>
    <row r="189" spans="1:28" outlineLevel="2" x14ac:dyDescent="0.25">
      <c r="A189" s="95" t="str">
        <f t="shared" si="37"/>
        <v/>
      </c>
      <c r="B189" s="740" t="s">
        <v>1150</v>
      </c>
      <c r="C189" s="489"/>
      <c r="D189" s="383" t="str">
        <f t="shared" si="60"/>
        <v/>
      </c>
      <c r="E189" s="490">
        <v>0</v>
      </c>
      <c r="F189" s="95"/>
      <c r="G189" s="164" t="str">
        <f>IF(B189="","",IF(F189="",VLOOKUP(B189,Variabelen!A$47:D$58,4,FALSE),F189-G$49))</f>
        <v/>
      </c>
      <c r="H189" s="490" t="str">
        <f>IF(B189="","",VLOOKUP(B189,Variabelen!A$47:D$58,3,FALSE))</f>
        <v/>
      </c>
      <c r="I189" s="196" t="str">
        <f t="shared" si="61"/>
        <v/>
      </c>
      <c r="J189" s="196" t="str">
        <f t="shared" si="62"/>
        <v/>
      </c>
      <c r="K189" s="196" t="str">
        <f t="shared" si="63"/>
        <v/>
      </c>
      <c r="L189" s="196" t="str">
        <f t="shared" si="64"/>
        <v/>
      </c>
      <c r="M189" s="34" t="str">
        <f t="shared" si="65"/>
        <v/>
      </c>
      <c r="N189" s="196" t="str">
        <f>IF(B189="","",VLOOKUP(B189,Variabelen!A$47:D$58,2,FALSE))</f>
        <v/>
      </c>
      <c r="O189" s="94">
        <v>131</v>
      </c>
      <c r="P189" s="490"/>
      <c r="Q189" s="344"/>
      <c r="S189" s="469"/>
      <c r="AA189" s="36"/>
      <c r="AB189" s="193"/>
    </row>
    <row r="190" spans="1:28" outlineLevel="2" x14ac:dyDescent="0.25">
      <c r="A190" s="95" t="str">
        <f t="shared" si="37"/>
        <v/>
      </c>
      <c r="B190" s="740" t="s">
        <v>1150</v>
      </c>
      <c r="C190" s="489"/>
      <c r="D190" s="383" t="str">
        <f t="shared" si="60"/>
        <v/>
      </c>
      <c r="E190" s="490">
        <v>0</v>
      </c>
      <c r="F190" s="95"/>
      <c r="G190" s="164" t="str">
        <f>IF(B190="","",IF(F190="",VLOOKUP(B190,Variabelen!A$47:D$58,4,FALSE),F190-G$49))</f>
        <v/>
      </c>
      <c r="H190" s="490" t="str">
        <f>IF(B190="","",VLOOKUP(B190,Variabelen!A$47:D$58,3,FALSE))</f>
        <v/>
      </c>
      <c r="I190" s="196" t="str">
        <f t="shared" si="61"/>
        <v/>
      </c>
      <c r="J190" s="196" t="str">
        <f t="shared" si="62"/>
        <v/>
      </c>
      <c r="K190" s="196" t="str">
        <f t="shared" si="63"/>
        <v/>
      </c>
      <c r="L190" s="196" t="str">
        <f t="shared" si="64"/>
        <v/>
      </c>
      <c r="M190" s="34" t="str">
        <f t="shared" si="65"/>
        <v/>
      </c>
      <c r="N190" s="196" t="str">
        <f>IF(B190="","",VLOOKUP(B190,Variabelen!A$47:D$58,2,FALSE))</f>
        <v/>
      </c>
      <c r="O190" s="94">
        <v>132</v>
      </c>
      <c r="P190" s="490"/>
      <c r="Q190" s="344"/>
      <c r="S190" s="469"/>
      <c r="AA190" s="36"/>
      <c r="AB190" s="193"/>
    </row>
    <row r="191" spans="1:28" outlineLevel="2" x14ac:dyDescent="0.25">
      <c r="A191" s="95" t="str">
        <f t="shared" si="37"/>
        <v/>
      </c>
      <c r="B191" s="740" t="s">
        <v>1150</v>
      </c>
      <c r="C191" s="489"/>
      <c r="D191" s="383" t="str">
        <f t="shared" si="60"/>
        <v/>
      </c>
      <c r="E191" s="490">
        <v>0</v>
      </c>
      <c r="F191" s="95"/>
      <c r="G191" s="164" t="str">
        <f>IF(B191="","",IF(F191="",VLOOKUP(B191,Variabelen!A$47:D$58,4,FALSE),F191-G$49))</f>
        <v/>
      </c>
      <c r="H191" s="490" t="str">
        <f>IF(B191="","",VLOOKUP(B191,Variabelen!A$47:D$58,3,FALSE))</f>
        <v/>
      </c>
      <c r="I191" s="196" t="str">
        <f t="shared" si="61"/>
        <v/>
      </c>
      <c r="J191" s="196" t="str">
        <f t="shared" si="62"/>
        <v/>
      </c>
      <c r="K191" s="196" t="str">
        <f t="shared" si="63"/>
        <v/>
      </c>
      <c r="L191" s="196" t="str">
        <f t="shared" si="64"/>
        <v/>
      </c>
      <c r="M191" s="34" t="str">
        <f t="shared" si="65"/>
        <v/>
      </c>
      <c r="N191" s="196" t="str">
        <f>IF(B191="","",VLOOKUP(B191,Variabelen!A$47:D$58,2,FALSE))</f>
        <v/>
      </c>
      <c r="O191" s="94">
        <v>133</v>
      </c>
      <c r="P191" s="490"/>
      <c r="Q191" s="344"/>
      <c r="S191" s="469"/>
      <c r="AA191" s="36"/>
      <c r="AB191" s="193"/>
    </row>
    <row r="192" spans="1:28" outlineLevel="2" x14ac:dyDescent="0.25">
      <c r="A192" s="95" t="str">
        <f t="shared" si="37"/>
        <v/>
      </c>
      <c r="B192" s="740" t="s">
        <v>1150</v>
      </c>
      <c r="C192" s="489"/>
      <c r="D192" s="383" t="str">
        <f t="shared" si="60"/>
        <v/>
      </c>
      <c r="E192" s="490">
        <v>0</v>
      </c>
      <c r="F192" s="95"/>
      <c r="G192" s="164" t="str">
        <f>IF(B192="","",IF(F192="",VLOOKUP(B192,Variabelen!A$47:D$58,4,FALSE),F192-G$49))</f>
        <v/>
      </c>
      <c r="H192" s="490" t="str">
        <f>IF(B192="","",VLOOKUP(B192,Variabelen!A$47:D$58,3,FALSE))</f>
        <v/>
      </c>
      <c r="I192" s="196" t="str">
        <f t="shared" si="61"/>
        <v/>
      </c>
      <c r="J192" s="196" t="str">
        <f t="shared" si="62"/>
        <v/>
      </c>
      <c r="K192" s="196" t="str">
        <f t="shared" si="63"/>
        <v/>
      </c>
      <c r="L192" s="196" t="str">
        <f t="shared" si="64"/>
        <v/>
      </c>
      <c r="M192" s="34" t="str">
        <f t="shared" si="65"/>
        <v/>
      </c>
      <c r="N192" s="196" t="str">
        <f>IF(B192="","",VLOOKUP(B192,Variabelen!A$47:D$58,2,FALSE))</f>
        <v/>
      </c>
      <c r="O192" s="94">
        <v>134</v>
      </c>
      <c r="P192" s="490"/>
      <c r="Q192" s="344"/>
      <c r="S192" s="469"/>
      <c r="AA192" s="36"/>
      <c r="AB192" s="193"/>
    </row>
    <row r="193" spans="1:28" outlineLevel="2" x14ac:dyDescent="0.25">
      <c r="A193" s="95" t="str">
        <f t="shared" si="37"/>
        <v/>
      </c>
      <c r="B193" s="740" t="s">
        <v>1150</v>
      </c>
      <c r="C193" s="489"/>
      <c r="D193" s="383" t="str">
        <f t="shared" si="60"/>
        <v/>
      </c>
      <c r="E193" s="490">
        <v>0</v>
      </c>
      <c r="F193" s="95"/>
      <c r="G193" s="164" t="str">
        <f>IF(B193="","",IF(F193="",VLOOKUP(B193,Variabelen!A$47:D$58,4,FALSE),F193-G$49))</f>
        <v/>
      </c>
      <c r="H193" s="490" t="str">
        <f>IF(B193="","",VLOOKUP(B193,Variabelen!A$47:D$58,3,FALSE))</f>
        <v/>
      </c>
      <c r="I193" s="196" t="str">
        <f t="shared" si="61"/>
        <v/>
      </c>
      <c r="J193" s="196" t="str">
        <f t="shared" si="62"/>
        <v/>
      </c>
      <c r="K193" s="196" t="str">
        <f t="shared" si="63"/>
        <v/>
      </c>
      <c r="L193" s="196" t="str">
        <f t="shared" si="64"/>
        <v/>
      </c>
      <c r="M193" s="34" t="str">
        <f t="shared" si="65"/>
        <v/>
      </c>
      <c r="N193" s="196" t="str">
        <f>IF(B193="","",VLOOKUP(B193,Variabelen!A$47:D$58,2,FALSE))</f>
        <v/>
      </c>
      <c r="O193" s="94">
        <v>135</v>
      </c>
      <c r="P193" s="490"/>
      <c r="Q193" s="344"/>
      <c r="S193" s="469"/>
      <c r="AA193" s="36"/>
      <c r="AB193" s="193"/>
    </row>
    <row r="194" spans="1:28" outlineLevel="2" x14ac:dyDescent="0.25">
      <c r="A194" s="95" t="str">
        <f t="shared" si="37"/>
        <v/>
      </c>
      <c r="B194" s="740" t="s">
        <v>1150</v>
      </c>
      <c r="C194" s="489"/>
      <c r="D194" s="383" t="str">
        <f t="shared" si="60"/>
        <v/>
      </c>
      <c r="E194" s="490">
        <v>0</v>
      </c>
      <c r="F194" s="95"/>
      <c r="G194" s="164" t="str">
        <f>IF(B194="","",IF(F194="",VLOOKUP(B194,Variabelen!A$47:D$58,4,FALSE),F194-G$49))</f>
        <v/>
      </c>
      <c r="H194" s="490" t="str">
        <f>IF(B194="","",VLOOKUP(B194,Variabelen!A$47:D$58,3,FALSE))</f>
        <v/>
      </c>
      <c r="I194" s="196" t="str">
        <f t="shared" si="61"/>
        <v/>
      </c>
      <c r="J194" s="196" t="str">
        <f t="shared" si="62"/>
        <v/>
      </c>
      <c r="K194" s="196" t="str">
        <f t="shared" si="63"/>
        <v/>
      </c>
      <c r="L194" s="196" t="str">
        <f t="shared" si="64"/>
        <v/>
      </c>
      <c r="M194" s="34" t="str">
        <f t="shared" si="65"/>
        <v/>
      </c>
      <c r="N194" s="196" t="str">
        <f>IF(B194="","",VLOOKUP(B194,Variabelen!A$47:D$58,2,FALSE))</f>
        <v/>
      </c>
      <c r="O194" s="94">
        <v>136</v>
      </c>
      <c r="P194" s="490"/>
      <c r="Q194" s="344"/>
      <c r="S194" s="469"/>
      <c r="AA194" s="36"/>
      <c r="AB194" s="193"/>
    </row>
    <row r="195" spans="1:28" outlineLevel="2" x14ac:dyDescent="0.25">
      <c r="A195" s="95" t="str">
        <f t="shared" si="37"/>
        <v/>
      </c>
      <c r="B195" s="740" t="s">
        <v>1150</v>
      </c>
      <c r="C195" s="489"/>
      <c r="D195" s="383" t="str">
        <f t="shared" si="60"/>
        <v/>
      </c>
      <c r="E195" s="490">
        <v>0</v>
      </c>
      <c r="F195" s="95"/>
      <c r="G195" s="164" t="str">
        <f>IF(B195="","",IF(F195="",VLOOKUP(B195,Variabelen!A$47:D$58,4,FALSE),F195-G$49))</f>
        <v/>
      </c>
      <c r="H195" s="490" t="str">
        <f>IF(B195="","",VLOOKUP(B195,Variabelen!A$47:D$58,3,FALSE))</f>
        <v/>
      </c>
      <c r="I195" s="196" t="str">
        <f t="shared" si="61"/>
        <v/>
      </c>
      <c r="J195" s="196" t="str">
        <f t="shared" si="62"/>
        <v/>
      </c>
      <c r="K195" s="196" t="str">
        <f t="shared" si="63"/>
        <v/>
      </c>
      <c r="L195" s="196" t="str">
        <f t="shared" si="64"/>
        <v/>
      </c>
      <c r="M195" s="34" t="str">
        <f t="shared" si="65"/>
        <v/>
      </c>
      <c r="N195" s="196" t="str">
        <f>IF(B195="","",VLOOKUP(B195,Variabelen!A$47:D$58,2,FALSE))</f>
        <v/>
      </c>
      <c r="O195" s="94">
        <v>137</v>
      </c>
      <c r="P195" s="490"/>
      <c r="Q195" s="344"/>
      <c r="S195" s="469"/>
      <c r="AA195" s="36"/>
      <c r="AB195" s="193"/>
    </row>
    <row r="196" spans="1:28" outlineLevel="2" x14ac:dyDescent="0.25">
      <c r="A196" s="95" t="str">
        <f t="shared" si="37"/>
        <v/>
      </c>
      <c r="B196" s="740" t="s">
        <v>1150</v>
      </c>
      <c r="C196" s="489"/>
      <c r="D196" s="383" t="str">
        <f t="shared" si="60"/>
        <v/>
      </c>
      <c r="E196" s="490">
        <v>0</v>
      </c>
      <c r="F196" s="95"/>
      <c r="G196" s="164" t="str">
        <f>IF(B196="","",IF(F196="",VLOOKUP(B196,Variabelen!A$47:D$58,4,FALSE),F196-G$49))</f>
        <v/>
      </c>
      <c r="H196" s="490" t="str">
        <f>IF(B196="","",VLOOKUP(B196,Variabelen!A$47:D$58,3,FALSE))</f>
        <v/>
      </c>
      <c r="I196" s="196" t="str">
        <f t="shared" si="61"/>
        <v/>
      </c>
      <c r="J196" s="196" t="str">
        <f t="shared" si="62"/>
        <v/>
      </c>
      <c r="K196" s="196" t="str">
        <f t="shared" si="63"/>
        <v/>
      </c>
      <c r="L196" s="196" t="str">
        <f t="shared" si="64"/>
        <v/>
      </c>
      <c r="M196" s="34" t="str">
        <f t="shared" si="65"/>
        <v/>
      </c>
      <c r="N196" s="196" t="str">
        <f>IF(B196="","",VLOOKUP(B196,Variabelen!A$47:D$58,2,FALSE))</f>
        <v/>
      </c>
      <c r="O196" s="94">
        <v>138</v>
      </c>
      <c r="P196" s="490"/>
      <c r="Q196" s="344"/>
      <c r="S196" s="469"/>
      <c r="AA196" s="36"/>
      <c r="AB196" s="193"/>
    </row>
    <row r="197" spans="1:28" outlineLevel="2" x14ac:dyDescent="0.25">
      <c r="A197" s="95" t="str">
        <f t="shared" si="37"/>
        <v/>
      </c>
      <c r="B197" s="740" t="s">
        <v>1150</v>
      </c>
      <c r="C197" s="489"/>
      <c r="D197" s="383" t="str">
        <f t="shared" si="60"/>
        <v/>
      </c>
      <c r="E197" s="490">
        <v>0</v>
      </c>
      <c r="F197" s="95"/>
      <c r="G197" s="164" t="str">
        <f>IF(B197="","",IF(F197="",VLOOKUP(B197,Variabelen!A$47:D$58,4,FALSE),F197-G$49))</f>
        <v/>
      </c>
      <c r="H197" s="490" t="str">
        <f>IF(B197="","",VLOOKUP(B197,Variabelen!A$47:D$58,3,FALSE))</f>
        <v/>
      </c>
      <c r="I197" s="196" t="str">
        <f t="shared" si="61"/>
        <v/>
      </c>
      <c r="J197" s="196" t="str">
        <f t="shared" si="62"/>
        <v/>
      </c>
      <c r="K197" s="196" t="str">
        <f t="shared" si="63"/>
        <v/>
      </c>
      <c r="L197" s="196" t="str">
        <f t="shared" si="64"/>
        <v/>
      </c>
      <c r="M197" s="34" t="str">
        <f t="shared" si="65"/>
        <v/>
      </c>
      <c r="N197" s="196" t="str">
        <f>IF(B197="","",VLOOKUP(B197,Variabelen!A$47:D$58,2,FALSE))</f>
        <v/>
      </c>
      <c r="O197" s="94">
        <v>139</v>
      </c>
      <c r="P197" s="490"/>
      <c r="Q197" s="344"/>
      <c r="S197" s="469"/>
      <c r="AA197" s="36"/>
      <c r="AB197" s="193"/>
    </row>
    <row r="198" spans="1:28" outlineLevel="2" x14ac:dyDescent="0.25">
      <c r="A198" s="95" t="str">
        <f t="shared" si="37"/>
        <v/>
      </c>
      <c r="B198" s="740" t="s">
        <v>1150</v>
      </c>
      <c r="C198" s="489"/>
      <c r="D198" s="383" t="str">
        <f t="shared" ref="D198:D254" si="66">IF(B198="","",IF(B198="RV","BOB","BVK"))</f>
        <v/>
      </c>
      <c r="E198" s="490">
        <v>0</v>
      </c>
      <c r="F198" s="95"/>
      <c r="G198" s="164" t="str">
        <f>IF(B198="","",IF(F198="",VLOOKUP(B198,Variabelen!A$47:D$58,4,FALSE),F198-G$49))</f>
        <v/>
      </c>
      <c r="H198" s="490" t="str">
        <f>IF(B198="","",VLOOKUP(B198,Variabelen!A$47:D$58,3,FALSE))</f>
        <v/>
      </c>
      <c r="I198" s="196" t="str">
        <f t="shared" ref="I198:I254" si="67">IF(D198="BOB",0.75*H198,"")</f>
        <v/>
      </c>
      <c r="J198" s="196" t="str">
        <f t="shared" ref="J198:J254" si="68">IF(B198="","",ROUND(IF(D198="BOB",G198+(0.5*I198/1000),IF(D198="BVK",G198-(0.5*H198/1000),"FOUT")),2))</f>
        <v/>
      </c>
      <c r="K198" s="196" t="str">
        <f t="shared" ref="K198:K254" si="69">IF(B198="","",IF(AND(D198="BVK",F198=""),J198+VLOOKUP(E198,K$290:L$1291,2,TRUE)-G$49,IF(F198&lt;&gt;"",J198,"CHECK BVK of BOB!!!")))</f>
        <v/>
      </c>
      <c r="L198" s="196" t="str">
        <f t="shared" ref="L198:L254" si="70">IF(B198="","",G$49+K198)</f>
        <v/>
      </c>
      <c r="M198" s="34" t="str">
        <f t="shared" ref="M198:M254" si="71">IF(P198="","",M$43+P198+Q198)</f>
        <v/>
      </c>
      <c r="N198" s="196" t="str">
        <f>IF(B198="","",VLOOKUP(B198,Variabelen!A$47:D$58,2,FALSE))</f>
        <v/>
      </c>
      <c r="O198" s="94">
        <v>140</v>
      </c>
      <c r="P198" s="490"/>
      <c r="Q198" s="344"/>
      <c r="S198" s="469"/>
      <c r="AA198" s="36"/>
      <c r="AB198" s="193"/>
    </row>
    <row r="199" spans="1:28" outlineLevel="2" x14ac:dyDescent="0.25">
      <c r="A199" s="95" t="str">
        <f t="shared" si="37"/>
        <v/>
      </c>
      <c r="B199" s="740" t="s">
        <v>1150</v>
      </c>
      <c r="C199" s="489"/>
      <c r="D199" s="383" t="str">
        <f t="shared" si="66"/>
        <v/>
      </c>
      <c r="E199" s="490">
        <v>0</v>
      </c>
      <c r="F199" s="95"/>
      <c r="G199" s="164" t="str">
        <f>IF(B199="","",IF(F199="",VLOOKUP(B199,Variabelen!A$47:D$58,4,FALSE),F199-G$49))</f>
        <v/>
      </c>
      <c r="H199" s="490" t="str">
        <f>IF(B199="","",VLOOKUP(B199,Variabelen!A$47:D$58,3,FALSE))</f>
        <v/>
      </c>
      <c r="I199" s="196" t="str">
        <f t="shared" si="67"/>
        <v/>
      </c>
      <c r="J199" s="196" t="str">
        <f t="shared" si="68"/>
        <v/>
      </c>
      <c r="K199" s="196" t="str">
        <f t="shared" si="69"/>
        <v/>
      </c>
      <c r="L199" s="196" t="str">
        <f t="shared" si="70"/>
        <v/>
      </c>
      <c r="M199" s="34" t="str">
        <f t="shared" si="71"/>
        <v/>
      </c>
      <c r="N199" s="196" t="str">
        <f>IF(B199="","",VLOOKUP(B199,Variabelen!A$47:D$58,2,FALSE))</f>
        <v/>
      </c>
      <c r="O199" s="94">
        <v>141</v>
      </c>
      <c r="P199" s="490"/>
      <c r="Q199" s="344"/>
      <c r="S199" s="469"/>
      <c r="AA199" s="36"/>
      <c r="AB199" s="193"/>
    </row>
    <row r="200" spans="1:28" outlineLevel="2" x14ac:dyDescent="0.25">
      <c r="A200" s="95" t="str">
        <f t="shared" si="37"/>
        <v/>
      </c>
      <c r="B200" s="740" t="s">
        <v>1150</v>
      </c>
      <c r="C200" s="489"/>
      <c r="D200" s="383" t="str">
        <f t="shared" si="66"/>
        <v/>
      </c>
      <c r="E200" s="490">
        <v>0</v>
      </c>
      <c r="F200" s="95"/>
      <c r="G200" s="164" t="str">
        <f>IF(B200="","",IF(F200="",VLOOKUP(B200,Variabelen!A$47:D$58,4,FALSE),F200-G$49))</f>
        <v/>
      </c>
      <c r="H200" s="490" t="str">
        <f>IF(B200="","",VLOOKUP(B200,Variabelen!A$47:D$58,3,FALSE))</f>
        <v/>
      </c>
      <c r="I200" s="196" t="str">
        <f t="shared" si="67"/>
        <v/>
      </c>
      <c r="J200" s="196" t="str">
        <f t="shared" si="68"/>
        <v/>
      </c>
      <c r="K200" s="196" t="str">
        <f t="shared" si="69"/>
        <v/>
      </c>
      <c r="L200" s="196" t="str">
        <f t="shared" si="70"/>
        <v/>
      </c>
      <c r="M200" s="34" t="str">
        <f t="shared" si="71"/>
        <v/>
      </c>
      <c r="N200" s="196" t="str">
        <f>IF(B200="","",VLOOKUP(B200,Variabelen!A$47:D$58,2,FALSE))</f>
        <v/>
      </c>
      <c r="O200" s="94">
        <v>142</v>
      </c>
      <c r="P200" s="490"/>
      <c r="Q200" s="344"/>
      <c r="S200" s="469"/>
      <c r="AA200" s="36"/>
      <c r="AB200" s="193"/>
    </row>
    <row r="201" spans="1:28" outlineLevel="2" x14ac:dyDescent="0.25">
      <c r="A201" s="95" t="str">
        <f t="shared" si="37"/>
        <v/>
      </c>
      <c r="B201" s="740" t="s">
        <v>1150</v>
      </c>
      <c r="C201" s="489"/>
      <c r="D201" s="383" t="str">
        <f t="shared" si="66"/>
        <v/>
      </c>
      <c r="E201" s="490">
        <v>0</v>
      </c>
      <c r="F201" s="95"/>
      <c r="G201" s="164" t="str">
        <f>IF(B201="","",IF(F201="",VLOOKUP(B201,Variabelen!A$47:D$58,4,FALSE),F201-G$49))</f>
        <v/>
      </c>
      <c r="H201" s="490" t="str">
        <f>IF(B201="","",VLOOKUP(B201,Variabelen!A$47:D$58,3,FALSE))</f>
        <v/>
      </c>
      <c r="I201" s="196" t="str">
        <f t="shared" si="67"/>
        <v/>
      </c>
      <c r="J201" s="196" t="str">
        <f t="shared" si="68"/>
        <v/>
      </c>
      <c r="K201" s="196" t="str">
        <f t="shared" si="69"/>
        <v/>
      </c>
      <c r="L201" s="196" t="str">
        <f t="shared" si="70"/>
        <v/>
      </c>
      <c r="M201" s="34" t="str">
        <f t="shared" si="71"/>
        <v/>
      </c>
      <c r="N201" s="196" t="str">
        <f>IF(B201="","",VLOOKUP(B201,Variabelen!A$47:D$58,2,FALSE))</f>
        <v/>
      </c>
      <c r="O201" s="94">
        <v>143</v>
      </c>
      <c r="P201" s="490"/>
      <c r="Q201" s="344"/>
      <c r="S201" s="469"/>
      <c r="AA201" s="36"/>
      <c r="AB201" s="193"/>
    </row>
    <row r="202" spans="1:28" outlineLevel="2" x14ac:dyDescent="0.25">
      <c r="A202" s="95" t="str">
        <f t="shared" si="37"/>
        <v/>
      </c>
      <c r="B202" s="740" t="s">
        <v>1150</v>
      </c>
      <c r="C202" s="489"/>
      <c r="D202" s="383" t="str">
        <f t="shared" si="66"/>
        <v/>
      </c>
      <c r="E202" s="490">
        <v>0</v>
      </c>
      <c r="F202" s="95"/>
      <c r="G202" s="164" t="str">
        <f>IF(B202="","",IF(F202="",VLOOKUP(B202,Variabelen!A$47:D$58,4,FALSE),F202-G$49))</f>
        <v/>
      </c>
      <c r="H202" s="490" t="str">
        <f>IF(B202="","",VLOOKUP(B202,Variabelen!A$47:D$58,3,FALSE))</f>
        <v/>
      </c>
      <c r="I202" s="196" t="str">
        <f t="shared" si="67"/>
        <v/>
      </c>
      <c r="J202" s="196" t="str">
        <f t="shared" si="68"/>
        <v/>
      </c>
      <c r="K202" s="196" t="str">
        <f t="shared" si="69"/>
        <v/>
      </c>
      <c r="L202" s="196" t="str">
        <f t="shared" si="70"/>
        <v/>
      </c>
      <c r="M202" s="34" t="str">
        <f t="shared" si="71"/>
        <v/>
      </c>
      <c r="N202" s="196" t="str">
        <f>IF(B202="","",VLOOKUP(B202,Variabelen!A$47:D$58,2,FALSE))</f>
        <v/>
      </c>
      <c r="O202" s="94">
        <v>144</v>
      </c>
      <c r="P202" s="490"/>
      <c r="Q202" s="344"/>
      <c r="S202" s="469"/>
      <c r="AA202" s="36"/>
      <c r="AB202" s="193"/>
    </row>
    <row r="203" spans="1:28" outlineLevel="2" x14ac:dyDescent="0.25">
      <c r="A203" s="95" t="str">
        <f t="shared" si="37"/>
        <v/>
      </c>
      <c r="B203" s="740" t="s">
        <v>1150</v>
      </c>
      <c r="C203" s="489"/>
      <c r="D203" s="383" t="str">
        <f t="shared" si="66"/>
        <v/>
      </c>
      <c r="E203" s="490">
        <v>0</v>
      </c>
      <c r="F203" s="95"/>
      <c r="G203" s="164" t="str">
        <f>IF(B203="","",IF(F203="",VLOOKUP(B203,Variabelen!A$47:D$58,4,FALSE),F203-G$49))</f>
        <v/>
      </c>
      <c r="H203" s="490" t="str">
        <f>IF(B203="","",VLOOKUP(B203,Variabelen!A$47:D$58,3,FALSE))</f>
        <v/>
      </c>
      <c r="I203" s="196" t="str">
        <f t="shared" si="67"/>
        <v/>
      </c>
      <c r="J203" s="196" t="str">
        <f t="shared" si="68"/>
        <v/>
      </c>
      <c r="K203" s="196" t="str">
        <f t="shared" si="69"/>
        <v/>
      </c>
      <c r="L203" s="196" t="str">
        <f t="shared" si="70"/>
        <v/>
      </c>
      <c r="M203" s="34" t="str">
        <f t="shared" si="71"/>
        <v/>
      </c>
      <c r="N203" s="196" t="str">
        <f>IF(B203="","",VLOOKUP(B203,Variabelen!A$47:D$58,2,FALSE))</f>
        <v/>
      </c>
      <c r="O203" s="94">
        <v>145</v>
      </c>
      <c r="P203" s="490"/>
      <c r="Q203" s="344"/>
      <c r="S203" s="469"/>
      <c r="AA203" s="36"/>
      <c r="AB203" s="193"/>
    </row>
    <row r="204" spans="1:28" outlineLevel="2" x14ac:dyDescent="0.25">
      <c r="A204" s="95" t="str">
        <f t="shared" si="37"/>
        <v/>
      </c>
      <c r="B204" s="740" t="s">
        <v>1150</v>
      </c>
      <c r="C204" s="489"/>
      <c r="D204" s="383" t="str">
        <f t="shared" si="66"/>
        <v/>
      </c>
      <c r="E204" s="490">
        <v>0</v>
      </c>
      <c r="F204" s="95"/>
      <c r="G204" s="164" t="str">
        <f>IF(B204="","",IF(F204="",VLOOKUP(B204,Variabelen!A$47:D$58,4,FALSE),F204-G$49))</f>
        <v/>
      </c>
      <c r="H204" s="490" t="str">
        <f>IF(B204="","",VLOOKUP(B204,Variabelen!A$47:D$58,3,FALSE))</f>
        <v/>
      </c>
      <c r="I204" s="196" t="str">
        <f t="shared" si="67"/>
        <v/>
      </c>
      <c r="J204" s="196" t="str">
        <f t="shared" si="68"/>
        <v/>
      </c>
      <c r="K204" s="196" t="str">
        <f t="shared" si="69"/>
        <v/>
      </c>
      <c r="L204" s="196" t="str">
        <f t="shared" si="70"/>
        <v/>
      </c>
      <c r="M204" s="34" t="str">
        <f t="shared" si="71"/>
        <v/>
      </c>
      <c r="N204" s="196" t="str">
        <f>IF(B204="","",VLOOKUP(B204,Variabelen!A$47:D$58,2,FALSE))</f>
        <v/>
      </c>
      <c r="O204" s="94">
        <v>146</v>
      </c>
      <c r="P204" s="490"/>
      <c r="Q204" s="344"/>
      <c r="S204" s="469"/>
      <c r="AA204" s="36"/>
      <c r="AB204" s="193"/>
    </row>
    <row r="205" spans="1:28" outlineLevel="2" x14ac:dyDescent="0.25">
      <c r="A205" s="95" t="str">
        <f t="shared" si="37"/>
        <v/>
      </c>
      <c r="B205" s="740" t="s">
        <v>1150</v>
      </c>
      <c r="C205" s="489"/>
      <c r="D205" s="383" t="str">
        <f t="shared" si="66"/>
        <v/>
      </c>
      <c r="E205" s="490">
        <v>0</v>
      </c>
      <c r="F205" s="95"/>
      <c r="G205" s="164" t="str">
        <f>IF(B205="","",IF(F205="",VLOOKUP(B205,Variabelen!A$47:D$58,4,FALSE),F205-G$49))</f>
        <v/>
      </c>
      <c r="H205" s="490" t="str">
        <f>IF(B205="","",VLOOKUP(B205,Variabelen!A$47:D$58,3,FALSE))</f>
        <v/>
      </c>
      <c r="I205" s="196" t="str">
        <f t="shared" si="67"/>
        <v/>
      </c>
      <c r="J205" s="196" t="str">
        <f t="shared" si="68"/>
        <v/>
      </c>
      <c r="K205" s="196" t="str">
        <f t="shared" si="69"/>
        <v/>
      </c>
      <c r="L205" s="196" t="str">
        <f t="shared" si="70"/>
        <v/>
      </c>
      <c r="M205" s="34" t="str">
        <f t="shared" si="71"/>
        <v/>
      </c>
      <c r="N205" s="196" t="str">
        <f>IF(B205="","",VLOOKUP(B205,Variabelen!A$47:D$58,2,FALSE))</f>
        <v/>
      </c>
      <c r="O205" s="94">
        <v>147</v>
      </c>
      <c r="P205" s="490"/>
      <c r="Q205" s="344"/>
      <c r="S205" s="469"/>
      <c r="AA205" s="36"/>
      <c r="AB205" s="193"/>
    </row>
    <row r="206" spans="1:28" outlineLevel="2" x14ac:dyDescent="0.25">
      <c r="A206" s="95" t="str">
        <f t="shared" si="37"/>
        <v/>
      </c>
      <c r="B206" s="740" t="s">
        <v>1150</v>
      </c>
      <c r="C206" s="489"/>
      <c r="D206" s="383" t="str">
        <f t="shared" si="66"/>
        <v/>
      </c>
      <c r="E206" s="490">
        <v>0</v>
      </c>
      <c r="F206" s="95"/>
      <c r="G206" s="164" t="str">
        <f>IF(B206="","",IF(F206="",VLOOKUP(B206,Variabelen!A$47:D$58,4,FALSE),F206-G$49))</f>
        <v/>
      </c>
      <c r="H206" s="490" t="str">
        <f>IF(B206="","",VLOOKUP(B206,Variabelen!A$47:D$58,3,FALSE))</f>
        <v/>
      </c>
      <c r="I206" s="196" t="str">
        <f t="shared" si="67"/>
        <v/>
      </c>
      <c r="J206" s="196" t="str">
        <f t="shared" si="68"/>
        <v/>
      </c>
      <c r="K206" s="196" t="str">
        <f t="shared" si="69"/>
        <v/>
      </c>
      <c r="L206" s="196" t="str">
        <f t="shared" si="70"/>
        <v/>
      </c>
      <c r="M206" s="34" t="str">
        <f t="shared" si="71"/>
        <v/>
      </c>
      <c r="N206" s="196" t="str">
        <f>IF(B206="","",VLOOKUP(B206,Variabelen!A$47:D$58,2,FALSE))</f>
        <v/>
      </c>
      <c r="O206" s="94">
        <v>148</v>
      </c>
      <c r="P206" s="490"/>
      <c r="Q206" s="344"/>
      <c r="S206" s="469"/>
      <c r="AA206" s="36"/>
      <c r="AB206" s="193"/>
    </row>
    <row r="207" spans="1:28" outlineLevel="2" x14ac:dyDescent="0.25">
      <c r="A207" s="95" t="str">
        <f t="shared" si="37"/>
        <v/>
      </c>
      <c r="B207" s="740" t="s">
        <v>1150</v>
      </c>
      <c r="C207" s="489"/>
      <c r="D207" s="383" t="str">
        <f t="shared" si="66"/>
        <v/>
      </c>
      <c r="E207" s="490">
        <v>0</v>
      </c>
      <c r="F207" s="95"/>
      <c r="G207" s="164" t="str">
        <f>IF(B207="","",IF(F207="",VLOOKUP(B207,Variabelen!A$47:D$58,4,FALSE),F207-G$49))</f>
        <v/>
      </c>
      <c r="H207" s="490" t="str">
        <f>IF(B207="","",VLOOKUP(B207,Variabelen!A$47:D$58,3,FALSE))</f>
        <v/>
      </c>
      <c r="I207" s="196" t="str">
        <f t="shared" si="67"/>
        <v/>
      </c>
      <c r="J207" s="196" t="str">
        <f t="shared" si="68"/>
        <v/>
      </c>
      <c r="K207" s="196" t="str">
        <f t="shared" si="69"/>
        <v/>
      </c>
      <c r="L207" s="196" t="str">
        <f t="shared" si="70"/>
        <v/>
      </c>
      <c r="M207" s="34" t="str">
        <f t="shared" si="71"/>
        <v/>
      </c>
      <c r="N207" s="196" t="str">
        <f>IF(B207="","",VLOOKUP(B207,Variabelen!A$47:D$58,2,FALSE))</f>
        <v/>
      </c>
      <c r="O207" s="94">
        <v>149</v>
      </c>
      <c r="P207" s="490"/>
      <c r="Q207" s="344"/>
      <c r="AA207" s="36"/>
      <c r="AB207" s="193"/>
    </row>
    <row r="208" spans="1:28" outlineLevel="2" x14ac:dyDescent="0.25">
      <c r="A208" s="95" t="str">
        <f t="shared" si="37"/>
        <v/>
      </c>
      <c r="B208" s="740" t="s">
        <v>1150</v>
      </c>
      <c r="C208" s="489"/>
      <c r="D208" s="383" t="str">
        <f t="shared" si="66"/>
        <v/>
      </c>
      <c r="E208" s="490">
        <v>0</v>
      </c>
      <c r="F208" s="95"/>
      <c r="G208" s="164" t="str">
        <f>IF(B208="","",IF(F208="",VLOOKUP(B208,Variabelen!A$47:D$58,4,FALSE),F208-G$49))</f>
        <v/>
      </c>
      <c r="H208" s="490" t="str">
        <f>IF(B208="","",VLOOKUP(B208,Variabelen!A$47:D$58,3,FALSE))</f>
        <v/>
      </c>
      <c r="I208" s="196" t="str">
        <f t="shared" si="67"/>
        <v/>
      </c>
      <c r="J208" s="196" t="str">
        <f t="shared" si="68"/>
        <v/>
      </c>
      <c r="K208" s="196" t="str">
        <f t="shared" si="69"/>
        <v/>
      </c>
      <c r="L208" s="196" t="str">
        <f t="shared" si="70"/>
        <v/>
      </c>
      <c r="M208" s="34" t="str">
        <f t="shared" si="71"/>
        <v/>
      </c>
      <c r="N208" s="196" t="str">
        <f>IF(B208="","",VLOOKUP(B208,Variabelen!A$47:D$58,2,FALSE))</f>
        <v/>
      </c>
      <c r="O208" s="94">
        <v>150</v>
      </c>
      <c r="P208" s="490"/>
      <c r="Q208" s="344"/>
      <c r="AA208" s="36"/>
      <c r="AB208" s="193"/>
    </row>
    <row r="209" spans="1:28" outlineLevel="2" x14ac:dyDescent="0.25">
      <c r="A209" s="95" t="str">
        <f t="shared" si="37"/>
        <v/>
      </c>
      <c r="B209" s="740" t="s">
        <v>1150</v>
      </c>
      <c r="C209" s="489"/>
      <c r="D209" s="383" t="str">
        <f t="shared" si="66"/>
        <v/>
      </c>
      <c r="E209" s="490">
        <v>0</v>
      </c>
      <c r="F209" s="95"/>
      <c r="G209" s="164" t="str">
        <f>IF(B209="","",IF(F209="",VLOOKUP(B209,Variabelen!A$47:D$58,4,FALSE),F209-G$49))</f>
        <v/>
      </c>
      <c r="H209" s="490" t="str">
        <f>IF(B209="","",VLOOKUP(B209,Variabelen!A$47:D$58,3,FALSE))</f>
        <v/>
      </c>
      <c r="I209" s="196" t="str">
        <f t="shared" si="67"/>
        <v/>
      </c>
      <c r="J209" s="196" t="str">
        <f t="shared" si="68"/>
        <v/>
      </c>
      <c r="K209" s="196" t="str">
        <f t="shared" si="69"/>
        <v/>
      </c>
      <c r="L209" s="196" t="str">
        <f t="shared" si="70"/>
        <v/>
      </c>
      <c r="M209" s="34" t="str">
        <f t="shared" si="71"/>
        <v/>
      </c>
      <c r="N209" s="196" t="str">
        <f>IF(B209="","",VLOOKUP(B209,Variabelen!A$47:D$58,2,FALSE))</f>
        <v/>
      </c>
      <c r="O209" s="94">
        <v>151</v>
      </c>
      <c r="P209" s="490"/>
      <c r="Q209" s="344"/>
      <c r="AA209" s="36"/>
      <c r="AB209" s="193"/>
    </row>
    <row r="210" spans="1:28" outlineLevel="2" x14ac:dyDescent="0.25">
      <c r="A210" s="95" t="str">
        <f t="shared" si="37"/>
        <v/>
      </c>
      <c r="B210" s="740" t="s">
        <v>1150</v>
      </c>
      <c r="C210" s="489"/>
      <c r="D210" s="383" t="str">
        <f t="shared" si="66"/>
        <v/>
      </c>
      <c r="E210" s="490">
        <v>0</v>
      </c>
      <c r="F210" s="95"/>
      <c r="G210" s="164" t="str">
        <f>IF(B210="","",IF(F210="",VLOOKUP(B210,Variabelen!A$47:D$58,4,FALSE),F210-G$49))</f>
        <v/>
      </c>
      <c r="H210" s="490" t="str">
        <f>IF(B210="","",VLOOKUP(B210,Variabelen!A$47:D$58,3,FALSE))</f>
        <v/>
      </c>
      <c r="I210" s="196" t="str">
        <f t="shared" si="67"/>
        <v/>
      </c>
      <c r="J210" s="196" t="str">
        <f t="shared" si="68"/>
        <v/>
      </c>
      <c r="K210" s="196" t="str">
        <f t="shared" si="69"/>
        <v/>
      </c>
      <c r="L210" s="196" t="str">
        <f t="shared" si="70"/>
        <v/>
      </c>
      <c r="M210" s="34" t="str">
        <f t="shared" si="71"/>
        <v/>
      </c>
      <c r="N210" s="196" t="str">
        <f>IF(B210="","",VLOOKUP(B210,Variabelen!A$47:D$58,2,FALSE))</f>
        <v/>
      </c>
      <c r="O210" s="94">
        <v>152</v>
      </c>
      <c r="P210" s="490"/>
      <c r="Q210" s="344"/>
      <c r="AA210" s="36"/>
      <c r="AB210" s="193"/>
    </row>
    <row r="211" spans="1:28" outlineLevel="2" x14ac:dyDescent="0.25">
      <c r="A211" s="95" t="str">
        <f t="shared" si="37"/>
        <v/>
      </c>
      <c r="B211" s="740" t="s">
        <v>1150</v>
      </c>
      <c r="C211" s="489"/>
      <c r="D211" s="383" t="str">
        <f t="shared" si="66"/>
        <v/>
      </c>
      <c r="E211" s="490">
        <v>0</v>
      </c>
      <c r="F211" s="95"/>
      <c r="G211" s="164" t="str">
        <f>IF(B211="","",IF(F211="",VLOOKUP(B211,Variabelen!A$47:D$58,4,FALSE),F211-G$49))</f>
        <v/>
      </c>
      <c r="H211" s="490" t="str">
        <f>IF(B211="","",VLOOKUP(B211,Variabelen!A$47:D$58,3,FALSE))</f>
        <v/>
      </c>
      <c r="I211" s="196" t="str">
        <f t="shared" si="67"/>
        <v/>
      </c>
      <c r="J211" s="196" t="str">
        <f t="shared" si="68"/>
        <v/>
      </c>
      <c r="K211" s="196" t="str">
        <f t="shared" si="69"/>
        <v/>
      </c>
      <c r="L211" s="196" t="str">
        <f t="shared" si="70"/>
        <v/>
      </c>
      <c r="M211" s="34" t="str">
        <f t="shared" si="71"/>
        <v/>
      </c>
      <c r="N211" s="196" t="str">
        <f>IF(B211="","",VLOOKUP(B211,Variabelen!A$47:D$58,2,FALSE))</f>
        <v/>
      </c>
      <c r="O211" s="94">
        <v>153</v>
      </c>
      <c r="P211" s="490"/>
      <c r="Q211" s="344"/>
      <c r="AA211" s="36"/>
      <c r="AB211" s="193"/>
    </row>
    <row r="212" spans="1:28" outlineLevel="2" x14ac:dyDescent="0.25">
      <c r="A212" s="95" t="str">
        <f t="shared" si="37"/>
        <v/>
      </c>
      <c r="B212" s="740" t="s">
        <v>1150</v>
      </c>
      <c r="C212" s="489"/>
      <c r="D212" s="383" t="str">
        <f t="shared" si="66"/>
        <v/>
      </c>
      <c r="E212" s="490">
        <v>0</v>
      </c>
      <c r="F212" s="95"/>
      <c r="G212" s="164" t="str">
        <f>IF(B212="","",IF(F212="",VLOOKUP(B212,Variabelen!A$47:D$58,4,FALSE),F212-G$49))</f>
        <v/>
      </c>
      <c r="H212" s="490" t="str">
        <f>IF(B212="","",VLOOKUP(B212,Variabelen!A$47:D$58,3,FALSE))</f>
        <v/>
      </c>
      <c r="I212" s="196" t="str">
        <f t="shared" si="67"/>
        <v/>
      </c>
      <c r="J212" s="196" t="str">
        <f t="shared" si="68"/>
        <v/>
      </c>
      <c r="K212" s="196" t="str">
        <f t="shared" si="69"/>
        <v/>
      </c>
      <c r="L212" s="196" t="str">
        <f t="shared" si="70"/>
        <v/>
      </c>
      <c r="M212" s="34" t="str">
        <f t="shared" si="71"/>
        <v/>
      </c>
      <c r="N212" s="196" t="str">
        <f>IF(B212="","",VLOOKUP(B212,Variabelen!A$47:D$58,2,FALSE))</f>
        <v/>
      </c>
      <c r="O212" s="94">
        <v>154</v>
      </c>
      <c r="P212" s="490"/>
      <c r="Q212" s="344"/>
      <c r="S212" s="469"/>
      <c r="AA212" s="36"/>
      <c r="AB212" s="193"/>
    </row>
    <row r="213" spans="1:28" outlineLevel="2" x14ac:dyDescent="0.25">
      <c r="A213" s="95" t="str">
        <f t="shared" si="37"/>
        <v/>
      </c>
      <c r="B213" s="740" t="s">
        <v>1150</v>
      </c>
      <c r="C213" s="489"/>
      <c r="D213" s="383" t="str">
        <f t="shared" si="66"/>
        <v/>
      </c>
      <c r="E213" s="490">
        <v>0</v>
      </c>
      <c r="F213" s="95"/>
      <c r="G213" s="164" t="str">
        <f>IF(B213="","",IF(F213="",VLOOKUP(B213,Variabelen!A$47:D$58,4,FALSE),F213-G$49))</f>
        <v/>
      </c>
      <c r="H213" s="490" t="str">
        <f>IF(B213="","",VLOOKUP(B213,Variabelen!A$47:D$58,3,FALSE))</f>
        <v/>
      </c>
      <c r="I213" s="196" t="str">
        <f t="shared" si="67"/>
        <v/>
      </c>
      <c r="J213" s="196" t="str">
        <f t="shared" si="68"/>
        <v/>
      </c>
      <c r="K213" s="196" t="str">
        <f t="shared" si="69"/>
        <v/>
      </c>
      <c r="L213" s="196" t="str">
        <f t="shared" si="70"/>
        <v/>
      </c>
      <c r="M213" s="34" t="str">
        <f t="shared" si="71"/>
        <v/>
      </c>
      <c r="N213" s="196" t="str">
        <f>IF(B213="","",VLOOKUP(B213,Variabelen!A$47:D$58,2,FALSE))</f>
        <v/>
      </c>
      <c r="O213" s="94">
        <v>155</v>
      </c>
      <c r="P213" s="490"/>
      <c r="Q213" s="344"/>
      <c r="S213" s="469"/>
      <c r="AA213" s="36"/>
      <c r="AB213" s="193"/>
    </row>
    <row r="214" spans="1:28" outlineLevel="2" x14ac:dyDescent="0.25">
      <c r="A214" s="95" t="str">
        <f t="shared" si="37"/>
        <v/>
      </c>
      <c r="B214" s="740" t="s">
        <v>1150</v>
      </c>
      <c r="C214" s="489"/>
      <c r="D214" s="383" t="str">
        <f t="shared" si="66"/>
        <v/>
      </c>
      <c r="E214" s="490">
        <v>0</v>
      </c>
      <c r="F214" s="95"/>
      <c r="G214" s="164" t="str">
        <f>IF(B214="","",IF(F214="",VLOOKUP(B214,Variabelen!A$47:D$58,4,FALSE),F214-G$49))</f>
        <v/>
      </c>
      <c r="H214" s="490" t="str">
        <f>IF(B214="","",VLOOKUP(B214,Variabelen!A$47:D$58,3,FALSE))</f>
        <v/>
      </c>
      <c r="I214" s="196" t="str">
        <f t="shared" si="67"/>
        <v/>
      </c>
      <c r="J214" s="196" t="str">
        <f t="shared" si="68"/>
        <v/>
      </c>
      <c r="K214" s="196" t="str">
        <f t="shared" si="69"/>
        <v/>
      </c>
      <c r="L214" s="196" t="str">
        <f t="shared" si="70"/>
        <v/>
      </c>
      <c r="M214" s="34" t="str">
        <f t="shared" si="71"/>
        <v/>
      </c>
      <c r="N214" s="196" t="str">
        <f>IF(B214="","",VLOOKUP(B214,Variabelen!A$47:D$58,2,FALSE))</f>
        <v/>
      </c>
      <c r="O214" s="94">
        <v>156</v>
      </c>
      <c r="P214" s="490"/>
      <c r="Q214" s="344"/>
      <c r="S214" s="469"/>
      <c r="AA214" s="36"/>
      <c r="AB214" s="193"/>
    </row>
    <row r="215" spans="1:28" outlineLevel="2" x14ac:dyDescent="0.25">
      <c r="A215" s="95" t="str">
        <f t="shared" si="37"/>
        <v/>
      </c>
      <c r="B215" s="740" t="s">
        <v>1150</v>
      </c>
      <c r="C215" s="489"/>
      <c r="D215" s="383" t="str">
        <f t="shared" si="66"/>
        <v/>
      </c>
      <c r="E215" s="490">
        <v>0</v>
      </c>
      <c r="F215" s="95"/>
      <c r="G215" s="164" t="str">
        <f>IF(B215="","",IF(F215="",VLOOKUP(B215,Variabelen!A$47:D$58,4,FALSE),F215-G$49))</f>
        <v/>
      </c>
      <c r="H215" s="490" t="str">
        <f>IF(B215="","",VLOOKUP(B215,Variabelen!A$47:D$58,3,FALSE))</f>
        <v/>
      </c>
      <c r="I215" s="196" t="str">
        <f t="shared" si="67"/>
        <v/>
      </c>
      <c r="J215" s="196" t="str">
        <f t="shared" si="68"/>
        <v/>
      </c>
      <c r="K215" s="196" t="str">
        <f t="shared" si="69"/>
        <v/>
      </c>
      <c r="L215" s="196" t="str">
        <f t="shared" si="70"/>
        <v/>
      </c>
      <c r="M215" s="34" t="str">
        <f t="shared" si="71"/>
        <v/>
      </c>
      <c r="N215" s="196" t="str">
        <f>IF(B215="","",VLOOKUP(B215,Variabelen!A$47:D$58,2,FALSE))</f>
        <v/>
      </c>
      <c r="O215" s="94">
        <v>157</v>
      </c>
      <c r="P215" s="490"/>
      <c r="Q215" s="344"/>
      <c r="S215" s="469"/>
      <c r="AA215" s="36"/>
      <c r="AB215" s="193"/>
    </row>
    <row r="216" spans="1:28" outlineLevel="2" x14ac:dyDescent="0.25">
      <c r="A216" s="95" t="str">
        <f t="shared" si="37"/>
        <v/>
      </c>
      <c r="B216" s="740" t="s">
        <v>1150</v>
      </c>
      <c r="C216" s="489"/>
      <c r="D216" s="383" t="str">
        <f t="shared" si="66"/>
        <v/>
      </c>
      <c r="E216" s="490">
        <v>0</v>
      </c>
      <c r="F216" s="95"/>
      <c r="G216" s="164" t="str">
        <f>IF(B216="","",IF(F216="",VLOOKUP(B216,Variabelen!A$47:D$58,4,FALSE),F216-G$49))</f>
        <v/>
      </c>
      <c r="H216" s="490" t="str">
        <f>IF(B216="","",VLOOKUP(B216,Variabelen!A$47:D$58,3,FALSE))</f>
        <v/>
      </c>
      <c r="I216" s="196" t="str">
        <f t="shared" si="67"/>
        <v/>
      </c>
      <c r="J216" s="196" t="str">
        <f t="shared" si="68"/>
        <v/>
      </c>
      <c r="K216" s="196" t="str">
        <f t="shared" si="69"/>
        <v/>
      </c>
      <c r="L216" s="196" t="str">
        <f t="shared" si="70"/>
        <v/>
      </c>
      <c r="M216" s="34" t="str">
        <f t="shared" si="71"/>
        <v/>
      </c>
      <c r="N216" s="196" t="str">
        <f>IF(B216="","",VLOOKUP(B216,Variabelen!A$47:D$58,2,FALSE))</f>
        <v/>
      </c>
      <c r="O216" s="94">
        <v>158</v>
      </c>
      <c r="P216" s="490"/>
      <c r="Q216" s="344"/>
      <c r="S216" s="469"/>
      <c r="AA216" s="36"/>
      <c r="AB216" s="193"/>
    </row>
    <row r="217" spans="1:28" outlineLevel="2" x14ac:dyDescent="0.25">
      <c r="A217" s="95" t="str">
        <f t="shared" si="37"/>
        <v/>
      </c>
      <c r="B217" s="740" t="s">
        <v>1150</v>
      </c>
      <c r="C217" s="489"/>
      <c r="D217" s="383" t="str">
        <f t="shared" si="66"/>
        <v/>
      </c>
      <c r="E217" s="490">
        <v>0</v>
      </c>
      <c r="F217" s="95"/>
      <c r="G217" s="164" t="str">
        <f>IF(B217="","",IF(F217="",VLOOKUP(B217,Variabelen!A$47:D$58,4,FALSE),F217-G$49))</f>
        <v/>
      </c>
      <c r="H217" s="490" t="str">
        <f>IF(B217="","",VLOOKUP(B217,Variabelen!A$47:D$58,3,FALSE))</f>
        <v/>
      </c>
      <c r="I217" s="196" t="str">
        <f t="shared" si="67"/>
        <v/>
      </c>
      <c r="J217" s="196" t="str">
        <f t="shared" si="68"/>
        <v/>
      </c>
      <c r="K217" s="196" t="str">
        <f t="shared" si="69"/>
        <v/>
      </c>
      <c r="L217" s="196" t="str">
        <f t="shared" si="70"/>
        <v/>
      </c>
      <c r="M217" s="34" t="str">
        <f t="shared" si="71"/>
        <v/>
      </c>
      <c r="N217" s="196" t="str">
        <f>IF(B217="","",VLOOKUP(B217,Variabelen!A$47:D$58,2,FALSE))</f>
        <v/>
      </c>
      <c r="O217" s="94">
        <v>159</v>
      </c>
      <c r="P217" s="490"/>
      <c r="Q217" s="344"/>
      <c r="S217" s="469"/>
      <c r="AA217" s="36"/>
      <c r="AB217" s="193"/>
    </row>
    <row r="218" spans="1:28" outlineLevel="2" x14ac:dyDescent="0.25">
      <c r="A218" s="95" t="str">
        <f t="shared" si="37"/>
        <v/>
      </c>
      <c r="B218" s="740" t="s">
        <v>1150</v>
      </c>
      <c r="C218" s="489"/>
      <c r="D218" s="383" t="str">
        <f t="shared" si="66"/>
        <v/>
      </c>
      <c r="E218" s="490">
        <v>0</v>
      </c>
      <c r="F218" s="95"/>
      <c r="G218" s="164" t="str">
        <f>IF(B218="","",IF(F218="",VLOOKUP(B218,Variabelen!A$47:D$58,4,FALSE),F218-G$49))</f>
        <v/>
      </c>
      <c r="H218" s="490" t="str">
        <f>IF(B218="","",VLOOKUP(B218,Variabelen!A$47:D$58,3,FALSE))</f>
        <v/>
      </c>
      <c r="I218" s="196" t="str">
        <f t="shared" si="67"/>
        <v/>
      </c>
      <c r="J218" s="196" t="str">
        <f t="shared" si="68"/>
        <v/>
      </c>
      <c r="K218" s="196" t="str">
        <f t="shared" si="69"/>
        <v/>
      </c>
      <c r="L218" s="196" t="str">
        <f t="shared" si="70"/>
        <v/>
      </c>
      <c r="M218" s="34" t="str">
        <f t="shared" si="71"/>
        <v/>
      </c>
      <c r="N218" s="196" t="str">
        <f>IF(B218="","",VLOOKUP(B218,Variabelen!A$47:D$58,2,FALSE))</f>
        <v/>
      </c>
      <c r="O218" s="94">
        <v>160</v>
      </c>
      <c r="P218" s="490"/>
      <c r="Q218" s="344"/>
      <c r="S218" s="469"/>
      <c r="AA218" s="36"/>
      <c r="AB218" s="193"/>
    </row>
    <row r="219" spans="1:28" outlineLevel="2" x14ac:dyDescent="0.25">
      <c r="A219" s="95" t="str">
        <f t="shared" si="37"/>
        <v/>
      </c>
      <c r="B219" s="740" t="s">
        <v>1150</v>
      </c>
      <c r="C219" s="489"/>
      <c r="D219" s="383" t="str">
        <f t="shared" si="66"/>
        <v/>
      </c>
      <c r="E219" s="490">
        <v>0</v>
      </c>
      <c r="F219" s="95"/>
      <c r="G219" s="164" t="str">
        <f>IF(B219="","",IF(F219="",VLOOKUP(B219,Variabelen!A$47:D$58,4,FALSE),F219-G$49))</f>
        <v/>
      </c>
      <c r="H219" s="490" t="str">
        <f>IF(B219="","",VLOOKUP(B219,Variabelen!A$47:D$58,3,FALSE))</f>
        <v/>
      </c>
      <c r="I219" s="196" t="str">
        <f t="shared" si="67"/>
        <v/>
      </c>
      <c r="J219" s="196" t="str">
        <f t="shared" si="68"/>
        <v/>
      </c>
      <c r="K219" s="196" t="str">
        <f t="shared" si="69"/>
        <v/>
      </c>
      <c r="L219" s="196" t="str">
        <f t="shared" si="70"/>
        <v/>
      </c>
      <c r="M219" s="34" t="str">
        <f t="shared" si="71"/>
        <v/>
      </c>
      <c r="N219" s="196" t="str">
        <f>IF(B219="","",VLOOKUP(B219,Variabelen!A$47:D$58,2,FALSE))</f>
        <v/>
      </c>
      <c r="O219" s="94">
        <v>161</v>
      </c>
      <c r="P219" s="490"/>
      <c r="Q219" s="344"/>
      <c r="S219" s="469"/>
      <c r="AA219" s="36"/>
      <c r="AB219" s="193"/>
    </row>
    <row r="220" spans="1:28" outlineLevel="2" x14ac:dyDescent="0.25">
      <c r="A220" s="95" t="str">
        <f t="shared" si="37"/>
        <v/>
      </c>
      <c r="B220" s="740" t="s">
        <v>1150</v>
      </c>
      <c r="C220" s="489"/>
      <c r="D220" s="383" t="str">
        <f t="shared" si="66"/>
        <v/>
      </c>
      <c r="E220" s="490">
        <v>0</v>
      </c>
      <c r="F220" s="95"/>
      <c r="G220" s="164" t="str">
        <f>IF(B220="","",IF(F220="",VLOOKUP(B220,Variabelen!A$47:D$58,4,FALSE),F220-G$49))</f>
        <v/>
      </c>
      <c r="H220" s="490" t="str">
        <f>IF(B220="","",VLOOKUP(B220,Variabelen!A$47:D$58,3,FALSE))</f>
        <v/>
      </c>
      <c r="I220" s="196" t="str">
        <f t="shared" si="67"/>
        <v/>
      </c>
      <c r="J220" s="196" t="str">
        <f t="shared" si="68"/>
        <v/>
      </c>
      <c r="K220" s="196" t="str">
        <f t="shared" si="69"/>
        <v/>
      </c>
      <c r="L220" s="196" t="str">
        <f t="shared" si="70"/>
        <v/>
      </c>
      <c r="M220" s="34" t="str">
        <f t="shared" si="71"/>
        <v/>
      </c>
      <c r="N220" s="196" t="str">
        <f>IF(B220="","",VLOOKUP(B220,Variabelen!A$47:D$58,2,FALSE))</f>
        <v/>
      </c>
      <c r="O220" s="94">
        <v>162</v>
      </c>
      <c r="P220" s="490"/>
      <c r="Q220" s="344"/>
      <c r="S220" s="469"/>
      <c r="AA220" s="36"/>
      <c r="AB220" s="193"/>
    </row>
    <row r="221" spans="1:28" outlineLevel="2" x14ac:dyDescent="0.25">
      <c r="A221" s="95" t="str">
        <f t="shared" si="37"/>
        <v/>
      </c>
      <c r="B221" s="740" t="s">
        <v>1150</v>
      </c>
      <c r="C221" s="489"/>
      <c r="D221" s="383" t="str">
        <f t="shared" si="66"/>
        <v/>
      </c>
      <c r="E221" s="490">
        <v>0</v>
      </c>
      <c r="F221" s="95"/>
      <c r="G221" s="164" t="str">
        <f>IF(B221="","",IF(F221="",VLOOKUP(B221,Variabelen!A$47:D$58,4,FALSE),F221-G$49))</f>
        <v/>
      </c>
      <c r="H221" s="490" t="str">
        <f>IF(B221="","",VLOOKUP(B221,Variabelen!A$47:D$58,3,FALSE))</f>
        <v/>
      </c>
      <c r="I221" s="196" t="str">
        <f t="shared" si="67"/>
        <v/>
      </c>
      <c r="J221" s="196" t="str">
        <f t="shared" si="68"/>
        <v/>
      </c>
      <c r="K221" s="196" t="str">
        <f t="shared" si="69"/>
        <v/>
      </c>
      <c r="L221" s="196" t="str">
        <f t="shared" si="70"/>
        <v/>
      </c>
      <c r="M221" s="34" t="str">
        <f t="shared" si="71"/>
        <v/>
      </c>
      <c r="N221" s="196" t="str">
        <f>IF(B221="","",VLOOKUP(B221,Variabelen!A$47:D$58,2,FALSE))</f>
        <v/>
      </c>
      <c r="O221" s="94">
        <v>163</v>
      </c>
      <c r="P221" s="490"/>
      <c r="Q221" s="344"/>
      <c r="S221" s="469"/>
      <c r="AA221" s="36"/>
      <c r="AB221" s="193"/>
    </row>
    <row r="222" spans="1:28" outlineLevel="2" x14ac:dyDescent="0.25">
      <c r="A222" s="95" t="str">
        <f t="shared" si="37"/>
        <v/>
      </c>
      <c r="B222" s="740" t="s">
        <v>1150</v>
      </c>
      <c r="C222" s="489"/>
      <c r="D222" s="383" t="str">
        <f t="shared" si="66"/>
        <v/>
      </c>
      <c r="E222" s="490">
        <v>0</v>
      </c>
      <c r="F222" s="95"/>
      <c r="G222" s="164" t="str">
        <f>IF(B222="","",IF(F222="",VLOOKUP(B222,Variabelen!A$47:D$58,4,FALSE),F222-G$49))</f>
        <v/>
      </c>
      <c r="H222" s="490" t="str">
        <f>IF(B222="","",VLOOKUP(B222,Variabelen!A$47:D$58,3,FALSE))</f>
        <v/>
      </c>
      <c r="I222" s="196" t="str">
        <f t="shared" si="67"/>
        <v/>
      </c>
      <c r="J222" s="196" t="str">
        <f t="shared" si="68"/>
        <v/>
      </c>
      <c r="K222" s="196" t="str">
        <f t="shared" si="69"/>
        <v/>
      </c>
      <c r="L222" s="196" t="str">
        <f t="shared" si="70"/>
        <v/>
      </c>
      <c r="M222" s="34" t="str">
        <f t="shared" si="71"/>
        <v/>
      </c>
      <c r="N222" s="196" t="str">
        <f>IF(B222="","",VLOOKUP(B222,Variabelen!A$47:D$58,2,FALSE))</f>
        <v/>
      </c>
      <c r="O222" s="94">
        <v>164</v>
      </c>
      <c r="P222" s="490"/>
      <c r="Q222" s="344"/>
      <c r="S222" s="469"/>
      <c r="AA222" s="36"/>
      <c r="AB222" s="193"/>
    </row>
    <row r="223" spans="1:28" outlineLevel="2" x14ac:dyDescent="0.25">
      <c r="A223" s="95" t="str">
        <f t="shared" si="37"/>
        <v/>
      </c>
      <c r="B223" s="740" t="s">
        <v>1150</v>
      </c>
      <c r="C223" s="489"/>
      <c r="D223" s="383" t="str">
        <f t="shared" si="66"/>
        <v/>
      </c>
      <c r="E223" s="490">
        <v>0</v>
      </c>
      <c r="F223" s="95"/>
      <c r="G223" s="164" t="str">
        <f>IF(B223="","",IF(F223="",VLOOKUP(B223,Variabelen!A$47:D$58,4,FALSE),F223-G$49))</f>
        <v/>
      </c>
      <c r="H223" s="490" t="str">
        <f>IF(B223="","",VLOOKUP(B223,Variabelen!A$47:D$58,3,FALSE))</f>
        <v/>
      </c>
      <c r="I223" s="196" t="str">
        <f t="shared" si="67"/>
        <v/>
      </c>
      <c r="J223" s="196" t="str">
        <f t="shared" si="68"/>
        <v/>
      </c>
      <c r="K223" s="196" t="str">
        <f t="shared" si="69"/>
        <v/>
      </c>
      <c r="L223" s="196" t="str">
        <f t="shared" si="70"/>
        <v/>
      </c>
      <c r="M223" s="34" t="str">
        <f t="shared" si="71"/>
        <v/>
      </c>
      <c r="N223" s="196" t="str">
        <f>IF(B223="","",VLOOKUP(B223,Variabelen!A$47:D$58,2,FALSE))</f>
        <v/>
      </c>
      <c r="O223" s="94">
        <v>165</v>
      </c>
      <c r="P223" s="490"/>
      <c r="Q223" s="344"/>
      <c r="S223" s="469"/>
      <c r="AA223" s="36"/>
      <c r="AB223" s="193"/>
    </row>
    <row r="224" spans="1:28" outlineLevel="2" x14ac:dyDescent="0.25">
      <c r="A224" s="95" t="str">
        <f t="shared" si="37"/>
        <v/>
      </c>
      <c r="B224" s="740" t="s">
        <v>1150</v>
      </c>
      <c r="C224" s="489"/>
      <c r="D224" s="383" t="str">
        <f t="shared" si="66"/>
        <v/>
      </c>
      <c r="E224" s="490">
        <v>0</v>
      </c>
      <c r="F224" s="95"/>
      <c r="G224" s="164" t="str">
        <f>IF(B224="","",IF(F224="",VLOOKUP(B224,Variabelen!A$47:D$58,4,FALSE),F224-G$49))</f>
        <v/>
      </c>
      <c r="H224" s="490" t="str">
        <f>IF(B224="","",VLOOKUP(B224,Variabelen!A$47:D$58,3,FALSE))</f>
        <v/>
      </c>
      <c r="I224" s="196" t="str">
        <f t="shared" si="67"/>
        <v/>
      </c>
      <c r="J224" s="196" t="str">
        <f t="shared" si="68"/>
        <v/>
      </c>
      <c r="K224" s="196" t="str">
        <f t="shared" si="69"/>
        <v/>
      </c>
      <c r="L224" s="196" t="str">
        <f t="shared" si="70"/>
        <v/>
      </c>
      <c r="M224" s="34" t="str">
        <f t="shared" si="71"/>
        <v/>
      </c>
      <c r="N224" s="196" t="str">
        <f>IF(B224="","",VLOOKUP(B224,Variabelen!A$47:D$58,2,FALSE))</f>
        <v/>
      </c>
      <c r="O224" s="94">
        <v>166</v>
      </c>
      <c r="P224" s="490"/>
      <c r="Q224" s="344"/>
      <c r="S224" s="469"/>
      <c r="AA224" s="36"/>
      <c r="AB224" s="193"/>
    </row>
    <row r="225" spans="1:28" outlineLevel="2" x14ac:dyDescent="0.25">
      <c r="A225" s="95" t="str">
        <f t="shared" si="37"/>
        <v/>
      </c>
      <c r="B225" s="740" t="s">
        <v>1150</v>
      </c>
      <c r="C225" s="489"/>
      <c r="D225" s="383" t="str">
        <f t="shared" si="66"/>
        <v/>
      </c>
      <c r="E225" s="490">
        <v>0</v>
      </c>
      <c r="F225" s="95"/>
      <c r="G225" s="164" t="str">
        <f>IF(B225="","",IF(F225="",VLOOKUP(B225,Variabelen!A$47:D$58,4,FALSE),F225-G$49))</f>
        <v/>
      </c>
      <c r="H225" s="490" t="str">
        <f>IF(B225="","",VLOOKUP(B225,Variabelen!A$47:D$58,3,FALSE))</f>
        <v/>
      </c>
      <c r="I225" s="196" t="str">
        <f t="shared" si="67"/>
        <v/>
      </c>
      <c r="J225" s="196" t="str">
        <f t="shared" si="68"/>
        <v/>
      </c>
      <c r="K225" s="196" t="str">
        <f t="shared" si="69"/>
        <v/>
      </c>
      <c r="L225" s="196" t="str">
        <f t="shared" si="70"/>
        <v/>
      </c>
      <c r="M225" s="34" t="str">
        <f t="shared" si="71"/>
        <v/>
      </c>
      <c r="N225" s="196" t="str">
        <f>IF(B225="","",VLOOKUP(B225,Variabelen!A$47:D$58,2,FALSE))</f>
        <v/>
      </c>
      <c r="O225" s="94">
        <v>167</v>
      </c>
      <c r="P225" s="490"/>
      <c r="Q225" s="344"/>
      <c r="S225" s="469"/>
      <c r="AA225" s="36"/>
      <c r="AB225" s="193"/>
    </row>
    <row r="226" spans="1:28" outlineLevel="2" x14ac:dyDescent="0.25">
      <c r="A226" s="95" t="str">
        <f t="shared" si="37"/>
        <v/>
      </c>
      <c r="B226" s="740" t="s">
        <v>1150</v>
      </c>
      <c r="C226" s="489"/>
      <c r="D226" s="383" t="str">
        <f t="shared" si="66"/>
        <v/>
      </c>
      <c r="E226" s="490">
        <v>0</v>
      </c>
      <c r="F226" s="95"/>
      <c r="G226" s="164" t="str">
        <f>IF(B226="","",IF(F226="",VLOOKUP(B226,Variabelen!A$47:D$58,4,FALSE),F226-G$49))</f>
        <v/>
      </c>
      <c r="H226" s="490" t="str">
        <f>IF(B226="","",VLOOKUP(B226,Variabelen!A$47:D$58,3,FALSE))</f>
        <v/>
      </c>
      <c r="I226" s="196" t="str">
        <f t="shared" si="67"/>
        <v/>
      </c>
      <c r="J226" s="196" t="str">
        <f t="shared" si="68"/>
        <v/>
      </c>
      <c r="K226" s="196" t="str">
        <f t="shared" si="69"/>
        <v/>
      </c>
      <c r="L226" s="196" t="str">
        <f t="shared" si="70"/>
        <v/>
      </c>
      <c r="M226" s="34" t="str">
        <f t="shared" si="71"/>
        <v/>
      </c>
      <c r="N226" s="196" t="str">
        <f>IF(B226="","",VLOOKUP(B226,Variabelen!A$47:D$58,2,FALSE))</f>
        <v/>
      </c>
      <c r="O226" s="94">
        <v>168</v>
      </c>
      <c r="P226" s="490"/>
      <c r="Q226" s="344"/>
      <c r="S226" s="469"/>
      <c r="AA226" s="36"/>
      <c r="AB226" s="193"/>
    </row>
    <row r="227" spans="1:28" outlineLevel="2" x14ac:dyDescent="0.25">
      <c r="A227" s="95" t="str">
        <f t="shared" si="37"/>
        <v/>
      </c>
      <c r="B227" s="740" t="s">
        <v>1150</v>
      </c>
      <c r="C227" s="489"/>
      <c r="D227" s="383" t="str">
        <f t="shared" si="66"/>
        <v/>
      </c>
      <c r="E227" s="490">
        <v>0</v>
      </c>
      <c r="F227" s="95"/>
      <c r="G227" s="164" t="str">
        <f>IF(B227="","",IF(F227="",VLOOKUP(B227,Variabelen!A$47:D$58,4,FALSE),F227-G$49))</f>
        <v/>
      </c>
      <c r="H227" s="490" t="str">
        <f>IF(B227="","",VLOOKUP(B227,Variabelen!A$47:D$58,3,FALSE))</f>
        <v/>
      </c>
      <c r="I227" s="196" t="str">
        <f t="shared" si="67"/>
        <v/>
      </c>
      <c r="J227" s="196" t="str">
        <f t="shared" si="68"/>
        <v/>
      </c>
      <c r="K227" s="196" t="str">
        <f t="shared" si="69"/>
        <v/>
      </c>
      <c r="L227" s="196" t="str">
        <f t="shared" si="70"/>
        <v/>
      </c>
      <c r="M227" s="34" t="str">
        <f t="shared" si="71"/>
        <v/>
      </c>
      <c r="N227" s="196" t="str">
        <f>IF(B227="","",VLOOKUP(B227,Variabelen!A$47:D$58,2,FALSE))</f>
        <v/>
      </c>
      <c r="O227" s="94">
        <v>169</v>
      </c>
      <c r="P227" s="490"/>
      <c r="Q227" s="344"/>
      <c r="S227" s="469"/>
      <c r="AA227" s="36"/>
      <c r="AB227" s="193"/>
    </row>
    <row r="228" spans="1:28" outlineLevel="2" x14ac:dyDescent="0.25">
      <c r="A228" s="95" t="str">
        <f t="shared" si="37"/>
        <v/>
      </c>
      <c r="B228" s="740" t="s">
        <v>1150</v>
      </c>
      <c r="C228" s="489"/>
      <c r="D228" s="383" t="str">
        <f t="shared" si="66"/>
        <v/>
      </c>
      <c r="E228" s="490">
        <v>0</v>
      </c>
      <c r="F228" s="95"/>
      <c r="G228" s="164" t="str">
        <f>IF(B228="","",IF(F228="",VLOOKUP(B228,Variabelen!A$47:D$58,4,FALSE),F228-G$49))</f>
        <v/>
      </c>
      <c r="H228" s="490" t="str">
        <f>IF(B228="","",VLOOKUP(B228,Variabelen!A$47:D$58,3,FALSE))</f>
        <v/>
      </c>
      <c r="I228" s="196" t="str">
        <f t="shared" si="67"/>
        <v/>
      </c>
      <c r="J228" s="196" t="str">
        <f t="shared" si="68"/>
        <v/>
      </c>
      <c r="K228" s="196" t="str">
        <f t="shared" si="69"/>
        <v/>
      </c>
      <c r="L228" s="196" t="str">
        <f t="shared" si="70"/>
        <v/>
      </c>
      <c r="M228" s="34" t="str">
        <f t="shared" si="71"/>
        <v/>
      </c>
      <c r="N228" s="196" t="str">
        <f>IF(B228="","",VLOOKUP(B228,Variabelen!A$47:D$58,2,FALSE))</f>
        <v/>
      </c>
      <c r="O228" s="94">
        <v>170</v>
      </c>
      <c r="P228" s="490"/>
      <c r="Q228" s="344"/>
      <c r="S228" s="469"/>
      <c r="AA228" s="36"/>
      <c r="AB228" s="193"/>
    </row>
    <row r="229" spans="1:28" outlineLevel="2" x14ac:dyDescent="0.25">
      <c r="A229" s="95" t="str">
        <f t="shared" si="37"/>
        <v/>
      </c>
      <c r="B229" s="740" t="s">
        <v>1150</v>
      </c>
      <c r="C229" s="489"/>
      <c r="D229" s="383" t="str">
        <f t="shared" si="66"/>
        <v/>
      </c>
      <c r="E229" s="490">
        <v>0</v>
      </c>
      <c r="F229" s="95"/>
      <c r="G229" s="164" t="str">
        <f>IF(B229="","",IF(F229="",VLOOKUP(B229,Variabelen!A$47:D$58,4,FALSE),F229-G$49))</f>
        <v/>
      </c>
      <c r="H229" s="490" t="str">
        <f>IF(B229="","",VLOOKUP(B229,Variabelen!A$47:D$58,3,FALSE))</f>
        <v/>
      </c>
      <c r="I229" s="196" t="str">
        <f t="shared" si="67"/>
        <v/>
      </c>
      <c r="J229" s="196" t="str">
        <f t="shared" si="68"/>
        <v/>
      </c>
      <c r="K229" s="196" t="str">
        <f t="shared" si="69"/>
        <v/>
      </c>
      <c r="L229" s="196" t="str">
        <f t="shared" si="70"/>
        <v/>
      </c>
      <c r="M229" s="34" t="str">
        <f t="shared" si="71"/>
        <v/>
      </c>
      <c r="N229" s="196" t="str">
        <f>IF(B229="","",VLOOKUP(B229,Variabelen!A$47:D$58,2,FALSE))</f>
        <v/>
      </c>
      <c r="O229" s="94">
        <v>171</v>
      </c>
      <c r="P229" s="490"/>
      <c r="Q229" s="344"/>
      <c r="S229" s="469"/>
      <c r="AA229" s="36"/>
      <c r="AB229" s="193"/>
    </row>
    <row r="230" spans="1:28" outlineLevel="2" x14ac:dyDescent="0.25">
      <c r="A230" s="95" t="str">
        <f t="shared" si="37"/>
        <v/>
      </c>
      <c r="B230" s="740" t="s">
        <v>1150</v>
      </c>
      <c r="C230" s="489"/>
      <c r="D230" s="383" t="str">
        <f t="shared" si="66"/>
        <v/>
      </c>
      <c r="E230" s="490">
        <v>0</v>
      </c>
      <c r="F230" s="95"/>
      <c r="G230" s="164" t="str">
        <f>IF(B230="","",IF(F230="",VLOOKUP(B230,Variabelen!A$47:D$58,4,FALSE),F230-G$49))</f>
        <v/>
      </c>
      <c r="H230" s="490" t="str">
        <f>IF(B230="","",VLOOKUP(B230,Variabelen!A$47:D$58,3,FALSE))</f>
        <v/>
      </c>
      <c r="I230" s="196" t="str">
        <f t="shared" si="67"/>
        <v/>
      </c>
      <c r="J230" s="196" t="str">
        <f t="shared" si="68"/>
        <v/>
      </c>
      <c r="K230" s="196" t="str">
        <f t="shared" si="69"/>
        <v/>
      </c>
      <c r="L230" s="196" t="str">
        <f t="shared" si="70"/>
        <v/>
      </c>
      <c r="M230" s="34" t="str">
        <f t="shared" si="71"/>
        <v/>
      </c>
      <c r="N230" s="196" t="str">
        <f>IF(B230="","",VLOOKUP(B230,Variabelen!A$47:D$58,2,FALSE))</f>
        <v/>
      </c>
      <c r="O230" s="94">
        <v>172</v>
      </c>
      <c r="P230" s="490"/>
      <c r="Q230" s="344"/>
      <c r="S230" s="469"/>
      <c r="AA230" s="36"/>
      <c r="AB230" s="193"/>
    </row>
    <row r="231" spans="1:28" outlineLevel="2" x14ac:dyDescent="0.25">
      <c r="A231" s="95" t="str">
        <f t="shared" si="37"/>
        <v/>
      </c>
      <c r="B231" s="740" t="s">
        <v>1150</v>
      </c>
      <c r="C231" s="489"/>
      <c r="D231" s="383" t="str">
        <f t="shared" si="66"/>
        <v/>
      </c>
      <c r="E231" s="490">
        <v>0</v>
      </c>
      <c r="F231" s="95"/>
      <c r="G231" s="164" t="str">
        <f>IF(B231="","",IF(F231="",VLOOKUP(B231,Variabelen!A$47:D$58,4,FALSE),F231-G$49))</f>
        <v/>
      </c>
      <c r="H231" s="490" t="str">
        <f>IF(B231="","",VLOOKUP(B231,Variabelen!A$47:D$58,3,FALSE))</f>
        <v/>
      </c>
      <c r="I231" s="196" t="str">
        <f t="shared" si="67"/>
        <v/>
      </c>
      <c r="J231" s="196" t="str">
        <f t="shared" si="68"/>
        <v/>
      </c>
      <c r="K231" s="196" t="str">
        <f t="shared" si="69"/>
        <v/>
      </c>
      <c r="L231" s="196" t="str">
        <f t="shared" si="70"/>
        <v/>
      </c>
      <c r="M231" s="34" t="str">
        <f t="shared" si="71"/>
        <v/>
      </c>
      <c r="N231" s="196" t="str">
        <f>IF(B231="","",VLOOKUP(B231,Variabelen!A$47:D$58,2,FALSE))</f>
        <v/>
      </c>
      <c r="O231" s="94">
        <v>173</v>
      </c>
      <c r="P231" s="490"/>
      <c r="Q231" s="344"/>
      <c r="S231" s="469"/>
      <c r="AA231" s="36"/>
      <c r="AB231" s="193"/>
    </row>
    <row r="232" spans="1:28" outlineLevel="2" x14ac:dyDescent="0.25">
      <c r="A232" s="95" t="str">
        <f t="shared" si="37"/>
        <v/>
      </c>
      <c r="B232" s="740" t="s">
        <v>1150</v>
      </c>
      <c r="C232" s="489"/>
      <c r="D232" s="383" t="str">
        <f t="shared" si="66"/>
        <v/>
      </c>
      <c r="E232" s="490">
        <v>0</v>
      </c>
      <c r="F232" s="95"/>
      <c r="G232" s="164" t="str">
        <f>IF(B232="","",IF(F232="",VLOOKUP(B232,Variabelen!A$47:D$58,4,FALSE),F232-G$49))</f>
        <v/>
      </c>
      <c r="H232" s="490" t="str">
        <f>IF(B232="","",VLOOKUP(B232,Variabelen!A$47:D$58,3,FALSE))</f>
        <v/>
      </c>
      <c r="I232" s="196" t="str">
        <f t="shared" si="67"/>
        <v/>
      </c>
      <c r="J232" s="196" t="str">
        <f t="shared" si="68"/>
        <v/>
      </c>
      <c r="K232" s="196" t="str">
        <f t="shared" si="69"/>
        <v/>
      </c>
      <c r="L232" s="196" t="str">
        <f t="shared" si="70"/>
        <v/>
      </c>
      <c r="M232" s="34" t="str">
        <f t="shared" si="71"/>
        <v/>
      </c>
      <c r="N232" s="196" t="str">
        <f>IF(B232="","",VLOOKUP(B232,Variabelen!A$47:D$58,2,FALSE))</f>
        <v/>
      </c>
      <c r="O232" s="94">
        <v>174</v>
      </c>
      <c r="P232" s="490"/>
      <c r="Q232" s="344"/>
      <c r="S232" s="469"/>
      <c r="AA232" s="36"/>
      <c r="AB232" s="193"/>
    </row>
    <row r="233" spans="1:28" outlineLevel="2" x14ac:dyDescent="0.25">
      <c r="A233" s="95" t="str">
        <f t="shared" si="37"/>
        <v/>
      </c>
      <c r="B233" s="740" t="s">
        <v>1150</v>
      </c>
      <c r="C233" s="489"/>
      <c r="D233" s="383" t="str">
        <f t="shared" si="66"/>
        <v/>
      </c>
      <c r="E233" s="490">
        <v>0</v>
      </c>
      <c r="F233" s="95"/>
      <c r="G233" s="164" t="str">
        <f>IF(B233="","",IF(F233="",VLOOKUP(B233,Variabelen!A$47:D$58,4,FALSE),F233-G$49))</f>
        <v/>
      </c>
      <c r="H233" s="490" t="str">
        <f>IF(B233="","",VLOOKUP(B233,Variabelen!A$47:D$58,3,FALSE))</f>
        <v/>
      </c>
      <c r="I233" s="196" t="str">
        <f t="shared" si="67"/>
        <v/>
      </c>
      <c r="J233" s="196" t="str">
        <f t="shared" si="68"/>
        <v/>
      </c>
      <c r="K233" s="196" t="str">
        <f t="shared" si="69"/>
        <v/>
      </c>
      <c r="L233" s="196" t="str">
        <f t="shared" si="70"/>
        <v/>
      </c>
      <c r="M233" s="34" t="str">
        <f t="shared" si="71"/>
        <v/>
      </c>
      <c r="N233" s="196" t="str">
        <f>IF(B233="","",VLOOKUP(B233,Variabelen!A$47:D$58,2,FALSE))</f>
        <v/>
      </c>
      <c r="O233" s="94">
        <v>175</v>
      </c>
      <c r="P233" s="490"/>
      <c r="Q233" s="344"/>
      <c r="S233" s="469"/>
      <c r="AA233" s="36"/>
      <c r="AB233" s="193"/>
    </row>
    <row r="234" spans="1:28" outlineLevel="2" x14ac:dyDescent="0.25">
      <c r="A234" s="95" t="str">
        <f t="shared" si="37"/>
        <v/>
      </c>
      <c r="B234" s="740" t="s">
        <v>1150</v>
      </c>
      <c r="C234" s="489"/>
      <c r="D234" s="383" t="str">
        <f t="shared" si="66"/>
        <v/>
      </c>
      <c r="E234" s="490">
        <v>0</v>
      </c>
      <c r="F234" s="95"/>
      <c r="G234" s="164" t="str">
        <f>IF(B234="","",IF(F234="",VLOOKUP(B234,Variabelen!A$47:D$58,4,FALSE),F234-G$49))</f>
        <v/>
      </c>
      <c r="H234" s="490" t="str">
        <f>IF(B234="","",VLOOKUP(B234,Variabelen!A$47:D$58,3,FALSE))</f>
        <v/>
      </c>
      <c r="I234" s="196" t="str">
        <f t="shared" si="67"/>
        <v/>
      </c>
      <c r="J234" s="196" t="str">
        <f t="shared" si="68"/>
        <v/>
      </c>
      <c r="K234" s="196" t="str">
        <f t="shared" si="69"/>
        <v/>
      </c>
      <c r="L234" s="196" t="str">
        <f t="shared" si="70"/>
        <v/>
      </c>
      <c r="M234" s="34" t="str">
        <f t="shared" si="71"/>
        <v/>
      </c>
      <c r="N234" s="196" t="str">
        <f>IF(B234="","",VLOOKUP(B234,Variabelen!A$47:D$58,2,FALSE))</f>
        <v/>
      </c>
      <c r="O234" s="94">
        <v>176</v>
      </c>
      <c r="P234" s="490"/>
      <c r="Q234" s="344"/>
      <c r="S234" s="469"/>
      <c r="AA234" s="36"/>
      <c r="AB234" s="193"/>
    </row>
    <row r="235" spans="1:28" outlineLevel="2" x14ac:dyDescent="0.25">
      <c r="A235" s="95" t="str">
        <f t="shared" si="37"/>
        <v/>
      </c>
      <c r="B235" s="740" t="s">
        <v>1150</v>
      </c>
      <c r="C235" s="489"/>
      <c r="D235" s="383" t="str">
        <f t="shared" si="66"/>
        <v/>
      </c>
      <c r="E235" s="490">
        <v>0</v>
      </c>
      <c r="F235" s="95"/>
      <c r="G235" s="164" t="str">
        <f>IF(B235="","",IF(F235="",VLOOKUP(B235,Variabelen!A$47:D$58,4,FALSE),F235-G$49))</f>
        <v/>
      </c>
      <c r="H235" s="490" t="str">
        <f>IF(B235="","",VLOOKUP(B235,Variabelen!A$47:D$58,3,FALSE))</f>
        <v/>
      </c>
      <c r="I235" s="196" t="str">
        <f t="shared" si="67"/>
        <v/>
      </c>
      <c r="J235" s="196" t="str">
        <f t="shared" si="68"/>
        <v/>
      </c>
      <c r="K235" s="196" t="str">
        <f t="shared" si="69"/>
        <v/>
      </c>
      <c r="L235" s="196" t="str">
        <f t="shared" si="70"/>
        <v/>
      </c>
      <c r="M235" s="34" t="str">
        <f t="shared" si="71"/>
        <v/>
      </c>
      <c r="N235" s="196" t="str">
        <f>IF(B235="","",VLOOKUP(B235,Variabelen!A$47:D$58,2,FALSE))</f>
        <v/>
      </c>
      <c r="O235" s="94">
        <v>177</v>
      </c>
      <c r="P235" s="490"/>
      <c r="Q235" s="344"/>
      <c r="S235" s="469"/>
      <c r="AA235" s="36"/>
      <c r="AB235" s="193"/>
    </row>
    <row r="236" spans="1:28" outlineLevel="2" x14ac:dyDescent="0.25">
      <c r="A236" s="95" t="str">
        <f t="shared" si="37"/>
        <v/>
      </c>
      <c r="B236" s="740" t="s">
        <v>1150</v>
      </c>
      <c r="C236" s="489"/>
      <c r="D236" s="383" t="str">
        <f t="shared" si="66"/>
        <v/>
      </c>
      <c r="E236" s="490">
        <v>0</v>
      </c>
      <c r="F236" s="95"/>
      <c r="G236" s="164" t="str">
        <f>IF(B236="","",IF(F236="",VLOOKUP(B236,Variabelen!A$47:D$58,4,FALSE),F236-G$49))</f>
        <v/>
      </c>
      <c r="H236" s="490" t="str">
        <f>IF(B236="","",VLOOKUP(B236,Variabelen!A$47:D$58,3,FALSE))</f>
        <v/>
      </c>
      <c r="I236" s="196" t="str">
        <f t="shared" si="67"/>
        <v/>
      </c>
      <c r="J236" s="196" t="str">
        <f t="shared" si="68"/>
        <v/>
      </c>
      <c r="K236" s="196" t="str">
        <f t="shared" si="69"/>
        <v/>
      </c>
      <c r="L236" s="196" t="str">
        <f t="shared" si="70"/>
        <v/>
      </c>
      <c r="M236" s="34" t="str">
        <f t="shared" si="71"/>
        <v/>
      </c>
      <c r="N236" s="196" t="str">
        <f>IF(B236="","",VLOOKUP(B236,Variabelen!A$47:D$58,2,FALSE))</f>
        <v/>
      </c>
      <c r="O236" s="94">
        <v>178</v>
      </c>
      <c r="P236" s="490"/>
      <c r="Q236" s="344"/>
      <c r="S236" s="469"/>
      <c r="AA236" s="36"/>
      <c r="AB236" s="193"/>
    </row>
    <row r="237" spans="1:28" outlineLevel="2" x14ac:dyDescent="0.25">
      <c r="A237" s="95" t="str">
        <f t="shared" si="37"/>
        <v/>
      </c>
      <c r="B237" s="740" t="s">
        <v>1150</v>
      </c>
      <c r="C237" s="489"/>
      <c r="D237" s="383" t="str">
        <f t="shared" si="66"/>
        <v/>
      </c>
      <c r="E237" s="490">
        <v>0</v>
      </c>
      <c r="F237" s="95"/>
      <c r="G237" s="164" t="str">
        <f>IF(B237="","",IF(F237="",VLOOKUP(B237,Variabelen!A$47:D$58,4,FALSE),F237-G$49))</f>
        <v/>
      </c>
      <c r="H237" s="490" t="str">
        <f>IF(B237="","",VLOOKUP(B237,Variabelen!A$47:D$58,3,FALSE))</f>
        <v/>
      </c>
      <c r="I237" s="196" t="str">
        <f t="shared" si="67"/>
        <v/>
      </c>
      <c r="J237" s="196" t="str">
        <f t="shared" si="68"/>
        <v/>
      </c>
      <c r="K237" s="196" t="str">
        <f t="shared" si="69"/>
        <v/>
      </c>
      <c r="L237" s="196" t="str">
        <f t="shared" si="70"/>
        <v/>
      </c>
      <c r="M237" s="34" t="str">
        <f t="shared" si="71"/>
        <v/>
      </c>
      <c r="N237" s="196" t="str">
        <f>IF(B237="","",VLOOKUP(B237,Variabelen!A$47:D$58,2,FALSE))</f>
        <v/>
      </c>
      <c r="O237" s="94">
        <v>179</v>
      </c>
      <c r="P237" s="490"/>
      <c r="Q237" s="344"/>
      <c r="S237" s="469"/>
      <c r="AA237" s="36"/>
      <c r="AB237" s="193"/>
    </row>
    <row r="238" spans="1:28" outlineLevel="2" x14ac:dyDescent="0.25">
      <c r="A238" s="95" t="str">
        <f t="shared" si="37"/>
        <v/>
      </c>
      <c r="B238" s="740" t="s">
        <v>1150</v>
      </c>
      <c r="C238" s="489"/>
      <c r="D238" s="383" t="str">
        <f t="shared" si="66"/>
        <v/>
      </c>
      <c r="E238" s="490">
        <v>0</v>
      </c>
      <c r="F238" s="95"/>
      <c r="G238" s="164" t="str">
        <f>IF(B238="","",IF(F238="",VLOOKUP(B238,Variabelen!A$47:D$58,4,FALSE),F238-G$49))</f>
        <v/>
      </c>
      <c r="H238" s="490" t="str">
        <f>IF(B238="","",VLOOKUP(B238,Variabelen!A$47:D$58,3,FALSE))</f>
        <v/>
      </c>
      <c r="I238" s="196" t="str">
        <f t="shared" si="67"/>
        <v/>
      </c>
      <c r="J238" s="196" t="str">
        <f t="shared" si="68"/>
        <v/>
      </c>
      <c r="K238" s="196" t="str">
        <f t="shared" si="69"/>
        <v/>
      </c>
      <c r="L238" s="196" t="str">
        <f t="shared" si="70"/>
        <v/>
      </c>
      <c r="M238" s="34" t="str">
        <f t="shared" si="71"/>
        <v/>
      </c>
      <c r="N238" s="196" t="str">
        <f>IF(B238="","",VLOOKUP(B238,Variabelen!A$47:D$58,2,FALSE))</f>
        <v/>
      </c>
      <c r="O238" s="94">
        <v>180</v>
      </c>
      <c r="P238" s="490"/>
      <c r="Q238" s="344"/>
      <c r="S238" s="469"/>
      <c r="AA238" s="36"/>
      <c r="AB238" s="193"/>
    </row>
    <row r="239" spans="1:28" outlineLevel="2" x14ac:dyDescent="0.25">
      <c r="A239" s="95" t="str">
        <f t="shared" si="37"/>
        <v/>
      </c>
      <c r="B239" s="740" t="s">
        <v>1150</v>
      </c>
      <c r="C239" s="489"/>
      <c r="D239" s="383" t="str">
        <f t="shared" si="66"/>
        <v/>
      </c>
      <c r="E239" s="490">
        <v>0</v>
      </c>
      <c r="F239" s="95"/>
      <c r="G239" s="164" t="str">
        <f>IF(B239="","",IF(F239="",VLOOKUP(B239,Variabelen!A$47:D$58,4,FALSE),F239-G$49))</f>
        <v/>
      </c>
      <c r="H239" s="490" t="str">
        <f>IF(B239="","",VLOOKUP(B239,Variabelen!A$47:D$58,3,FALSE))</f>
        <v/>
      </c>
      <c r="I239" s="196" t="str">
        <f t="shared" si="67"/>
        <v/>
      </c>
      <c r="J239" s="196" t="str">
        <f t="shared" si="68"/>
        <v/>
      </c>
      <c r="K239" s="196" t="str">
        <f t="shared" si="69"/>
        <v/>
      </c>
      <c r="L239" s="196" t="str">
        <f t="shared" si="70"/>
        <v/>
      </c>
      <c r="M239" s="34" t="str">
        <f t="shared" si="71"/>
        <v/>
      </c>
      <c r="N239" s="196" t="str">
        <f>IF(B239="","",VLOOKUP(B239,Variabelen!A$47:D$58,2,FALSE))</f>
        <v/>
      </c>
      <c r="O239" s="94">
        <v>181</v>
      </c>
      <c r="P239" s="490"/>
      <c r="Q239" s="344"/>
      <c r="S239" s="469"/>
      <c r="AA239" s="36"/>
      <c r="AB239" s="193"/>
    </row>
    <row r="240" spans="1:28" outlineLevel="2" x14ac:dyDescent="0.25">
      <c r="A240" s="95" t="str">
        <f t="shared" si="37"/>
        <v/>
      </c>
      <c r="B240" s="740" t="s">
        <v>1150</v>
      </c>
      <c r="C240" s="489"/>
      <c r="D240" s="383" t="str">
        <f t="shared" si="66"/>
        <v/>
      </c>
      <c r="E240" s="490">
        <v>0</v>
      </c>
      <c r="F240" s="95"/>
      <c r="G240" s="164" t="str">
        <f>IF(B240="","",IF(F240="",VLOOKUP(B240,Variabelen!A$47:D$58,4,FALSE),F240-G$49))</f>
        <v/>
      </c>
      <c r="H240" s="490" t="str">
        <f>IF(B240="","",VLOOKUP(B240,Variabelen!A$47:D$58,3,FALSE))</f>
        <v/>
      </c>
      <c r="I240" s="196" t="str">
        <f t="shared" si="67"/>
        <v/>
      </c>
      <c r="J240" s="196" t="str">
        <f t="shared" si="68"/>
        <v/>
      </c>
      <c r="K240" s="196" t="str">
        <f t="shared" si="69"/>
        <v/>
      </c>
      <c r="L240" s="196" t="str">
        <f t="shared" si="70"/>
        <v/>
      </c>
      <c r="M240" s="34" t="str">
        <f t="shared" si="71"/>
        <v/>
      </c>
      <c r="N240" s="196" t="str">
        <f>IF(B240="","",VLOOKUP(B240,Variabelen!A$47:D$58,2,FALSE))</f>
        <v/>
      </c>
      <c r="O240" s="94">
        <v>182</v>
      </c>
      <c r="P240" s="490"/>
      <c r="Q240" s="344"/>
      <c r="S240" s="469"/>
      <c r="AA240" s="36"/>
      <c r="AB240" s="193"/>
    </row>
    <row r="241" spans="1:28" outlineLevel="2" x14ac:dyDescent="0.25">
      <c r="A241" s="95" t="str">
        <f t="shared" si="37"/>
        <v/>
      </c>
      <c r="B241" s="740" t="s">
        <v>1150</v>
      </c>
      <c r="C241" s="489"/>
      <c r="D241" s="383" t="str">
        <f t="shared" si="66"/>
        <v/>
      </c>
      <c r="E241" s="490">
        <v>0</v>
      </c>
      <c r="F241" s="95"/>
      <c r="G241" s="164" t="str">
        <f>IF(B241="","",IF(F241="",VLOOKUP(B241,Variabelen!A$47:D$58,4,FALSE),F241-G$49))</f>
        <v/>
      </c>
      <c r="H241" s="490" t="str">
        <f>IF(B241="","",VLOOKUP(B241,Variabelen!A$47:D$58,3,FALSE))</f>
        <v/>
      </c>
      <c r="I241" s="196" t="str">
        <f t="shared" si="67"/>
        <v/>
      </c>
      <c r="J241" s="196" t="str">
        <f t="shared" si="68"/>
        <v/>
      </c>
      <c r="K241" s="196" t="str">
        <f t="shared" si="69"/>
        <v/>
      </c>
      <c r="L241" s="196" t="str">
        <f t="shared" si="70"/>
        <v/>
      </c>
      <c r="M241" s="34" t="str">
        <f t="shared" si="71"/>
        <v/>
      </c>
      <c r="N241" s="196" t="str">
        <f>IF(B241="","",VLOOKUP(B241,Variabelen!A$47:D$58,2,FALSE))</f>
        <v/>
      </c>
      <c r="O241" s="94">
        <v>183</v>
      </c>
      <c r="P241" s="490"/>
      <c r="Q241" s="344"/>
      <c r="S241" s="469"/>
      <c r="AA241" s="36"/>
      <c r="AB241" s="193"/>
    </row>
    <row r="242" spans="1:28" outlineLevel="2" x14ac:dyDescent="0.25">
      <c r="A242" s="95" t="str">
        <f t="shared" si="37"/>
        <v/>
      </c>
      <c r="B242" s="740" t="s">
        <v>1150</v>
      </c>
      <c r="C242" s="489"/>
      <c r="D242" s="383" t="str">
        <f t="shared" si="66"/>
        <v/>
      </c>
      <c r="E242" s="490">
        <v>0</v>
      </c>
      <c r="F242" s="95"/>
      <c r="G242" s="164" t="str">
        <f>IF(B242="","",IF(F242="",VLOOKUP(B242,Variabelen!A$47:D$58,4,FALSE),F242-G$49))</f>
        <v/>
      </c>
      <c r="H242" s="490" t="str">
        <f>IF(B242="","",VLOOKUP(B242,Variabelen!A$47:D$58,3,FALSE))</f>
        <v/>
      </c>
      <c r="I242" s="196" t="str">
        <f t="shared" si="67"/>
        <v/>
      </c>
      <c r="J242" s="196" t="str">
        <f t="shared" si="68"/>
        <v/>
      </c>
      <c r="K242" s="196" t="str">
        <f t="shared" si="69"/>
        <v/>
      </c>
      <c r="L242" s="196" t="str">
        <f t="shared" si="70"/>
        <v/>
      </c>
      <c r="M242" s="34" t="str">
        <f t="shared" si="71"/>
        <v/>
      </c>
      <c r="N242" s="196" t="str">
        <f>IF(B242="","",VLOOKUP(B242,Variabelen!A$47:D$58,2,FALSE))</f>
        <v/>
      </c>
      <c r="O242" s="94">
        <v>184</v>
      </c>
      <c r="P242" s="490"/>
      <c r="Q242" s="344"/>
      <c r="S242" s="469"/>
      <c r="AA242" s="36"/>
      <c r="AB242" s="193"/>
    </row>
    <row r="243" spans="1:28" outlineLevel="2" x14ac:dyDescent="0.25">
      <c r="A243" s="95" t="str">
        <f t="shared" si="37"/>
        <v/>
      </c>
      <c r="B243" s="740"/>
      <c r="C243" s="489"/>
      <c r="D243" s="383" t="str">
        <f t="shared" si="66"/>
        <v/>
      </c>
      <c r="E243" s="490"/>
      <c r="F243" s="95"/>
      <c r="G243" s="164" t="str">
        <f>IF(B243="","",IF(F243="",VLOOKUP(B243,Variabelen!A$47:D$58,4,FALSE),F243-G$49))</f>
        <v/>
      </c>
      <c r="H243" s="490" t="str">
        <f>IF(B243="","",VLOOKUP(B243,Variabelen!A$47:D$58,3,FALSE))</f>
        <v/>
      </c>
      <c r="I243" s="196" t="str">
        <f t="shared" si="67"/>
        <v/>
      </c>
      <c r="J243" s="196" t="str">
        <f t="shared" si="68"/>
        <v/>
      </c>
      <c r="K243" s="196" t="str">
        <f t="shared" si="69"/>
        <v/>
      </c>
      <c r="L243" s="196" t="str">
        <f t="shared" si="70"/>
        <v/>
      </c>
      <c r="M243" s="34" t="str">
        <f t="shared" si="71"/>
        <v/>
      </c>
      <c r="N243" s="196" t="str">
        <f>IF(B243="","",VLOOKUP(B243,Variabelen!A$47:D$58,2,FALSE))</f>
        <v/>
      </c>
      <c r="O243" s="94">
        <v>185</v>
      </c>
      <c r="P243" s="490"/>
      <c r="Q243" s="344"/>
      <c r="S243" s="469"/>
      <c r="AA243" s="36"/>
      <c r="AB243" s="193"/>
    </row>
    <row r="244" spans="1:28" outlineLevel="2" x14ac:dyDescent="0.25">
      <c r="A244" s="95" t="str">
        <f t="shared" si="37"/>
        <v/>
      </c>
      <c r="B244" s="740"/>
      <c r="C244" s="489"/>
      <c r="D244" s="383" t="str">
        <f t="shared" si="66"/>
        <v/>
      </c>
      <c r="E244" s="490"/>
      <c r="F244" s="95"/>
      <c r="G244" s="164" t="str">
        <f>IF(B244="","",IF(F244="",VLOOKUP(B244,Variabelen!A$47:D$58,4,FALSE),F244-G$49))</f>
        <v/>
      </c>
      <c r="H244" s="490" t="str">
        <f>IF(B244="","",VLOOKUP(B244,Variabelen!A$47:D$58,3,FALSE))</f>
        <v/>
      </c>
      <c r="I244" s="196" t="str">
        <f t="shared" si="67"/>
        <v/>
      </c>
      <c r="J244" s="196" t="str">
        <f t="shared" si="68"/>
        <v/>
      </c>
      <c r="K244" s="196" t="str">
        <f t="shared" si="69"/>
        <v/>
      </c>
      <c r="L244" s="196" t="str">
        <f t="shared" si="70"/>
        <v/>
      </c>
      <c r="M244" s="34" t="str">
        <f t="shared" si="71"/>
        <v/>
      </c>
      <c r="N244" s="196" t="str">
        <f>IF(B244="","",VLOOKUP(B244,Variabelen!A$47:D$58,2,FALSE))</f>
        <v/>
      </c>
      <c r="O244" s="94">
        <v>186</v>
      </c>
      <c r="P244" s="490"/>
      <c r="Q244" s="344"/>
      <c r="S244" s="469"/>
      <c r="AA244" s="36"/>
      <c r="AB244" s="193"/>
    </row>
    <row r="245" spans="1:28" outlineLevel="2" x14ac:dyDescent="0.25">
      <c r="A245" s="95" t="str">
        <f t="shared" si="37"/>
        <v/>
      </c>
      <c r="B245" s="740"/>
      <c r="C245" s="489"/>
      <c r="D245" s="383" t="str">
        <f t="shared" si="66"/>
        <v/>
      </c>
      <c r="E245" s="490"/>
      <c r="F245" s="95"/>
      <c r="G245" s="164" t="str">
        <f>IF(B245="","",IF(F245="",VLOOKUP(B245,Variabelen!A$47:D$58,4,FALSE),F245-G$49))</f>
        <v/>
      </c>
      <c r="H245" s="490" t="str">
        <f>IF(B245="","",VLOOKUP(B245,Variabelen!A$47:D$58,3,FALSE))</f>
        <v/>
      </c>
      <c r="I245" s="196" t="str">
        <f t="shared" si="67"/>
        <v/>
      </c>
      <c r="J245" s="196" t="str">
        <f t="shared" si="68"/>
        <v/>
      </c>
      <c r="K245" s="196" t="str">
        <f t="shared" si="69"/>
        <v/>
      </c>
      <c r="L245" s="196" t="str">
        <f t="shared" si="70"/>
        <v/>
      </c>
      <c r="M245" s="34" t="str">
        <f t="shared" si="71"/>
        <v/>
      </c>
      <c r="N245" s="196" t="str">
        <f>IF(B245="","",VLOOKUP(B245,Variabelen!A$47:D$58,2,FALSE))</f>
        <v/>
      </c>
      <c r="O245" s="94">
        <v>187</v>
      </c>
      <c r="P245" s="490"/>
      <c r="Q245" s="344"/>
      <c r="S245" s="469"/>
      <c r="AA245" s="36"/>
      <c r="AB245" s="193"/>
    </row>
    <row r="246" spans="1:28" outlineLevel="2" x14ac:dyDescent="0.25">
      <c r="A246" s="95" t="str">
        <f t="shared" si="37"/>
        <v/>
      </c>
      <c r="B246" s="740"/>
      <c r="C246" s="489"/>
      <c r="D246" s="383" t="str">
        <f t="shared" si="66"/>
        <v/>
      </c>
      <c r="E246" s="490"/>
      <c r="F246" s="95"/>
      <c r="G246" s="164" t="str">
        <f>IF(B246="","",IF(F246="",VLOOKUP(B246,Variabelen!A$47:D$58,4,FALSE),F246-G$49))</f>
        <v/>
      </c>
      <c r="H246" s="490" t="str">
        <f>IF(B246="","",VLOOKUP(B246,Variabelen!A$47:D$58,3,FALSE))</f>
        <v/>
      </c>
      <c r="I246" s="196" t="str">
        <f t="shared" si="67"/>
        <v/>
      </c>
      <c r="J246" s="196" t="str">
        <f t="shared" si="68"/>
        <v/>
      </c>
      <c r="K246" s="196" t="str">
        <f t="shared" si="69"/>
        <v/>
      </c>
      <c r="L246" s="196" t="str">
        <f t="shared" si="70"/>
        <v/>
      </c>
      <c r="M246" s="34" t="str">
        <f t="shared" si="71"/>
        <v/>
      </c>
      <c r="N246" s="196" t="str">
        <f>IF(B246="","",VLOOKUP(B246,Variabelen!A$47:D$58,2,FALSE))</f>
        <v/>
      </c>
      <c r="O246" s="94">
        <v>188</v>
      </c>
      <c r="P246" s="490"/>
      <c r="Q246" s="344"/>
      <c r="S246" s="469"/>
      <c r="AA246" s="36"/>
      <c r="AB246" s="193"/>
    </row>
    <row r="247" spans="1:28" outlineLevel="2" x14ac:dyDescent="0.25">
      <c r="A247" s="95" t="str">
        <f t="shared" si="37"/>
        <v/>
      </c>
      <c r="B247" s="740"/>
      <c r="C247" s="489"/>
      <c r="D247" s="383" t="str">
        <f t="shared" si="66"/>
        <v/>
      </c>
      <c r="E247" s="490"/>
      <c r="F247" s="95"/>
      <c r="G247" s="164" t="str">
        <f>IF(B247="","",IF(F247="",VLOOKUP(B247,Variabelen!A$47:D$58,4,FALSE),F247-G$49))</f>
        <v/>
      </c>
      <c r="H247" s="490" t="str">
        <f>IF(B247="","",VLOOKUP(B247,Variabelen!A$47:D$58,3,FALSE))</f>
        <v/>
      </c>
      <c r="I247" s="196" t="str">
        <f t="shared" si="67"/>
        <v/>
      </c>
      <c r="J247" s="196" t="str">
        <f t="shared" si="68"/>
        <v/>
      </c>
      <c r="K247" s="196" t="str">
        <f t="shared" si="69"/>
        <v/>
      </c>
      <c r="L247" s="196" t="str">
        <f t="shared" si="70"/>
        <v/>
      </c>
      <c r="M247" s="34" t="str">
        <f t="shared" si="71"/>
        <v/>
      </c>
      <c r="N247" s="196" t="str">
        <f>IF(B247="","",VLOOKUP(B247,Variabelen!A$47:D$58,2,FALSE))</f>
        <v/>
      </c>
      <c r="O247" s="94">
        <v>189</v>
      </c>
      <c r="P247" s="490"/>
      <c r="Q247" s="344"/>
      <c r="S247" s="469"/>
      <c r="AA247" s="36"/>
      <c r="AB247" s="193"/>
    </row>
    <row r="248" spans="1:28" outlineLevel="2" x14ac:dyDescent="0.25">
      <c r="A248" s="95" t="str">
        <f t="shared" si="37"/>
        <v/>
      </c>
      <c r="B248" s="740"/>
      <c r="C248" s="489"/>
      <c r="D248" s="383" t="str">
        <f t="shared" si="66"/>
        <v/>
      </c>
      <c r="E248" s="490"/>
      <c r="F248" s="95"/>
      <c r="G248" s="164" t="str">
        <f>IF(B248="","",IF(F248="",VLOOKUP(B248,Variabelen!A$47:D$58,4,FALSE),F248-G$49))</f>
        <v/>
      </c>
      <c r="H248" s="490" t="str">
        <f>IF(B248="","",VLOOKUP(B248,Variabelen!A$47:D$58,3,FALSE))</f>
        <v/>
      </c>
      <c r="I248" s="196" t="str">
        <f t="shared" si="67"/>
        <v/>
      </c>
      <c r="J248" s="196" t="str">
        <f t="shared" si="68"/>
        <v/>
      </c>
      <c r="K248" s="196" t="str">
        <f t="shared" si="69"/>
        <v/>
      </c>
      <c r="L248" s="196" t="str">
        <f t="shared" si="70"/>
        <v/>
      </c>
      <c r="M248" s="34" t="str">
        <f t="shared" si="71"/>
        <v/>
      </c>
      <c r="N248" s="196" t="str">
        <f>IF(B248="","",VLOOKUP(B248,Variabelen!A$47:D$58,2,FALSE))</f>
        <v/>
      </c>
      <c r="O248" s="94">
        <v>190</v>
      </c>
      <c r="P248" s="490"/>
      <c r="Q248" s="344"/>
      <c r="S248" s="469"/>
      <c r="AA248" s="36"/>
      <c r="AB248" s="193"/>
    </row>
    <row r="249" spans="1:28" outlineLevel="2" x14ac:dyDescent="0.25">
      <c r="A249" s="95" t="str">
        <f t="shared" si="37"/>
        <v/>
      </c>
      <c r="B249" s="740"/>
      <c r="C249" s="489"/>
      <c r="D249" s="383" t="str">
        <f t="shared" si="66"/>
        <v/>
      </c>
      <c r="E249" s="490"/>
      <c r="F249" s="95"/>
      <c r="G249" s="164" t="str">
        <f>IF(B249="","",IF(F249="",VLOOKUP(B249,Variabelen!A$47:D$58,4,FALSE),F249-G$49))</f>
        <v/>
      </c>
      <c r="H249" s="490" t="str">
        <f>IF(B249="","",VLOOKUP(B249,Variabelen!A$47:D$58,3,FALSE))</f>
        <v/>
      </c>
      <c r="I249" s="196" t="str">
        <f t="shared" si="67"/>
        <v/>
      </c>
      <c r="J249" s="196" t="str">
        <f t="shared" si="68"/>
        <v/>
      </c>
      <c r="K249" s="196" t="str">
        <f t="shared" si="69"/>
        <v/>
      </c>
      <c r="L249" s="196" t="str">
        <f t="shared" si="70"/>
        <v/>
      </c>
      <c r="M249" s="34" t="str">
        <f t="shared" si="71"/>
        <v/>
      </c>
      <c r="N249" s="196" t="str">
        <f>IF(B249="","",VLOOKUP(B249,Variabelen!A$47:D$58,2,FALSE))</f>
        <v/>
      </c>
      <c r="O249" s="94">
        <v>191</v>
      </c>
      <c r="P249" s="490"/>
      <c r="Q249" s="344"/>
      <c r="S249" s="469"/>
      <c r="AA249" s="36"/>
      <c r="AB249" s="193"/>
    </row>
    <row r="250" spans="1:28" outlineLevel="2" x14ac:dyDescent="0.25">
      <c r="A250" s="95" t="str">
        <f t="shared" si="37"/>
        <v/>
      </c>
      <c r="B250" s="740"/>
      <c r="C250" s="489"/>
      <c r="D250" s="383" t="str">
        <f t="shared" si="66"/>
        <v/>
      </c>
      <c r="E250" s="490"/>
      <c r="F250" s="95"/>
      <c r="G250" s="164" t="str">
        <f>IF(B250="","",IF(F250="",VLOOKUP(B250,Variabelen!A$47:D$58,4,FALSE),F250-G$49))</f>
        <v/>
      </c>
      <c r="H250" s="490" t="str">
        <f>IF(B250="","",VLOOKUP(B250,Variabelen!A$47:D$58,3,FALSE))</f>
        <v/>
      </c>
      <c r="I250" s="196" t="str">
        <f t="shared" si="67"/>
        <v/>
      </c>
      <c r="J250" s="196" t="str">
        <f t="shared" si="68"/>
        <v/>
      </c>
      <c r="K250" s="196" t="str">
        <f t="shared" si="69"/>
        <v/>
      </c>
      <c r="L250" s="196" t="str">
        <f t="shared" si="70"/>
        <v/>
      </c>
      <c r="M250" s="34" t="str">
        <f t="shared" si="71"/>
        <v/>
      </c>
      <c r="N250" s="196" t="str">
        <f>IF(B250="","",VLOOKUP(B250,Variabelen!A$47:D$58,2,FALSE))</f>
        <v/>
      </c>
      <c r="O250" s="94">
        <v>192</v>
      </c>
      <c r="P250" s="490"/>
      <c r="Q250" s="344"/>
      <c r="S250" s="469"/>
      <c r="AA250" s="36"/>
      <c r="AB250" s="193"/>
    </row>
    <row r="251" spans="1:28" outlineLevel="2" x14ac:dyDescent="0.25">
      <c r="A251" s="95" t="str">
        <f t="shared" si="37"/>
        <v/>
      </c>
      <c r="B251" s="740"/>
      <c r="C251" s="489"/>
      <c r="D251" s="383" t="str">
        <f t="shared" si="66"/>
        <v/>
      </c>
      <c r="E251" s="490"/>
      <c r="F251" s="95"/>
      <c r="G251" s="164" t="str">
        <f>IF(B251="","",IF(F251="",VLOOKUP(B251,Variabelen!A$47:D$58,4,FALSE),F251-G$49))</f>
        <v/>
      </c>
      <c r="H251" s="490" t="str">
        <f>IF(B251="","",VLOOKUP(B251,Variabelen!A$47:D$58,3,FALSE))</f>
        <v/>
      </c>
      <c r="I251" s="196" t="str">
        <f t="shared" si="67"/>
        <v/>
      </c>
      <c r="J251" s="196" t="str">
        <f t="shared" si="68"/>
        <v/>
      </c>
      <c r="K251" s="196" t="str">
        <f t="shared" si="69"/>
        <v/>
      </c>
      <c r="L251" s="196" t="str">
        <f t="shared" si="70"/>
        <v/>
      </c>
      <c r="M251" s="34" t="str">
        <f t="shared" si="71"/>
        <v/>
      </c>
      <c r="N251" s="196" t="str">
        <f>IF(B251="","",VLOOKUP(B251,Variabelen!A$47:D$58,2,FALSE))</f>
        <v/>
      </c>
      <c r="O251" s="94">
        <v>193</v>
      </c>
      <c r="P251" s="490"/>
      <c r="Q251" s="344"/>
      <c r="S251" s="469"/>
      <c r="AA251" s="36"/>
      <c r="AB251" s="193"/>
    </row>
    <row r="252" spans="1:28" outlineLevel="2" x14ac:dyDescent="0.25">
      <c r="A252" s="95" t="str">
        <f t="shared" si="37"/>
        <v/>
      </c>
      <c r="B252" s="740"/>
      <c r="C252" s="489"/>
      <c r="D252" s="383" t="str">
        <f t="shared" si="66"/>
        <v/>
      </c>
      <c r="E252" s="490"/>
      <c r="F252" s="95"/>
      <c r="G252" s="164" t="str">
        <f>IF(B252="","",IF(F252="",VLOOKUP(B252,Variabelen!A$47:D$58,4,FALSE),F252-G$49))</f>
        <v/>
      </c>
      <c r="H252" s="490" t="str">
        <f>IF(B252="","",VLOOKUP(B252,Variabelen!A$47:D$58,3,FALSE))</f>
        <v/>
      </c>
      <c r="I252" s="196" t="str">
        <f t="shared" si="67"/>
        <v/>
      </c>
      <c r="J252" s="196" t="str">
        <f t="shared" si="68"/>
        <v/>
      </c>
      <c r="K252" s="196" t="str">
        <f t="shared" si="69"/>
        <v/>
      </c>
      <c r="L252" s="196" t="str">
        <f t="shared" si="70"/>
        <v/>
      </c>
      <c r="M252" s="34" t="str">
        <f t="shared" si="71"/>
        <v/>
      </c>
      <c r="N252" s="196" t="str">
        <f>IF(B252="","",VLOOKUP(B252,Variabelen!A$47:D$58,2,FALSE))</f>
        <v/>
      </c>
      <c r="O252" s="94">
        <v>194</v>
      </c>
      <c r="P252" s="490"/>
      <c r="Q252" s="344"/>
      <c r="S252" s="469"/>
      <c r="AA252" s="36"/>
      <c r="AB252" s="193"/>
    </row>
    <row r="253" spans="1:28" outlineLevel="2" x14ac:dyDescent="0.25">
      <c r="A253" s="95" t="str">
        <f t="shared" si="37"/>
        <v/>
      </c>
      <c r="B253" s="740"/>
      <c r="C253" s="489"/>
      <c r="D253" s="383" t="str">
        <f t="shared" si="66"/>
        <v/>
      </c>
      <c r="E253" s="490"/>
      <c r="F253" s="95"/>
      <c r="G253" s="164" t="str">
        <f>IF(B253="","",IF(F253="",VLOOKUP(B253,Variabelen!A$47:D$58,4,FALSE),F253-G$49))</f>
        <v/>
      </c>
      <c r="H253" s="490" t="str">
        <f>IF(B253="","",VLOOKUP(B253,Variabelen!A$47:D$58,3,FALSE))</f>
        <v/>
      </c>
      <c r="I253" s="196" t="str">
        <f t="shared" si="67"/>
        <v/>
      </c>
      <c r="J253" s="196" t="str">
        <f t="shared" si="68"/>
        <v/>
      </c>
      <c r="K253" s="196" t="str">
        <f t="shared" si="69"/>
        <v/>
      </c>
      <c r="L253" s="196" t="str">
        <f t="shared" si="70"/>
        <v/>
      </c>
      <c r="M253" s="34" t="str">
        <f t="shared" si="71"/>
        <v/>
      </c>
      <c r="N253" s="196" t="str">
        <f>IF(B253="","",VLOOKUP(B253,Variabelen!A$47:D$58,2,FALSE))</f>
        <v/>
      </c>
      <c r="O253" s="94">
        <v>195</v>
      </c>
      <c r="P253" s="490"/>
      <c r="Q253" s="344"/>
      <c r="S253" s="469"/>
      <c r="AA253" s="36"/>
      <c r="AB253" s="193"/>
    </row>
    <row r="254" spans="1:28" outlineLevel="2" x14ac:dyDescent="0.25">
      <c r="A254" s="95" t="str">
        <f t="shared" si="37"/>
        <v/>
      </c>
      <c r="B254" s="740"/>
      <c r="C254" s="489"/>
      <c r="D254" s="383" t="str">
        <f t="shared" si="66"/>
        <v/>
      </c>
      <c r="E254" s="490"/>
      <c r="F254" s="95"/>
      <c r="G254" s="164" t="str">
        <f>IF(B254="","",IF(F254="",VLOOKUP(B254,Variabelen!A$47:D$58,4,FALSE),F254-G$49))</f>
        <v/>
      </c>
      <c r="H254" s="490" t="str">
        <f>IF(B254="","",VLOOKUP(B254,Variabelen!A$47:D$58,3,FALSE))</f>
        <v/>
      </c>
      <c r="I254" s="196" t="str">
        <f t="shared" si="67"/>
        <v/>
      </c>
      <c r="J254" s="196" t="str">
        <f t="shared" si="68"/>
        <v/>
      </c>
      <c r="K254" s="196" t="str">
        <f t="shared" si="69"/>
        <v/>
      </c>
      <c r="L254" s="196" t="str">
        <f t="shared" si="70"/>
        <v/>
      </c>
      <c r="M254" s="34" t="str">
        <f t="shared" si="71"/>
        <v/>
      </c>
      <c r="N254" s="196" t="str">
        <f>IF(B254="","",VLOOKUP(B254,Variabelen!A$47:D$58,2,FALSE))</f>
        <v/>
      </c>
      <c r="O254" s="94">
        <v>196</v>
      </c>
      <c r="P254" s="490"/>
      <c r="Q254" s="344"/>
      <c r="S254" s="469"/>
      <c r="AA254" s="36"/>
      <c r="AB254" s="193"/>
    </row>
    <row r="255" spans="1:28" outlineLevel="2" x14ac:dyDescent="0.25">
      <c r="A255" s="95" t="str">
        <f t="shared" si="37"/>
        <v/>
      </c>
      <c r="B255" s="740"/>
      <c r="C255" s="489"/>
      <c r="D255" s="383" t="str">
        <f t="shared" ref="D255:D260" si="72">IF(B255="","",IF(B255="RV","BOB","BVK"))</f>
        <v/>
      </c>
      <c r="E255" s="490"/>
      <c r="F255" s="95"/>
      <c r="G255" s="164" t="str">
        <f>IF(B255="","",IF(F255="",VLOOKUP(B255,Variabelen!A$47:D$58,4,FALSE),F255-G$49))</f>
        <v/>
      </c>
      <c r="H255" s="490" t="str">
        <f>IF(B255="","",VLOOKUP(B255,Variabelen!A$47:D$58,3,FALSE))</f>
        <v/>
      </c>
      <c r="I255" s="196" t="str">
        <f t="shared" ref="I255:I260" si="73">IF(D255="BOB",0.75*H255,"")</f>
        <v/>
      </c>
      <c r="J255" s="196" t="str">
        <f t="shared" ref="J255:J260" si="74">IF(B255="","",ROUND(IF(D255="BOB",G255+(0.5*I255/1000),IF(D255="BVK",G255-(0.5*H255/1000),"FOUT")),2))</f>
        <v/>
      </c>
      <c r="K255" s="196" t="str">
        <f t="shared" ref="K255:K260" si="75">IF(B255="","",IF(AND(D255="BVK",F255=""),J255+VLOOKUP(E255,K$290:L$1291,2,TRUE)-G$49,IF(F255&lt;&gt;"",J255,"CHECK BVK of BOB!!!")))</f>
        <v/>
      </c>
      <c r="L255" s="196" t="str">
        <f t="shared" ref="L255:L260" si="76">IF(B255="","",G$49+K255)</f>
        <v/>
      </c>
      <c r="M255" s="34" t="str">
        <f t="shared" ref="M255:M260" si="77">IF(P255="","",M$43+P255+Q255)</f>
        <v/>
      </c>
      <c r="N255" s="196" t="str">
        <f>IF(B255="","",VLOOKUP(B255,Variabelen!A$47:D$58,2,FALSE))</f>
        <v/>
      </c>
      <c r="O255" s="94">
        <v>197</v>
      </c>
      <c r="P255" s="490"/>
      <c r="Q255" s="344"/>
      <c r="S255" s="469"/>
      <c r="AA255" s="36"/>
      <c r="AB255" s="193"/>
    </row>
    <row r="256" spans="1:28" outlineLevel="2" x14ac:dyDescent="0.25">
      <c r="A256" s="95" t="str">
        <f t="shared" si="37"/>
        <v/>
      </c>
      <c r="B256" s="740"/>
      <c r="C256" s="489"/>
      <c r="D256" s="383" t="str">
        <f t="shared" si="72"/>
        <v/>
      </c>
      <c r="E256" s="490"/>
      <c r="F256" s="95"/>
      <c r="G256" s="164" t="str">
        <f>IF(B256="","",IF(F256="",VLOOKUP(B256,Variabelen!A$47:D$58,4,FALSE),F256-G$49))</f>
        <v/>
      </c>
      <c r="H256" s="490" t="str">
        <f>IF(B256="","",VLOOKUP(B256,Variabelen!A$47:D$58,3,FALSE))</f>
        <v/>
      </c>
      <c r="I256" s="196" t="str">
        <f t="shared" si="73"/>
        <v/>
      </c>
      <c r="J256" s="196" t="str">
        <f t="shared" si="74"/>
        <v/>
      </c>
      <c r="K256" s="196" t="str">
        <f t="shared" si="75"/>
        <v/>
      </c>
      <c r="L256" s="196" t="str">
        <f t="shared" si="76"/>
        <v/>
      </c>
      <c r="M256" s="34" t="str">
        <f t="shared" si="77"/>
        <v/>
      </c>
      <c r="N256" s="196" t="str">
        <f>IF(B256="","",VLOOKUP(B256,Variabelen!A$47:D$58,2,FALSE))</f>
        <v/>
      </c>
      <c r="O256" s="94">
        <v>198</v>
      </c>
      <c r="P256" s="490"/>
      <c r="Q256" s="344"/>
      <c r="S256" s="469"/>
      <c r="AA256" s="36"/>
      <c r="AB256" s="193"/>
    </row>
    <row r="257" spans="1:58" outlineLevel="2" x14ac:dyDescent="0.25">
      <c r="A257" s="95" t="str">
        <f t="shared" si="37"/>
        <v/>
      </c>
      <c r="B257" s="740"/>
      <c r="C257" s="489"/>
      <c r="D257" s="383" t="str">
        <f t="shared" si="72"/>
        <v/>
      </c>
      <c r="E257" s="490"/>
      <c r="F257" s="95"/>
      <c r="G257" s="164" t="str">
        <f>IF(B257="","",IF(F257="",VLOOKUP(B257,Variabelen!A$47:D$58,4,FALSE),F257-G$49))</f>
        <v/>
      </c>
      <c r="H257" s="490" t="str">
        <f>IF(B257="","",VLOOKUP(B257,Variabelen!A$47:D$58,3,FALSE))</f>
        <v/>
      </c>
      <c r="I257" s="196" t="str">
        <f t="shared" si="73"/>
        <v/>
      </c>
      <c r="J257" s="196" t="str">
        <f t="shared" si="74"/>
        <v/>
      </c>
      <c r="K257" s="196" t="str">
        <f t="shared" si="75"/>
        <v/>
      </c>
      <c r="L257" s="196" t="str">
        <f t="shared" si="76"/>
        <v/>
      </c>
      <c r="M257" s="34" t="str">
        <f t="shared" si="77"/>
        <v/>
      </c>
      <c r="N257" s="196" t="str">
        <f>IF(B257="","",VLOOKUP(B257,Variabelen!A$47:D$58,2,FALSE))</f>
        <v/>
      </c>
      <c r="O257" s="94">
        <v>199</v>
      </c>
      <c r="P257" s="490"/>
      <c r="Q257" s="344"/>
      <c r="S257" s="469"/>
      <c r="AA257" s="36"/>
      <c r="AB257" s="193"/>
    </row>
    <row r="258" spans="1:58" outlineLevel="2" x14ac:dyDescent="0.25">
      <c r="A258" s="95" t="str">
        <f t="shared" si="37"/>
        <v/>
      </c>
      <c r="B258" s="740"/>
      <c r="C258" s="489"/>
      <c r="D258" s="383" t="str">
        <f t="shared" si="72"/>
        <v/>
      </c>
      <c r="E258" s="490"/>
      <c r="F258" s="95"/>
      <c r="G258" s="164" t="str">
        <f>IF(B258="","",IF(F258="",VLOOKUP(B258,Variabelen!A$47:D$58,4,FALSE),F258-G$49))</f>
        <v/>
      </c>
      <c r="H258" s="490" t="str">
        <f>IF(B258="","",VLOOKUP(B258,Variabelen!A$47:D$58,3,FALSE))</f>
        <v/>
      </c>
      <c r="I258" s="196" t="str">
        <f t="shared" si="73"/>
        <v/>
      </c>
      <c r="J258" s="196" t="str">
        <f t="shared" si="74"/>
        <v/>
      </c>
      <c r="K258" s="196" t="str">
        <f t="shared" si="75"/>
        <v/>
      </c>
      <c r="L258" s="196" t="str">
        <f t="shared" si="76"/>
        <v/>
      </c>
      <c r="M258" s="34" t="str">
        <f t="shared" si="77"/>
        <v/>
      </c>
      <c r="N258" s="196" t="str">
        <f>IF(B258="","",VLOOKUP(B258,Variabelen!A$47:D$58,2,FALSE))</f>
        <v/>
      </c>
      <c r="O258" s="94">
        <v>200</v>
      </c>
      <c r="P258" s="490"/>
      <c r="Q258" s="344"/>
      <c r="S258" s="469"/>
      <c r="AA258" s="36"/>
      <c r="AB258" s="193"/>
    </row>
    <row r="259" spans="1:58" outlineLevel="2" x14ac:dyDescent="0.25">
      <c r="A259" s="95" t="str">
        <f t="shared" si="37"/>
        <v/>
      </c>
      <c r="B259" s="740"/>
      <c r="C259" s="489"/>
      <c r="D259" s="383" t="str">
        <f t="shared" si="72"/>
        <v/>
      </c>
      <c r="E259" s="490"/>
      <c r="F259" s="95"/>
      <c r="G259" s="164" t="str">
        <f>IF(B259="","",IF(F259="",VLOOKUP(B259,Variabelen!A$47:D$58,4,FALSE),F259-G$49))</f>
        <v/>
      </c>
      <c r="H259" s="490" t="str">
        <f>IF(B259="","",VLOOKUP(B259,Variabelen!A$47:D$58,3,FALSE))</f>
        <v/>
      </c>
      <c r="I259" s="196" t="str">
        <f t="shared" si="73"/>
        <v/>
      </c>
      <c r="J259" s="196" t="str">
        <f t="shared" si="74"/>
        <v/>
      </c>
      <c r="K259" s="196" t="str">
        <f t="shared" si="75"/>
        <v/>
      </c>
      <c r="L259" s="196" t="str">
        <f t="shared" si="76"/>
        <v/>
      </c>
      <c r="M259" s="34" t="str">
        <f t="shared" si="77"/>
        <v/>
      </c>
      <c r="N259" s="196" t="str">
        <f>IF(B259="","",VLOOKUP(B259,Variabelen!A$47:D$58,2,FALSE))</f>
        <v/>
      </c>
      <c r="O259" s="94">
        <v>201</v>
      </c>
      <c r="P259" s="490"/>
      <c r="Q259" s="344"/>
      <c r="S259" s="469"/>
      <c r="AA259" s="36"/>
      <c r="AB259" s="193"/>
    </row>
    <row r="260" spans="1:58" outlineLevel="2" x14ac:dyDescent="0.25">
      <c r="A260" s="95" t="str">
        <f t="shared" si="37"/>
        <v/>
      </c>
      <c r="B260" s="740"/>
      <c r="C260" s="489"/>
      <c r="D260" s="383" t="str">
        <f t="shared" si="72"/>
        <v/>
      </c>
      <c r="E260" s="490"/>
      <c r="F260" s="95"/>
      <c r="G260" s="164" t="str">
        <f>IF(B260="","",IF(F260="",VLOOKUP(B260,Variabelen!A$47:D$58,4,FALSE),F260-G$49))</f>
        <v/>
      </c>
      <c r="H260" s="490" t="str">
        <f>IF(B260="","",VLOOKUP(B260,Variabelen!A$47:D$58,3,FALSE))</f>
        <v/>
      </c>
      <c r="I260" s="196" t="str">
        <f t="shared" si="73"/>
        <v/>
      </c>
      <c r="J260" s="196" t="str">
        <f t="shared" si="74"/>
        <v/>
      </c>
      <c r="K260" s="196" t="str">
        <f t="shared" si="75"/>
        <v/>
      </c>
      <c r="L260" s="196" t="str">
        <f t="shared" si="76"/>
        <v/>
      </c>
      <c r="M260" s="34" t="str">
        <f t="shared" si="77"/>
        <v/>
      </c>
      <c r="N260" s="196" t="str">
        <f>IF(B260="","",VLOOKUP(B260,Variabelen!A$47:D$58,2,FALSE))</f>
        <v/>
      </c>
      <c r="O260" s="94">
        <v>202</v>
      </c>
      <c r="P260" s="486"/>
      <c r="Q260" s="344"/>
      <c r="AA260" s="36" t="str">
        <f>IF(AB260="","",AA91+1)</f>
        <v/>
      </c>
      <c r="AB260" s="193"/>
    </row>
    <row r="261" spans="1:58" x14ac:dyDescent="0.25">
      <c r="A261" s="95" t="str">
        <f t="shared" si="37"/>
        <v/>
      </c>
      <c r="B261" s="740"/>
      <c r="C261" s="489"/>
      <c r="D261" s="383" t="str">
        <f t="shared" ref="D261" si="78">IF(B261="","",IF(B261="RV","BOB","BVK"))</f>
        <v/>
      </c>
      <c r="E261" s="490"/>
      <c r="F261" s="95"/>
      <c r="G261" s="164" t="str">
        <f>IF(B261="","",IF(F261="",VLOOKUP(B261,Variabelen!A$47:D$58,4,FALSE),F261-G$49))</f>
        <v/>
      </c>
      <c r="H261" s="490" t="str">
        <f>IF(B261="","",VLOOKUP(B261,Variabelen!A$47:D$58,3,FALSE))</f>
        <v/>
      </c>
      <c r="I261" s="196" t="str">
        <f t="shared" ref="I261" si="79">IF(D261="BOB",0.75*H261,"")</f>
        <v/>
      </c>
      <c r="J261" s="196" t="str">
        <f t="shared" ref="J261" si="80">IF(B261="","",ROUND(IF(D261="BOB",G261+(0.5*I261/1000),IF(D261="BVK",G261-(0.5*H261/1000),"FOUT")),2))</f>
        <v/>
      </c>
      <c r="K261" s="196" t="str">
        <f t="shared" ref="K261" si="81">IF(B261="","",IF(AND(D261="BVK",F261=""),J261+VLOOKUP(E261,K$290:L$1291,2,TRUE)-G$49,IF(F261&lt;&gt;"",J261,"CHECK BVK of BOB!!!")))</f>
        <v/>
      </c>
      <c r="L261" s="196" t="str">
        <f t="shared" ref="L261" si="82">IF(B261="","",G$49+K261)</f>
        <v/>
      </c>
      <c r="M261" s="34" t="str">
        <f t="shared" ref="M261" si="83">IF(P261="","",M$43+P261+Q261)</f>
        <v/>
      </c>
      <c r="N261" s="196" t="str">
        <f>IF(B261="","",VLOOKUP(B261,Variabelen!A$47:D$58,2,FALSE))</f>
        <v/>
      </c>
      <c r="O261" s="94">
        <v>203</v>
      </c>
      <c r="P261" s="486"/>
      <c r="Q261" s="344"/>
      <c r="W261" s="16" t="s">
        <v>1174</v>
      </c>
      <c r="AA261" s="36" t="str">
        <f t="shared" si="50"/>
        <v/>
      </c>
      <c r="AB261" s="193"/>
    </row>
    <row r="262" spans="1:58" x14ac:dyDescent="0.25">
      <c r="A262" s="17">
        <f>IF(A62="",0,MAX(A62:A261))</f>
        <v>96</v>
      </c>
      <c r="C262" s="44">
        <f>COUNTA(C62:C261)</f>
        <v>3</v>
      </c>
      <c r="D262" s="418" t="str">
        <f t="shared" ref="D262" si="84">IF(B262="","",IF(B262="RV","BOB","BVK"))</f>
        <v/>
      </c>
      <c r="G262" s="164" t="str">
        <f>IF(B262="","",IF(F262="",VLOOKUP(B262,Variabelen!A$47:D$58,4,FALSE),F262-G$49))</f>
        <v/>
      </c>
      <c r="H262" s="210" t="str">
        <f>IF(B262="","",VLOOKUP(B262,Variabelen!A$47:D$58,3,FALSE))</f>
        <v/>
      </c>
      <c r="I262" s="210" t="str">
        <f t="shared" ref="I262" si="85">IF(D262="BOB",0.75*H262,"")</f>
        <v/>
      </c>
      <c r="J262" s="210" t="str">
        <f t="shared" ref="J262" si="86">IF(B262="","",ROUND(IF(D262="BOB",G262+(0.5*I262/1000),IF(D262="BVK",G262-(0.5*H262/1000),"FOUT")),2))</f>
        <v/>
      </c>
      <c r="K262" s="210" t="str">
        <f>IF(B262="","",IF(AND(D262="BVK",F262=""),J262+VLOOKUP(E262,K$290:L$1291,2,TRUE)-G$49,IF(F262&lt;&gt;"",J262,"CHECK BVK of BOB!!!")))</f>
        <v/>
      </c>
      <c r="L262" s="210"/>
      <c r="M262" s="417" t="str">
        <f t="shared" ref="M262" si="87">IF(P262="","",M$43+P262+Q262)</f>
        <v/>
      </c>
      <c r="N262" s="210" t="str">
        <f>IF(B262="","",VLOOKUP(B262,Variabelen!A$47:D$58,2,FALSE))</f>
        <v/>
      </c>
      <c r="W262" s="16" t="s">
        <v>1043</v>
      </c>
      <c r="AA262" s="340">
        <f>MAX(AA57:AA261)</f>
        <v>11</v>
      </c>
      <c r="AG262" s="16">
        <v>0.25</v>
      </c>
    </row>
    <row r="263" spans="1:58" ht="15.75" customHeight="1" thickBot="1" x14ac:dyDescent="0.3">
      <c r="A263" s="339"/>
      <c r="D263" s="730" t="s">
        <v>377</v>
      </c>
      <c r="E263" s="333">
        <f>-TOOLS!G11</f>
        <v>-3</v>
      </c>
      <c r="G263" s="164" t="str">
        <f>IF(B263="","",IF(F263="",VLOOKUP(B263,Variabelen!A$47:D$58,4,FALSE),F263-G$49))</f>
        <v/>
      </c>
      <c r="Q263" s="453"/>
    </row>
    <row r="264" spans="1:58" ht="15.75" customHeight="1" thickBot="1" x14ac:dyDescent="0.3">
      <c r="D264" s="384" t="s">
        <v>378</v>
      </c>
      <c r="E264" s="333">
        <f>IF(A272=2,TOOLS!G12,IF(A272=5,TOOLS!G15,IF(A272=8,TOOLS!G18,"CHECK")))</f>
        <v>-20.47</v>
      </c>
      <c r="G264" s="164" t="str">
        <f>IF(B264="","",IF(F264="",VLOOKUP(B264,Variabelen!A$47:D$58,4,FALSE),F264-G$49))</f>
        <v/>
      </c>
      <c r="H264" s="16">
        <v>10.210000000000001</v>
      </c>
      <c r="K264" s="472">
        <f>COUNTIF(K62:K261,"CHECK BVK of BOB!!!")</f>
        <v>0</v>
      </c>
      <c r="L264" s="785" t="s">
        <v>1113</v>
      </c>
      <c r="M264" s="785" t="s">
        <v>1113</v>
      </c>
      <c r="Y264" s="280" t="s">
        <v>379</v>
      </c>
    </row>
    <row r="265" spans="1:58" ht="15.75" customHeight="1" thickBot="1" x14ac:dyDescent="0.3">
      <c r="J265" s="1" t="s">
        <v>380</v>
      </c>
      <c r="L265"/>
      <c r="M265"/>
      <c r="Q265" s="202" t="s">
        <v>381</v>
      </c>
      <c r="R265" s="203"/>
      <c r="S265" s="203"/>
      <c r="T265" s="203"/>
      <c r="U265" s="203"/>
      <c r="V265" s="204"/>
      <c r="W265" t="s">
        <v>382</v>
      </c>
      <c r="Y265" s="19" t="s">
        <v>383</v>
      </c>
      <c r="Z265" s="186">
        <f>D7</f>
        <v>18</v>
      </c>
      <c r="AA265" s="16" t="s">
        <v>236</v>
      </c>
      <c r="AG265" s="365" t="s">
        <v>384</v>
      </c>
      <c r="AM265" s="188">
        <v>1</v>
      </c>
      <c r="BF265" s="646" t="s">
        <v>385</v>
      </c>
    </row>
    <row r="266" spans="1:58" ht="15.75" customHeight="1" thickBot="1" x14ac:dyDescent="0.3">
      <c r="B266" s="775">
        <f>I285/320</f>
        <v>0.70850840897372236</v>
      </c>
      <c r="C266" s="202" t="s">
        <v>381</v>
      </c>
      <c r="D266" s="203"/>
      <c r="E266" s="203"/>
      <c r="F266" s="203"/>
      <c r="G266" s="203"/>
      <c r="H266" s="204"/>
      <c r="J266" s="1" t="s">
        <v>386</v>
      </c>
      <c r="K266" s="497">
        <f>L291</f>
        <v>1.0092347860336299</v>
      </c>
      <c r="L266" s="282">
        <f>K266</f>
        <v>1.0092347860336299</v>
      </c>
      <c r="M266" s="282">
        <f>L266</f>
        <v>1.0092347860336299</v>
      </c>
      <c r="P266" s="224" t="s">
        <v>387</v>
      </c>
      <c r="Q266" s="214">
        <v>1</v>
      </c>
      <c r="R266" s="215">
        <v>2</v>
      </c>
      <c r="S266" s="215">
        <v>3</v>
      </c>
      <c r="T266" s="215">
        <v>4</v>
      </c>
      <c r="U266" s="215">
        <v>5</v>
      </c>
      <c r="V266" s="216"/>
      <c r="Y266" s="230" t="s">
        <v>194</v>
      </c>
      <c r="Z266" s="186">
        <f>D8</f>
        <v>60</v>
      </c>
      <c r="AA266" s="174" t="s">
        <v>105</v>
      </c>
      <c r="AO266" s="51">
        <v>1</v>
      </c>
      <c r="AP266" s="51">
        <v>2</v>
      </c>
      <c r="AQ266" s="51">
        <v>3</v>
      </c>
      <c r="AR266" s="51">
        <v>4</v>
      </c>
      <c r="AS266" s="51">
        <v>5</v>
      </c>
      <c r="AT266" s="51">
        <v>6</v>
      </c>
      <c r="AU266" s="51">
        <v>7</v>
      </c>
      <c r="AY266" s="605" t="s">
        <v>388</v>
      </c>
      <c r="BF266" s="646" t="s">
        <v>389</v>
      </c>
    </row>
    <row r="267" spans="1:58" ht="15.75" customHeight="1" thickBot="1" x14ac:dyDescent="0.3">
      <c r="B267" s="189"/>
      <c r="C267" s="178">
        <v>1</v>
      </c>
      <c r="D267" s="178">
        <v>2</v>
      </c>
      <c r="E267" s="178">
        <v>3</v>
      </c>
      <c r="F267" s="178">
        <v>4</v>
      </c>
      <c r="G267" s="178">
        <v>5</v>
      </c>
      <c r="H267" s="178">
        <v>6</v>
      </c>
      <c r="I267" s="178">
        <v>7</v>
      </c>
      <c r="J267" s="1" t="s">
        <v>390</v>
      </c>
      <c r="K267" s="494">
        <v>0.55000000000000004</v>
      </c>
      <c r="L267" s="286">
        <f>L266+((K$267-K$266)/($I$288-1))</f>
        <v>1.008421981102597</v>
      </c>
      <c r="M267" s="286">
        <f>M266+((L$99-L$98)/($J$101-1))</f>
        <v>1.0134222521179024</v>
      </c>
      <c r="P267" s="213"/>
      <c r="Q267" s="217"/>
      <c r="R267" s="178"/>
      <c r="S267" s="178"/>
      <c r="T267" s="178"/>
      <c r="U267" s="178"/>
      <c r="V267" s="218"/>
      <c r="Y267" s="230" t="s">
        <v>391</v>
      </c>
      <c r="Z267" s="186">
        <f>D9</f>
        <v>150</v>
      </c>
      <c r="AA267" s="174" t="s">
        <v>105</v>
      </c>
      <c r="AD267" s="605" t="s">
        <v>339</v>
      </c>
      <c r="AF267" s="365" t="s">
        <v>392</v>
      </c>
      <c r="AG267" s="368" t="s">
        <v>293</v>
      </c>
      <c r="AI267" s="369" t="s">
        <v>393</v>
      </c>
      <c r="AJ267" s="369" t="s">
        <v>394</v>
      </c>
      <c r="AK267" s="368" t="s">
        <v>395</v>
      </c>
      <c r="AL267" s="373" t="s">
        <v>396</v>
      </c>
      <c r="AM267" s="370"/>
      <c r="AP267" s="376" t="s">
        <v>392</v>
      </c>
      <c r="AQ267" s="377" t="s">
        <v>293</v>
      </c>
      <c r="AS267" s="376" t="s">
        <v>393</v>
      </c>
      <c r="AT267" s="376" t="s">
        <v>394</v>
      </c>
      <c r="AU267" s="377" t="s">
        <v>397</v>
      </c>
      <c r="AY267" s="17" t="str">
        <f t="shared" ref="AY267:AY280" si="88">AD267&amp;","&amp;AS267&amp;","&amp;AT267&amp;","&amp;AP267</f>
        <v>ID,X,Y,TP</v>
      </c>
      <c r="BF267" s="17" t="str">
        <f t="shared" ref="BF267:BF272" si="89">AI267&amp;","&amp;AJ267</f>
        <v>X,Y</v>
      </c>
    </row>
    <row r="268" spans="1:58" ht="15.75" customHeight="1" thickBot="1" x14ac:dyDescent="0.3">
      <c r="A268" t="s">
        <v>398</v>
      </c>
      <c r="B268" s="492">
        <v>0.4</v>
      </c>
      <c r="C268">
        <f>I274/C269</f>
        <v>0.40245955911237496</v>
      </c>
      <c r="D268">
        <f>I275/D269</f>
        <v>0.40740999198565309</v>
      </c>
      <c r="E268">
        <f>I277/E269</f>
        <v>0.40037657969942697</v>
      </c>
      <c r="F268" t="e">
        <f>I278/F269</f>
        <v>#VALUE!</v>
      </c>
      <c r="G268" t="e">
        <f>I280/G269</f>
        <v>#VALUE!</v>
      </c>
      <c r="H268" t="e">
        <f>I281/H269</f>
        <v>#VALUE!</v>
      </c>
      <c r="I268" t="e">
        <f>I283/I269</f>
        <v>#VALUE!</v>
      </c>
      <c r="K268" s="1"/>
      <c r="L268" s="785" t="s">
        <v>1114</v>
      </c>
      <c r="M268" s="785" t="s">
        <v>1114</v>
      </c>
      <c r="P268" s="213"/>
      <c r="Q268" s="219"/>
      <c r="V268" s="220"/>
      <c r="Y268" s="230" t="s">
        <v>391</v>
      </c>
      <c r="Z268" s="186" t="str">
        <f>D11</f>
        <v/>
      </c>
      <c r="AA268" s="174" t="s">
        <v>105</v>
      </c>
      <c r="AD268" s="16">
        <v>1</v>
      </c>
      <c r="AF268" s="409" t="s">
        <v>162</v>
      </c>
      <c r="AG268" s="411">
        <v>0</v>
      </c>
      <c r="AH268" s="17"/>
      <c r="AI268" s="426">
        <f>B273</f>
        <v>103896.94103473837</v>
      </c>
      <c r="AJ268" s="426">
        <f>C273</f>
        <v>489289.54219346534</v>
      </c>
      <c r="AK268" s="375">
        <f>AM268+G$49</f>
        <v>1.0092347860336299</v>
      </c>
      <c r="AL268" s="17"/>
      <c r="AM268" s="17">
        <f t="shared" ref="AM268:AM280" si="90">IF(AG268&lt;=P$274,U$273+(AG268*V$274/R$274),IF(AG268&lt;=P$275,Z$266+C$38-Z$266*COS(ASIN((C$45-AG268)/Z$266)),IF(AG268&lt;=P$276,U$276,IF(AG268&lt;=P$277,Z$269+C$38-Z$269*COS(ASIN((AG268-C$45-C$46)/Z$269)),IF(AG268&lt;=P$278,U$277+((AG268-P$277)*V$278/R$278),"Formule bijwerken voor  T6")))))</f>
        <v>0</v>
      </c>
      <c r="AO268" s="16">
        <v>0</v>
      </c>
      <c r="AP268" s="463" t="str">
        <f t="array" ref="AP268:AU280">_xlfn._xlws.SORT(AF268:AK280,2)</f>
        <v>A</v>
      </c>
      <c r="AQ268" s="371">
        <v>0</v>
      </c>
      <c r="AR268" s="371">
        <v>0</v>
      </c>
      <c r="AS268" s="371">
        <v>103896.94103473837</v>
      </c>
      <c r="AT268" s="371">
        <v>489289.54219346534</v>
      </c>
      <c r="AU268" s="371">
        <v>1.0092347860336299</v>
      </c>
      <c r="AV268" s="366"/>
      <c r="AW268" s="16" t="str">
        <f t="array" ref="AW268">POINT(AS268,AT268)</f>
        <v>103896.941034738,489289.542193465</v>
      </c>
      <c r="AY268" s="17" t="str">
        <f t="shared" si="88"/>
        <v>1,103896.941034738,489289.542193465,A</v>
      </c>
      <c r="BF268" s="17" t="str">
        <f t="shared" si="89"/>
        <v>103896.941034738,489289.542193465</v>
      </c>
    </row>
    <row r="269" spans="1:58" ht="15.75" customHeight="1" thickBot="1" x14ac:dyDescent="0.3">
      <c r="A269" t="s">
        <v>280</v>
      </c>
      <c r="B269" s="430">
        <f>B268</f>
        <v>0.4</v>
      </c>
      <c r="C269" s="209">
        <f>IF(I274/B268&lt;1,1,INT(I274/B268))</f>
        <v>130</v>
      </c>
      <c r="D269" s="209">
        <f>IF(A275="","",IF(I275/B269&lt;1,1,ABS(INT(I275/B269))))</f>
        <v>34</v>
      </c>
      <c r="E269" s="209">
        <f>IF(A277="","",IF(I277/B268&lt;1,1,INT(I277/B268)))</f>
        <v>401</v>
      </c>
      <c r="F269" s="209" t="str">
        <f>IF(A278="","",IF(I278/B269&lt;1,1,ABS(INT(I278/B269))))</f>
        <v/>
      </c>
      <c r="G269" s="209" t="str">
        <f>IF(A280="","",IF(I280/B268&lt;1,1,INT(I280/B268)))</f>
        <v/>
      </c>
      <c r="H269" s="209" t="str">
        <f>IF(A281="","",IF(I281/B268&lt;1,1,INT(I281/B268)))</f>
        <v/>
      </c>
      <c r="I269" s="508" t="str">
        <f>IF(A283="","",IF(I283/B268&lt;1,1,INT(I283/B268)))</f>
        <v/>
      </c>
      <c r="J269" s="509">
        <f>SUM(C269:I269)+1</f>
        <v>566</v>
      </c>
      <c r="K269" s="241" t="str">
        <f>IF(J269&lt;=I288,"OK","LET OP!!: AANTAL COORDINATEN TE GROOT")</f>
        <v>OK</v>
      </c>
      <c r="L269"/>
      <c r="M269"/>
      <c r="P269" s="467">
        <f>IF(Ontwerp!Z278&gt;0,Ontwerp!Z278,_xlfn.XLOOKUP(INPUT!D27,Ontwerp!Y273:Y277,Ontwerp!Z273:Z277,"CHECK BORING of BOOGZINKER"))</f>
        <v>2.8</v>
      </c>
      <c r="Q269" s="221">
        <f>IF(R274/P269&lt;1,1,INT(R274/P269))</f>
        <v>7</v>
      </c>
      <c r="R269" s="222">
        <f>IF(O275="","",ABS(INT(R275/P269)))</f>
        <v>6</v>
      </c>
      <c r="S269" s="222">
        <f>IF(O276="","",IF(A289&lt;8,1,IF(R276/P269&lt;1,1,INT(R276/P269))))</f>
        <v>52</v>
      </c>
      <c r="T269" s="222">
        <f>IF(O277="","",INT(R277/P269))</f>
        <v>10</v>
      </c>
      <c r="U269" s="222">
        <f>IF(O278="","",IF(R278/P269&lt;1,1,INT(R278/P269)))</f>
        <v>3</v>
      </c>
      <c r="V269" s="223"/>
      <c r="W269">
        <f>SUM(Q269:V269)+1</f>
        <v>79</v>
      </c>
      <c r="Y269" s="230" t="s">
        <v>218</v>
      </c>
      <c r="Z269" s="186">
        <f>D12</f>
        <v>80</v>
      </c>
      <c r="AA269" s="174" t="s">
        <v>105</v>
      </c>
      <c r="AD269" s="16">
        <v>2</v>
      </c>
      <c r="AE269">
        <v>1</v>
      </c>
      <c r="AF269" s="16" t="str">
        <f>IF(AG269="","","Tv"&amp;AE269)</f>
        <v>Tv1</v>
      </c>
      <c r="AG269" s="160">
        <f>IF(OR(INPUT!D28=INPUT!S27,INPUT!D28=INPUT!S28),"",IF(P274&gt;AM265,P274,P275))</f>
        <v>20.200040360140243</v>
      </c>
      <c r="AH269" s="17"/>
      <c r="AI269" s="375">
        <f>IF(AG269="","",IF(AG269&lt;=J$274,B$273+(E$274*AG269/I$274),IF(AG269&lt;=J$275,B$274+(D$275*COS(RADIANS(((G$276-G$275)*(AG269-J$274)/(J$275-J$274))+G$275))-D$275*COS(RADIANS(G$275))),IF(AG269&lt;=J$277,B$276+(E$277*(AG269-J$275)/I$277),IF(AG269&lt;=J$278,B$277+(D$278*COS(RADIANS(((G$279-G$278)*(AG269-J$277)/(J$278-J$277))+G$278))-D$278*COS(RADIANS(G$278))),IF(AG269&lt;=J$280,B$279+(E$280*(AG269-J$278)/I$280),IF(AG269&lt;=J$281,B$280+(D$281*COS(RADIANS(((G$282-G$281)*(AG269-J$280)/(J$281-J$280))+G$281))-D$281*COS(RADIANS(G$281))),IF(AG269&lt;=J$283,B$282+(E$283*(AG269-J$281)/I$283),"CHECK FORMULE"))))))))</f>
        <v>103916.39933302788</v>
      </c>
      <c r="AJ269" s="375">
        <f>IF(AG269="","",IF(AG269&lt;=J$274,C$273+(F$274*AG269/I$274),IF(AG269&lt;=J$275,C$274+(D$275*SIN(RADIANS(((G$276-G$275)*(AG269-J$274)/(J$275-J$274))+G$275))-D$275*SIN(RADIANS(G$275))),IF(AG269&lt;=J$277,C$276+(F$277*(AG269-J$275)/I$277),IF(AG269&lt;=J$278,C$277+(D$278*SIN(RADIANS(((G$279-G$278)*(AG269-J$277)/(J$278-J$277))+G$278))-D$278*SIN(RADIANS(G$278))),IF(AG269&lt;=J$280,C$279+(F$280*(AG269-J$278)/I$280),IF(AG269&lt;=J$281,C$280+(D$281*SIN(RADIANS(((G$282-G$281)*(AG269-J$280)/(J$281-J$280))+G$281))-D$281*SIN(RADIANS(G$281))),IF(AG269&lt;=J$283,C$282+(F$283*(AG269-J$281)/I$283),"CHECK FORMULE"))))))))</f>
        <v>489284.11851775349</v>
      </c>
      <c r="AK269" s="375">
        <f>AM269+G$49</f>
        <v>-5.5541561916755846</v>
      </c>
      <c r="AL269" s="160"/>
      <c r="AM269" s="17">
        <f t="shared" si="90"/>
        <v>-6.5633909777092141</v>
      </c>
      <c r="AO269">
        <f t="shared" ref="AO269:AO280" si="91">IF(AP269="","",AO268+1)</f>
        <v>1</v>
      </c>
      <c r="AP269" s="17" t="str">
        <v>Tv1</v>
      </c>
      <c r="AQ269" s="17">
        <v>20.200040360140243</v>
      </c>
      <c r="AR269" s="17">
        <v>0</v>
      </c>
      <c r="AS269" s="17">
        <v>103916.39933302788</v>
      </c>
      <c r="AT269" s="17">
        <v>489284.11851775349</v>
      </c>
      <c r="AU269" s="17">
        <v>-5.5541561916755846</v>
      </c>
      <c r="AW269" s="16" t="str">
        <f t="array" ref="AW269">POINT(AS269,AT269)</f>
        <v>103916.399333028,489284.118517753</v>
      </c>
      <c r="AY269" s="17" t="str">
        <f t="shared" si="88"/>
        <v>2,103916.399333028,489284.118517753,Tv1</v>
      </c>
      <c r="BF269" s="17" t="str">
        <f t="shared" si="89"/>
        <v>103916.399333028,489284.118517753</v>
      </c>
    </row>
    <row r="270" spans="1:58" x14ac:dyDescent="0.25">
      <c r="C270" s="295">
        <f>C269</f>
        <v>130</v>
      </c>
      <c r="D270" s="295">
        <f t="shared" ref="D270:I270" si="92">IF(D269="","",C270+D269)</f>
        <v>164</v>
      </c>
      <c r="E270" s="295">
        <f t="shared" si="92"/>
        <v>565</v>
      </c>
      <c r="F270" s="295" t="str">
        <f t="shared" si="92"/>
        <v/>
      </c>
      <c r="G270" s="295" t="str">
        <f t="shared" si="92"/>
        <v/>
      </c>
      <c r="H270" s="295" t="str">
        <f t="shared" si="92"/>
        <v/>
      </c>
      <c r="I270" s="295" t="str">
        <f t="shared" si="92"/>
        <v/>
      </c>
      <c r="K270" s="241" t="s">
        <v>1044</v>
      </c>
      <c r="L270"/>
      <c r="M270"/>
      <c r="N270" s="444" t="s">
        <v>399</v>
      </c>
      <c r="Q270" s="13">
        <f>Q269</f>
        <v>7</v>
      </c>
      <c r="R270" s="13">
        <f>IF(R269="","",Q270+R269)</f>
        <v>13</v>
      </c>
      <c r="S270" s="13">
        <f>IF(S269="","",R270+S269)</f>
        <v>65</v>
      </c>
      <c r="T270" s="13">
        <f>IF(T269="","",S270+T269)</f>
        <v>75</v>
      </c>
      <c r="U270" s="13">
        <f>IF(U269="","",T270+U269)</f>
        <v>78</v>
      </c>
      <c r="V270" s="13"/>
      <c r="Y270" s="230" t="s">
        <v>400</v>
      </c>
      <c r="Z270" s="187">
        <f>D13</f>
        <v>22</v>
      </c>
      <c r="AA270" s="16" t="s">
        <v>236</v>
      </c>
      <c r="AD270" s="16">
        <v>3</v>
      </c>
      <c r="AE270">
        <v>2</v>
      </c>
      <c r="AF270" s="16" t="str">
        <f>IF(AG270="","","Tv"&amp;AE270)</f>
        <v>Tv2</v>
      </c>
      <c r="AG270" s="160">
        <f>IF(OR(INPUT!D28=INPUT!S27,INPUT!D28=INPUT!S28),"",IF(P274&gt;AM265,P275,P276))</f>
        <v>38.741060022637086</v>
      </c>
      <c r="AH270" s="17"/>
      <c r="AI270" s="375">
        <f>IF(AG270="","",IF(AG270&lt;=J$274,B$273+(E$274*AG270/I$274),IF(AG270&lt;=J$275,B$274+(D$275*COS(RADIANS(((G$276-G$275)*(AG270-J$274)/(J$275-J$274))+G$275))-D$275*COS(RADIANS(G$275))),IF(AG270&lt;=J$277,B$276+(E$277*(AG270-J$275)/I$277),IF(AG270&lt;=J$278,B$277+(D$278*COS(RADIANS(((G$279-G$278)*(AG270-J$277)/(J$278-J$277))+G$278))-D$278*COS(RADIANS(G$278))),IF(AG270&lt;=J$280,B$279+(E$280*(AG270-J$278)/I$280),IF(AG270&lt;=J$281,B$280+(D$281*COS(RADIANS(((G$282-G$281)*(AG270-J$280)/(J$281-J$280))+G$281))-D$281*COS(RADIANS(G$281))),IF(AG270&lt;=J$283,B$282+(E$283*(AG270-J$281)/I$283),"CHECK FORMULE"))))))))</f>
        <v>103934.25952957959</v>
      </c>
      <c r="AJ270" s="375">
        <f>IF(AG270="","",IF(AG270&lt;=J$274,C$273+(F$274*AG270/I$274),IF(AG270&lt;=J$275,C$274+(D$275*SIN(RADIANS(((G$276-G$275)*(AG270-J$274)/(J$275-J$274))+G$275))-D$275*SIN(RADIANS(G$275))),IF(AG270&lt;=J$277,C$276+(F$277*(AG270-J$275)/I$277),IF(AG270&lt;=J$278,C$277+(D$278*SIN(RADIANS(((G$279-G$278)*(AG270-J$277)/(J$278-J$277))+G$278))-D$278*SIN(RADIANS(G$278))),IF(AG270&lt;=J$280,C$279+(F$280*(AG270-J$278)/I$280),IF(AG270&lt;=J$281,C$280+(D$281*SIN(RADIANS(((G$282-G$281)*(AG270-J$280)/(J$281-J$280))+G$281))-D$281*SIN(RADIANS(G$281))),IF(AG270&lt;=J$283,C$282+(F$283*(AG270-J$281)/I$283),"CHECK FORMULE"))))))))</f>
        <v>489279.14028621413</v>
      </c>
      <c r="AK270" s="375">
        <f>AM270+G$49</f>
        <v>-8.4907652139663696</v>
      </c>
      <c r="AL270" s="160"/>
      <c r="AM270" s="17">
        <f t="shared" si="90"/>
        <v>-9.5</v>
      </c>
      <c r="AO270">
        <f t="shared" si="91"/>
        <v>2</v>
      </c>
      <c r="AP270" s="17" t="str">
        <v>Tv2</v>
      </c>
      <c r="AQ270" s="17">
        <v>38.741060022637086</v>
      </c>
      <c r="AR270" s="17">
        <v>0</v>
      </c>
      <c r="AS270" s="17">
        <v>103934.25952957959</v>
      </c>
      <c r="AT270" s="17">
        <v>489279.14028621413</v>
      </c>
      <c r="AU270" s="17">
        <v>-8.4907652139663696</v>
      </c>
      <c r="AW270" s="16" t="str">
        <f t="array" ref="AW270">POINT(AS270,AT270)</f>
        <v>103934.25952958,489279.140286214</v>
      </c>
      <c r="AY270" s="17" t="str">
        <f t="shared" si="88"/>
        <v>3,103934.25952958,489279.140286214,Tv2</v>
      </c>
      <c r="BF270" s="17" t="str">
        <f t="shared" si="89"/>
        <v>103934.25952958,489279.140286214</v>
      </c>
    </row>
    <row r="271" spans="1:58" x14ac:dyDescent="0.25">
      <c r="C271" s="1"/>
      <c r="D271" s="241" t="str">
        <f>IF(D275=D9,"OK, Bochtstraal gelijk aan invoer bovenaan sheet Ontwerp","LET OP!!: BOCHTSTRAAL WIJKT AF VAN INVOER BOVENAAN SHEET ONTWERP")</f>
        <v>OK, Bochtstraal gelijk aan invoer bovenaan sheet Ontwerp</v>
      </c>
      <c r="L271"/>
      <c r="M271"/>
      <c r="N271" s="445">
        <v>1</v>
      </c>
      <c r="AD271" s="16">
        <v>4</v>
      </c>
      <c r="AE271">
        <v>3</v>
      </c>
      <c r="AF271" s="16" t="str">
        <f>IF(AG271="","","Tv"&amp;AE271)</f>
        <v>Tv3</v>
      </c>
      <c r="AG271" s="160">
        <f>IF(OR(INPUT!D28=INPUT!S27,INPUT!D28=INPUT!S28),"",IF(P274&gt;AM265,P276,P277))</f>
        <v>187.00982042771318</v>
      </c>
      <c r="AH271" s="17"/>
      <c r="AI271" s="375">
        <f>IF(AG271="","",IF(AG271&lt;=J$274,B$273+(E$274*AG271/I$274),IF(AG271&lt;=J$275,B$274+(D$275*COS(RADIANS(((G$276-G$275)*(AG271-J$274)/(J$275-J$274))+G$275))-D$275*COS(RADIANS(G$275))),IF(AG271&lt;=J$277,B$276+(E$277*(AG271-J$275)/I$277),IF(AG271&lt;=J$278,B$277+(D$278*COS(RADIANS(((G$279-G$278)*(AG271-J$277)/(J$278-J$277))+G$278))-D$278*COS(RADIANS(G$278))),IF(AG271&lt;=J$280,B$279+(E$280*(AG271-J$278)/I$280),IF(AG271&lt;=J$281,B$280+(D$281*COS(RADIANS(((G$282-G$281)*(AG271-J$280)/(J$281-J$280))+G$281))-D$281*COS(RADIANS(G$281))),IF(AG271&lt;=J$283,B$282+(E$283*(AG271-J$281)/I$283),"CHECK FORMULE"))))))))</f>
        <v>104079.73246622154</v>
      </c>
      <c r="AJ271" s="375">
        <f>IF(AG271="","",IF(AG271&lt;=J$274,C$273+(F$274*AG271/I$274),IF(AG271&lt;=J$275,C$274+(D$275*SIN(RADIANS(((G$276-G$275)*(AG271-J$274)/(J$275-J$274))+G$275))-D$275*SIN(RADIANS(G$275))),IF(AG271&lt;=J$277,C$276+(F$277*(AG271-J$275)/I$277),IF(AG271&lt;=J$278,C$277+(D$278*SIN(RADIANS(((G$279-G$278)*(AG271-J$277)/(J$278-J$277))+G$278))-D$278*SIN(RADIANS(G$278))),IF(AG271&lt;=J$280,C$279+(F$280*(AG271-J$278)/I$280),IF(AG271&lt;=J$281,C$280+(D$281*SIN(RADIANS(((G$282-G$281)*(AG271-J$280)/(J$281-J$280))+G$281))-D$281*SIN(RADIANS(G$281))),IF(AG271&lt;=J$283,C$282+(F$283*(AG271-J$281)/I$283),"CHECK FORMULE"))))))))</f>
        <v>489250.82349824236</v>
      </c>
      <c r="AK271" s="375">
        <f>AM271+G$49</f>
        <v>-8.4907652139663696</v>
      </c>
      <c r="AL271" s="160"/>
      <c r="AM271" s="17">
        <f t="shared" si="90"/>
        <v>-9.5</v>
      </c>
      <c r="AO271">
        <f t="shared" si="91"/>
        <v>3</v>
      </c>
      <c r="AP271" s="17" t="str">
        <v>Th1</v>
      </c>
      <c r="AQ271" s="17">
        <v>52.319742684608748</v>
      </c>
      <c r="AR271" s="17">
        <v>0</v>
      </c>
      <c r="AS271" s="17">
        <v>103947.3396053074</v>
      </c>
      <c r="AT271" s="17">
        <v>489275.49443353066</v>
      </c>
      <c r="AU271" s="17">
        <v>-8.4907652139663696</v>
      </c>
      <c r="AW271" s="16" t="str">
        <f t="array" ref="AW271">POINT(AS271,AT271)</f>
        <v>103947.339605307,489275.494433531</v>
      </c>
      <c r="AY271" s="17" t="str">
        <f t="shared" si="88"/>
        <v>4,103947.339605307,489275.494433531,Th1</v>
      </c>
      <c r="BF271" s="17" t="str">
        <f t="shared" si="89"/>
        <v>104079.732466222,489250.823498242</v>
      </c>
    </row>
    <row r="272" spans="1:58" ht="39.75" customHeight="1" thickBot="1" x14ac:dyDescent="0.3">
      <c r="A272" s="9">
        <f>MAX(A273:A284)</f>
        <v>5</v>
      </c>
      <c r="B272" s="606"/>
      <c r="C272" s="606"/>
      <c r="D272" s="606" t="s">
        <v>98</v>
      </c>
      <c r="E272" s="606" t="s">
        <v>401</v>
      </c>
      <c r="F272" s="606" t="s">
        <v>402</v>
      </c>
      <c r="G272" s="606" t="s">
        <v>403</v>
      </c>
      <c r="H272" s="606" t="s">
        <v>404</v>
      </c>
      <c r="I272" s="606" t="s">
        <v>405</v>
      </c>
      <c r="J272" s="607" t="s">
        <v>406</v>
      </c>
      <c r="K272" s="606"/>
      <c r="L272" s="608"/>
      <c r="M272" s="608" t="s">
        <v>407</v>
      </c>
      <c r="N272" s="608" t="s">
        <v>408</v>
      </c>
      <c r="P272" s="289" t="s">
        <v>293</v>
      </c>
      <c r="Q272" s="290"/>
      <c r="R272" s="291" t="s">
        <v>409</v>
      </c>
      <c r="S272" s="292" t="s">
        <v>147</v>
      </c>
      <c r="T272" s="289" t="s">
        <v>410</v>
      </c>
      <c r="U272" s="374" t="s">
        <v>411</v>
      </c>
      <c r="V272" s="293" t="s">
        <v>412</v>
      </c>
      <c r="Y272" s="906" t="s">
        <v>191</v>
      </c>
      <c r="AD272" s="16">
        <v>5</v>
      </c>
      <c r="AE272">
        <v>4</v>
      </c>
      <c r="AF272" s="16" t="str">
        <f>IF(AG272="","","Tv"&amp;AE272)</f>
        <v>Tv4</v>
      </c>
      <c r="AG272" s="411">
        <f>IF(P274&gt;AM265,IF(P278-P277&gt;AM265,P277,""),"")</f>
        <v>216.97834790098614</v>
      </c>
      <c r="AH272" s="17"/>
      <c r="AI272" s="375">
        <f>IF(AG272="","",IF(AG272&lt;=J$274,B$273+(E$274*AG272/I$274),IF(AG272&lt;=J$275,B$274+(D$275*COS(RADIANS(((G$276-G$275)*(AG272-J$274)/(J$275-J$274))+G$275))-D$275*COS(RADIANS(G$275))),IF(AG272&lt;=J$277,B$276+(E$277*(AG272-J$275)/I$277),IF(AG272&lt;=J$278,B$277+(D$278*COS(RADIANS(((G$279-G$278)*(AG272-J$277)/(J$278-J$277))+G$278))-D$278*COS(RADIANS(G$278))),IF(AG272&lt;=J$280,B$279+(E$280*(AG272-J$278)/I$280),IF(AG272&lt;=J$281,B$280+(D$281*COS(RADIANS(((G$282-G$281)*(AG272-J$280)/(J$281-J$280))+G$281))-D$281*COS(RADIANS(G$281))),IF(AG272&lt;=J$283,B$282+(E$283*(AG272-J$281)/I$283),"CHECK FORMULE"))))))))</f>
        <v>104109.21955908502</v>
      </c>
      <c r="AJ272" s="375">
        <f>IF(AG272="","",IF(AG272&lt;=J$274,C$273+(F$274*AG272/I$274),IF(AG272&lt;=J$275,C$274+(D$275*SIN(RADIANS(((G$276-G$275)*(AG272-J$274)/(J$275-J$274))+G$275))-D$275*SIN(RADIANS(G$275))),IF(AG272&lt;=J$277,C$276+(F$277*(AG272-J$275)/I$277),IF(AG272&lt;=J$278,C$277+(D$278*SIN(RADIANS(((G$279-G$278)*(AG272-J$277)/(J$278-J$277))+G$278))-D$278*SIN(RADIANS(G$278))),IF(AG272&lt;=J$280,C$279+(F$280*(AG272-J$278)/I$280),IF(AG272&lt;=J$281,C$280+(D$281*SIN(RADIANS(((G$282-G$281)*(AG272-J$280)/(J$281-J$280))+G$281))-D$281*SIN(RADIANS(G$281))),IF(AG272&lt;=J$283,C$282+(F$283*(AG272-J$281)/I$283),"CHECK FORMULE"))))))))</f>
        <v>489245.47335867624</v>
      </c>
      <c r="AK272" s="375">
        <f>AM272+G$49</f>
        <v>-2.665473579309364</v>
      </c>
      <c r="AL272" s="234"/>
      <c r="AM272" s="17">
        <f t="shared" si="90"/>
        <v>-3.6747083653429939</v>
      </c>
      <c r="AO272">
        <f t="shared" si="91"/>
        <v>4</v>
      </c>
      <c r="AP272" s="17" t="str">
        <v>Th2</v>
      </c>
      <c r="AQ272" s="17">
        <v>66.171682412120958</v>
      </c>
      <c r="AR272" s="17">
        <v>0</v>
      </c>
      <c r="AS272" s="17">
        <v>103960.83555344217</v>
      </c>
      <c r="AT272" s="17">
        <v>489272.3961598911</v>
      </c>
      <c r="AU272" s="17">
        <v>-8.4907652139663696</v>
      </c>
      <c r="AW272" s="410" t="str">
        <f t="array" ref="AW272">POINT(AS272,AT272)</f>
        <v>103960.835553442,489272.396159891</v>
      </c>
      <c r="AY272" s="17" t="str">
        <f t="shared" si="88"/>
        <v>5,103960.835553442,489272.396159891,Th2</v>
      </c>
      <c r="BF272" s="17" t="str">
        <f t="shared" si="89"/>
        <v>104109.219559085,489245.473358676</v>
      </c>
    </row>
    <row r="273" spans="1:80" x14ac:dyDescent="0.25">
      <c r="A273">
        <v>1</v>
      </c>
      <c r="B273" s="693">
        <v>103896.94103473837</v>
      </c>
      <c r="C273" s="693">
        <v>489289.54219346534</v>
      </c>
      <c r="D273" s="85"/>
      <c r="E273" s="193"/>
      <c r="F273" s="193"/>
      <c r="G273" s="193"/>
      <c r="H273" s="85"/>
      <c r="I273" s="85"/>
      <c r="J273" s="85"/>
      <c r="K273" s="34">
        <v>1</v>
      </c>
      <c r="L273" s="160" t="str">
        <f>Variabelen!B$3&amp;". INTREDE XY: "</f>
        <v xml:space="preserve">A. INTREDE XY: </v>
      </c>
      <c r="M273" s="34" t="str">
        <f t="array" ref="M273">IF(OR(K273="",K273&lt;&gt;K272),POINT(B273,C273),"")</f>
        <v>103896.941034738,489289.542193465</v>
      </c>
      <c r="N273" s="34" t="str">
        <f t="array" ref="N273">IF(OR(K273="",K273&lt;&gt;K272),POINT(ROUND(B273,N271),ROUND(C273,N271)),"")</f>
        <v>103896.9,489289.5</v>
      </c>
      <c r="O273">
        <v>0</v>
      </c>
      <c r="P273" s="288">
        <v>0</v>
      </c>
      <c r="S273" s="287">
        <v>0</v>
      </c>
      <c r="V273" s="42"/>
      <c r="X273" s="466" t="s">
        <v>1261</v>
      </c>
      <c r="Y273" s="905">
        <v>1</v>
      </c>
      <c r="Z273" s="188">
        <v>2.8</v>
      </c>
      <c r="AB273" s="16" t="str">
        <f>B273&amp;","&amp;C273&amp;","&amp;B274&amp;","&amp;C274</f>
        <v>103896.941034738,489289.542193465,103947.339605307,489275.494433531</v>
      </c>
      <c r="AC273" s="365"/>
      <c r="AD273" s="16">
        <v>6</v>
      </c>
      <c r="AF273" s="16" t="str">
        <f>IF(AG273="","","Tv"&amp;AE273)</f>
        <v/>
      </c>
      <c r="AG273" s="423"/>
      <c r="AH273" s="423"/>
      <c r="AI273" s="423"/>
      <c r="AJ273" s="423"/>
      <c r="AK273" s="424"/>
      <c r="AL273" s="425"/>
      <c r="AM273" s="17">
        <f t="shared" si="90"/>
        <v>0</v>
      </c>
      <c r="AO273">
        <f t="shared" si="91"/>
        <v>5</v>
      </c>
      <c r="AP273" s="17" t="str">
        <v>Tv3</v>
      </c>
      <c r="AQ273" s="17">
        <v>187.00982042771318</v>
      </c>
      <c r="AR273" s="17">
        <v>0</v>
      </c>
      <c r="AS273" s="17">
        <v>104079.73246622154</v>
      </c>
      <c r="AT273" s="17">
        <v>489250.82349824236</v>
      </c>
      <c r="AU273" s="17">
        <v>-8.4907652139663696</v>
      </c>
      <c r="AW273" s="16" t="str">
        <f t="array" ref="AW273">POINT(AS273,AT273)</f>
        <v>104079.732466222,489250.823498242</v>
      </c>
      <c r="AY273" s="17" t="str">
        <f t="shared" si="88"/>
        <v>6,104079.732466222,489250.823498242,Tv3</v>
      </c>
    </row>
    <row r="274" spans="1:80" x14ac:dyDescent="0.25">
      <c r="A274">
        <f t="shared" ref="A274:A283" si="93">IF(B274&lt;&gt;0,A273+1,"")</f>
        <v>2</v>
      </c>
      <c r="B274" s="693">
        <v>103947.3396053074</v>
      </c>
      <c r="C274" s="693">
        <v>489275.49443353066</v>
      </c>
      <c r="D274" s="85">
        <v>0</v>
      </c>
      <c r="E274" s="207">
        <f>IF(A274="","",B274-B273)</f>
        <v>50.398570569028379</v>
      </c>
      <c r="F274" s="207">
        <f>IF(A274="","",C274-C273)</f>
        <v>-14.047759934677742</v>
      </c>
      <c r="G274" s="207"/>
      <c r="H274" s="85"/>
      <c r="I274" s="85">
        <f>IF(A274="","",(((E274^2)+(F274^2))^0.5))</f>
        <v>52.319742684608748</v>
      </c>
      <c r="J274" s="85">
        <f>IF(A274="","",I274+J273)</f>
        <v>52.319742684608748</v>
      </c>
      <c r="K274" s="34">
        <f t="shared" ref="K274:K283" si="94">IF(L274="",K273,K273+1)</f>
        <v>2</v>
      </c>
      <c r="L274" s="161" t="str">
        <f>IF(AND(A275="",A274&lt;&gt;0),IF(A274&lt;&gt;"",Variabelen!B$5&amp;". UITTREDE XY: ",""),Variabelen!B$4&amp;A273&amp;":                       ")</f>
        <v xml:space="preserve">P1:                       </v>
      </c>
      <c r="M274" s="34" t="str">
        <f t="array" ref="M274">IF(OR(K274="",K274&lt;&gt;K273),POINT(B274,C274),"")</f>
        <v>103947.339605307,489275.494433531</v>
      </c>
      <c r="N274" s="34" t="str">
        <f t="array" ref="N274">IF(OR(K274="",K274&lt;&gt;K273),POINT(ROUND(B274,N271),ROUND(C274,N271)),"")</f>
        <v>103947.3,489275.5</v>
      </c>
      <c r="O274">
        <f>IF(P274&lt;&gt;0,O273+1,0)</f>
        <v>1</v>
      </c>
      <c r="P274" s="244">
        <f>C40</f>
        <v>20.200040360140243</v>
      </c>
      <c r="R274" s="207">
        <f t="shared" ref="R274:R284" si="95">IF(O274="","",P274-P273)</f>
        <v>20.200040360140243</v>
      </c>
      <c r="S274" s="160">
        <f>C41</f>
        <v>21.239579366775825</v>
      </c>
      <c r="T274" s="207">
        <f t="shared" ref="T274:T284" si="96">IF(O274="","",S274-S273)</f>
        <v>21.239579366775825</v>
      </c>
      <c r="U274" s="160">
        <f>C39</f>
        <v>-6.5633909777092141</v>
      </c>
      <c r="V274" s="245">
        <f t="shared" ref="V274:V284" si="97">IF(O274="","",U274-U273)</f>
        <v>-6.5633909777092141</v>
      </c>
      <c r="X274" s="905" t="s">
        <v>1262</v>
      </c>
      <c r="Y274" s="905">
        <v>2</v>
      </c>
      <c r="Z274" s="188">
        <v>1.95</v>
      </c>
      <c r="AB274" s="816" t="s">
        <v>1152</v>
      </c>
      <c r="AD274" s="16">
        <v>7</v>
      </c>
      <c r="AE274">
        <v>1</v>
      </c>
      <c r="AF274" s="16" t="str">
        <f>IF(B276="","","Th"&amp;AE274)</f>
        <v>Th1</v>
      </c>
      <c r="AG274" s="160">
        <f>IF(B276="","",J274)</f>
        <v>52.319742684608748</v>
      </c>
      <c r="AH274" s="17"/>
      <c r="AI274" s="426">
        <f>IF(B276="","",B274)</f>
        <v>103947.3396053074</v>
      </c>
      <c r="AJ274" s="426">
        <f>IF(B276="","",C274)</f>
        <v>489275.49443353066</v>
      </c>
      <c r="AK274" s="375">
        <f t="shared" ref="AK274:AK280" si="98">AM274+G$49</f>
        <v>-8.4907652139663696</v>
      </c>
      <c r="AL274" s="160"/>
      <c r="AM274" s="17">
        <f t="shared" si="90"/>
        <v>-9.5</v>
      </c>
      <c r="AO274">
        <f t="shared" si="91"/>
        <v>6</v>
      </c>
      <c r="AP274" s="17" t="str">
        <v>Tv4</v>
      </c>
      <c r="AQ274" s="17">
        <v>216.97834790098614</v>
      </c>
      <c r="AR274" s="17">
        <v>0</v>
      </c>
      <c r="AS274" s="17">
        <v>104109.21955908502</v>
      </c>
      <c r="AT274" s="17">
        <v>489245.47335867624</v>
      </c>
      <c r="AU274" s="17">
        <v>-2.665473579309364</v>
      </c>
      <c r="AW274" s="16" t="str">
        <f t="array" ref="AW274">POINT(AS274,AT274)</f>
        <v>104109.219559085,489245.473358676</v>
      </c>
      <c r="AY274" s="17" t="str">
        <f t="shared" si="88"/>
        <v>7,104109.219559085,489245.473358676,Tv4</v>
      </c>
    </row>
    <row r="275" spans="1:80" ht="20.25" customHeight="1" x14ac:dyDescent="0.3">
      <c r="A275">
        <f t="shared" si="93"/>
        <v>3</v>
      </c>
      <c r="B275" s="764">
        <v>103987.61434448001</v>
      </c>
      <c r="C275" s="512">
        <v>489419.98645886278</v>
      </c>
      <c r="D275" s="609">
        <f>D9</f>
        <v>150</v>
      </c>
      <c r="E275" s="207">
        <f>IF(A275="","",B274-B275)</f>
        <v>-40.274739172615227</v>
      </c>
      <c r="F275" s="207">
        <f>IF(A275="","",C274-C275)</f>
        <v>-144.49202533211792</v>
      </c>
      <c r="G275" s="207">
        <f>IF(DEGREES(ATAN2(E275,F275))&gt;=0,DEGREES(ATAN2(E275,F275)),360+DEGREES(ATAN2(E275,F275)))</f>
        <v>254.42507583256588</v>
      </c>
      <c r="H275" s="85"/>
      <c r="I275" s="85">
        <f>IF(A275="","",ABS(2*D275*PI()*H276/360))</f>
        <v>13.851939727512205</v>
      </c>
      <c r="J275" s="85">
        <f>IF(A275="","",I275+J274)</f>
        <v>66.171682412120958</v>
      </c>
      <c r="K275" s="34">
        <f t="shared" si="94"/>
        <v>2</v>
      </c>
      <c r="L275" s="17"/>
      <c r="M275" s="34" t="str">
        <f t="array" ref="M275">IF(OR(K275="",K275&lt;&gt;K274),POINT(B275,C275),"")</f>
        <v/>
      </c>
      <c r="N275" s="34" t="str">
        <f t="array" ref="N275">IF(OR(K275="",K275&lt;&gt;K274),POINT(ROUND(B275,N273),ROUND(C275,N273)),"")</f>
        <v/>
      </c>
      <c r="O275">
        <f t="shared" ref="O275:O281" si="99">IF(P275&lt;&gt;0,O274+1,"")</f>
        <v>2</v>
      </c>
      <c r="P275" s="244">
        <f>P274+C43</f>
        <v>38.741060022637086</v>
      </c>
      <c r="R275" s="207">
        <f t="shared" si="95"/>
        <v>18.541019662496844</v>
      </c>
      <c r="S275" s="160">
        <f>S274+C44</f>
        <v>40.08913528831458</v>
      </c>
      <c r="T275" s="207">
        <f t="shared" si="96"/>
        <v>18.849555921538755</v>
      </c>
      <c r="U275" s="160">
        <f>U274+C42</f>
        <v>-9.5</v>
      </c>
      <c r="V275" s="245">
        <f t="shared" si="97"/>
        <v>-2.9366090222907859</v>
      </c>
      <c r="X275" s="905" t="s">
        <v>1263</v>
      </c>
      <c r="Y275" s="905">
        <v>3</v>
      </c>
      <c r="Z275" s="188">
        <v>1.95</v>
      </c>
      <c r="AD275" s="16">
        <v>8</v>
      </c>
      <c r="AE275">
        <v>2</v>
      </c>
      <c r="AF275" s="16" t="str">
        <f>IF(B277="","","Th"&amp;AE275)</f>
        <v>Th2</v>
      </c>
      <c r="AG275" s="160">
        <f>IF(B277="","",J275)</f>
        <v>66.171682412120958</v>
      </c>
      <c r="AH275" s="17"/>
      <c r="AI275" s="44">
        <f>IF(B277="","",B276)</f>
        <v>103960.83555344217</v>
      </c>
      <c r="AJ275" s="44">
        <f>IF(B277="","",C276)</f>
        <v>489272.3961598911</v>
      </c>
      <c r="AK275" s="375">
        <f t="shared" si="98"/>
        <v>-8.4907652139663696</v>
      </c>
      <c r="AL275" s="160"/>
      <c r="AM275" s="17">
        <f t="shared" si="90"/>
        <v>-9.5</v>
      </c>
      <c r="AO275">
        <f t="shared" si="91"/>
        <v>7</v>
      </c>
      <c r="AP275" s="17" t="str">
        <v>B</v>
      </c>
      <c r="AQ275" s="17">
        <v>226.72269087159117</v>
      </c>
      <c r="AR275" s="17">
        <v>0</v>
      </c>
      <c r="AS275" s="17">
        <v>104118.80736236711</v>
      </c>
      <c r="AT275" s="17">
        <v>489243.73374718148</v>
      </c>
      <c r="AU275" s="17">
        <v>1.2714965343475222</v>
      </c>
      <c r="AW275" s="410" t="str">
        <f t="array" ref="AW275">POINT(AS275,AT275)</f>
        <v>104118.807362367,489243.733747181</v>
      </c>
      <c r="AY275" s="17" t="str">
        <f t="shared" si="88"/>
        <v>8,104118.807362367,489243.733747181,B</v>
      </c>
    </row>
    <row r="276" spans="1:80" x14ac:dyDescent="0.25">
      <c r="A276">
        <f t="shared" si="93"/>
        <v>4</v>
      </c>
      <c r="B276" s="693">
        <v>103960.83555344217</v>
      </c>
      <c r="C276" s="693">
        <v>489272.3961598911</v>
      </c>
      <c r="D276" s="85"/>
      <c r="E276" s="207">
        <f>IF(A276="","",B276-B275)</f>
        <v>-26.778791037839255</v>
      </c>
      <c r="F276" s="207">
        <f>IF(A276="","",C276-C275)</f>
        <v>-147.59029897168512</v>
      </c>
      <c r="G276" s="207">
        <f>IF(DEGREES(ATAN2(E276,F276))&gt;=0,DEGREES(ATAN2(E276,F276)),360+DEGREES(ATAN2(E276,F276)))</f>
        <v>259.71612706227285</v>
      </c>
      <c r="H276" s="610">
        <f>IF(G276-G275&lt;-180,G276-G275+360,IF(G276-G275&gt;180,G276-G275-360,G276-G275))</f>
        <v>5.2910512297069658</v>
      </c>
      <c r="I276" s="85"/>
      <c r="J276" s="85"/>
      <c r="K276" s="34">
        <f t="shared" si="94"/>
        <v>3</v>
      </c>
      <c r="L276" s="161" t="str">
        <f>IF(AND(A276="",A275&lt;&gt;0),IF(A275&lt;&gt;"",Variabelen!B$5&amp;". UITTREDE XY: ",""),Variabelen!B$4&amp;A274&amp;":                       ")</f>
        <v xml:space="preserve">P2:                       </v>
      </c>
      <c r="M276" s="34" t="str">
        <f t="array" ref="M276">IF(OR(K276="",K276&lt;&gt;K275),POINT(B276,C276),"")</f>
        <v>103960.835553442,489272.396159891</v>
      </c>
      <c r="N276" s="34" t="str">
        <f t="array" ref="N276">IF(OR(K276="",K276&lt;&gt;K275),POINT(ROUND(B276,N271),ROUND(C276,N271)),"")</f>
        <v>103960.8,489272.4</v>
      </c>
      <c r="O276">
        <f t="shared" si="99"/>
        <v>3</v>
      </c>
      <c r="P276" s="244">
        <f>P275+C46</f>
        <v>187.00982042771318</v>
      </c>
      <c r="R276" s="207">
        <f t="shared" si="95"/>
        <v>148.26876040507608</v>
      </c>
      <c r="S276" s="160">
        <f>S275+C46</f>
        <v>188.35789569339067</v>
      </c>
      <c r="T276" s="207">
        <f t="shared" si="96"/>
        <v>148.26876040507608</v>
      </c>
      <c r="U276" s="160">
        <f>U275</f>
        <v>-9.5</v>
      </c>
      <c r="V276" s="245">
        <f t="shared" si="97"/>
        <v>0</v>
      </c>
      <c r="X276" s="466" t="s">
        <v>1264</v>
      </c>
      <c r="Y276" s="466">
        <v>4</v>
      </c>
      <c r="Z276" s="188">
        <v>2.2000000000000002</v>
      </c>
      <c r="AD276" s="16">
        <v>9</v>
      </c>
      <c r="AE276">
        <v>3</v>
      </c>
      <c r="AF276" s="16" t="str">
        <f>IF(B279="","","Th"&amp;AE276)</f>
        <v/>
      </c>
      <c r="AG276" s="160" t="str">
        <f>IF(B279="","",J277)</f>
        <v/>
      </c>
      <c r="AH276" s="17"/>
      <c r="AI276" s="426" t="str">
        <f>IF(B279="","",B277)</f>
        <v/>
      </c>
      <c r="AJ276" s="426" t="str">
        <f>IF(B279="","",C277)</f>
        <v/>
      </c>
      <c r="AK276" s="375" t="e">
        <f t="shared" si="98"/>
        <v>#VALUE!</v>
      </c>
      <c r="AL276" s="160"/>
      <c r="AM276" s="17" t="str">
        <f t="shared" si="90"/>
        <v>Formule bijwerken voor  T6</v>
      </c>
      <c r="AO276" t="str">
        <f t="shared" si="91"/>
        <v/>
      </c>
      <c r="AP276" s="17" t="str">
        <v/>
      </c>
      <c r="AQ276" s="17" t="str">
        <v/>
      </c>
      <c r="AR276" s="17">
        <v>0</v>
      </c>
      <c r="AS276" s="17" t="str">
        <v/>
      </c>
      <c r="AT276" s="17" t="str">
        <v/>
      </c>
      <c r="AU276" s="17" t="e">
        <v>#VALUE!</v>
      </c>
      <c r="AW276" s="16" t="e">
        <f t="array" ref="AW276">POINT(AS276,AT276)</f>
        <v>#VALUE!</v>
      </c>
      <c r="AY276" s="17" t="str">
        <f t="shared" si="88"/>
        <v>9,,,</v>
      </c>
    </row>
    <row r="277" spans="1:80" x14ac:dyDescent="0.25">
      <c r="A277">
        <f t="shared" si="93"/>
        <v>5</v>
      </c>
      <c r="B277" s="693">
        <v>104118.80736236711</v>
      </c>
      <c r="C277" s="693">
        <v>489243.73374718148</v>
      </c>
      <c r="D277" s="85"/>
      <c r="E277" s="207">
        <f>IF(A277="","",B277-B276)</f>
        <v>157.97180892493634</v>
      </c>
      <c r="F277" s="207">
        <f>IF(A277="","",C277-C276)</f>
        <v>-28.662412709614728</v>
      </c>
      <c r="G277" s="207"/>
      <c r="H277" s="85"/>
      <c r="I277" s="85">
        <f>IF(A277="","",(((E277^2)+(F277^2))^0.5))</f>
        <v>160.55100845947021</v>
      </c>
      <c r="J277" s="85">
        <f>IF(A277="","",ABS(I277)+J275)</f>
        <v>226.72269087159117</v>
      </c>
      <c r="K277" s="34">
        <f t="shared" si="94"/>
        <v>4</v>
      </c>
      <c r="L277" s="161" t="str">
        <f>IF(AND(A278="",A277=""),"",IF(AND(A278="",A277&lt;&gt;0),IF(A276&lt;&gt;"",Variabelen!B$5&amp;". UITTREDE XY: ",""),Variabelen!B$4&amp;A275&amp;":                       "))</f>
        <v xml:space="preserve">B. UITTREDE XY: </v>
      </c>
      <c r="M277" s="34" t="str">
        <f t="array" ref="M277">IF(OR(K277="",K277&lt;&gt;K276),POINT(B277,C277),"")</f>
        <v>104118.807362367,489243.733747181</v>
      </c>
      <c r="N277" s="34" t="str">
        <f t="array" ref="N277">IF(OR(K277="",K277&lt;&gt;K276),POINT(ROUND(B277,N271),ROUND(C277,N271)),"")</f>
        <v>104118.8,489243.7</v>
      </c>
      <c r="O277">
        <f t="shared" si="99"/>
        <v>4</v>
      </c>
      <c r="P277" s="244">
        <f>P276+C49</f>
        <v>216.97834790098614</v>
      </c>
      <c r="R277" s="207">
        <f t="shared" si="95"/>
        <v>29.968527473272957</v>
      </c>
      <c r="S277" s="160">
        <f>S276+C50</f>
        <v>219.07569052849087</v>
      </c>
      <c r="T277" s="207">
        <f t="shared" si="96"/>
        <v>30.717794835100193</v>
      </c>
      <c r="U277" s="234">
        <f>U276+C48</f>
        <v>-3.6747083653429939</v>
      </c>
      <c r="V277" s="245">
        <f t="shared" si="97"/>
        <v>5.8252916346570061</v>
      </c>
      <c r="X277" s="19" t="s">
        <v>1265</v>
      </c>
      <c r="Y277" s="16">
        <v>5</v>
      </c>
      <c r="Z277" s="188">
        <v>2.2000000000000002</v>
      </c>
      <c r="AD277" s="16">
        <v>10</v>
      </c>
      <c r="AE277">
        <v>4</v>
      </c>
      <c r="AF277" s="16" t="str">
        <f>IF(B280="","","Th"&amp;AE277)</f>
        <v/>
      </c>
      <c r="AG277" s="160" t="str">
        <f>IF(B280="","",J278)</f>
        <v/>
      </c>
      <c r="AI277" s="44" t="str">
        <f>IF(B280="","",B279)</f>
        <v/>
      </c>
      <c r="AJ277" s="44" t="str">
        <f>IF(B280="","",C279)</f>
        <v/>
      </c>
      <c r="AK277" s="375" t="e">
        <f t="shared" si="98"/>
        <v>#VALUE!</v>
      </c>
      <c r="AL277" s="160"/>
      <c r="AM277" s="17" t="str">
        <f t="shared" si="90"/>
        <v>Formule bijwerken voor  T6</v>
      </c>
      <c r="AO277" t="str">
        <f t="shared" si="91"/>
        <v/>
      </c>
      <c r="AP277" s="17" t="str">
        <v/>
      </c>
      <c r="AQ277" s="17" t="str">
        <v/>
      </c>
      <c r="AR277" s="17">
        <v>0</v>
      </c>
      <c r="AS277" s="17" t="str">
        <v/>
      </c>
      <c r="AT277" s="17" t="str">
        <v/>
      </c>
      <c r="AU277" s="17" t="e">
        <v>#VALUE!</v>
      </c>
      <c r="AW277" s="16" t="e">
        <f t="array" ref="AW277">POINT(AS277,AT277)</f>
        <v>#VALUE!</v>
      </c>
      <c r="AY277" s="17" t="str">
        <f t="shared" si="88"/>
        <v>10,,,</v>
      </c>
    </row>
    <row r="278" spans="1:80" ht="20.25" customHeight="1" x14ac:dyDescent="0.3">
      <c r="A278" t="str">
        <f t="shared" si="93"/>
        <v/>
      </c>
      <c r="B278" s="512"/>
      <c r="C278" s="512"/>
      <c r="D278" s="609">
        <f ca="1">D10</f>
        <v>35</v>
      </c>
      <c r="E278" s="207" t="str">
        <f>IF(A278="","",B277-B278)</f>
        <v/>
      </c>
      <c r="F278" s="207" t="str">
        <f>IF(A278="","",C277-C278)</f>
        <v/>
      </c>
      <c r="G278" s="207" t="e">
        <f>IF(DEGREES(ATAN2(E278,F278))&gt;=0,DEGREES(ATAN2(E278,F278)),360+DEGREES(ATAN2(E278,F278)))</f>
        <v>#VALUE!</v>
      </c>
      <c r="H278" s="85"/>
      <c r="I278" s="85" t="str">
        <f>IF(A278="","",ABS(2*D278*PI()*H279/360))</f>
        <v/>
      </c>
      <c r="J278" s="85" t="str">
        <f>IF(A278="","",ABS(I278)+J277)</f>
        <v/>
      </c>
      <c r="K278" s="34">
        <f t="shared" si="94"/>
        <v>4</v>
      </c>
      <c r="L278" s="17"/>
      <c r="M278" s="34" t="str">
        <f t="array" ref="M278">IF(OR(K278="",K278&lt;&gt;K277),POINT(B278,C278),"")</f>
        <v/>
      </c>
      <c r="N278" s="34" t="str">
        <f t="array" ref="N278">IF(OR(K278="",K278&lt;&gt;K277),POINT(ROUND(B278,N276),ROUND(C278,N276)),"")</f>
        <v/>
      </c>
      <c r="O278">
        <f t="shared" si="99"/>
        <v>5</v>
      </c>
      <c r="P278" s="244">
        <f>P277+C52</f>
        <v>226.7226908715912</v>
      </c>
      <c r="R278" s="207">
        <f t="shared" si="95"/>
        <v>9.7443429706050608</v>
      </c>
      <c r="S278" s="160">
        <f>S277+C53</f>
        <v>229.5853029668545</v>
      </c>
      <c r="T278" s="207">
        <f t="shared" si="96"/>
        <v>10.509612438363632</v>
      </c>
      <c r="U278" s="234">
        <f>U277+C51</f>
        <v>0.26226174831390381</v>
      </c>
      <c r="V278" s="245">
        <f t="shared" si="97"/>
        <v>3.9369701136568978</v>
      </c>
      <c r="X278" s="907" t="s">
        <v>6</v>
      </c>
      <c r="Z278" s="18"/>
      <c r="AD278" s="16">
        <v>11</v>
      </c>
      <c r="AE278">
        <v>5</v>
      </c>
      <c r="AF278" s="16" t="str">
        <f>IF(B281="","","Th"&amp;AE278)</f>
        <v/>
      </c>
      <c r="AG278" s="160" t="str">
        <f>IF(B281="","",J280)</f>
        <v/>
      </c>
      <c r="AI278" s="426" t="str">
        <f>IF(B282="","",B280)</f>
        <v/>
      </c>
      <c r="AJ278" s="426" t="str">
        <f>IF(B282="","",C280)</f>
        <v/>
      </c>
      <c r="AK278" s="375" t="e">
        <f t="shared" si="98"/>
        <v>#VALUE!</v>
      </c>
      <c r="AL278" s="160"/>
      <c r="AM278" s="17" t="str">
        <f t="shared" si="90"/>
        <v>Formule bijwerken voor  T6</v>
      </c>
      <c r="AO278" t="str">
        <f t="shared" si="91"/>
        <v/>
      </c>
      <c r="AP278" s="17" t="str">
        <v/>
      </c>
      <c r="AQ278" s="17" t="str">
        <v/>
      </c>
      <c r="AR278" s="17">
        <v>0</v>
      </c>
      <c r="AS278" s="17" t="str">
        <v/>
      </c>
      <c r="AT278" s="17" t="str">
        <v/>
      </c>
      <c r="AU278" s="17" t="e">
        <v>#VALUE!</v>
      </c>
      <c r="AW278" s="16" t="e">
        <f t="array" ref="AW278">POINT(AS278,AT278)</f>
        <v>#VALUE!</v>
      </c>
      <c r="AY278" s="17" t="str">
        <f t="shared" si="88"/>
        <v>11,,,</v>
      </c>
    </row>
    <row r="279" spans="1:80" x14ac:dyDescent="0.25">
      <c r="A279" t="str">
        <f t="shared" si="93"/>
        <v/>
      </c>
      <c r="B279" s="693"/>
      <c r="C279" s="693"/>
      <c r="D279" s="85"/>
      <c r="E279" s="207" t="str">
        <f>IF(A279="","",B279-B278)</f>
        <v/>
      </c>
      <c r="F279" s="207" t="str">
        <f>IF(A279="","",C279-C278)</f>
        <v/>
      </c>
      <c r="G279" s="207" t="e">
        <f>IF(DEGREES(ATAN2(E279,F279))&gt;=0,DEGREES(ATAN2(E279,F279)),360+DEGREES(ATAN2(E279,F279)))</f>
        <v>#VALUE!</v>
      </c>
      <c r="H279" s="610" t="e">
        <f>IF(G279-G278&lt;-180,G279-G278+360,IF(G279-G278&gt;180,G279-G278-360,G279-G278))</f>
        <v>#VALUE!</v>
      </c>
      <c r="I279" s="85"/>
      <c r="J279" s="85"/>
      <c r="K279" s="34">
        <f t="shared" si="94"/>
        <v>4</v>
      </c>
      <c r="L279" s="754" t="str">
        <f>IF(AND(A279="",A278&lt;&gt;0),IF(A278&lt;&gt;"",Variabelen!B$5&amp;". UITTREDE XY: ",""),Variabelen!B$4&amp;A277&amp;":                       ")</f>
        <v/>
      </c>
      <c r="M279" s="34" t="str">
        <f t="array" ref="M279">IF(OR(K279="",K279&lt;&gt;K278),POINT(B279,C279),"")</f>
        <v/>
      </c>
      <c r="N279" s="34" t="str">
        <f t="array" ref="N279">IF(OR(K279="",K279&lt;&gt;K278),POINT(ROUND(B279,N271),ROUND(C279,N271)),"")</f>
        <v/>
      </c>
      <c r="O279" t="str">
        <f t="shared" si="99"/>
        <v/>
      </c>
      <c r="P279" s="244"/>
      <c r="R279" s="207" t="str">
        <f t="shared" si="95"/>
        <v/>
      </c>
      <c r="S279" s="160"/>
      <c r="T279" s="207" t="str">
        <f t="shared" si="96"/>
        <v/>
      </c>
      <c r="U279" s="160"/>
      <c r="V279" s="245" t="str">
        <f t="shared" si="97"/>
        <v/>
      </c>
      <c r="X279" s="367" t="s">
        <v>413</v>
      </c>
      <c r="AD279" s="16">
        <v>12</v>
      </c>
      <c r="AE279">
        <v>6</v>
      </c>
      <c r="AF279" s="16" t="str">
        <f>IF(B282="","","Th"&amp;AE279)</f>
        <v/>
      </c>
      <c r="AG279" s="160" t="str">
        <f>IF(B282="","",J281)</f>
        <v/>
      </c>
      <c r="AH279" s="17"/>
      <c r="AI279" s="44" t="str">
        <f>IF(B283="","",B282)</f>
        <v/>
      </c>
      <c r="AJ279" s="44" t="str">
        <f>IF(B283="","",C282)</f>
        <v/>
      </c>
      <c r="AK279" s="375" t="e">
        <f t="shared" si="98"/>
        <v>#VALUE!</v>
      </c>
      <c r="AL279" s="160"/>
      <c r="AM279" s="17" t="str">
        <f t="shared" si="90"/>
        <v>Formule bijwerken voor  T6</v>
      </c>
      <c r="AO279" t="str">
        <f t="shared" si="91"/>
        <v/>
      </c>
      <c r="AP279" s="17" t="str">
        <v/>
      </c>
      <c r="AQ279" s="17" t="str">
        <v/>
      </c>
      <c r="AR279" s="17">
        <v>0</v>
      </c>
      <c r="AS279" s="17" t="str">
        <v/>
      </c>
      <c r="AT279" s="17" t="str">
        <v/>
      </c>
      <c r="AU279" s="17" t="e">
        <v>#VALUE!</v>
      </c>
      <c r="AW279" s="16" t="e">
        <f t="array" ref="AW279">POINT(AS279,AT279)</f>
        <v>#VALUE!</v>
      </c>
      <c r="AY279" s="17" t="str">
        <f t="shared" si="88"/>
        <v>12,,,</v>
      </c>
    </row>
    <row r="280" spans="1:80" x14ac:dyDescent="0.25">
      <c r="A280" t="str">
        <f t="shared" si="93"/>
        <v/>
      </c>
      <c r="B280" s="693"/>
      <c r="C280" s="693"/>
      <c r="D280" s="85"/>
      <c r="E280" s="207" t="str">
        <f>IF(A280="","",B280-B279)</f>
        <v/>
      </c>
      <c r="F280" s="207" t="str">
        <f>IF(A280="","",C280-C279)</f>
        <v/>
      </c>
      <c r="G280" s="207"/>
      <c r="H280" s="85"/>
      <c r="I280" s="85" t="str">
        <f>IF(A280="","",(((E280^2)+(F280^2))^0.5))</f>
        <v/>
      </c>
      <c r="J280" s="85" t="str">
        <f>IF(A280="","",ABS(I280)+J278)</f>
        <v/>
      </c>
      <c r="K280" s="34">
        <f t="shared" si="94"/>
        <v>4</v>
      </c>
      <c r="L280" s="161" t="str">
        <f>IF(AND(A281="",A280=""),"",IF(AND(A281="",A280&lt;&gt;0),IF(A279&lt;&gt;"",Variabelen!B$5&amp;". UITTREDE XY: ",""),Variabelen!B$4&amp;A278&amp;":                       "))</f>
        <v/>
      </c>
      <c r="M280" s="34" t="str">
        <f t="array" ref="M280">IF(OR(K280="",K280&lt;&gt;K279),POINT(B280,C280),"")</f>
        <v/>
      </c>
      <c r="N280" s="34" t="str">
        <f t="array" ref="N280">IF(OR(K280="",K280&lt;&gt;K279),POINT(ROUND(B280,N271),ROUND(C280,N271)),"")</f>
        <v/>
      </c>
      <c r="O280" t="str">
        <f t="shared" si="99"/>
        <v/>
      </c>
      <c r="P280" s="244"/>
      <c r="R280" s="207" t="str">
        <f t="shared" si="95"/>
        <v/>
      </c>
      <c r="S280" s="160"/>
      <c r="T280" s="207" t="str">
        <f t="shared" si="96"/>
        <v/>
      </c>
      <c r="U280" s="160"/>
      <c r="V280" s="245" t="str">
        <f t="shared" si="97"/>
        <v/>
      </c>
      <c r="X280" s="365" t="s">
        <v>414</v>
      </c>
      <c r="AD280" s="16">
        <v>13</v>
      </c>
      <c r="AF280" s="409" t="s">
        <v>163</v>
      </c>
      <c r="AG280" s="411">
        <f>I285</f>
        <v>226.72269087159117</v>
      </c>
      <c r="AH280" s="17"/>
      <c r="AI280" s="44">
        <f>VLOOKUP(A272,A273:C284,2,FALSE)</f>
        <v>104118.80736236711</v>
      </c>
      <c r="AJ280" s="44">
        <f>VLOOKUP(A272,A273:C284,3,FALSE)</f>
        <v>489243.73374718148</v>
      </c>
      <c r="AK280" s="375">
        <f t="shared" si="98"/>
        <v>1.2714965343475222</v>
      </c>
      <c r="AL280" s="160"/>
      <c r="AM280" s="17">
        <f t="shared" si="90"/>
        <v>0.26226174831389226</v>
      </c>
      <c r="AO280" t="str">
        <f t="shared" si="91"/>
        <v/>
      </c>
      <c r="AP280" s="420" t="str">
        <v/>
      </c>
      <c r="AQ280" s="420">
        <v>0</v>
      </c>
      <c r="AR280" s="371">
        <v>0</v>
      </c>
      <c r="AS280" s="371">
        <v>0</v>
      </c>
      <c r="AT280" s="371">
        <v>0</v>
      </c>
      <c r="AU280" s="371">
        <v>0</v>
      </c>
      <c r="AV280" s="366"/>
      <c r="AW280" s="16" t="str">
        <f t="array" ref="AW280">POINT(AS280,AT280)</f>
        <v>0,0</v>
      </c>
      <c r="AY280" s="17" t="str">
        <f t="shared" si="88"/>
        <v>13,0,0,</v>
      </c>
    </row>
    <row r="281" spans="1:80" ht="20.25" customHeight="1" x14ac:dyDescent="0.3">
      <c r="A281" t="str">
        <f t="shared" si="93"/>
        <v/>
      </c>
      <c r="B281" s="512"/>
      <c r="C281" s="512"/>
      <c r="D281" s="609" t="str">
        <f>D11</f>
        <v/>
      </c>
      <c r="E281" s="207" t="str">
        <f>IF(A281="","",B280-B281)</f>
        <v/>
      </c>
      <c r="F281" s="207" t="str">
        <f>IF(A281="","",C280-C281)</f>
        <v/>
      </c>
      <c r="G281" s="207" t="e">
        <f>IF(DEGREES(ATAN2(E281,F281))&gt;=0,DEGREES(ATAN2(E281,F281)),360+DEGREES(ATAN2(E281,F281)))</f>
        <v>#VALUE!</v>
      </c>
      <c r="H281" s="85"/>
      <c r="I281" s="85" t="str">
        <f>IF(A281="","",ABS(2*D281*PI()*H282/360))</f>
        <v/>
      </c>
      <c r="J281" s="85" t="str">
        <f>IF(A281="","",ABS(I281)+J280)</f>
        <v/>
      </c>
      <c r="K281" s="34">
        <f t="shared" si="94"/>
        <v>4</v>
      </c>
      <c r="L281" s="17"/>
      <c r="M281" s="34" t="str">
        <f t="array" ref="M281">IF(OR(K281="",K281&lt;&gt;K280),POINT(B281,C281),"")</f>
        <v/>
      </c>
      <c r="N281" s="34" t="str">
        <f t="array" ref="N281">IF(OR(K281="",K281&lt;&gt;K280),POINT(ROUND(B281,N279),ROUND(C281,N279)),"")</f>
        <v/>
      </c>
      <c r="O281" t="str">
        <f t="shared" si="99"/>
        <v/>
      </c>
      <c r="P281" s="244"/>
      <c r="R281" s="207" t="str">
        <f t="shared" si="95"/>
        <v/>
      </c>
      <c r="S281" s="160"/>
      <c r="T281" s="207" t="str">
        <f t="shared" si="96"/>
        <v/>
      </c>
      <c r="U281" s="160"/>
      <c r="V281" s="245" t="str">
        <f t="shared" si="97"/>
        <v/>
      </c>
      <c r="AD281" s="16">
        <v>14</v>
      </c>
      <c r="AE281" s="226"/>
      <c r="AO281" s="417">
        <v>12</v>
      </c>
      <c r="AP281" s="422" t="s">
        <v>163</v>
      </c>
      <c r="AQ281" s="417">
        <f>AG280</f>
        <v>226.72269087159117</v>
      </c>
      <c r="AS281" s="417">
        <f>AI280</f>
        <v>104118.80736236711</v>
      </c>
      <c r="AT281" s="417">
        <f>AJ280</f>
        <v>489243.73374718148</v>
      </c>
      <c r="AU281" s="419" t="s">
        <v>415</v>
      </c>
    </row>
    <row r="282" spans="1:80" x14ac:dyDescent="0.25">
      <c r="A282" t="str">
        <f t="shared" si="93"/>
        <v/>
      </c>
      <c r="B282" s="693"/>
      <c r="C282" s="693"/>
      <c r="D282" s="85"/>
      <c r="E282" s="207" t="str">
        <f>IF(A282="","",B282-B281)</f>
        <v/>
      </c>
      <c r="F282" s="207" t="str">
        <f>IF(A282="","",C282-C281)</f>
        <v/>
      </c>
      <c r="G282" s="207" t="e">
        <f>IF(DEGREES(ATAN2(E282,F282))&gt;=0,DEGREES(ATAN2(E282,F282)),360+DEGREES(ATAN2(E282,F282)))</f>
        <v>#VALUE!</v>
      </c>
      <c r="H282" s="610" t="e">
        <f>IF(G282-G281&lt;-180,G282-G281+360,IF(G282-G281&gt;180,G282-G281-360,G282-G281))</f>
        <v>#VALUE!</v>
      </c>
      <c r="I282" s="85"/>
      <c r="J282" s="85"/>
      <c r="K282" s="34">
        <f t="shared" si="94"/>
        <v>4</v>
      </c>
      <c r="L282" s="161" t="str">
        <f>IF(AND(A283="",A282=""),"",IF(AND(A283="",A282&lt;&gt;0),IF(A281&lt;&gt;"",Variabelen!B$5&amp;". UITTREDE XY: ",""),Variabelen!B$4&amp;A279&amp;":                       "))</f>
        <v/>
      </c>
      <c r="M282" s="34" t="str">
        <f t="array" ref="M282">IF(OR(K282="",K282&lt;&gt;K281),POINT(B282,C282),"")</f>
        <v/>
      </c>
      <c r="N282" s="34" t="str">
        <f t="array" ref="N282">IF(OR(K282="",K282&lt;&gt;K281),POINT(ROUND(B282,N271),ROUND(C282,N271)),"")</f>
        <v/>
      </c>
      <c r="P282" s="244"/>
      <c r="R282" s="207" t="str">
        <f t="shared" si="95"/>
        <v/>
      </c>
      <c r="S282" s="160"/>
      <c r="T282" s="207" t="str">
        <f t="shared" si="96"/>
        <v/>
      </c>
      <c r="U282" s="160"/>
      <c r="V282" s="245" t="str">
        <f t="shared" si="97"/>
        <v/>
      </c>
      <c r="X282" s="427" t="s">
        <v>416</v>
      </c>
      <c r="AD282" s="226"/>
      <c r="AG282" s="17"/>
      <c r="AO282" s="421">
        <f>MAX(AO268:AO280)</f>
        <v>7</v>
      </c>
      <c r="AP282" s="427" t="s">
        <v>417</v>
      </c>
    </row>
    <row r="283" spans="1:80" x14ac:dyDescent="0.25">
      <c r="A283" t="str">
        <f t="shared" si="93"/>
        <v/>
      </c>
      <c r="B283" s="693"/>
      <c r="C283" s="693"/>
      <c r="D283" s="85"/>
      <c r="E283" s="207" t="str">
        <f>IF(A283="","",B283-B282)</f>
        <v/>
      </c>
      <c r="F283" s="207" t="str">
        <f>IF(A283="","",C283-C282)</f>
        <v/>
      </c>
      <c r="G283" s="207"/>
      <c r="H283" s="85"/>
      <c r="I283" s="85" t="str">
        <f>IF(A283="","",(((E283^2)+(F283^2))^0.5))</f>
        <v/>
      </c>
      <c r="J283" s="85" t="str">
        <f>IF(A283="","",ABS(I283)+J281)</f>
        <v/>
      </c>
      <c r="K283" s="34">
        <f t="shared" si="94"/>
        <v>4</v>
      </c>
      <c r="L283" s="161" t="str">
        <f>IF(AND(A284="",A283=""),"",IF(AND(A284="",A283&lt;&gt;0),IF(A282&lt;&gt;"",Variabelen!B$5&amp;". UITTREDE XY: ",""),Variabelen!B$4&amp;A281&amp;":                       "))</f>
        <v/>
      </c>
      <c r="M283" s="34" t="str">
        <f t="array" ref="M283">IF(OR(K283="",K283&lt;&gt;K282),POINT(B283,C283),"")</f>
        <v/>
      </c>
      <c r="N283" s="34" t="str">
        <f t="array" ref="N283">IF(OR(K283="",K283&lt;&gt;K282),POINT(ROUND(B283,N271),ROUND(C283,N271)),"")</f>
        <v/>
      </c>
      <c r="P283" s="244"/>
      <c r="R283" s="207" t="str">
        <f t="shared" si="95"/>
        <v/>
      </c>
      <c r="S283" s="160"/>
      <c r="T283" s="207" t="str">
        <f t="shared" si="96"/>
        <v/>
      </c>
      <c r="U283" s="160"/>
      <c r="V283" s="245" t="str">
        <f t="shared" si="97"/>
        <v/>
      </c>
      <c r="X283" s="16">
        <f>Z265-DEGREES(ASIN((R275*(R269-(O292-Q270))/R269)/Z266))</f>
        <v>-16.508685234196442</v>
      </c>
      <c r="AI283" s="16">
        <v>108754.05220000001</v>
      </c>
      <c r="AJ283" s="16">
        <v>478157.46659999999</v>
      </c>
    </row>
    <row r="284" spans="1:80" ht="15.75" customHeight="1" thickBot="1" x14ac:dyDescent="0.3">
      <c r="B284" s="85"/>
      <c r="C284" s="85"/>
      <c r="D284" s="85"/>
      <c r="E284" s="611"/>
      <c r="F284" s="611"/>
      <c r="G284" s="678"/>
      <c r="H284" s="85"/>
      <c r="I284" s="85"/>
      <c r="J284" s="85"/>
      <c r="K284" s="17"/>
      <c r="L284" s="377"/>
      <c r="M284" s="17"/>
      <c r="N284" s="17"/>
      <c r="P284" s="246"/>
      <c r="Q284" s="75"/>
      <c r="R284" s="247" t="str">
        <f t="shared" si="95"/>
        <v/>
      </c>
      <c r="S284" s="248"/>
      <c r="T284" s="247" t="str">
        <f t="shared" si="96"/>
        <v/>
      </c>
      <c r="U284" s="248"/>
      <c r="V284" s="249" t="str">
        <f t="shared" si="97"/>
        <v/>
      </c>
      <c r="X284" s="429">
        <f>R275*(R269-(O292-Q270))/R269</f>
        <v>33.991869381244214</v>
      </c>
    </row>
    <row r="285" spans="1:80" ht="15.75" customHeight="1" thickBot="1" x14ac:dyDescent="0.3">
      <c r="I285" s="250">
        <f>SUM(I273:I284)</f>
        <v>226.72269087159117</v>
      </c>
      <c r="J285" s="1"/>
      <c r="K285" s="1">
        <f>MAX(K273:K284)</f>
        <v>4</v>
      </c>
    </row>
    <row r="286" spans="1:80" ht="18.75" customHeight="1" x14ac:dyDescent="0.25">
      <c r="E286" s="16" t="s">
        <v>418</v>
      </c>
      <c r="F286" s="16" t="s">
        <v>419</v>
      </c>
      <c r="I286" s="1" t="s">
        <v>420</v>
      </c>
      <c r="L286" s="193">
        <f>COUNTIF(L291:L1291,"--")</f>
        <v>0</v>
      </c>
      <c r="M286" s="16">
        <f>COUNTIF(L291:L1291,OR("&lt;-10","&gt;200"))</f>
        <v>0</v>
      </c>
      <c r="N286" s="16">
        <f>COUNTBLANK(L291:L1291)</f>
        <v>435</v>
      </c>
      <c r="R286" s="16" t="e">
        <f>(DEGREES(ASIN(((O298-S$270)*(P$277-P$276)/T$269)/Z$269)))*2*Z$269*PI()/360</f>
        <v>#NUM!</v>
      </c>
      <c r="AA286" s="145" t="s">
        <v>421</v>
      </c>
      <c r="AB286" s="16">
        <f>MAX(L291:L1291)</f>
        <v>1.405720710754395</v>
      </c>
      <c r="AC286" s="166" t="s">
        <v>303</v>
      </c>
    </row>
    <row r="287" spans="1:80" x14ac:dyDescent="0.25">
      <c r="B287" s="815"/>
      <c r="E287" s="87">
        <f>VLOOKUP(A272,A273:C284,2,FALSE)-B273</f>
        <v>221.86632762874069</v>
      </c>
      <c r="F287" s="87">
        <f>VLOOKUP(A272,A273:C284,3,FALSE)-C273</f>
        <v>-45.808446283859666</v>
      </c>
      <c r="H287" s="201"/>
      <c r="I287" s="16">
        <f>MAX(K291:K1291)</f>
        <v>226.72268661384163</v>
      </c>
      <c r="J287" s="297" t="s">
        <v>422</v>
      </c>
      <c r="AA287" s="145" t="s">
        <v>423</v>
      </c>
      <c r="AB287" s="16">
        <f>G49+C38</f>
        <v>-8.4907652139663696</v>
      </c>
      <c r="AC287" s="16" t="s">
        <v>303</v>
      </c>
    </row>
    <row r="288" spans="1:80" x14ac:dyDescent="0.25">
      <c r="E288" s="87">
        <f>(E287^2+F287^2)^0.5</f>
        <v>226.54598007116559</v>
      </c>
      <c r="F288" s="63" t="s">
        <v>424</v>
      </c>
      <c r="I288" s="34">
        <f>I1292</f>
        <v>566</v>
      </c>
      <c r="J288" s="242" t="s">
        <v>425</v>
      </c>
      <c r="L288" s="34">
        <f>1001-COUNTBLANK(L291:L1291)</f>
        <v>566</v>
      </c>
      <c r="M288" s="346" t="s">
        <v>426</v>
      </c>
      <c r="Z288" s="51">
        <v>1</v>
      </c>
      <c r="AA288" s="51">
        <v>2</v>
      </c>
      <c r="AB288" s="51">
        <v>3</v>
      </c>
      <c r="AC288" s="51">
        <v>4</v>
      </c>
      <c r="AD288" s="51">
        <v>5</v>
      </c>
      <c r="AE288" s="51">
        <v>6</v>
      </c>
      <c r="AF288" s="51">
        <v>7</v>
      </c>
      <c r="AG288" s="51">
        <v>8</v>
      </c>
      <c r="AH288" s="51">
        <v>9</v>
      </c>
      <c r="AI288" s="51">
        <v>10</v>
      </c>
      <c r="AJ288" s="51">
        <v>11</v>
      </c>
      <c r="AK288" s="51">
        <v>12</v>
      </c>
      <c r="AL288" s="51">
        <v>13</v>
      </c>
      <c r="AM288" s="51">
        <v>14</v>
      </c>
      <c r="AN288" s="51">
        <v>15</v>
      </c>
      <c r="AO288" s="51">
        <v>16</v>
      </c>
      <c r="AP288" s="51">
        <v>17</v>
      </c>
      <c r="AQ288" s="51">
        <v>18</v>
      </c>
      <c r="AR288" s="51">
        <v>19</v>
      </c>
      <c r="AS288" s="51">
        <v>20</v>
      </c>
      <c r="AT288" s="51">
        <v>21</v>
      </c>
      <c r="AU288" s="51">
        <v>22</v>
      </c>
      <c r="AV288" s="51">
        <v>23</v>
      </c>
      <c r="AW288" s="51">
        <v>24</v>
      </c>
      <c r="AX288" s="51">
        <v>25</v>
      </c>
      <c r="AY288" s="51">
        <v>26</v>
      </c>
      <c r="AZ288" s="51">
        <v>27</v>
      </c>
      <c r="BA288" s="51">
        <v>28</v>
      </c>
      <c r="BB288" s="51">
        <v>29</v>
      </c>
      <c r="BC288" s="51">
        <v>30</v>
      </c>
      <c r="BD288" s="51">
        <v>31</v>
      </c>
      <c r="BE288" s="51">
        <v>32</v>
      </c>
      <c r="BF288" s="51">
        <v>33</v>
      </c>
      <c r="BG288" s="51">
        <v>34</v>
      </c>
      <c r="BH288" s="51">
        <v>35</v>
      </c>
      <c r="BI288" s="51">
        <v>36</v>
      </c>
      <c r="BJ288" s="16">
        <v>37</v>
      </c>
      <c r="BN288" s="16">
        <v>1</v>
      </c>
      <c r="BO288" s="16">
        <v>2</v>
      </c>
      <c r="BP288" s="16">
        <v>3</v>
      </c>
      <c r="BQ288" s="16">
        <v>4</v>
      </c>
      <c r="BR288" s="16">
        <v>5</v>
      </c>
      <c r="BS288" s="16">
        <v>6</v>
      </c>
      <c r="BT288" s="16">
        <v>7</v>
      </c>
      <c r="BU288" s="16">
        <v>8</v>
      </c>
      <c r="BV288" s="16">
        <v>9</v>
      </c>
      <c r="BW288" s="16">
        <v>10</v>
      </c>
      <c r="BX288" s="16">
        <v>11</v>
      </c>
      <c r="BY288" s="16">
        <v>12</v>
      </c>
      <c r="BZ288" s="16">
        <v>13</v>
      </c>
      <c r="CA288" s="16">
        <v>14</v>
      </c>
      <c r="CB288" s="16">
        <v>15</v>
      </c>
    </row>
    <row r="289" spans="1:80" ht="45" customHeight="1" x14ac:dyDescent="0.25">
      <c r="A289">
        <f>MAX(A291:A1291)</f>
        <v>566</v>
      </c>
      <c r="B289" s="227"/>
      <c r="K289" s="329" t="s">
        <v>427</v>
      </c>
      <c r="L289" s="783" t="s">
        <v>1112</v>
      </c>
      <c r="O289">
        <f>O433</f>
        <v>79</v>
      </c>
      <c r="P289" s="1" t="s">
        <v>428</v>
      </c>
      <c r="Z289" s="947" t="s">
        <v>429</v>
      </c>
      <c r="AA289" s="941"/>
      <c r="AB289" s="941"/>
      <c r="AC289" s="941"/>
      <c r="AD289" s="942"/>
      <c r="AE289" s="147"/>
      <c r="AF289" s="947" t="s">
        <v>430</v>
      </c>
      <c r="AG289" s="941"/>
      <c r="AH289" s="941"/>
      <c r="AI289" s="941"/>
      <c r="AJ289" s="941"/>
      <c r="AK289" s="942"/>
      <c r="AL289" s="147"/>
      <c r="AM289" s="947" t="s">
        <v>274</v>
      </c>
      <c r="AN289" s="941"/>
      <c r="AO289" s="941"/>
      <c r="AP289" s="941"/>
      <c r="AQ289" s="941"/>
      <c r="AR289" s="942"/>
      <c r="AT289" s="947" t="s">
        <v>431</v>
      </c>
      <c r="AU289" s="941"/>
      <c r="AV289" s="941"/>
      <c r="AW289" s="941"/>
      <c r="AX289" s="941"/>
      <c r="AY289" s="941"/>
      <c r="AZ289" s="941"/>
      <c r="BA289" s="942"/>
      <c r="BC289" s="947" t="s">
        <v>432</v>
      </c>
      <c r="BD289" s="941"/>
      <c r="BE289" s="941"/>
      <c r="BF289" s="941"/>
      <c r="BG289" s="941"/>
      <c r="BH289" s="941"/>
      <c r="BI289" s="941"/>
      <c r="BJ289" s="942"/>
      <c r="BP289" s="940" t="s">
        <v>433</v>
      </c>
      <c r="BQ289" s="941"/>
      <c r="BR289" s="941"/>
      <c r="BS289" s="942"/>
      <c r="BU289" s="940" t="s">
        <v>434</v>
      </c>
      <c r="BV289" s="941"/>
      <c r="BW289" s="941"/>
      <c r="BX289" s="941"/>
      <c r="BY289" s="941"/>
      <c r="BZ289" s="941"/>
      <c r="CA289" s="941"/>
      <c r="CB289" s="942"/>
    </row>
    <row r="290" spans="1:80" ht="78" customHeight="1" x14ac:dyDescent="0.25">
      <c r="A290" s="205" t="s">
        <v>339</v>
      </c>
      <c r="B290" s="205" t="s">
        <v>393</v>
      </c>
      <c r="C290" s="205" t="s">
        <v>394</v>
      </c>
      <c r="D290" s="5" t="s">
        <v>435</v>
      </c>
      <c r="E290" s="208" t="s">
        <v>401</v>
      </c>
      <c r="F290" s="13" t="s">
        <v>402</v>
      </c>
      <c r="G290" s="226" t="s">
        <v>436</v>
      </c>
      <c r="J290" s="228" t="s">
        <v>409</v>
      </c>
      <c r="K290" s="330">
        <v>-20</v>
      </c>
      <c r="L290" s="784">
        <f>L291</f>
        <v>1.0092347860336299</v>
      </c>
      <c r="M290" s="152" t="s">
        <v>437</v>
      </c>
      <c r="O290" s="152" t="s">
        <v>438</v>
      </c>
      <c r="P290" s="152" t="s">
        <v>276</v>
      </c>
      <c r="Q290" s="152" t="s">
        <v>404</v>
      </c>
      <c r="R290" s="152" t="s">
        <v>409</v>
      </c>
      <c r="S290" s="152" t="s">
        <v>147</v>
      </c>
      <c r="T290" s="152" t="s">
        <v>410</v>
      </c>
      <c r="U290" s="228" t="s">
        <v>439</v>
      </c>
      <c r="V290" s="152" t="s">
        <v>412</v>
      </c>
      <c r="W290" s="228" t="s">
        <v>440</v>
      </c>
      <c r="X290" s="228" t="s">
        <v>441</v>
      </c>
      <c r="Y290" s="152" t="s">
        <v>435</v>
      </c>
      <c r="Z290" s="236" t="s">
        <v>442</v>
      </c>
      <c r="AA290" s="237" t="s">
        <v>443</v>
      </c>
      <c r="AB290" s="237" t="s">
        <v>444</v>
      </c>
      <c r="AC290" s="237" t="s">
        <v>445</v>
      </c>
      <c r="AD290" s="237" t="s">
        <v>446</v>
      </c>
      <c r="AE290" s="149"/>
      <c r="AF290" s="237" t="s">
        <v>443</v>
      </c>
      <c r="AG290" s="237" t="s">
        <v>447</v>
      </c>
      <c r="AH290" s="237" t="s">
        <v>448</v>
      </c>
      <c r="AI290" s="237" t="s">
        <v>444</v>
      </c>
      <c r="AJ290" s="238" t="s">
        <v>449</v>
      </c>
      <c r="AK290" s="237" t="s">
        <v>446</v>
      </c>
      <c r="AL290" s="149"/>
      <c r="AM290" s="237" t="s">
        <v>443</v>
      </c>
      <c r="AN290" s="237" t="s">
        <v>447</v>
      </c>
      <c r="AO290" s="237" t="s">
        <v>448</v>
      </c>
      <c r="AP290" s="237" t="s">
        <v>444</v>
      </c>
      <c r="AQ290" s="238" t="s">
        <v>449</v>
      </c>
      <c r="AR290" s="237" t="s">
        <v>446</v>
      </c>
      <c r="AS290" s="149"/>
      <c r="AT290" s="237" t="s">
        <v>443</v>
      </c>
      <c r="AU290" s="237" t="s">
        <v>447</v>
      </c>
      <c r="AV290" s="237" t="s">
        <v>448</v>
      </c>
      <c r="AW290" s="237" t="s">
        <v>444</v>
      </c>
      <c r="AX290" s="237" t="s">
        <v>450</v>
      </c>
      <c r="AY290" s="237" t="s">
        <v>451</v>
      </c>
      <c r="AZ290" s="238" t="s">
        <v>440</v>
      </c>
      <c r="BA290" s="237" t="s">
        <v>446</v>
      </c>
      <c r="BB290" s="33"/>
      <c r="BC290" s="237" t="s">
        <v>443</v>
      </c>
      <c r="BD290" s="237" t="s">
        <v>447</v>
      </c>
      <c r="BE290" s="237" t="s">
        <v>448</v>
      </c>
      <c r="BF290" s="237" t="s">
        <v>444</v>
      </c>
      <c r="BG290" s="237" t="s">
        <v>450</v>
      </c>
      <c r="BH290" s="237" t="s">
        <v>451</v>
      </c>
      <c r="BI290" s="239" t="s">
        <v>452</v>
      </c>
      <c r="BJ290" s="237" t="s">
        <v>446</v>
      </c>
      <c r="BN290" s="33" t="s">
        <v>453</v>
      </c>
      <c r="BO290" s="33" t="s">
        <v>454</v>
      </c>
      <c r="BP290" s="33" t="s">
        <v>443</v>
      </c>
      <c r="BQ290" s="33" t="s">
        <v>444</v>
      </c>
      <c r="BR290" s="33" t="s">
        <v>445</v>
      </c>
      <c r="BS290" s="33" t="s">
        <v>446</v>
      </c>
      <c r="BT290" s="33"/>
      <c r="BU290" s="33" t="s">
        <v>443</v>
      </c>
      <c r="BV290" s="33" t="s">
        <v>447</v>
      </c>
      <c r="BW290" s="33" t="s">
        <v>448</v>
      </c>
      <c r="BX290" s="33" t="s">
        <v>444</v>
      </c>
      <c r="BY290" s="33" t="s">
        <v>450</v>
      </c>
      <c r="BZ290" s="33" t="s">
        <v>451</v>
      </c>
      <c r="CA290" s="33" t="s">
        <v>455</v>
      </c>
      <c r="CB290" s="33" t="s">
        <v>446</v>
      </c>
    </row>
    <row r="291" spans="1:80" x14ac:dyDescent="0.25">
      <c r="A291" s="225">
        <v>1</v>
      </c>
      <c r="B291" s="326">
        <f>B273</f>
        <v>103896.94103473837</v>
      </c>
      <c r="C291" s="326">
        <f>C273</f>
        <v>489289.54219346534</v>
      </c>
      <c r="D291" s="85">
        <f>_xlfn.XLOOKUP(B291,B$273:B$284,A$273:A$284,D290,1)</f>
        <v>1</v>
      </c>
      <c r="E291" s="17"/>
      <c r="F291" s="85"/>
      <c r="G291" s="17" t="str">
        <f>B291&amp;","&amp;C291</f>
        <v>103896.941034738,489289.542193465</v>
      </c>
      <c r="H291" s="16">
        <v>1</v>
      </c>
      <c r="I291" s="16">
        <v>1</v>
      </c>
      <c r="J291" s="209">
        <v>0</v>
      </c>
      <c r="K291" s="209">
        <v>0</v>
      </c>
      <c r="L291" s="692">
        <v>1.0092347860336299</v>
      </c>
      <c r="M291" s="17" t="str">
        <f>K291&amp;","&amp;L291</f>
        <v>0,1.00923478603363</v>
      </c>
      <c r="O291" s="428">
        <v>1</v>
      </c>
      <c r="P291" s="206">
        <f>P273</f>
        <v>0</v>
      </c>
      <c r="Q291" s="85"/>
      <c r="R291" s="17"/>
      <c r="S291" s="16">
        <f>S273</f>
        <v>0</v>
      </c>
      <c r="T291" s="17"/>
      <c r="U291" s="206">
        <f>U273</f>
        <v>0</v>
      </c>
      <c r="V291" s="85"/>
      <c r="W291" s="17">
        <f t="shared" ref="W291:W322" si="100">IF(O291="","",U291+G$49)</f>
        <v>1.0092347860336299</v>
      </c>
      <c r="X291" s="17">
        <f>IF(O291="","",W291-VLOOKUP(P291,K$291:L$1291,2,TRUE))</f>
        <v>0</v>
      </c>
      <c r="Y291" s="85">
        <f t="shared" ref="Y291:Y322" si="101">_xlfn.SINGLE(IF(O291="","",_xlfn.XLOOKUP(P291,P$273:P$284,O$273:O$284,Y290)))</f>
        <v>0</v>
      </c>
      <c r="Z291" s="17">
        <f t="shared" ref="Z291:Z322" si="102">IF(O291="","",O291)</f>
        <v>1</v>
      </c>
      <c r="AA291" s="17" t="str">
        <f t="shared" ref="AA291:AA322" si="103">IF(O291="","","LINE")</f>
        <v>LINE</v>
      </c>
      <c r="AB291" s="17" t="str">
        <f t="shared" ref="AB291:AB322" si="104">IF(O291="","",P291&amp;","&amp;AB$286)</f>
        <v>0,1.40572071075439</v>
      </c>
      <c r="AC291" s="17" t="str">
        <f>IF(O291="","",P291&amp;","&amp;AB$287-Variabelen!B$43)</f>
        <v>0,-16.0407652139664</v>
      </c>
      <c r="AD291" s="17"/>
      <c r="AE291" s="17"/>
      <c r="AF291" s="17" t="str">
        <f>IF(J15="","","TEXT")</f>
        <v>TEXT</v>
      </c>
      <c r="AG291" s="17" t="str">
        <f>IF(AF291="","","_Justify")</f>
        <v>_Justify</v>
      </c>
      <c r="AH291" s="17" t="str">
        <f>IF(AF291="","","_BL")</f>
        <v>_BL</v>
      </c>
      <c r="AI291" s="17" t="str">
        <f>IF(O291="","",P291-Variabelen!B$36&amp;","&amp;AB$287-Variabelen!B$43+Variabelen!B$36)</f>
        <v>-0.08,-15.9607652139664</v>
      </c>
      <c r="AJ291" s="154">
        <f t="shared" ref="AJ291:AJ322" si="105">IF(O291="","",ROUND(P291,2))</f>
        <v>0</v>
      </c>
      <c r="AK291" s="17"/>
      <c r="AL291" s="17"/>
      <c r="AM291" s="17" t="str">
        <f>IF(AF291="","","TEXT")</f>
        <v>TEXT</v>
      </c>
      <c r="AN291" s="17" t="str">
        <f>IF(AM291="","","_Justify")</f>
        <v>_Justify</v>
      </c>
      <c r="AO291" s="17" t="str">
        <f>IF(AN291="","","_BL")</f>
        <v>_BL</v>
      </c>
      <c r="AP291" s="17" t="str">
        <f>IF(O291="","",P291-Variabelen!B$36&amp;","&amp;AB$287-Variabelen!B$42+Variabelen!B$36)</f>
        <v>-0.08,-13.7607652139664</v>
      </c>
      <c r="AQ291" s="154">
        <f t="shared" ref="AQ291:AQ322" si="106">IF(O291="","",ROUND(S291,2))</f>
        <v>0</v>
      </c>
      <c r="AR291" s="17"/>
      <c r="AS291" s="17"/>
      <c r="AT291" s="17" t="s">
        <v>456</v>
      </c>
      <c r="AU291" s="17" t="str">
        <f>IF(AT291="","","_Justify")</f>
        <v>_Justify</v>
      </c>
      <c r="AV291" s="17" t="str">
        <f t="shared" ref="AV291:AV322" si="107">IF(O291="","","_BR")</f>
        <v>_BR</v>
      </c>
      <c r="AW291" s="17" t="str">
        <f>IF(O291="","",P291-Variabelen!B$36&amp;","&amp;AB$287-Variabelen!B$41+Variabelen!B$36)</f>
        <v>-0.08,-11.5607652139664</v>
      </c>
      <c r="AX291" s="17">
        <f>Variabelen!L$32</f>
        <v>0</v>
      </c>
      <c r="AY291" s="57">
        <v>0</v>
      </c>
      <c r="AZ291" s="154">
        <f t="shared" ref="AZ291:AZ322" si="108">IF(O291="","",ROUND(W291,2))</f>
        <v>1.01</v>
      </c>
      <c r="BA291" s="17"/>
      <c r="BB291" s="17"/>
      <c r="BC291" s="17" t="str">
        <f>IF(Z291="","","TEXT")</f>
        <v>TEXT</v>
      </c>
      <c r="BD291" s="17" t="str">
        <f>IF(BC291="","","_Justify")</f>
        <v>_Justify</v>
      </c>
      <c r="BE291" s="17" t="str">
        <f t="shared" ref="BE291:BE322" si="109">IF(O291="","","_BR")</f>
        <v>_BR</v>
      </c>
      <c r="BF291" s="17" t="str">
        <f>IF(O291="","",P291-Variabelen!B$36&amp;","&amp;AB$287-Variabelen!B$40+Variabelen!B$36)</f>
        <v>-0.08,-9.76076521396637</v>
      </c>
      <c r="BG291" s="17"/>
      <c r="BH291" s="57"/>
      <c r="BI291" s="154">
        <f t="shared" ref="BI291:BI322" si="110">IF(O291="","",ROUND(X291,2))</f>
        <v>0</v>
      </c>
      <c r="BJ291" s="17"/>
      <c r="BN291" s="16">
        <v>0</v>
      </c>
      <c r="BO291" s="16">
        <f>ROUND(MAX(Ontwerp!L291:L1291),0)</f>
        <v>1</v>
      </c>
      <c r="BP291" s="17" t="s">
        <v>457</v>
      </c>
      <c r="BQ291" s="17" t="str">
        <f>-Variabelen!B$30&amp;","&amp;BO291</f>
        <v>-0.5,1</v>
      </c>
      <c r="BR291" s="17" t="str">
        <f>C$16+Variabelen!B$30&amp;","&amp;BO291</f>
        <v>227.222690871591,1</v>
      </c>
      <c r="BS291" s="17"/>
      <c r="BU291" s="32" t="s">
        <v>456</v>
      </c>
      <c r="BV291" s="31" t="s">
        <v>458</v>
      </c>
      <c r="BW291" s="31" t="s">
        <v>459</v>
      </c>
      <c r="BX291" s="31" t="str">
        <f>-Variabelen!B$31&amp;","&amp;BO291-0.5*BY291</f>
        <v>-1,0.775</v>
      </c>
      <c r="BY291" s="31">
        <f>Variabelen!B$32</f>
        <v>0.45</v>
      </c>
      <c r="BZ291" s="31">
        <v>0</v>
      </c>
      <c r="CA291" s="31" t="str">
        <f>IF(BO291=0,"N.A.P.",IF(BO291&gt;0,("+"&amp;BO291&amp;",0"),BO291&amp;",0"))</f>
        <v>+1,0</v>
      </c>
      <c r="CB291" s="30"/>
    </row>
    <row r="292" spans="1:80" x14ac:dyDescent="0.25">
      <c r="A292" s="85">
        <f t="shared" ref="A292:A355" si="111">IF(A291&lt;J$269,A291+1,"")</f>
        <v>2</v>
      </c>
      <c r="B292" s="296">
        <f t="shared" ref="B292:B355" si="112">IF(A292="","",IF(A291&lt;=C$270,B$273+(A291*E$274/C$269),IF(A291&lt;=D$270,B$274+(D$275*COS(RADIANS(G$275+((A291-C$270)*H$276/D$269))))-E$275,IF(A291&lt;=E$270,B$276+((A291-D$270)*E$277/E$269),IF(A291&lt;=F$270,B$277+(D$278*COS(RADIANS(G$278+((A291-E$270)*H$279/F$269))))-E$278,IF(A291&lt;=G$270,B$279+((A291-F$270)*E$280/G$269),IF(A291&lt;=H$270,B$280+(D$281*COS(RADIANS(G$281+((A291-G$270)*H$282/H$269))))-E$281,IF(A291&lt;=I$270,B$282+((A291-H$270)*E$283/I$269),"CHECK FORMULE"))))))))</f>
        <v>103897.32871605044</v>
      </c>
      <c r="C292" s="296">
        <f t="shared" ref="C292:C355" si="113">IF(A292="","",IF(A291&lt;=C$270,C$273+(A291*F$274/C$269),IF(A291&lt;=D$270,C$274+(D$275*SIN(RADIANS(G$275+((A291-C$270)*H$276/D$269))))-F$275,IF(A291&lt;=E$270,C$276+((A291-D$270)*F$277/E$269),IF(A291&lt;=F$270,C$277+(D$278*SIN(RADIANS(G$278+((A291-E$270)*H$279/F$269))))-F$278,IF(A291&lt;=G$270,C$279+((A291-F$270)*F$280/G$269),IF(A291&lt;=H$270,C$280+(D$281*SIN(RADIANS(G$281+((A291-G$270)*H$282/H$269))))-F$281,IF(A291&lt;=I$270,C$282+((A291-H$270)*F$283/I$269),"CHECK FORMULE"))))))))</f>
        <v>489289.43413377355</v>
      </c>
      <c r="D292" s="85">
        <f>_xlfn.XLOOKUP(B292,B$273:B$284,A$273:A$284,D291)</f>
        <v>1</v>
      </c>
      <c r="E292" s="17">
        <f t="shared" ref="E292:E355" si="114">IF(A292="","",B292-B291)</f>
        <v>0.38768131207325496</v>
      </c>
      <c r="F292" s="17">
        <f t="shared" ref="F292:F355" si="115">IF(A292="","",C292-C291)</f>
        <v>-0.10805969178909436</v>
      </c>
      <c r="G292" s="17" t="str">
        <f t="shared" ref="G292:G355" si="116">IF(E292="","",B292&amp;","&amp;C292)</f>
        <v>103897.32871605,489289.434133774</v>
      </c>
      <c r="H292" s="16">
        <v>2</v>
      </c>
      <c r="I292" s="16">
        <f t="shared" ref="I292:I355" si="117">IF(J292="","",I291+1)</f>
        <v>2</v>
      </c>
      <c r="J292" s="209">
        <f t="shared" ref="J292:J355" si="118">IF(E292="","",(E292^2+F292^2)^0.5)</f>
        <v>0.40245955911171322</v>
      </c>
      <c r="K292" s="209">
        <f t="shared" ref="K292:K355" si="119">IF(E292="","",K291+J292)</f>
        <v>0.40245955911171322</v>
      </c>
      <c r="L292" s="692">
        <v>1.0399999618530269</v>
      </c>
      <c r="M292" s="17" t="str">
        <f>IF(L292="","",K292&amp;","&amp;L292)</f>
        <v>0.402459559111713,1.03999996185303</v>
      </c>
      <c r="O292" s="85">
        <f t="shared" ref="O292:O323" si="120">IF(O291&lt;W$269,O291+1,"")</f>
        <v>2</v>
      </c>
      <c r="P292" s="85">
        <f t="shared" ref="P292:P323" si="121">IF(O291&lt;=Q$270,P$273+(O291*R$274/Q$269),IF(O291&lt;=R$270,P$274+((O291-Q$270)*R$275/R$269),IF(O291&lt;=S$270,P$275+((O291-R$270)*R$276/S$269),IF(O291&lt;=T$270,P$276+((O291-S$270)*R$277/T$269),IF(O291&lt;=U$270,P$277+((O291-T$270)*R$278/U$269),"Formule bijwerken voor T6")))))</f>
        <v>2.8857200514486059</v>
      </c>
      <c r="Q292" s="233" t="str">
        <f t="shared" ref="Q292:Q323" si="122">IF(AND(O291&gt;=Q$270,O291&lt;R$270+1),Z$265-DEGREES(ASIN((R$275-(((O291-Q$270)/R$269)*R$275))/Z$266)),IF(AND(O291&gt;=S$270,O291&lt;T$270+1),Z$270-DEGREES(ASIN((((O291-S$270)/T$269)*R$277)/Z$269)),""))</f>
        <v/>
      </c>
      <c r="R292" s="17">
        <f t="shared" ref="R292:R323" si="123">IF(O292="","",P292-P291)</f>
        <v>2.8857200514486059</v>
      </c>
      <c r="S292" s="235">
        <f>IF(O291&lt;=Q$270,S$273+(O291*T$274/Q$269),IF(O291&lt;=R$270,S$274+(Z$265-DEGREES(ASIN((P$275-(O291-Q$270)*P$275/R$269)/Z$266)))*2*Z$266*PI()/360,IF(O291&lt;=S$270,S$275+((O291-R$270)*T$276/S$269),IF(O291&lt;=T$270,S$276+(DEGREES(ASIN(((O291-S$270)*(P$277-P$276)/T$269)/Z$269)))*2*Z$269*PI()/360,IF(O291&lt;=U$270,S$277+((O291-T$270)*T$278/U$269),"Formule bijwerken voor T6")))))</f>
        <v>3.034225623825118</v>
      </c>
      <c r="T292" s="17">
        <f t="shared" ref="T292:T323" si="124">IF(O292="","",S292-S291)</f>
        <v>3.034225623825118</v>
      </c>
      <c r="U292" s="85">
        <f t="shared" ref="U292:U323" si="125">IF(O291&lt;=Q$270,U$273+(O291*V$274/Q$269),IF(O291&lt;=R$270,U$274-Z$266*((COS(RADIANS(Z$265-Q292)))-(COS(RADIANS(Z$265)))),IF(O291&lt;=S$270,U$275+((O291-R$270)*V$276/S$269),IF(O291&lt;=T$270,U$276+Z$269-(Z$269*(COS(RADIANS(Z$270-Q292)))),IF(O291&lt;=U$270,U$277+((O291-T$270)*V$278/U$269),"Formule bijwerken voor  T6")))))</f>
        <v>-0.9376272825298877</v>
      </c>
      <c r="V292" s="17">
        <f t="shared" ref="V292:V323" si="126">IF(O292="","",U292-U291)</f>
        <v>-0.9376272825298877</v>
      </c>
      <c r="W292" s="17">
        <f t="shared" si="100"/>
        <v>7.1607503503742231E-2</v>
      </c>
      <c r="X292" s="17">
        <f t="shared" ref="X292:X323" si="127">IF(O292="","",W292-VLOOKUP(P292,K$290:L$1291,2,TRUE))</f>
        <v>-0.98380371609312078</v>
      </c>
      <c r="Y292" s="85">
        <f t="shared" si="101"/>
        <v>0</v>
      </c>
      <c r="Z292" s="17">
        <f t="shared" si="102"/>
        <v>2</v>
      </c>
      <c r="AA292" s="17" t="str">
        <f t="shared" si="103"/>
        <v>LINE</v>
      </c>
      <c r="AB292" s="17" t="str">
        <f t="shared" si="104"/>
        <v>2.88572005144861,1.40572071075439</v>
      </c>
      <c r="AC292" s="17" t="str">
        <f>IF(O292="","",P292&amp;","&amp;AB$287-Variabelen!B$43)</f>
        <v>2.88572005144861,-16.0407652139664</v>
      </c>
      <c r="AD292" s="17"/>
      <c r="AE292" s="17"/>
      <c r="AF292" s="17"/>
      <c r="AG292" s="17"/>
      <c r="AH292" s="17"/>
      <c r="AI292" s="17" t="str">
        <f>IF(O292="","",P292-Variabelen!B$36&amp;","&amp;AB$287-Variabelen!B$43+Variabelen!B$36)</f>
        <v>2.80572005144861,-15.9607652139664</v>
      </c>
      <c r="AJ292" s="154">
        <f t="shared" si="105"/>
        <v>2.89</v>
      </c>
      <c r="AK292" s="17"/>
      <c r="AL292" s="17"/>
      <c r="AM292" s="17"/>
      <c r="AN292" s="17"/>
      <c r="AO292" s="17"/>
      <c r="AP292" s="17" t="str">
        <f>IF(O292="","",P292-Variabelen!B$36&amp;","&amp;AB$287-Variabelen!B$42+Variabelen!B$36)</f>
        <v>2.80572005144861,-13.7607652139664</v>
      </c>
      <c r="AQ292" s="154">
        <f t="shared" si="106"/>
        <v>3.03</v>
      </c>
      <c r="AR292" s="17"/>
      <c r="AS292" s="17"/>
      <c r="AT292" s="17"/>
      <c r="AU292" s="17"/>
      <c r="AV292" s="17" t="str">
        <f t="shared" si="107"/>
        <v>_BR</v>
      </c>
      <c r="AW292" s="17" t="str">
        <f>IF(O292="","",P292-Variabelen!B$36&amp;","&amp;AB$287-Variabelen!B$41+Variabelen!B$36)</f>
        <v>2.80572005144861,-11.5607652139664</v>
      </c>
      <c r="AX292" s="17"/>
      <c r="AY292" s="57"/>
      <c r="AZ292" s="154">
        <f t="shared" si="108"/>
        <v>7.0000000000000007E-2</v>
      </c>
      <c r="BA292" s="17"/>
      <c r="BB292" s="17"/>
      <c r="BC292" s="17"/>
      <c r="BD292" s="17"/>
      <c r="BE292" s="17" t="str">
        <f t="shared" si="109"/>
        <v>_BR</v>
      </c>
      <c r="BF292" s="17" t="str">
        <f>IF(O292="","",P292-Variabelen!B$36&amp;","&amp;AB$287-Variabelen!B$40+Variabelen!B$36)</f>
        <v>2.80572005144861,-9.76076521396637</v>
      </c>
      <c r="BG292" s="17"/>
      <c r="BH292" s="57"/>
      <c r="BI292" s="154">
        <f t="shared" si="110"/>
        <v>-0.98</v>
      </c>
      <c r="BJ292" s="17"/>
      <c r="BP292" s="17"/>
      <c r="BQ292" s="17"/>
      <c r="BR292" s="17"/>
      <c r="BS292" s="17"/>
      <c r="BU292" s="29"/>
      <c r="BY292" s="31"/>
      <c r="CB292" s="27"/>
    </row>
    <row r="293" spans="1:80" x14ac:dyDescent="0.25">
      <c r="A293" s="85">
        <f t="shared" si="111"/>
        <v>3</v>
      </c>
      <c r="B293" s="296">
        <f t="shared" si="112"/>
        <v>103897.7163973625</v>
      </c>
      <c r="C293" s="296">
        <f t="shared" si="113"/>
        <v>489289.32607408171</v>
      </c>
      <c r="D293" s="85">
        <f>_xlfn.SINGLE(_xlfn.XLOOKUP(B293,B$273:B$284,A$273:A$284,D292))</f>
        <v>1</v>
      </c>
      <c r="E293" s="17">
        <f t="shared" si="114"/>
        <v>0.38768131205870304</v>
      </c>
      <c r="F293" s="17">
        <f t="shared" si="115"/>
        <v>-0.10805969184730202</v>
      </c>
      <c r="G293" s="17" t="str">
        <f t="shared" si="116"/>
        <v>103897.716397362,489289.326074082</v>
      </c>
      <c r="H293" s="16">
        <v>3</v>
      </c>
      <c r="I293" s="16">
        <f t="shared" si="117"/>
        <v>3</v>
      </c>
      <c r="J293" s="209">
        <f t="shared" si="118"/>
        <v>0.40245955911332426</v>
      </c>
      <c r="K293" s="209">
        <f t="shared" si="119"/>
        <v>0.80491911822503748</v>
      </c>
      <c r="L293" s="692">
        <v>0.95961517095565796</v>
      </c>
      <c r="M293" s="17" t="str">
        <f t="shared" ref="M293:M355" si="128">IF(L293="","",K293&amp;","&amp;L293)</f>
        <v>0.804919118225037,0.959615170955658</v>
      </c>
      <c r="O293" s="85">
        <f t="shared" si="120"/>
        <v>3</v>
      </c>
      <c r="P293" s="85">
        <f t="shared" si="121"/>
        <v>5.7714401028972118</v>
      </c>
      <c r="Q293" s="233" t="str">
        <f t="shared" si="122"/>
        <v/>
      </c>
      <c r="R293" s="17">
        <f t="shared" si="123"/>
        <v>2.8857200514486059</v>
      </c>
      <c r="S293" s="235">
        <f t="shared" ref="S293:S324" si="129">IF(O292&lt;=Q$270,S$273+(O292*T$274/Q$269),IF(O292&lt;=R$270,S$274+(Z$265-DEGREES(ASIN((R$275*(R$269-(O292-Q$270))/R$269)/Z$266)))*2*Z$266*PI()/360,IF(O292&lt;=S$270,S$275+((O292-R$270)*T$276/S$269),IF(O292&lt;=T$270,S$276+(DEGREES(ASIN(((O292-S$270)*(P$277-P$276)/T$269)/Z$269)))*2*Z$269*PI()/360,IF(O292&lt;=U$270,S$277+((O292-T$270)*T$278/U$269),"Formule bijwerken voor T6")))))</f>
        <v>6.0684512476502359</v>
      </c>
      <c r="T293" s="17">
        <f t="shared" si="124"/>
        <v>3.034225623825118</v>
      </c>
      <c r="U293" s="85">
        <f t="shared" si="125"/>
        <v>-1.8752545650597754</v>
      </c>
      <c r="V293" s="17">
        <f t="shared" si="126"/>
        <v>-0.9376272825298877</v>
      </c>
      <c r="W293" s="17">
        <f t="shared" si="100"/>
        <v>-0.86601977902614546</v>
      </c>
      <c r="X293" s="17">
        <f t="shared" si="127"/>
        <v>-2.0250523622628394</v>
      </c>
      <c r="Y293" s="85">
        <f t="shared" si="101"/>
        <v>0</v>
      </c>
      <c r="Z293" s="17">
        <f t="shared" si="102"/>
        <v>3</v>
      </c>
      <c r="AA293" s="17" t="str">
        <f t="shared" si="103"/>
        <v>LINE</v>
      </c>
      <c r="AB293" s="17" t="str">
        <f t="shared" si="104"/>
        <v>5.77144010289721,1.40572071075439</v>
      </c>
      <c r="AC293" s="17" t="str">
        <f>IF(O293="","",P293&amp;","&amp;AB$287-Variabelen!B$43)</f>
        <v>5.77144010289721,-16.0407652139664</v>
      </c>
      <c r="AD293" s="17"/>
      <c r="AE293" s="17"/>
      <c r="AF293" s="17"/>
      <c r="AG293" s="17"/>
      <c r="AH293" s="17"/>
      <c r="AI293" s="17" t="str">
        <f>IF(O293="","",P293-Variabelen!B$36&amp;","&amp;AB$287-Variabelen!B$43+Variabelen!B$36)</f>
        <v>5.69144010289721,-15.9607652139664</v>
      </c>
      <c r="AJ293" s="154">
        <f t="shared" si="105"/>
        <v>5.77</v>
      </c>
      <c r="AK293" s="17"/>
      <c r="AL293" s="17"/>
      <c r="AM293" s="17"/>
      <c r="AN293" s="17"/>
      <c r="AO293" s="17"/>
      <c r="AP293" s="17" t="str">
        <f>IF(O293="","",P293-Variabelen!B$36&amp;","&amp;AB$287-Variabelen!B$42+Variabelen!B$36)</f>
        <v>5.69144010289721,-13.7607652139664</v>
      </c>
      <c r="AQ293" s="154">
        <f t="shared" si="106"/>
        <v>6.07</v>
      </c>
      <c r="AR293" s="17"/>
      <c r="AS293" s="17"/>
      <c r="AT293" s="17"/>
      <c r="AU293" s="17"/>
      <c r="AV293" s="17" t="str">
        <f t="shared" si="107"/>
        <v>_BR</v>
      </c>
      <c r="AW293" s="17" t="str">
        <f>IF(O293="","",P293-Variabelen!B$36&amp;","&amp;AB$287-Variabelen!B$41+Variabelen!B$36)</f>
        <v>5.69144010289721,-11.5607652139664</v>
      </c>
      <c r="AX293" s="17"/>
      <c r="AY293" s="57"/>
      <c r="AZ293" s="154">
        <f t="shared" si="108"/>
        <v>-0.87</v>
      </c>
      <c r="BA293" s="17"/>
      <c r="BB293" s="17"/>
      <c r="BC293" s="17"/>
      <c r="BD293" s="17"/>
      <c r="BE293" s="17" t="str">
        <f t="shared" si="109"/>
        <v>_BR</v>
      </c>
      <c r="BF293" s="17" t="str">
        <f>IF(O293="","",P293-Variabelen!B$36&amp;","&amp;AB$287-Variabelen!B$40+Variabelen!B$36)</f>
        <v>5.69144010289721,-9.76076521396637</v>
      </c>
      <c r="BG293" s="17"/>
      <c r="BH293" s="57"/>
      <c r="BI293" s="154">
        <f t="shared" si="110"/>
        <v>-2.0299999999999998</v>
      </c>
      <c r="BJ293" s="17"/>
      <c r="BP293" s="17"/>
      <c r="BQ293" s="17"/>
      <c r="BR293" s="17"/>
      <c r="BS293" s="17"/>
      <c r="BU293" s="29"/>
      <c r="BY293" s="31"/>
      <c r="CB293" s="27"/>
    </row>
    <row r="294" spans="1:80" x14ac:dyDescent="0.25">
      <c r="A294" s="85">
        <f t="shared" si="111"/>
        <v>4</v>
      </c>
      <c r="B294" s="296">
        <f t="shared" si="112"/>
        <v>103898.10407867457</v>
      </c>
      <c r="C294" s="296">
        <f t="shared" si="113"/>
        <v>489289.21801438992</v>
      </c>
      <c r="D294" s="85">
        <f>_xlfn.SINGLE(_xlfn.XLOOKUP(B294,B$273:B$284,A$273:A$284,D293))</f>
        <v>1</v>
      </c>
      <c r="E294" s="17">
        <f t="shared" si="114"/>
        <v>0.38768131207325496</v>
      </c>
      <c r="F294" s="17">
        <f t="shared" si="115"/>
        <v>-0.10805969178909436</v>
      </c>
      <c r="G294" s="17" t="str">
        <f t="shared" si="116"/>
        <v>103898.104078675,489289.21801439</v>
      </c>
      <c r="H294" s="16">
        <v>4</v>
      </c>
      <c r="I294" s="16">
        <f t="shared" si="117"/>
        <v>4</v>
      </c>
      <c r="J294" s="209">
        <f t="shared" si="118"/>
        <v>0.40245955911171322</v>
      </c>
      <c r="K294" s="209">
        <f t="shared" si="119"/>
        <v>1.2073786773367507</v>
      </c>
      <c r="L294" s="692">
        <v>0.94730406999588013</v>
      </c>
      <c r="M294" s="17" t="str">
        <f t="shared" si="128"/>
        <v>1.20737867733675,0.94730406999588</v>
      </c>
      <c r="O294" s="85">
        <f t="shared" si="120"/>
        <v>4</v>
      </c>
      <c r="P294" s="85">
        <f t="shared" si="121"/>
        <v>8.657160154345819</v>
      </c>
      <c r="Q294" s="233" t="str">
        <f t="shared" si="122"/>
        <v/>
      </c>
      <c r="R294" s="17">
        <f t="shared" si="123"/>
        <v>2.8857200514486072</v>
      </c>
      <c r="S294" s="235">
        <f t="shared" si="129"/>
        <v>9.102676871475353</v>
      </c>
      <c r="T294" s="17">
        <f t="shared" si="124"/>
        <v>3.0342256238251171</v>
      </c>
      <c r="U294" s="85">
        <f t="shared" si="125"/>
        <v>-2.8128818475896629</v>
      </c>
      <c r="V294" s="17">
        <f t="shared" si="126"/>
        <v>-0.93762728252988747</v>
      </c>
      <c r="W294" s="17">
        <f t="shared" si="100"/>
        <v>-1.8036470615560329</v>
      </c>
      <c r="X294" s="17">
        <f t="shared" si="127"/>
        <v>-2.9959713422948639</v>
      </c>
      <c r="Y294" s="85">
        <f t="shared" si="101"/>
        <v>0</v>
      </c>
      <c r="Z294" s="17">
        <f t="shared" si="102"/>
        <v>4</v>
      </c>
      <c r="AA294" s="17" t="str">
        <f t="shared" si="103"/>
        <v>LINE</v>
      </c>
      <c r="AB294" s="17" t="str">
        <f t="shared" si="104"/>
        <v>8.65716015434582,1.40572071075439</v>
      </c>
      <c r="AC294" s="17" t="str">
        <f>IF(O294="","",P294&amp;","&amp;AB$287-Variabelen!B$43)</f>
        <v>8.65716015434582,-16.0407652139664</v>
      </c>
      <c r="AD294" s="17"/>
      <c r="AE294" s="17"/>
      <c r="AF294" s="17"/>
      <c r="AG294" s="17"/>
      <c r="AH294" s="17"/>
      <c r="AI294" s="17" t="str">
        <f>IF(O294="","",P294-Variabelen!B$36&amp;","&amp;AB$287-Variabelen!B$43+Variabelen!B$36)</f>
        <v>8.57716015434582,-15.9607652139664</v>
      </c>
      <c r="AJ294" s="154">
        <f t="shared" si="105"/>
        <v>8.66</v>
      </c>
      <c r="AK294" s="17"/>
      <c r="AL294" s="17"/>
      <c r="AM294" s="17"/>
      <c r="AN294" s="17"/>
      <c r="AO294" s="17"/>
      <c r="AP294" s="17" t="str">
        <f>IF(O294="","",P294-Variabelen!B$36&amp;","&amp;AB$287-Variabelen!B$42+Variabelen!B$36)</f>
        <v>8.57716015434582,-13.7607652139664</v>
      </c>
      <c r="AQ294" s="154">
        <f t="shared" si="106"/>
        <v>9.1</v>
      </c>
      <c r="AR294" s="17"/>
      <c r="AS294" s="17"/>
      <c r="AT294" s="17"/>
      <c r="AU294" s="17"/>
      <c r="AV294" s="17" t="str">
        <f t="shared" si="107"/>
        <v>_BR</v>
      </c>
      <c r="AW294" s="17" t="str">
        <f>IF(O294="","",P294-Variabelen!B$36&amp;","&amp;AB$287-Variabelen!B$41+Variabelen!B$36)</f>
        <v>8.57716015434582,-11.5607652139664</v>
      </c>
      <c r="AX294" s="17"/>
      <c r="AY294" s="57"/>
      <c r="AZ294" s="154">
        <f t="shared" si="108"/>
        <v>-1.8</v>
      </c>
      <c r="BA294" s="17"/>
      <c r="BB294" s="17"/>
      <c r="BC294" s="17"/>
      <c r="BD294" s="17"/>
      <c r="BE294" s="17" t="str">
        <f t="shared" si="109"/>
        <v>_BR</v>
      </c>
      <c r="BF294" s="17" t="str">
        <f>IF(O294="","",P294-Variabelen!B$36&amp;","&amp;AB$287-Variabelen!B$40+Variabelen!B$36)</f>
        <v>8.57716015434582,-9.76076521396637</v>
      </c>
      <c r="BG294" s="17"/>
      <c r="BH294" s="57"/>
      <c r="BI294" s="154">
        <f t="shared" si="110"/>
        <v>-3</v>
      </c>
      <c r="BJ294" s="17"/>
      <c r="BP294" s="17"/>
      <c r="BQ294" s="17"/>
      <c r="BR294" s="17"/>
      <c r="BS294" s="17"/>
      <c r="BU294" s="29"/>
      <c r="BY294" s="31"/>
      <c r="CB294" s="27"/>
    </row>
    <row r="295" spans="1:80" x14ac:dyDescent="0.25">
      <c r="A295" s="85">
        <f t="shared" si="111"/>
        <v>5</v>
      </c>
      <c r="B295" s="296">
        <f t="shared" si="112"/>
        <v>103898.49175998665</v>
      </c>
      <c r="C295" s="296">
        <f t="shared" si="113"/>
        <v>489289.10995469813</v>
      </c>
      <c r="D295" s="85">
        <f>_xlfn.SINGLE(_xlfn.XLOOKUP(B295,B$273:B$284,A$273:A$284,D294))</f>
        <v>1</v>
      </c>
      <c r="E295" s="17">
        <f t="shared" si="114"/>
        <v>0.38768131207325496</v>
      </c>
      <c r="F295" s="17">
        <f t="shared" si="115"/>
        <v>-0.10805969178909436</v>
      </c>
      <c r="G295" s="17" t="str">
        <f t="shared" si="116"/>
        <v>103898.491759987,489289.109954698</v>
      </c>
      <c r="H295" s="16">
        <v>5</v>
      </c>
      <c r="I295" s="16">
        <f t="shared" si="117"/>
        <v>5</v>
      </c>
      <c r="J295" s="209">
        <f t="shared" si="118"/>
        <v>0.40245955911171322</v>
      </c>
      <c r="K295" s="209">
        <f t="shared" si="119"/>
        <v>1.609838236448464</v>
      </c>
      <c r="L295" s="692">
        <v>0.96984690427780151</v>
      </c>
      <c r="M295" s="17" t="str">
        <f t="shared" si="128"/>
        <v>1.60983823644846,0.969846904277802</v>
      </c>
      <c r="O295" s="85">
        <f t="shared" si="120"/>
        <v>5</v>
      </c>
      <c r="P295" s="85">
        <f t="shared" si="121"/>
        <v>11.542880205794424</v>
      </c>
      <c r="Q295" s="233" t="str">
        <f t="shared" si="122"/>
        <v/>
      </c>
      <c r="R295" s="17">
        <f t="shared" si="123"/>
        <v>2.8857200514486046</v>
      </c>
      <c r="S295" s="235">
        <f t="shared" si="129"/>
        <v>12.136902495300472</v>
      </c>
      <c r="T295" s="17">
        <f t="shared" si="124"/>
        <v>3.0342256238251188</v>
      </c>
      <c r="U295" s="85">
        <f t="shared" si="125"/>
        <v>-3.7505091301195508</v>
      </c>
      <c r="V295" s="17">
        <f t="shared" si="126"/>
        <v>-0.93762728252988792</v>
      </c>
      <c r="W295" s="17">
        <f t="shared" si="100"/>
        <v>-2.7412743440859209</v>
      </c>
      <c r="X295" s="17">
        <f t="shared" si="127"/>
        <v>-3.9475762716524487</v>
      </c>
      <c r="Y295" s="85">
        <f t="shared" si="101"/>
        <v>0</v>
      </c>
      <c r="Z295" s="17">
        <f t="shared" si="102"/>
        <v>5</v>
      </c>
      <c r="AA295" s="17" t="str">
        <f t="shared" si="103"/>
        <v>LINE</v>
      </c>
      <c r="AB295" s="17" t="str">
        <f t="shared" si="104"/>
        <v>11.5428802057944,1.40572071075439</v>
      </c>
      <c r="AC295" s="17" t="str">
        <f>IF(O295="","",P295&amp;","&amp;AB$287-Variabelen!B$43)</f>
        <v>11.5428802057944,-16.0407652139664</v>
      </c>
      <c r="AD295" s="17"/>
      <c r="AE295" s="17"/>
      <c r="AF295" s="17" t="str">
        <f>IF(J19="","","TEXT")</f>
        <v>TEXT</v>
      </c>
      <c r="AG295" s="17" t="str">
        <f>IF(AF295="","","_Justify")</f>
        <v>_Justify</v>
      </c>
      <c r="AH295" s="17" t="str">
        <f>IF(AF295="","","_BL")</f>
        <v>_BL</v>
      </c>
      <c r="AI295" s="17" t="str">
        <f>IF(O295="","",P295-Variabelen!B$36&amp;","&amp;AB$287-Variabelen!B$43+Variabelen!B$36)</f>
        <v>11.4628802057944,-15.9607652139664</v>
      </c>
      <c r="AJ295" s="154">
        <f t="shared" si="105"/>
        <v>11.54</v>
      </c>
      <c r="AK295" s="146"/>
      <c r="AL295" s="17"/>
      <c r="AM295" s="17" t="str">
        <f>IF(AF295="","","TEXT")</f>
        <v>TEXT</v>
      </c>
      <c r="AN295" s="17" t="str">
        <f>IF(AM295="","","_Justify")</f>
        <v>_Justify</v>
      </c>
      <c r="AO295" s="17" t="str">
        <f>IF(AN295="","","_BL")</f>
        <v>_BL</v>
      </c>
      <c r="AP295" s="17" t="str">
        <f>IF(O295="","",P295-Variabelen!B$36&amp;","&amp;AB$287-Variabelen!B$42+Variabelen!B$36)</f>
        <v>11.4628802057944,-13.7607652139664</v>
      </c>
      <c r="AQ295" s="154">
        <f t="shared" si="106"/>
        <v>12.14</v>
      </c>
      <c r="AR295" s="146"/>
      <c r="AS295" s="17"/>
      <c r="AT295" s="17" t="e">
        <f>IF(M19="","","TEXT")</f>
        <v>#NUM!</v>
      </c>
      <c r="AU295" s="17" t="e">
        <f>IF(AT295="","","_Justify")</f>
        <v>#NUM!</v>
      </c>
      <c r="AV295" s="17" t="str">
        <f t="shared" si="107"/>
        <v>_BR</v>
      </c>
      <c r="AW295" s="17" t="str">
        <f>IF(O295="","",P295-Variabelen!B$36&amp;","&amp;AB$287-Variabelen!B$41+Variabelen!B$36)</f>
        <v>11.4628802057944,-11.5607652139664</v>
      </c>
      <c r="AX295" s="17" t="e">
        <f>IF(M19="","",IF(AND(AB295&lt;&gt;"L",3.5*Variabelen!L$32&gt;O17),0.9*Variabelen!L$32*O17/(3.5*Variabelen!L$32),Variabelen!L$32))</f>
        <v>#NUM!</v>
      </c>
      <c r="AY295" s="57" t="e">
        <f>IF(M19="","",IF(3.5*Variabelen!L$32&gt;O17,90,0))</f>
        <v>#NUM!</v>
      </c>
      <c r="AZ295" s="154">
        <f t="shared" si="108"/>
        <v>-2.74</v>
      </c>
      <c r="BA295" s="146"/>
      <c r="BB295" s="17"/>
      <c r="BC295" s="17" t="str">
        <f>IF(Z295="","","TEXT")</f>
        <v>TEXT</v>
      </c>
      <c r="BD295" s="17" t="str">
        <f>IF(BC295="","","_Justify")</f>
        <v>_Justify</v>
      </c>
      <c r="BE295" s="17" t="str">
        <f t="shared" si="109"/>
        <v>_BR</v>
      </c>
      <c r="BF295" s="17" t="str">
        <f>IF(O295="","",P295-Variabelen!B$36&amp;","&amp;AB$287-Variabelen!B$40+Variabelen!B$36)</f>
        <v>11.4628802057944,-9.76076521396637</v>
      </c>
      <c r="BG295" s="17"/>
      <c r="BH295" s="57"/>
      <c r="BI295" s="154">
        <f t="shared" si="110"/>
        <v>-3.95</v>
      </c>
      <c r="BJ295" s="146"/>
      <c r="BN295" s="16">
        <f>IF(BO295="","",BN291+1)</f>
        <v>1</v>
      </c>
      <c r="BO295" s="16">
        <f>IF(BO291&lt;&gt;"",IF(BO291&gt;(AB$287+1),BO291-1,""),"")</f>
        <v>0</v>
      </c>
      <c r="BP295" s="17" t="str">
        <f>IF(BO295="","","LINE")</f>
        <v>LINE</v>
      </c>
      <c r="BQ295" s="17" t="str">
        <f>IF(BO295="","",-Variabelen!B$30&amp;","&amp;BO295)</f>
        <v>-0.5,0</v>
      </c>
      <c r="BR295" s="17" t="str">
        <f>IF(BO295="","",C$16+Variabelen!B$30&amp;","&amp;BO295)</f>
        <v>227.222690871591,0</v>
      </c>
      <c r="BS295" s="17"/>
      <c r="BU295" s="29" t="str">
        <f>IF(BO295="","","TEXT")</f>
        <v>TEXT</v>
      </c>
      <c r="BV295" s="16" t="str">
        <f>IF(BO295="","","_Justify")</f>
        <v>_Justify</v>
      </c>
      <c r="BW295" s="16" t="str">
        <f>IF(BO295="","","_R")</f>
        <v>_R</v>
      </c>
      <c r="BX295" s="16" t="str">
        <f>IF(BO295="","",-Variabelen!B$31&amp;","&amp;BO295-0.5*BY295)</f>
        <v>-1,-0.225</v>
      </c>
      <c r="BY295" s="31">
        <f>Variabelen!B$32</f>
        <v>0.45</v>
      </c>
      <c r="BZ295" s="16">
        <f>IF(BO295="","",0)</f>
        <v>0</v>
      </c>
      <c r="CA295" s="16" t="str">
        <f>IF(BO295="","",IF(BO295=0,"N.A.P.",IF(BO295&gt;0,("+"&amp;BO295&amp;",0")," "&amp;BO295&amp;",0")))</f>
        <v>N.A.P.</v>
      </c>
      <c r="CB295" s="27"/>
    </row>
    <row r="296" spans="1:80" x14ac:dyDescent="0.25">
      <c r="A296" s="85">
        <f t="shared" si="111"/>
        <v>6</v>
      </c>
      <c r="B296" s="296">
        <f t="shared" si="112"/>
        <v>103898.87944129872</v>
      </c>
      <c r="C296" s="296">
        <f t="shared" si="113"/>
        <v>489289.00189500634</v>
      </c>
      <c r="D296" s="85">
        <f>_xlfn.XLOOKUP(B296,B$273:B$284,A$273:A$284,D295)</f>
        <v>1</v>
      </c>
      <c r="E296" s="17">
        <f t="shared" si="114"/>
        <v>0.38768131207325496</v>
      </c>
      <c r="F296" s="17">
        <f t="shared" si="115"/>
        <v>-0.10805969178909436</v>
      </c>
      <c r="G296" s="17" t="str">
        <f t="shared" si="116"/>
        <v>103898.879441299,489289.001895006</v>
      </c>
      <c r="H296" s="16">
        <v>6</v>
      </c>
      <c r="I296" s="16">
        <f t="shared" si="117"/>
        <v>6</v>
      </c>
      <c r="J296" s="209">
        <f t="shared" si="118"/>
        <v>0.40245955911171322</v>
      </c>
      <c r="K296" s="209">
        <f t="shared" si="119"/>
        <v>2.0122977955601771</v>
      </c>
      <c r="L296" s="692">
        <v>0.9715915322303772</v>
      </c>
      <c r="M296" s="17" t="str">
        <f t="shared" si="128"/>
        <v>2.01229779556018,0.971591532230377</v>
      </c>
      <c r="O296" s="85">
        <f t="shared" si="120"/>
        <v>6</v>
      </c>
      <c r="P296" s="85">
        <f t="shared" si="121"/>
        <v>14.42860025724303</v>
      </c>
      <c r="Q296" s="233" t="str">
        <f t="shared" si="122"/>
        <v/>
      </c>
      <c r="R296" s="17">
        <f t="shared" si="123"/>
        <v>2.8857200514486063</v>
      </c>
      <c r="S296" s="235">
        <f t="shared" si="129"/>
        <v>15.171128119125589</v>
      </c>
      <c r="T296" s="17">
        <f t="shared" si="124"/>
        <v>3.0342256238251171</v>
      </c>
      <c r="U296" s="85">
        <f t="shared" si="125"/>
        <v>-4.6881364126494391</v>
      </c>
      <c r="V296" s="17">
        <f t="shared" si="126"/>
        <v>-0.93762728252988836</v>
      </c>
      <c r="W296" s="17">
        <f t="shared" si="100"/>
        <v>-3.6789016266158092</v>
      </c>
      <c r="X296" s="17">
        <f t="shared" si="127"/>
        <v>-4.9177286167433722</v>
      </c>
      <c r="Y296" s="85">
        <f t="shared" si="101"/>
        <v>0</v>
      </c>
      <c r="Z296" s="17">
        <f t="shared" si="102"/>
        <v>6</v>
      </c>
      <c r="AA296" s="17" t="str">
        <f t="shared" si="103"/>
        <v>LINE</v>
      </c>
      <c r="AB296" s="17" t="str">
        <f t="shared" si="104"/>
        <v>14.428600257243,1.40572071075439</v>
      </c>
      <c r="AC296" s="17" t="str">
        <f>IF(O296="","",P296&amp;","&amp;AB$287-Variabelen!B$43)</f>
        <v>14.428600257243,-16.0407652139664</v>
      </c>
      <c r="AD296" s="17"/>
      <c r="AE296" s="17"/>
      <c r="AF296" s="17"/>
      <c r="AG296" s="17"/>
      <c r="AH296" s="17"/>
      <c r="AI296" s="17" t="str">
        <f>IF(O296="","",P296-Variabelen!B$36&amp;","&amp;AB$287-Variabelen!B$43+Variabelen!B$36)</f>
        <v>14.348600257243,-15.9607652139664</v>
      </c>
      <c r="AJ296" s="154">
        <f t="shared" si="105"/>
        <v>14.43</v>
      </c>
      <c r="AK296" s="146"/>
      <c r="AL296" s="17"/>
      <c r="AM296" s="17"/>
      <c r="AN296" s="17"/>
      <c r="AO296" s="17"/>
      <c r="AP296" s="17" t="str">
        <f>IF(O296="","",P296-Variabelen!B$36&amp;","&amp;AB$287-Variabelen!B$42+Variabelen!B$36)</f>
        <v>14.348600257243,-13.7607652139664</v>
      </c>
      <c r="AQ296" s="154">
        <f t="shared" si="106"/>
        <v>15.17</v>
      </c>
      <c r="AR296" s="146"/>
      <c r="AS296" s="17"/>
      <c r="AT296" s="17"/>
      <c r="AU296" s="17"/>
      <c r="AV296" s="17" t="str">
        <f t="shared" si="107"/>
        <v>_BR</v>
      </c>
      <c r="AW296" s="17" t="str">
        <f>IF(O296="","",P296-Variabelen!B$36&amp;","&amp;AB$287-Variabelen!B$41+Variabelen!B$36)</f>
        <v>14.348600257243,-11.5607652139664</v>
      </c>
      <c r="AX296" s="17"/>
      <c r="AY296" s="57"/>
      <c r="AZ296" s="154">
        <f t="shared" si="108"/>
        <v>-3.68</v>
      </c>
      <c r="BA296" s="146"/>
      <c r="BB296" s="17"/>
      <c r="BC296" s="17"/>
      <c r="BD296" s="17"/>
      <c r="BE296" s="17" t="str">
        <f t="shared" si="109"/>
        <v>_BR</v>
      </c>
      <c r="BF296" s="17" t="str">
        <f>IF(O296="","",P296-Variabelen!B$36&amp;","&amp;AB$287-Variabelen!B$40+Variabelen!B$36)</f>
        <v>14.348600257243,-9.76076521396637</v>
      </c>
      <c r="BG296" s="17"/>
      <c r="BH296" s="57"/>
      <c r="BI296" s="154">
        <f t="shared" si="110"/>
        <v>-4.92</v>
      </c>
      <c r="BJ296" s="146"/>
      <c r="BP296" s="17"/>
      <c r="BQ296" s="17"/>
      <c r="BR296" s="17"/>
      <c r="BS296" s="17"/>
      <c r="BU296" s="29"/>
      <c r="BY296" s="31"/>
      <c r="CB296" s="27"/>
    </row>
    <row r="297" spans="1:80" x14ac:dyDescent="0.25">
      <c r="A297" s="85">
        <f t="shared" si="111"/>
        <v>7</v>
      </c>
      <c r="B297" s="296">
        <f t="shared" si="112"/>
        <v>103899.26712261078</v>
      </c>
      <c r="C297" s="296">
        <f t="shared" si="113"/>
        <v>489288.89383531449</v>
      </c>
      <c r="D297" s="85">
        <f t="shared" ref="D297:D360" si="130">_xlfn.SINGLE(_xlfn.XLOOKUP(B297,B$273:B$284,A$273:A$284,D296))</f>
        <v>1</v>
      </c>
      <c r="E297" s="17">
        <f t="shared" si="114"/>
        <v>0.38768131205870304</v>
      </c>
      <c r="F297" s="17">
        <f t="shared" si="115"/>
        <v>-0.10805969184730202</v>
      </c>
      <c r="G297" s="17" t="str">
        <f t="shared" si="116"/>
        <v>103899.267122611,489288.893835314</v>
      </c>
      <c r="H297" s="16">
        <v>7</v>
      </c>
      <c r="I297" s="16">
        <f t="shared" si="117"/>
        <v>7</v>
      </c>
      <c r="J297" s="209">
        <f t="shared" si="118"/>
        <v>0.40245955911332426</v>
      </c>
      <c r="K297" s="209">
        <f t="shared" si="119"/>
        <v>2.4147573546735015</v>
      </c>
      <c r="L297" s="692">
        <v>1.014147996902466</v>
      </c>
      <c r="M297" s="17" t="str">
        <f t="shared" si="128"/>
        <v>2.4147573546735,1.01414799690247</v>
      </c>
      <c r="O297" s="85">
        <f t="shared" si="120"/>
        <v>7</v>
      </c>
      <c r="P297" s="85">
        <f t="shared" si="121"/>
        <v>17.314320308691638</v>
      </c>
      <c r="Q297" s="233" t="str">
        <f t="shared" si="122"/>
        <v/>
      </c>
      <c r="R297" s="17">
        <f t="shared" si="123"/>
        <v>2.8857200514486081</v>
      </c>
      <c r="S297" s="235">
        <f t="shared" si="129"/>
        <v>18.205353742950706</v>
      </c>
      <c r="T297" s="17">
        <f t="shared" si="124"/>
        <v>3.0342256238251171</v>
      </c>
      <c r="U297" s="85">
        <f t="shared" si="125"/>
        <v>-5.6257636951793257</v>
      </c>
      <c r="V297" s="17">
        <f t="shared" si="126"/>
        <v>-0.93762728252988659</v>
      </c>
      <c r="W297" s="17">
        <f t="shared" si="100"/>
        <v>-4.6165289091456962</v>
      </c>
      <c r="X297" s="17">
        <f t="shared" si="127"/>
        <v>-5.8535731243480278</v>
      </c>
      <c r="Y297" s="85">
        <f t="shared" si="101"/>
        <v>0</v>
      </c>
      <c r="Z297" s="17">
        <f t="shared" si="102"/>
        <v>7</v>
      </c>
      <c r="AA297" s="17" t="str">
        <f t="shared" si="103"/>
        <v>LINE</v>
      </c>
      <c r="AB297" s="17" t="str">
        <f t="shared" si="104"/>
        <v>17.3143203086916,1.40572071075439</v>
      </c>
      <c r="AC297" s="17" t="str">
        <f>IF(O297="","",P297&amp;","&amp;AB$287-Variabelen!B$43)</f>
        <v>17.3143203086916,-16.0407652139664</v>
      </c>
      <c r="AD297" s="17"/>
      <c r="AE297" s="17"/>
      <c r="AF297" s="17"/>
      <c r="AG297" s="17"/>
      <c r="AH297" s="17"/>
      <c r="AI297" s="17" t="str">
        <f>IF(O297="","",P297-Variabelen!B$36&amp;","&amp;AB$287-Variabelen!B$43+Variabelen!B$36)</f>
        <v>17.2343203086916,-15.9607652139664</v>
      </c>
      <c r="AJ297" s="154">
        <f t="shared" si="105"/>
        <v>17.309999999999999</v>
      </c>
      <c r="AK297" s="146"/>
      <c r="AL297" s="17"/>
      <c r="AM297" s="17"/>
      <c r="AN297" s="17"/>
      <c r="AO297" s="17"/>
      <c r="AP297" s="17" t="str">
        <f>IF(O297="","",P297-Variabelen!B$36&amp;","&amp;AB$287-Variabelen!B$42+Variabelen!B$36)</f>
        <v>17.2343203086916,-13.7607652139664</v>
      </c>
      <c r="AQ297" s="154">
        <f t="shared" si="106"/>
        <v>18.21</v>
      </c>
      <c r="AR297" s="146"/>
      <c r="AS297" s="17"/>
      <c r="AT297" s="17"/>
      <c r="AU297" s="17"/>
      <c r="AV297" s="17" t="str">
        <f t="shared" si="107"/>
        <v>_BR</v>
      </c>
      <c r="AW297" s="17" t="str">
        <f>IF(O297="","",P297-Variabelen!B$36&amp;","&amp;AB$287-Variabelen!B$41+Variabelen!B$36)</f>
        <v>17.2343203086916,-11.5607652139664</v>
      </c>
      <c r="AX297" s="17"/>
      <c r="AY297" s="57"/>
      <c r="AZ297" s="154">
        <f t="shared" si="108"/>
        <v>-4.62</v>
      </c>
      <c r="BA297" s="146"/>
      <c r="BB297" s="17"/>
      <c r="BC297" s="17"/>
      <c r="BD297" s="17"/>
      <c r="BE297" s="17" t="str">
        <f t="shared" si="109"/>
        <v>_BR</v>
      </c>
      <c r="BF297" s="17" t="str">
        <f>IF(O297="","",P297-Variabelen!B$36&amp;","&amp;AB$287-Variabelen!B$40+Variabelen!B$36)</f>
        <v>17.2343203086916,-9.76076521396637</v>
      </c>
      <c r="BG297" s="17"/>
      <c r="BH297" s="57"/>
      <c r="BI297" s="154">
        <f t="shared" si="110"/>
        <v>-5.85</v>
      </c>
      <c r="BJ297" s="146"/>
      <c r="BP297" s="17"/>
      <c r="BQ297" s="17"/>
      <c r="BR297" s="17"/>
      <c r="BS297" s="17"/>
      <c r="BU297" s="29"/>
      <c r="BY297" s="31"/>
      <c r="CB297" s="27"/>
    </row>
    <row r="298" spans="1:80" x14ac:dyDescent="0.25">
      <c r="A298" s="85">
        <f t="shared" si="111"/>
        <v>8</v>
      </c>
      <c r="B298" s="296">
        <f t="shared" si="112"/>
        <v>103899.65480392285</v>
      </c>
      <c r="C298" s="296">
        <f t="shared" si="113"/>
        <v>489288.7857756227</v>
      </c>
      <c r="D298" s="85">
        <f t="shared" si="130"/>
        <v>1</v>
      </c>
      <c r="E298" s="17">
        <f t="shared" si="114"/>
        <v>0.38768131207325496</v>
      </c>
      <c r="F298" s="17">
        <f t="shared" si="115"/>
        <v>-0.10805969178909436</v>
      </c>
      <c r="G298" s="17" t="str">
        <f t="shared" si="116"/>
        <v>103899.654803923,489288.785775623</v>
      </c>
      <c r="H298" s="16">
        <v>8</v>
      </c>
      <c r="I298" s="16">
        <f t="shared" si="117"/>
        <v>8</v>
      </c>
      <c r="J298" s="209">
        <f t="shared" si="118"/>
        <v>0.40245955911171322</v>
      </c>
      <c r="K298" s="209">
        <f t="shared" si="119"/>
        <v>2.8172169137852148</v>
      </c>
      <c r="L298" s="692">
        <v>1.055411219596863</v>
      </c>
      <c r="M298" s="17" t="str">
        <f t="shared" si="128"/>
        <v>2.81721691378521,1.05541121959686</v>
      </c>
      <c r="O298" s="85">
        <f t="shared" si="120"/>
        <v>8</v>
      </c>
      <c r="P298" s="85">
        <f t="shared" si="121"/>
        <v>20.200040360140243</v>
      </c>
      <c r="Q298" s="233">
        <f t="shared" si="122"/>
        <v>0</v>
      </c>
      <c r="R298" s="17">
        <f t="shared" si="123"/>
        <v>2.8857200514486046</v>
      </c>
      <c r="S298" s="235">
        <f t="shared" si="129"/>
        <v>21.239579366775825</v>
      </c>
      <c r="T298" s="17">
        <f t="shared" si="124"/>
        <v>3.0342256238251188</v>
      </c>
      <c r="U298" s="85">
        <f t="shared" si="125"/>
        <v>-6.5633909777092141</v>
      </c>
      <c r="V298" s="17">
        <f t="shared" si="126"/>
        <v>-0.93762728252988836</v>
      </c>
      <c r="W298" s="17">
        <f t="shared" si="100"/>
        <v>-5.5541561916755846</v>
      </c>
      <c r="X298" s="17">
        <f t="shared" si="127"/>
        <v>-6.8063110187935045</v>
      </c>
      <c r="Y298" s="85">
        <f t="shared" si="101"/>
        <v>1</v>
      </c>
      <c r="Z298" s="17">
        <f t="shared" si="102"/>
        <v>8</v>
      </c>
      <c r="AA298" s="17" t="str">
        <f t="shared" si="103"/>
        <v>LINE</v>
      </c>
      <c r="AB298" s="17" t="str">
        <f t="shared" si="104"/>
        <v>20.2000403601402,1.40572071075439</v>
      </c>
      <c r="AC298" s="17" t="str">
        <f>IF(O298="","",P298&amp;","&amp;AB$287-Variabelen!B$43)</f>
        <v>20.2000403601402,-16.0407652139664</v>
      </c>
      <c r="AD298" s="17"/>
      <c r="AE298" s="17"/>
      <c r="AF298" s="17"/>
      <c r="AG298" s="17"/>
      <c r="AH298" s="17"/>
      <c r="AI298" s="17" t="str">
        <f>IF(O298="","",P298-Variabelen!B$36&amp;","&amp;AB$287-Variabelen!B$43+Variabelen!B$36)</f>
        <v>20.1200403601402,-15.9607652139664</v>
      </c>
      <c r="AJ298" s="154">
        <f t="shared" si="105"/>
        <v>20.2</v>
      </c>
      <c r="AK298" s="146"/>
      <c r="AL298" s="17"/>
      <c r="AM298" s="17"/>
      <c r="AN298" s="17"/>
      <c r="AO298" s="17"/>
      <c r="AP298" s="17" t="str">
        <f>IF(O298="","",P298-Variabelen!B$36&amp;","&amp;AB$287-Variabelen!B$42+Variabelen!B$36)</f>
        <v>20.1200403601402,-13.7607652139664</v>
      </c>
      <c r="AQ298" s="154">
        <f t="shared" si="106"/>
        <v>21.24</v>
      </c>
      <c r="AR298" s="146"/>
      <c r="AS298" s="17"/>
      <c r="AT298" s="17"/>
      <c r="AU298" s="17"/>
      <c r="AV298" s="17" t="str">
        <f t="shared" si="107"/>
        <v>_BR</v>
      </c>
      <c r="AW298" s="17" t="str">
        <f>IF(O298="","",P298-Variabelen!B$36&amp;","&amp;AB$287-Variabelen!B$41+Variabelen!B$36)</f>
        <v>20.1200403601402,-11.5607652139664</v>
      </c>
      <c r="AX298" s="17"/>
      <c r="AY298" s="57"/>
      <c r="AZ298" s="154">
        <f t="shared" si="108"/>
        <v>-5.55</v>
      </c>
      <c r="BA298" s="146"/>
      <c r="BB298" s="17"/>
      <c r="BC298" s="17"/>
      <c r="BD298" s="17"/>
      <c r="BE298" s="17" t="str">
        <f t="shared" si="109"/>
        <v>_BR</v>
      </c>
      <c r="BF298" s="17" t="str">
        <f>IF(O298="","",P298-Variabelen!B$36&amp;","&amp;AB$287-Variabelen!B$40+Variabelen!B$36)</f>
        <v>20.1200403601402,-9.76076521396637</v>
      </c>
      <c r="BG298" s="17"/>
      <c r="BH298" s="57"/>
      <c r="BI298" s="154">
        <f t="shared" si="110"/>
        <v>-6.81</v>
      </c>
      <c r="BJ298" s="146"/>
      <c r="BP298" s="17"/>
      <c r="BQ298" s="17"/>
      <c r="BR298" s="17"/>
      <c r="BS298" s="17"/>
      <c r="BU298" s="29"/>
      <c r="BY298" s="31"/>
      <c r="CB298" s="27"/>
    </row>
    <row r="299" spans="1:80" x14ac:dyDescent="0.25">
      <c r="A299" s="85">
        <f t="shared" si="111"/>
        <v>9</v>
      </c>
      <c r="B299" s="296">
        <f t="shared" si="112"/>
        <v>103900.04248523492</v>
      </c>
      <c r="C299" s="296">
        <f t="shared" si="113"/>
        <v>489288.67771593091</v>
      </c>
      <c r="D299" s="85">
        <f t="shared" si="130"/>
        <v>1</v>
      </c>
      <c r="E299" s="17">
        <f t="shared" si="114"/>
        <v>0.38768131207325496</v>
      </c>
      <c r="F299" s="17">
        <f t="shared" si="115"/>
        <v>-0.10805969178909436</v>
      </c>
      <c r="G299" s="17" t="str">
        <f t="shared" si="116"/>
        <v>103900.042485235,489288.677715931</v>
      </c>
      <c r="H299" s="16">
        <v>9</v>
      </c>
      <c r="I299" s="16">
        <f t="shared" si="117"/>
        <v>9</v>
      </c>
      <c r="J299" s="209">
        <f t="shared" si="118"/>
        <v>0.40245955911171322</v>
      </c>
      <c r="K299" s="209">
        <f t="shared" si="119"/>
        <v>3.219676472896928</v>
      </c>
      <c r="L299" s="692">
        <v>1.095184803009033</v>
      </c>
      <c r="M299" s="17" t="str">
        <f t="shared" si="128"/>
        <v>3.21967647289693,1.09518480300903</v>
      </c>
      <c r="O299" s="85">
        <f t="shared" si="120"/>
        <v>9</v>
      </c>
      <c r="P299" s="85">
        <f t="shared" si="121"/>
        <v>23.290210303889715</v>
      </c>
      <c r="Q299" s="233">
        <f t="shared" si="122"/>
        <v>3.0773877143105413</v>
      </c>
      <c r="R299" s="17">
        <f t="shared" si="123"/>
        <v>3.0901699437494727</v>
      </c>
      <c r="S299" s="235">
        <f t="shared" si="129"/>
        <v>24.462212245284324</v>
      </c>
      <c r="T299" s="17">
        <f t="shared" si="124"/>
        <v>3.2226328785084988</v>
      </c>
      <c r="U299" s="85">
        <f t="shared" si="125"/>
        <v>-7.4764714601422115</v>
      </c>
      <c r="V299" s="17">
        <f t="shared" si="126"/>
        <v>-0.91308048243299744</v>
      </c>
      <c r="W299" s="17">
        <f t="shared" si="100"/>
        <v>-6.4672366741085821</v>
      </c>
      <c r="X299" s="17">
        <f t="shared" si="127"/>
        <v>-7.7219530704403692</v>
      </c>
      <c r="Y299" s="85">
        <f t="shared" si="101"/>
        <v>1</v>
      </c>
      <c r="Z299" s="17">
        <f t="shared" si="102"/>
        <v>9</v>
      </c>
      <c r="AA299" s="17" t="str">
        <f t="shared" si="103"/>
        <v>LINE</v>
      </c>
      <c r="AB299" s="17" t="str">
        <f t="shared" si="104"/>
        <v>23.2902103038897,1.40572071075439</v>
      </c>
      <c r="AC299" s="17" t="str">
        <f>IF(O299="","",P299&amp;","&amp;AB$287-Variabelen!B$43)</f>
        <v>23.2902103038897,-16.0407652139664</v>
      </c>
      <c r="AD299" s="17"/>
      <c r="AE299" s="17"/>
      <c r="AF299" s="17" t="str">
        <f>IF(J23="","","TEXT")</f>
        <v>TEXT</v>
      </c>
      <c r="AG299" s="17" t="str">
        <f>IF(AF299="","","_Justify")</f>
        <v>_Justify</v>
      </c>
      <c r="AH299" s="17" t="str">
        <f>IF(AF299="","","_BL")</f>
        <v>_BL</v>
      </c>
      <c r="AI299" s="17" t="str">
        <f>IF(O299="","",P299-Variabelen!B$36&amp;","&amp;AB$287-Variabelen!B$43+Variabelen!B$36)</f>
        <v>23.2102103038897,-15.9607652139664</v>
      </c>
      <c r="AJ299" s="154">
        <f t="shared" si="105"/>
        <v>23.29</v>
      </c>
      <c r="AK299" s="17"/>
      <c r="AL299" s="17"/>
      <c r="AM299" s="17" t="str">
        <f>IF(AF299="","","TEXT")</f>
        <v>TEXT</v>
      </c>
      <c r="AN299" s="17" t="str">
        <f>IF(AM299="","","_Justify")</f>
        <v>_Justify</v>
      </c>
      <c r="AO299" s="17" t="str">
        <f>IF(AN299="","","_BL")</f>
        <v>_BL</v>
      </c>
      <c r="AP299" s="17" t="str">
        <f>IF(O299="","",P299-Variabelen!B$36&amp;","&amp;AB$287-Variabelen!B$42+Variabelen!B$36)</f>
        <v>23.2102103038897,-13.7607652139664</v>
      </c>
      <c r="AQ299" s="154">
        <f t="shared" si="106"/>
        <v>24.46</v>
      </c>
      <c r="AR299" s="17"/>
      <c r="AS299" s="17"/>
      <c r="AT299" s="17" t="e">
        <f>IF(M23="","","TEXT")</f>
        <v>#NUM!</v>
      </c>
      <c r="AU299" s="17" t="e">
        <f>IF(AT299="","","_Justify")</f>
        <v>#NUM!</v>
      </c>
      <c r="AV299" s="17" t="str">
        <f t="shared" si="107"/>
        <v>_BR</v>
      </c>
      <c r="AW299" s="17" t="str">
        <f>IF(O299="","",P299-Variabelen!B$36&amp;","&amp;AB$287-Variabelen!B$41+Variabelen!B$36)</f>
        <v>23.2102103038897,-11.5607652139664</v>
      </c>
      <c r="AX299" s="17" t="e">
        <f>IF(M23="","",IF(AND(AB299&lt;&gt;"L",3.5*Variabelen!L$32&gt;O21),0.9*Variabelen!L$32*O21/(3.5*Variabelen!L$32),Variabelen!L$32))</f>
        <v>#NUM!</v>
      </c>
      <c r="AY299" s="57" t="e">
        <f>IF(M23="","",IF(3.5*Variabelen!L$32&gt;O21,90,0))</f>
        <v>#NUM!</v>
      </c>
      <c r="AZ299" s="154">
        <f t="shared" si="108"/>
        <v>-6.47</v>
      </c>
      <c r="BA299" s="146"/>
      <c r="BB299" s="17"/>
      <c r="BC299" s="17" t="str">
        <f>IF(Z299="","","TEXT")</f>
        <v>TEXT</v>
      </c>
      <c r="BD299" s="17" t="str">
        <f>IF(BC299="","","_Justify")</f>
        <v>_Justify</v>
      </c>
      <c r="BE299" s="17" t="str">
        <f t="shared" si="109"/>
        <v>_BR</v>
      </c>
      <c r="BF299" s="17" t="str">
        <f>IF(O299="","",P299-Variabelen!B$36&amp;","&amp;AB$287-Variabelen!B$40+Variabelen!B$36)</f>
        <v>23.2102103038897,-9.76076521396637</v>
      </c>
      <c r="BG299" s="17"/>
      <c r="BH299" s="57"/>
      <c r="BI299" s="154">
        <f t="shared" si="110"/>
        <v>-7.72</v>
      </c>
      <c r="BJ299" s="146"/>
      <c r="BN299" s="16">
        <f>IF(BO299="","",BN295+1)</f>
        <v>2</v>
      </c>
      <c r="BO299" s="16">
        <f>IF(BO295&lt;&gt;"",IF(BO295&gt;(AB$287+1),BO295-1,""),"")</f>
        <v>-1</v>
      </c>
      <c r="BP299" s="17" t="str">
        <f>IF(BO299="","","LINE")</f>
        <v>LINE</v>
      </c>
      <c r="BQ299" s="17" t="str">
        <f>IF(BO299="","",-Variabelen!B$30&amp;","&amp;BO299)</f>
        <v>-0.5,-1</v>
      </c>
      <c r="BR299" s="17" t="str">
        <f>IF(BO299="","",C$16+Variabelen!B$30&amp;","&amp;BO299)</f>
        <v>227.222690871591,-1</v>
      </c>
      <c r="BS299" s="17"/>
      <c r="BU299" s="29" t="str">
        <f>IF(BO299="","","TEXT")</f>
        <v>TEXT</v>
      </c>
      <c r="BV299" s="16" t="str">
        <f>IF(BO299="","","_Justify")</f>
        <v>_Justify</v>
      </c>
      <c r="BW299" s="16" t="str">
        <f>IF(BO299="","","_R")</f>
        <v>_R</v>
      </c>
      <c r="BX299" s="16" t="str">
        <f>IF(BO299="","",-Variabelen!B$31&amp;","&amp;BO299-0.5*BY299)</f>
        <v>-1,-1.225</v>
      </c>
      <c r="BY299" s="31">
        <f>Variabelen!B$32</f>
        <v>0.45</v>
      </c>
      <c r="BZ299" s="16">
        <f>IF(BO299="","",0)</f>
        <v>0</v>
      </c>
      <c r="CA299" s="16" t="str">
        <f>IF(BO299="","",IF(BO299=0,"N.A.P.",IF(BO299&gt;0,("+"&amp;BO299&amp;",0")," "&amp;BO299&amp;",0")))</f>
        <v xml:space="preserve"> -1,0</v>
      </c>
      <c r="CB299" s="27"/>
    </row>
    <row r="300" spans="1:80" x14ac:dyDescent="0.25">
      <c r="A300" s="85">
        <f t="shared" si="111"/>
        <v>10</v>
      </c>
      <c r="B300" s="296">
        <f t="shared" si="112"/>
        <v>103900.430166547</v>
      </c>
      <c r="C300" s="296">
        <f t="shared" si="113"/>
        <v>489288.56965623912</v>
      </c>
      <c r="D300" s="85">
        <f t="shared" si="130"/>
        <v>1</v>
      </c>
      <c r="E300" s="17">
        <f t="shared" si="114"/>
        <v>0.38768131207325496</v>
      </c>
      <c r="F300" s="17">
        <f t="shared" si="115"/>
        <v>-0.10805969178909436</v>
      </c>
      <c r="G300" s="17" t="str">
        <f t="shared" si="116"/>
        <v>103900.430166547,489288.569656239</v>
      </c>
      <c r="H300" s="16">
        <v>10</v>
      </c>
      <c r="I300" s="16">
        <f t="shared" si="117"/>
        <v>10</v>
      </c>
      <c r="J300" s="209">
        <f t="shared" si="118"/>
        <v>0.40245955911171322</v>
      </c>
      <c r="K300" s="209">
        <f t="shared" si="119"/>
        <v>3.6221360320086413</v>
      </c>
      <c r="L300" s="692">
        <v>1.1097720861434941</v>
      </c>
      <c r="M300" s="17" t="str">
        <f t="shared" si="128"/>
        <v>3.62213603200864,1.10977208614349</v>
      </c>
      <c r="O300" s="85">
        <f t="shared" si="120"/>
        <v>10</v>
      </c>
      <c r="P300" s="85">
        <f t="shared" si="121"/>
        <v>26.380380247639192</v>
      </c>
      <c r="Q300" s="233">
        <f t="shared" si="122"/>
        <v>6.1112922772685074</v>
      </c>
      <c r="R300" s="17">
        <f t="shared" si="123"/>
        <v>3.0901699437494763</v>
      </c>
      <c r="S300" s="235">
        <f t="shared" si="129"/>
        <v>27.639309674178087</v>
      </c>
      <c r="T300" s="17">
        <f t="shared" si="124"/>
        <v>3.177097428893763</v>
      </c>
      <c r="U300" s="85">
        <f t="shared" si="125"/>
        <v>-8.21297638086455</v>
      </c>
      <c r="V300" s="17">
        <f t="shared" si="126"/>
        <v>-0.73650492072233842</v>
      </c>
      <c r="W300" s="17">
        <f t="shared" si="100"/>
        <v>-7.2037415948309196</v>
      </c>
      <c r="X300" s="17">
        <f t="shared" si="127"/>
        <v>-8.4612017121710075</v>
      </c>
      <c r="Y300" s="85">
        <f t="shared" si="101"/>
        <v>1</v>
      </c>
      <c r="Z300" s="17">
        <f t="shared" si="102"/>
        <v>10</v>
      </c>
      <c r="AA300" s="17" t="str">
        <f t="shared" si="103"/>
        <v>LINE</v>
      </c>
      <c r="AB300" s="17" t="str">
        <f t="shared" si="104"/>
        <v>26.3803802476392,1.40572071075439</v>
      </c>
      <c r="AC300" s="17" t="str">
        <f>IF(O300="","",P300&amp;","&amp;AB$287-Variabelen!B$43)</f>
        <v>26.3803802476392,-16.0407652139664</v>
      </c>
      <c r="AD300" s="17"/>
      <c r="AE300" s="17"/>
      <c r="AF300" s="17"/>
      <c r="AG300" s="17"/>
      <c r="AH300" s="17"/>
      <c r="AI300" s="17" t="str">
        <f>IF(O300="","",P300-Variabelen!B$36&amp;","&amp;AB$287-Variabelen!B$43+Variabelen!B$36)</f>
        <v>26.3003802476392,-15.9607652139664</v>
      </c>
      <c r="AJ300" s="154">
        <f t="shared" si="105"/>
        <v>26.38</v>
      </c>
      <c r="AK300" s="17"/>
      <c r="AL300" s="17"/>
      <c r="AM300" s="17"/>
      <c r="AN300" s="17"/>
      <c r="AO300" s="17"/>
      <c r="AP300" s="17" t="str">
        <f>IF(O300="","",P300-Variabelen!B$36&amp;","&amp;AB$287-Variabelen!B$42+Variabelen!B$36)</f>
        <v>26.3003802476392,-13.7607652139664</v>
      </c>
      <c r="AQ300" s="154">
        <f t="shared" si="106"/>
        <v>27.64</v>
      </c>
      <c r="AR300" s="17"/>
      <c r="AS300" s="17"/>
      <c r="AT300" s="17"/>
      <c r="AU300" s="17"/>
      <c r="AV300" s="17" t="str">
        <f t="shared" si="107"/>
        <v>_BR</v>
      </c>
      <c r="AW300" s="17" t="str">
        <f>IF(O300="","",P300-Variabelen!B$36&amp;","&amp;AB$287-Variabelen!B$41+Variabelen!B$36)</f>
        <v>26.3003802476392,-11.5607652139664</v>
      </c>
      <c r="AX300" s="17"/>
      <c r="AY300" s="57"/>
      <c r="AZ300" s="154">
        <f t="shared" si="108"/>
        <v>-7.2</v>
      </c>
      <c r="BA300" s="146"/>
      <c r="BB300" s="17"/>
      <c r="BC300" s="17"/>
      <c r="BD300" s="17"/>
      <c r="BE300" s="17" t="str">
        <f t="shared" si="109"/>
        <v>_BR</v>
      </c>
      <c r="BF300" s="17" t="str">
        <f>IF(O300="","",P300-Variabelen!B$36&amp;","&amp;AB$287-Variabelen!B$40+Variabelen!B$36)</f>
        <v>26.3003802476392,-9.76076521396637</v>
      </c>
      <c r="BG300" s="17"/>
      <c r="BH300" s="57"/>
      <c r="BI300" s="154">
        <f t="shared" si="110"/>
        <v>-8.4600000000000009</v>
      </c>
      <c r="BJ300" s="146"/>
      <c r="BP300" s="17"/>
      <c r="BQ300" s="17"/>
      <c r="BR300" s="17"/>
      <c r="BS300" s="17"/>
      <c r="BU300" s="29"/>
      <c r="BY300" s="31"/>
      <c r="CB300" s="27"/>
    </row>
    <row r="301" spans="1:80" x14ac:dyDescent="0.25">
      <c r="A301" s="85">
        <f t="shared" si="111"/>
        <v>11</v>
      </c>
      <c r="B301" s="296">
        <f t="shared" si="112"/>
        <v>103900.81784785906</v>
      </c>
      <c r="C301" s="296">
        <f t="shared" si="113"/>
        <v>489288.46159654728</v>
      </c>
      <c r="D301" s="85">
        <f t="shared" si="130"/>
        <v>1</v>
      </c>
      <c r="E301" s="17">
        <f t="shared" si="114"/>
        <v>0.38768131205870304</v>
      </c>
      <c r="F301" s="17">
        <f t="shared" si="115"/>
        <v>-0.10805969184730202</v>
      </c>
      <c r="G301" s="17" t="str">
        <f t="shared" si="116"/>
        <v>103900.817847859,489288.461596547</v>
      </c>
      <c r="H301" s="16">
        <v>11</v>
      </c>
      <c r="I301" s="16">
        <f t="shared" si="117"/>
        <v>11</v>
      </c>
      <c r="J301" s="209">
        <f t="shared" si="118"/>
        <v>0.40245955911332426</v>
      </c>
      <c r="K301" s="209">
        <f t="shared" si="119"/>
        <v>4.0245955911219653</v>
      </c>
      <c r="L301" s="692">
        <v>1.1365305185317991</v>
      </c>
      <c r="M301" s="17" t="str">
        <f t="shared" si="128"/>
        <v>4.02459559112197,1.1365305185318</v>
      </c>
      <c r="O301" s="85">
        <f t="shared" si="120"/>
        <v>11</v>
      </c>
      <c r="P301" s="85">
        <f t="shared" si="121"/>
        <v>29.470550191388664</v>
      </c>
      <c r="Q301" s="233">
        <f t="shared" si="122"/>
        <v>9.1117081770770305</v>
      </c>
      <c r="R301" s="17">
        <f t="shared" si="123"/>
        <v>3.0901699437494727</v>
      </c>
      <c r="S301" s="235">
        <f t="shared" si="129"/>
        <v>30.781337857028909</v>
      </c>
      <c r="T301" s="17">
        <f t="shared" si="124"/>
        <v>3.1420281828508223</v>
      </c>
      <c r="U301" s="85">
        <f t="shared" si="125"/>
        <v>-8.7794875776497108</v>
      </c>
      <c r="V301" s="17">
        <f t="shared" si="126"/>
        <v>-0.56651119678516082</v>
      </c>
      <c r="W301" s="17">
        <f t="shared" si="100"/>
        <v>-7.7702527916160804</v>
      </c>
      <c r="X301" s="17">
        <f t="shared" si="127"/>
        <v>-9.0385656034675819</v>
      </c>
      <c r="Y301" s="85">
        <f t="shared" si="101"/>
        <v>1</v>
      </c>
      <c r="Z301" s="17">
        <f t="shared" si="102"/>
        <v>11</v>
      </c>
      <c r="AA301" s="17" t="str">
        <f t="shared" si="103"/>
        <v>LINE</v>
      </c>
      <c r="AB301" s="17" t="str">
        <f t="shared" si="104"/>
        <v>29.4705501913887,1.40572071075439</v>
      </c>
      <c r="AC301" s="17" t="str">
        <f>IF(O301="","",P301&amp;","&amp;AB$287-Variabelen!B$43)</f>
        <v>29.4705501913887,-16.0407652139664</v>
      </c>
      <c r="AD301" s="17"/>
      <c r="AE301" s="17"/>
      <c r="AF301" s="17"/>
      <c r="AG301" s="17"/>
      <c r="AH301" s="17"/>
      <c r="AI301" s="17" t="str">
        <f>IF(O301="","",P301-Variabelen!B$36&amp;","&amp;AB$287-Variabelen!B$43+Variabelen!B$36)</f>
        <v>29.3905501913887,-15.9607652139664</v>
      </c>
      <c r="AJ301" s="154">
        <f t="shared" si="105"/>
        <v>29.47</v>
      </c>
      <c r="AK301" s="17"/>
      <c r="AL301" s="17"/>
      <c r="AM301" s="17"/>
      <c r="AN301" s="17"/>
      <c r="AO301" s="17"/>
      <c r="AP301" s="17" t="str">
        <f>IF(O301="","",P301-Variabelen!B$36&amp;","&amp;AB$287-Variabelen!B$42+Variabelen!B$36)</f>
        <v>29.3905501913887,-13.7607652139664</v>
      </c>
      <c r="AQ301" s="154">
        <f t="shared" si="106"/>
        <v>30.78</v>
      </c>
      <c r="AR301" s="17"/>
      <c r="AS301" s="17"/>
      <c r="AT301" s="17"/>
      <c r="AU301" s="17"/>
      <c r="AV301" s="17" t="str">
        <f t="shared" si="107"/>
        <v>_BR</v>
      </c>
      <c r="AW301" s="17" t="str">
        <f>IF(O301="","",P301-Variabelen!B$36&amp;","&amp;AB$287-Variabelen!B$41+Variabelen!B$36)</f>
        <v>29.3905501913887,-11.5607652139664</v>
      </c>
      <c r="AX301" s="17"/>
      <c r="AY301" s="57"/>
      <c r="AZ301" s="154">
        <f t="shared" si="108"/>
        <v>-7.77</v>
      </c>
      <c r="BA301" s="146"/>
      <c r="BB301" s="17"/>
      <c r="BC301" s="17"/>
      <c r="BD301" s="17"/>
      <c r="BE301" s="17" t="str">
        <f t="shared" si="109"/>
        <v>_BR</v>
      </c>
      <c r="BF301" s="17" t="str">
        <f>IF(O301="","",P301-Variabelen!B$36&amp;","&amp;AB$287-Variabelen!B$40+Variabelen!B$36)</f>
        <v>29.3905501913887,-9.76076521396637</v>
      </c>
      <c r="BG301" s="17"/>
      <c r="BH301" s="57"/>
      <c r="BI301" s="154">
        <f t="shared" si="110"/>
        <v>-9.0399999999999991</v>
      </c>
      <c r="BJ301" s="146"/>
      <c r="BP301" s="17"/>
      <c r="BQ301" s="17"/>
      <c r="BR301" s="17"/>
      <c r="BS301" s="17"/>
      <c r="BU301" s="29"/>
      <c r="BY301" s="31"/>
      <c r="CB301" s="27"/>
    </row>
    <row r="302" spans="1:80" x14ac:dyDescent="0.25">
      <c r="A302" s="85">
        <f t="shared" si="111"/>
        <v>12</v>
      </c>
      <c r="B302" s="296">
        <f t="shared" si="112"/>
        <v>103901.20552917113</v>
      </c>
      <c r="C302" s="296">
        <f t="shared" si="113"/>
        <v>489288.35353685549</v>
      </c>
      <c r="D302" s="85">
        <f t="shared" si="130"/>
        <v>1</v>
      </c>
      <c r="E302" s="17">
        <f t="shared" si="114"/>
        <v>0.38768131207325496</v>
      </c>
      <c r="F302" s="17">
        <f t="shared" si="115"/>
        <v>-0.10805969178909436</v>
      </c>
      <c r="G302" s="17" t="str">
        <f t="shared" si="116"/>
        <v>103901.205529171,489288.353536855</v>
      </c>
      <c r="H302" s="16">
        <v>12</v>
      </c>
      <c r="I302" s="16">
        <f t="shared" si="117"/>
        <v>12</v>
      </c>
      <c r="J302" s="209">
        <f t="shared" si="118"/>
        <v>0.40245955911171322</v>
      </c>
      <c r="K302" s="209">
        <f t="shared" si="119"/>
        <v>4.4270551502336781</v>
      </c>
      <c r="L302" s="692">
        <v>1.146213054656982</v>
      </c>
      <c r="M302" s="17" t="str">
        <f t="shared" si="128"/>
        <v>4.42705515023368,1.14621305465698</v>
      </c>
      <c r="O302" s="85">
        <f t="shared" si="120"/>
        <v>12</v>
      </c>
      <c r="P302" s="85">
        <f t="shared" si="121"/>
        <v>32.560720135138141</v>
      </c>
      <c r="Q302" s="233">
        <f t="shared" si="122"/>
        <v>12.087723498691432</v>
      </c>
      <c r="R302" s="17">
        <f t="shared" si="123"/>
        <v>3.0901699437494763</v>
      </c>
      <c r="S302" s="235">
        <f t="shared" si="129"/>
        <v>33.897813814147064</v>
      </c>
      <c r="T302" s="17">
        <f t="shared" si="124"/>
        <v>3.1164759571181548</v>
      </c>
      <c r="U302" s="85">
        <f t="shared" si="125"/>
        <v>-9.1808461642007053</v>
      </c>
      <c r="V302" s="17">
        <f t="shared" si="126"/>
        <v>-0.40135858655099454</v>
      </c>
      <c r="W302" s="17">
        <f t="shared" si="100"/>
        <v>-8.1716113781670749</v>
      </c>
      <c r="X302" s="17">
        <f t="shared" si="127"/>
        <v>-9.4289477562646091</v>
      </c>
      <c r="Y302" s="85">
        <f t="shared" si="101"/>
        <v>1</v>
      </c>
      <c r="Z302" s="17">
        <f t="shared" si="102"/>
        <v>12</v>
      </c>
      <c r="AA302" s="17" t="str">
        <f t="shared" si="103"/>
        <v>LINE</v>
      </c>
      <c r="AB302" s="17" t="str">
        <f t="shared" si="104"/>
        <v>32.5607201351381,1.40572071075439</v>
      </c>
      <c r="AC302" s="17" t="str">
        <f>IF(O302="","",P302&amp;","&amp;AB$287-Variabelen!B$43)</f>
        <v>32.5607201351381,-16.0407652139664</v>
      </c>
      <c r="AD302" s="17"/>
      <c r="AE302" s="17"/>
      <c r="AF302" s="17"/>
      <c r="AG302" s="17"/>
      <c r="AH302" s="17"/>
      <c r="AI302" s="17" t="str">
        <f>IF(O302="","",P302-Variabelen!B$36&amp;","&amp;AB$287-Variabelen!B$43+Variabelen!B$36)</f>
        <v>32.4807201351381,-15.9607652139664</v>
      </c>
      <c r="AJ302" s="154">
        <f t="shared" si="105"/>
        <v>32.56</v>
      </c>
      <c r="AK302" s="17"/>
      <c r="AL302" s="17"/>
      <c r="AM302" s="17"/>
      <c r="AN302" s="17"/>
      <c r="AO302" s="17"/>
      <c r="AP302" s="17" t="str">
        <f>IF(O302="","",P302-Variabelen!B$36&amp;","&amp;AB$287-Variabelen!B$42+Variabelen!B$36)</f>
        <v>32.4807201351381,-13.7607652139664</v>
      </c>
      <c r="AQ302" s="154">
        <f t="shared" si="106"/>
        <v>33.9</v>
      </c>
      <c r="AR302" s="17"/>
      <c r="AS302" s="17"/>
      <c r="AT302" s="17"/>
      <c r="AU302" s="17"/>
      <c r="AV302" s="17" t="str">
        <f t="shared" si="107"/>
        <v>_BR</v>
      </c>
      <c r="AW302" s="17" t="str">
        <f>IF(O302="","",P302-Variabelen!B$36&amp;","&amp;AB$287-Variabelen!B$41+Variabelen!B$36)</f>
        <v>32.4807201351381,-11.5607652139664</v>
      </c>
      <c r="AX302" s="17"/>
      <c r="AY302" s="57"/>
      <c r="AZ302" s="154">
        <f t="shared" si="108"/>
        <v>-8.17</v>
      </c>
      <c r="BA302" s="146"/>
      <c r="BB302" s="17"/>
      <c r="BC302" s="17"/>
      <c r="BD302" s="17"/>
      <c r="BE302" s="17" t="str">
        <f t="shared" si="109"/>
        <v>_BR</v>
      </c>
      <c r="BF302" s="17" t="str">
        <f>IF(O302="","",P302-Variabelen!B$36&amp;","&amp;AB$287-Variabelen!B$40+Variabelen!B$36)</f>
        <v>32.4807201351381,-9.76076521396637</v>
      </c>
      <c r="BG302" s="17"/>
      <c r="BH302" s="57"/>
      <c r="BI302" s="154">
        <f t="shared" si="110"/>
        <v>-9.43</v>
      </c>
      <c r="BJ302" s="146"/>
      <c r="BP302" s="17"/>
      <c r="BQ302" s="17"/>
      <c r="BR302" s="17"/>
      <c r="BS302" s="17"/>
      <c r="BU302" s="29"/>
      <c r="BY302" s="31"/>
      <c r="CB302" s="27"/>
    </row>
    <row r="303" spans="1:80" x14ac:dyDescent="0.25">
      <c r="A303" s="85">
        <f t="shared" si="111"/>
        <v>13</v>
      </c>
      <c r="B303" s="296">
        <f t="shared" si="112"/>
        <v>103901.5932104832</v>
      </c>
      <c r="C303" s="296">
        <f t="shared" si="113"/>
        <v>489288.2454771637</v>
      </c>
      <c r="D303" s="85">
        <f t="shared" si="130"/>
        <v>1</v>
      </c>
      <c r="E303" s="17">
        <f t="shared" si="114"/>
        <v>0.38768131207325496</v>
      </c>
      <c r="F303" s="17">
        <f t="shared" si="115"/>
        <v>-0.10805969178909436</v>
      </c>
      <c r="G303" s="17" t="str">
        <f t="shared" si="116"/>
        <v>103901.593210483,489288.245477164</v>
      </c>
      <c r="H303" s="16">
        <v>13</v>
      </c>
      <c r="I303" s="16">
        <f t="shared" si="117"/>
        <v>13</v>
      </c>
      <c r="J303" s="209">
        <f t="shared" si="118"/>
        <v>0.40245955911171322</v>
      </c>
      <c r="K303" s="209">
        <f t="shared" si="119"/>
        <v>4.829514709345391</v>
      </c>
      <c r="L303" s="692">
        <v>1.151669383049011</v>
      </c>
      <c r="M303" s="17" t="str">
        <f t="shared" si="128"/>
        <v>4.82951470934539,1.15166938304901</v>
      </c>
      <c r="O303" s="85">
        <f t="shared" si="120"/>
        <v>13</v>
      </c>
      <c r="P303" s="85">
        <f t="shared" si="121"/>
        <v>35.650890078887613</v>
      </c>
      <c r="Q303" s="233">
        <f t="shared" si="122"/>
        <v>15.047798949106822</v>
      </c>
      <c r="R303" s="17">
        <f t="shared" si="123"/>
        <v>3.0901699437494727</v>
      </c>
      <c r="S303" s="235">
        <f t="shared" si="129"/>
        <v>36.997597577179221</v>
      </c>
      <c r="T303" s="17">
        <f t="shared" si="124"/>
        <v>3.099783763032157</v>
      </c>
      <c r="U303" s="85">
        <f t="shared" si="125"/>
        <v>-9.4203709077200877</v>
      </c>
      <c r="V303" s="17">
        <f t="shared" si="126"/>
        <v>-0.23952474351938235</v>
      </c>
      <c r="W303" s="17">
        <f t="shared" si="100"/>
        <v>-8.4111361216864573</v>
      </c>
      <c r="X303" s="17">
        <f t="shared" si="127"/>
        <v>-9.6097744416556345</v>
      </c>
      <c r="Y303" s="85">
        <f t="shared" si="101"/>
        <v>1</v>
      </c>
      <c r="Z303" s="17">
        <f t="shared" si="102"/>
        <v>13</v>
      </c>
      <c r="AA303" s="17" t="str">
        <f t="shared" si="103"/>
        <v>LINE</v>
      </c>
      <c r="AB303" s="17" t="str">
        <f t="shared" si="104"/>
        <v>35.6508900788876,1.40572071075439</v>
      </c>
      <c r="AC303" s="17" t="str">
        <f>IF(O303="","",P303&amp;","&amp;AB$287-Variabelen!B$43)</f>
        <v>35.6508900788876,-16.0407652139664</v>
      </c>
      <c r="AD303" s="17"/>
      <c r="AE303" s="17"/>
      <c r="AF303" s="17" t="e">
        <f>IF(#REF!="","","TEXT")</f>
        <v>#REF!</v>
      </c>
      <c r="AG303" s="17" t="e">
        <f>IF(AF303="","","_Justify")</f>
        <v>#REF!</v>
      </c>
      <c r="AH303" s="17" t="e">
        <f>IF(AF303="","","_BL")</f>
        <v>#REF!</v>
      </c>
      <c r="AI303" s="17" t="str">
        <f>IF(O303="","",P303-Variabelen!B$36&amp;","&amp;AB$287-Variabelen!B$43+Variabelen!B$36)</f>
        <v>35.5708900788876,-15.9607652139664</v>
      </c>
      <c r="AJ303" s="154">
        <f t="shared" si="105"/>
        <v>35.65</v>
      </c>
      <c r="AK303" s="17"/>
      <c r="AL303" s="17"/>
      <c r="AM303" s="17" t="e">
        <f>IF(AF303="","","TEXT")</f>
        <v>#REF!</v>
      </c>
      <c r="AN303" s="17" t="e">
        <f>IF(AM303="","","_Justify")</f>
        <v>#REF!</v>
      </c>
      <c r="AO303" s="17" t="e">
        <f>IF(AN303="","","_BL")</f>
        <v>#REF!</v>
      </c>
      <c r="AP303" s="17" t="str">
        <f>IF(O303="","",P303-Variabelen!B$36&amp;","&amp;AB$287-Variabelen!B$42+Variabelen!B$36)</f>
        <v>35.5708900788876,-13.7607652139664</v>
      </c>
      <c r="AQ303" s="154">
        <f t="shared" si="106"/>
        <v>37</v>
      </c>
      <c r="AR303" s="17"/>
      <c r="AS303" s="17"/>
      <c r="AT303" s="17" t="e">
        <f>IF(#REF!="","","TEXT")</f>
        <v>#REF!</v>
      </c>
      <c r="AU303" s="17" t="e">
        <f>IF(AT303="","","_Justify")</f>
        <v>#REF!</v>
      </c>
      <c r="AV303" s="17" t="str">
        <f t="shared" si="107"/>
        <v>_BR</v>
      </c>
      <c r="AW303" s="17" t="str">
        <f>IF(O303="","",P303-Variabelen!B$36&amp;","&amp;AB$287-Variabelen!B$41+Variabelen!B$36)</f>
        <v>35.5708900788876,-11.5607652139664</v>
      </c>
      <c r="AX303" s="17" t="e">
        <f>IF(#REF!="","",IF(AND(AB303&lt;&gt;"L",3.5*Variabelen!L$32&gt;O25),0.9*Variabelen!L$32*O25/(3.5*Variabelen!L$32),Variabelen!L$32))</f>
        <v>#REF!</v>
      </c>
      <c r="AY303" s="57" t="e">
        <f>IF(#REF!="","",IF(3.5*Variabelen!L$32&gt;O25,90,0))</f>
        <v>#REF!</v>
      </c>
      <c r="AZ303" s="154">
        <f t="shared" si="108"/>
        <v>-8.41</v>
      </c>
      <c r="BA303" s="146"/>
      <c r="BB303" s="17"/>
      <c r="BC303" s="17" t="str">
        <f>IF(Z303="","","TEXT")</f>
        <v>TEXT</v>
      </c>
      <c r="BD303" s="17" t="str">
        <f>IF(BC303="","","_Justify")</f>
        <v>_Justify</v>
      </c>
      <c r="BE303" s="17" t="str">
        <f t="shared" si="109"/>
        <v>_BR</v>
      </c>
      <c r="BF303" s="17" t="str">
        <f>IF(O303="","",P303-Variabelen!B$36&amp;","&amp;AB$287-Variabelen!B$40+Variabelen!B$36)</f>
        <v>35.5708900788876,-9.76076521396637</v>
      </c>
      <c r="BG303" s="17"/>
      <c r="BH303" s="17"/>
      <c r="BI303" s="154">
        <f t="shared" si="110"/>
        <v>-9.61</v>
      </c>
      <c r="BJ303" s="17"/>
      <c r="BN303" s="16">
        <f>IF(BO303="","",BN299+1)</f>
        <v>3</v>
      </c>
      <c r="BO303" s="16">
        <f>IF(BO299&lt;&gt;"",IF(BO299&gt;(AB$287+1),BO299-1,""),"")</f>
        <v>-2</v>
      </c>
      <c r="BP303" s="17" t="str">
        <f>IF(BO303="","","LINE")</f>
        <v>LINE</v>
      </c>
      <c r="BQ303" s="17" t="str">
        <f>IF(BO303="","",-Variabelen!B$30&amp;","&amp;BO303)</f>
        <v>-0.5,-2</v>
      </c>
      <c r="BR303" s="17" t="str">
        <f>IF(BO303="","",C$16+Variabelen!B$30&amp;","&amp;BO303)</f>
        <v>227.222690871591,-2</v>
      </c>
      <c r="BS303" s="17"/>
      <c r="BU303" s="29" t="str">
        <f>IF(BO303="","","TEXT")</f>
        <v>TEXT</v>
      </c>
      <c r="BV303" s="16" t="str">
        <f>IF(BO303="","","_Justify")</f>
        <v>_Justify</v>
      </c>
      <c r="BW303" s="16" t="str">
        <f>IF(BO303="","","_R")</f>
        <v>_R</v>
      </c>
      <c r="BX303" s="16" t="str">
        <f>IF(BO303="","",-Variabelen!B$31&amp;","&amp;BO303-0.5*BY303)</f>
        <v>-1,-2.225</v>
      </c>
      <c r="BY303" s="31">
        <f>Variabelen!B$32</f>
        <v>0.45</v>
      </c>
      <c r="BZ303" s="16">
        <f>IF(BO303="","",0)</f>
        <v>0</v>
      </c>
      <c r="CA303" s="16" t="str">
        <f>IF(BO303="","",IF(BO303=0,"N.A.P.",IF(BO303&gt;0,("+"&amp;BO303&amp;",0")," "&amp;BO303&amp;",0")))</f>
        <v xml:space="preserve"> -2,0</v>
      </c>
      <c r="CB303" s="27"/>
    </row>
    <row r="304" spans="1:80" x14ac:dyDescent="0.25">
      <c r="A304" s="85">
        <f t="shared" si="111"/>
        <v>14</v>
      </c>
      <c r="B304" s="296">
        <f t="shared" si="112"/>
        <v>103901.98089179528</v>
      </c>
      <c r="C304" s="296">
        <f t="shared" si="113"/>
        <v>489288.13741747185</v>
      </c>
      <c r="D304" s="85">
        <f t="shared" si="130"/>
        <v>1</v>
      </c>
      <c r="E304" s="17">
        <f t="shared" si="114"/>
        <v>0.38768131207325496</v>
      </c>
      <c r="F304" s="17">
        <f t="shared" si="115"/>
        <v>-0.10805969184730202</v>
      </c>
      <c r="G304" s="17" t="str">
        <f t="shared" si="116"/>
        <v>103901.980891795,489288.137417472</v>
      </c>
      <c r="H304" s="16">
        <v>14</v>
      </c>
      <c r="I304" s="16">
        <f t="shared" si="117"/>
        <v>14</v>
      </c>
      <c r="J304" s="209">
        <f t="shared" si="118"/>
        <v>0.40245955912734188</v>
      </c>
      <c r="K304" s="209">
        <f t="shared" si="119"/>
        <v>5.2319742684727331</v>
      </c>
      <c r="L304" s="692">
        <v>1.162437319755554</v>
      </c>
      <c r="M304" s="17" t="str">
        <f t="shared" si="128"/>
        <v>5.23197426847273,1.16243731975555</v>
      </c>
      <c r="O304" s="85">
        <f t="shared" si="120"/>
        <v>14</v>
      </c>
      <c r="P304" s="85">
        <f t="shared" si="121"/>
        <v>38.741060022637086</v>
      </c>
      <c r="Q304" s="233">
        <f t="shared" si="122"/>
        <v>18</v>
      </c>
      <c r="R304" s="17">
        <f t="shared" si="123"/>
        <v>3.0901699437494727</v>
      </c>
      <c r="S304" s="235">
        <f t="shared" si="129"/>
        <v>40.08913528831458</v>
      </c>
      <c r="T304" s="17">
        <f t="shared" si="124"/>
        <v>3.0915377111353592</v>
      </c>
      <c r="U304" s="85">
        <f t="shared" si="125"/>
        <v>-9.5000000000000018</v>
      </c>
      <c r="V304" s="17">
        <f t="shared" si="126"/>
        <v>-7.9629092279914104E-2</v>
      </c>
      <c r="W304" s="17">
        <f t="shared" si="100"/>
        <v>-8.4907652139663714</v>
      </c>
      <c r="X304" s="17">
        <f t="shared" si="127"/>
        <v>-9.6476227045059222</v>
      </c>
      <c r="Y304" s="85">
        <f t="shared" si="101"/>
        <v>2</v>
      </c>
      <c r="Z304" s="17">
        <f t="shared" si="102"/>
        <v>14</v>
      </c>
      <c r="AA304" s="17" t="str">
        <f t="shared" si="103"/>
        <v>LINE</v>
      </c>
      <c r="AB304" s="17" t="str">
        <f t="shared" si="104"/>
        <v>38.7410600226371,1.40572071075439</v>
      </c>
      <c r="AC304" s="17" t="str">
        <f>IF(O304="","",P304&amp;","&amp;AB$287-Variabelen!B$43)</f>
        <v>38.7410600226371,-16.0407652139664</v>
      </c>
      <c r="AD304" s="17"/>
      <c r="AE304" s="17"/>
      <c r="AF304" s="17"/>
      <c r="AG304" s="17"/>
      <c r="AH304" s="17"/>
      <c r="AI304" s="17" t="str">
        <f>IF(O304="","",P304-Variabelen!B$36&amp;","&amp;AB$287-Variabelen!B$43+Variabelen!B$36)</f>
        <v>38.6610600226371,-15.9607652139664</v>
      </c>
      <c r="AJ304" s="154">
        <f t="shared" si="105"/>
        <v>38.74</v>
      </c>
      <c r="AK304" s="17"/>
      <c r="AL304" s="17"/>
      <c r="AM304" s="17"/>
      <c r="AN304" s="17"/>
      <c r="AO304" s="17"/>
      <c r="AP304" s="17" t="str">
        <f>IF(O304="","",P304-Variabelen!B$36&amp;","&amp;AB$287-Variabelen!B$42+Variabelen!B$36)</f>
        <v>38.6610600226371,-13.7607652139664</v>
      </c>
      <c r="AQ304" s="154">
        <f t="shared" si="106"/>
        <v>40.090000000000003</v>
      </c>
      <c r="AR304" s="17"/>
      <c r="AS304" s="17"/>
      <c r="AT304" s="17"/>
      <c r="AU304" s="17"/>
      <c r="AV304" s="17" t="str">
        <f t="shared" si="107"/>
        <v>_BR</v>
      </c>
      <c r="AW304" s="17" t="str">
        <f>IF(O304="","",P304-Variabelen!B$36&amp;","&amp;AB$287-Variabelen!B$41+Variabelen!B$36)</f>
        <v>38.6610600226371,-11.5607652139664</v>
      </c>
      <c r="AX304" s="17"/>
      <c r="AY304" s="57"/>
      <c r="AZ304" s="154">
        <f t="shared" si="108"/>
        <v>-8.49</v>
      </c>
      <c r="BA304" s="146"/>
      <c r="BB304" s="17"/>
      <c r="BC304" s="17"/>
      <c r="BD304" s="17"/>
      <c r="BE304" s="17" t="str">
        <f t="shared" si="109"/>
        <v>_BR</v>
      </c>
      <c r="BF304" s="17" t="str">
        <f>IF(O304="","",P304-Variabelen!B$36&amp;","&amp;AB$287-Variabelen!B$40+Variabelen!B$36)</f>
        <v>38.6610600226371,-9.76076521396637</v>
      </c>
      <c r="BG304" s="17"/>
      <c r="BH304" s="17"/>
      <c r="BI304" s="154">
        <f t="shared" si="110"/>
        <v>-9.65</v>
      </c>
      <c r="BJ304" s="17"/>
      <c r="BP304" s="17"/>
      <c r="BQ304" s="17"/>
      <c r="BR304" s="17"/>
      <c r="BS304" s="17"/>
      <c r="BU304" s="29"/>
      <c r="BY304" s="31"/>
      <c r="CB304" s="27"/>
    </row>
    <row r="305" spans="1:80" x14ac:dyDescent="0.25">
      <c r="A305" s="85">
        <f t="shared" si="111"/>
        <v>15</v>
      </c>
      <c r="B305" s="296">
        <f t="shared" si="112"/>
        <v>103902.36857310733</v>
      </c>
      <c r="C305" s="296">
        <f t="shared" si="113"/>
        <v>489288.02935778006</v>
      </c>
      <c r="D305" s="85">
        <f t="shared" si="130"/>
        <v>1</v>
      </c>
      <c r="E305" s="17">
        <f t="shared" si="114"/>
        <v>0.38768131205870304</v>
      </c>
      <c r="F305" s="17">
        <f t="shared" si="115"/>
        <v>-0.10805969178909436</v>
      </c>
      <c r="G305" s="17" t="str">
        <f t="shared" si="116"/>
        <v>103902.368573107,489288.02935778</v>
      </c>
      <c r="H305" s="16">
        <v>15</v>
      </c>
      <c r="I305" s="16">
        <f t="shared" si="117"/>
        <v>15</v>
      </c>
      <c r="J305" s="209">
        <f t="shared" si="118"/>
        <v>0.4024595590976956</v>
      </c>
      <c r="K305" s="209">
        <f t="shared" si="119"/>
        <v>5.6344338275704287</v>
      </c>
      <c r="L305" s="692">
        <v>1.1590325832366939</v>
      </c>
      <c r="M305" s="17" t="str">
        <f t="shared" si="128"/>
        <v>5.63443382757043,1.15903258323669</v>
      </c>
      <c r="O305" s="85">
        <f t="shared" si="120"/>
        <v>15</v>
      </c>
      <c r="P305" s="85">
        <f t="shared" si="121"/>
        <v>41.592382338119322</v>
      </c>
      <c r="Q305" s="233" t="str">
        <f t="shared" si="122"/>
        <v/>
      </c>
      <c r="R305" s="17">
        <f t="shared" si="123"/>
        <v>2.8513223154822356</v>
      </c>
      <c r="S305" s="235">
        <f t="shared" si="129"/>
        <v>42.940457603796816</v>
      </c>
      <c r="T305" s="17">
        <f t="shared" si="124"/>
        <v>2.8513223154822356</v>
      </c>
      <c r="U305" s="85">
        <f t="shared" si="125"/>
        <v>-9.5</v>
      </c>
      <c r="V305" s="17">
        <f t="shared" si="126"/>
        <v>1.7763568394002505E-15</v>
      </c>
      <c r="W305" s="17">
        <f t="shared" si="100"/>
        <v>-8.4907652139663696</v>
      </c>
      <c r="X305" s="17">
        <f t="shared" si="127"/>
        <v>-9.6330007314682007</v>
      </c>
      <c r="Y305" s="85">
        <f t="shared" si="101"/>
        <v>2</v>
      </c>
      <c r="Z305" s="17">
        <f t="shared" si="102"/>
        <v>15</v>
      </c>
      <c r="AA305" s="17" t="str">
        <f t="shared" si="103"/>
        <v>LINE</v>
      </c>
      <c r="AB305" s="17" t="str">
        <f t="shared" si="104"/>
        <v>41.5923823381193,1.40572071075439</v>
      </c>
      <c r="AC305" s="17" t="str">
        <f>IF(O305="","",P305&amp;","&amp;AB$287-Variabelen!B$43)</f>
        <v>41.5923823381193,-16.0407652139664</v>
      </c>
      <c r="AD305" s="17"/>
      <c r="AE305" s="17"/>
      <c r="AF305" s="17"/>
      <c r="AG305" s="17"/>
      <c r="AH305" s="17"/>
      <c r="AI305" s="17" t="str">
        <f>IF(O305="","",P305-Variabelen!B$36&amp;","&amp;AB$287-Variabelen!B$43+Variabelen!B$36)</f>
        <v>41.5123823381193,-15.9607652139664</v>
      </c>
      <c r="AJ305" s="154">
        <f t="shared" si="105"/>
        <v>41.59</v>
      </c>
      <c r="AK305" s="17"/>
      <c r="AL305" s="17"/>
      <c r="AM305" s="17"/>
      <c r="AN305" s="17"/>
      <c r="AO305" s="17"/>
      <c r="AP305" s="17" t="str">
        <f>IF(O305="","",P305-Variabelen!B$36&amp;","&amp;AB$287-Variabelen!B$42+Variabelen!B$36)</f>
        <v>41.5123823381193,-13.7607652139664</v>
      </c>
      <c r="AQ305" s="154">
        <f t="shared" si="106"/>
        <v>42.94</v>
      </c>
      <c r="AR305" s="17"/>
      <c r="AS305" s="17"/>
      <c r="AT305" s="17"/>
      <c r="AU305" s="17"/>
      <c r="AV305" s="17" t="str">
        <f t="shared" si="107"/>
        <v>_BR</v>
      </c>
      <c r="AW305" s="17" t="str">
        <f>IF(O305="","",P305-Variabelen!B$36&amp;","&amp;AB$287-Variabelen!B$41+Variabelen!B$36)</f>
        <v>41.5123823381193,-11.5607652139664</v>
      </c>
      <c r="AX305" s="17"/>
      <c r="AY305" s="57"/>
      <c r="AZ305" s="154">
        <f t="shared" si="108"/>
        <v>-8.49</v>
      </c>
      <c r="BA305" s="146"/>
      <c r="BB305" s="17"/>
      <c r="BC305" s="17"/>
      <c r="BD305" s="17"/>
      <c r="BE305" s="17" t="str">
        <f t="shared" si="109"/>
        <v>_BR</v>
      </c>
      <c r="BF305" s="17" t="str">
        <f>IF(O305="","",P305-Variabelen!B$36&amp;","&amp;AB$287-Variabelen!B$40+Variabelen!B$36)</f>
        <v>41.5123823381193,-9.76076521396637</v>
      </c>
      <c r="BG305" s="17"/>
      <c r="BH305" s="17"/>
      <c r="BI305" s="154">
        <f t="shared" si="110"/>
        <v>-9.6300000000000008</v>
      </c>
      <c r="BJ305" s="17"/>
      <c r="BP305" s="17"/>
      <c r="BQ305" s="17"/>
      <c r="BR305" s="17"/>
      <c r="BS305" s="17"/>
      <c r="BU305" s="29"/>
      <c r="BY305" s="31"/>
      <c r="CB305" s="27"/>
    </row>
    <row r="306" spans="1:80" x14ac:dyDescent="0.25">
      <c r="A306" s="85">
        <f t="shared" si="111"/>
        <v>16</v>
      </c>
      <c r="B306" s="296">
        <f t="shared" si="112"/>
        <v>103902.75625441941</v>
      </c>
      <c r="C306" s="296">
        <f t="shared" si="113"/>
        <v>489287.92129808827</v>
      </c>
      <c r="D306" s="85">
        <f t="shared" si="130"/>
        <v>1</v>
      </c>
      <c r="E306" s="17">
        <f t="shared" si="114"/>
        <v>0.38768131207325496</v>
      </c>
      <c r="F306" s="17">
        <f t="shared" si="115"/>
        <v>-0.10805969178909436</v>
      </c>
      <c r="G306" s="17" t="str">
        <f t="shared" si="116"/>
        <v>103902.756254419,489287.921298088</v>
      </c>
      <c r="H306" s="16">
        <v>16</v>
      </c>
      <c r="I306" s="16">
        <f t="shared" si="117"/>
        <v>16</v>
      </c>
      <c r="J306" s="209">
        <f t="shared" si="118"/>
        <v>0.40245955911171322</v>
      </c>
      <c r="K306" s="209">
        <f t="shared" si="119"/>
        <v>6.0368933866821415</v>
      </c>
      <c r="L306" s="692">
        <v>1.167313694953918</v>
      </c>
      <c r="M306" s="17" t="str">
        <f t="shared" si="128"/>
        <v>6.03689338668214,1.16731369495392</v>
      </c>
      <c r="O306" s="85">
        <f t="shared" si="120"/>
        <v>16</v>
      </c>
      <c r="P306" s="85">
        <f t="shared" si="121"/>
        <v>44.44370465360155</v>
      </c>
      <c r="Q306" s="233" t="str">
        <f t="shared" si="122"/>
        <v/>
      </c>
      <c r="R306" s="17">
        <f t="shared" si="123"/>
        <v>2.8513223154822285</v>
      </c>
      <c r="S306" s="235">
        <f t="shared" si="129"/>
        <v>45.791779919279044</v>
      </c>
      <c r="T306" s="17">
        <f t="shared" si="124"/>
        <v>2.8513223154822285</v>
      </c>
      <c r="U306" s="85">
        <f t="shared" si="125"/>
        <v>-9.5</v>
      </c>
      <c r="V306" s="17">
        <f t="shared" si="126"/>
        <v>0</v>
      </c>
      <c r="W306" s="17">
        <f t="shared" si="100"/>
        <v>-8.4907652139663696</v>
      </c>
      <c r="X306" s="17">
        <f t="shared" si="127"/>
        <v>-9.6636443138122559</v>
      </c>
      <c r="Y306" s="85">
        <f t="shared" si="101"/>
        <v>2</v>
      </c>
      <c r="Z306" s="17">
        <f t="shared" si="102"/>
        <v>16</v>
      </c>
      <c r="AA306" s="17" t="str">
        <f t="shared" si="103"/>
        <v>LINE</v>
      </c>
      <c r="AB306" s="17" t="str">
        <f t="shared" si="104"/>
        <v>44.4437046536016,1.40572071075439</v>
      </c>
      <c r="AC306" s="17" t="str">
        <f>IF(O306="","",P306&amp;","&amp;AB$287-Variabelen!B$43)</f>
        <v>44.4437046536016,-16.0407652139664</v>
      </c>
      <c r="AD306" s="17"/>
      <c r="AE306" s="17"/>
      <c r="AF306" s="17"/>
      <c r="AG306" s="17"/>
      <c r="AH306" s="17"/>
      <c r="AI306" s="17" t="str">
        <f>IF(O306="","",P306-Variabelen!B$36&amp;","&amp;AB$287-Variabelen!B$43+Variabelen!B$36)</f>
        <v>44.3637046536016,-15.9607652139664</v>
      </c>
      <c r="AJ306" s="154">
        <f t="shared" si="105"/>
        <v>44.44</v>
      </c>
      <c r="AK306" s="17"/>
      <c r="AL306" s="17"/>
      <c r="AM306" s="17"/>
      <c r="AN306" s="17"/>
      <c r="AO306" s="17"/>
      <c r="AP306" s="17" t="str">
        <f>IF(O306="","",P306-Variabelen!B$36&amp;","&amp;AB$287-Variabelen!B$42+Variabelen!B$36)</f>
        <v>44.3637046536016,-13.7607652139664</v>
      </c>
      <c r="AQ306" s="154">
        <f t="shared" si="106"/>
        <v>45.79</v>
      </c>
      <c r="AR306" s="17"/>
      <c r="AS306" s="17"/>
      <c r="AT306" s="17"/>
      <c r="AU306" s="17"/>
      <c r="AV306" s="17" t="str">
        <f t="shared" si="107"/>
        <v>_BR</v>
      </c>
      <c r="AW306" s="17" t="str">
        <f>IF(O306="","",P306-Variabelen!B$36&amp;","&amp;AB$287-Variabelen!B$41+Variabelen!B$36)</f>
        <v>44.3637046536016,-11.5607652139664</v>
      </c>
      <c r="AX306" s="17"/>
      <c r="AY306" s="57"/>
      <c r="AZ306" s="154">
        <f t="shared" si="108"/>
        <v>-8.49</v>
      </c>
      <c r="BA306" s="146"/>
      <c r="BB306" s="17"/>
      <c r="BC306" s="17"/>
      <c r="BD306" s="17"/>
      <c r="BE306" s="17" t="str">
        <f t="shared" si="109"/>
        <v>_BR</v>
      </c>
      <c r="BF306" s="17" t="str">
        <f>IF(O306="","",P306-Variabelen!B$36&amp;","&amp;AB$287-Variabelen!B$40+Variabelen!B$36)</f>
        <v>44.3637046536016,-9.76076521396637</v>
      </c>
      <c r="BG306" s="17"/>
      <c r="BH306" s="17"/>
      <c r="BI306" s="154">
        <f t="shared" si="110"/>
        <v>-9.66</v>
      </c>
      <c r="BJ306" s="17"/>
      <c r="BP306" s="17"/>
      <c r="BQ306" s="17"/>
      <c r="BR306" s="17"/>
      <c r="BS306" s="17"/>
      <c r="BU306" s="29"/>
      <c r="BY306" s="31"/>
      <c r="CB306" s="27"/>
    </row>
    <row r="307" spans="1:80" x14ac:dyDescent="0.25">
      <c r="A307" s="85">
        <f t="shared" si="111"/>
        <v>17</v>
      </c>
      <c r="B307" s="296">
        <f t="shared" si="112"/>
        <v>103903.14393573148</v>
      </c>
      <c r="C307" s="296">
        <f t="shared" si="113"/>
        <v>489287.81323839648</v>
      </c>
      <c r="D307" s="85">
        <f t="shared" si="130"/>
        <v>1</v>
      </c>
      <c r="E307" s="17">
        <f t="shared" si="114"/>
        <v>0.38768131207325496</v>
      </c>
      <c r="F307" s="17">
        <f t="shared" si="115"/>
        <v>-0.10805969178909436</v>
      </c>
      <c r="G307" s="17" t="str">
        <f t="shared" si="116"/>
        <v>103903.143935731,489287.813238396</v>
      </c>
      <c r="H307" s="16">
        <v>17</v>
      </c>
      <c r="I307" s="16">
        <f t="shared" si="117"/>
        <v>17</v>
      </c>
      <c r="J307" s="209">
        <f t="shared" si="118"/>
        <v>0.40245955911171322</v>
      </c>
      <c r="K307" s="209">
        <f t="shared" si="119"/>
        <v>6.4393529457938543</v>
      </c>
      <c r="L307" s="692">
        <v>1.1750833988189699</v>
      </c>
      <c r="M307" s="17" t="str">
        <f t="shared" si="128"/>
        <v>6.43935294579385,1.17508339881897</v>
      </c>
      <c r="O307" s="85">
        <f t="shared" si="120"/>
        <v>17</v>
      </c>
      <c r="P307" s="85">
        <f t="shared" si="121"/>
        <v>47.295026969083779</v>
      </c>
      <c r="Q307" s="233" t="str">
        <f t="shared" si="122"/>
        <v/>
      </c>
      <c r="R307" s="17">
        <f t="shared" si="123"/>
        <v>2.8513223154822285</v>
      </c>
      <c r="S307" s="235">
        <f t="shared" si="129"/>
        <v>48.643102234761272</v>
      </c>
      <c r="T307" s="17">
        <f t="shared" si="124"/>
        <v>2.8513223154822285</v>
      </c>
      <c r="U307" s="85">
        <f t="shared" si="125"/>
        <v>-9.5</v>
      </c>
      <c r="V307" s="17">
        <f t="shared" si="126"/>
        <v>0</v>
      </c>
      <c r="W307" s="17">
        <f t="shared" si="100"/>
        <v>-8.4907652139663696</v>
      </c>
      <c r="X307" s="17">
        <f t="shared" si="127"/>
        <v>-9.6857011318206787</v>
      </c>
      <c r="Y307" s="85">
        <f t="shared" si="101"/>
        <v>2</v>
      </c>
      <c r="Z307" s="17">
        <f t="shared" si="102"/>
        <v>17</v>
      </c>
      <c r="AA307" s="17" t="str">
        <f t="shared" si="103"/>
        <v>LINE</v>
      </c>
      <c r="AB307" s="17" t="str">
        <f t="shared" si="104"/>
        <v>47.2950269690838,1.40572071075439</v>
      </c>
      <c r="AC307" s="17" t="str">
        <f>IF(O307="","",P307&amp;","&amp;AB$287-Variabelen!B$43)</f>
        <v>47.2950269690838,-16.0407652139664</v>
      </c>
      <c r="AD307" s="17"/>
      <c r="AE307" s="17"/>
      <c r="AF307" s="17" t="str">
        <f>IF(J29="","","TEXT")</f>
        <v/>
      </c>
      <c r="AG307" s="17" t="str">
        <f>IF(AF307="","","_Justify")</f>
        <v/>
      </c>
      <c r="AH307" s="17" t="str">
        <f>IF(AF307="","","_BL")</f>
        <v/>
      </c>
      <c r="AI307" s="17" t="str">
        <f>IF(O307="","",P307-Variabelen!B$36&amp;","&amp;AB$287-Variabelen!B$43+Variabelen!B$36)</f>
        <v>47.2150269690838,-15.9607652139664</v>
      </c>
      <c r="AJ307" s="154">
        <f t="shared" si="105"/>
        <v>47.3</v>
      </c>
      <c r="AK307" s="17"/>
      <c r="AL307" s="17"/>
      <c r="AM307" s="17" t="str">
        <f>IF(AF307="","","TEXT")</f>
        <v/>
      </c>
      <c r="AN307" s="17" t="str">
        <f>IF(AM307="","","_Justify")</f>
        <v/>
      </c>
      <c r="AO307" s="17" t="str">
        <f>IF(AN307="","","_BL")</f>
        <v/>
      </c>
      <c r="AP307" s="17" t="str">
        <f>IF(O307="","",P307-Variabelen!B$36&amp;","&amp;AB$287-Variabelen!B$42+Variabelen!B$36)</f>
        <v>47.2150269690838,-13.7607652139664</v>
      </c>
      <c r="AQ307" s="154">
        <f t="shared" si="106"/>
        <v>48.64</v>
      </c>
      <c r="AR307" s="17"/>
      <c r="AS307" s="17"/>
      <c r="AT307" s="17" t="str">
        <f>IF(K29="","","TEXT")</f>
        <v/>
      </c>
      <c r="AU307" s="17" t="str">
        <f>IF(AT307="","","_Justify")</f>
        <v/>
      </c>
      <c r="AV307" s="17" t="str">
        <f t="shared" si="107"/>
        <v>_BR</v>
      </c>
      <c r="AW307" s="17" t="str">
        <f>IF(O307="","",P307-Variabelen!B$36&amp;","&amp;AB$287-Variabelen!B$41+Variabelen!B$36)</f>
        <v>47.2150269690838,-11.5607652139664</v>
      </c>
      <c r="AX307" s="17" t="str">
        <f>IF(K29="","",IF(AND(AB307&lt;&gt;"L",3.5*Variabelen!L$32&gt;O29),0.9*Variabelen!L$32*O29/(3.5*Variabelen!L$32),Variabelen!L$32))</f>
        <v/>
      </c>
      <c r="AY307" s="57" t="str">
        <f>IF(K29="","",IF(3.5*Variabelen!L$32&gt;O29,90,0))</f>
        <v/>
      </c>
      <c r="AZ307" s="154">
        <f t="shared" si="108"/>
        <v>-8.49</v>
      </c>
      <c r="BA307" s="146"/>
      <c r="BB307" s="17"/>
      <c r="BC307" s="17" t="str">
        <f>IF(Z307="","","TEXT")</f>
        <v>TEXT</v>
      </c>
      <c r="BD307" s="17" t="str">
        <f>IF(BC307="","","_Justify")</f>
        <v>_Justify</v>
      </c>
      <c r="BE307" s="17" t="str">
        <f t="shared" si="109"/>
        <v>_BR</v>
      </c>
      <c r="BF307" s="17" t="str">
        <f>IF(O307="","",P307-Variabelen!B$36&amp;","&amp;AB$287-Variabelen!B$40+Variabelen!B$36)</f>
        <v>47.2150269690838,-9.76076521396637</v>
      </c>
      <c r="BG307" s="17"/>
      <c r="BH307" s="17"/>
      <c r="BI307" s="154">
        <f t="shared" si="110"/>
        <v>-9.69</v>
      </c>
      <c r="BJ307" s="17"/>
      <c r="BN307" s="16">
        <f>IF(BO307="","",BN303+1)</f>
        <v>4</v>
      </c>
      <c r="BO307" s="16">
        <f>IF(BO303&lt;&gt;"",IF(BO303&gt;(AB$287+1),BO303-1,""),"")</f>
        <v>-3</v>
      </c>
      <c r="BP307" s="17" t="str">
        <f>IF(BO307="","","LINE")</f>
        <v>LINE</v>
      </c>
      <c r="BQ307" s="17" t="str">
        <f>IF(BO307="","",-Variabelen!B$30&amp;","&amp;BO307)</f>
        <v>-0.5,-3</v>
      </c>
      <c r="BR307" s="17" t="str">
        <f>IF(BO307="","",C$16+Variabelen!B$30&amp;","&amp;BO307)</f>
        <v>227.222690871591,-3</v>
      </c>
      <c r="BS307" s="17"/>
      <c r="BU307" s="29" t="str">
        <f>IF(BO307="","","TEXT")</f>
        <v>TEXT</v>
      </c>
      <c r="BV307" s="16" t="str">
        <f>IF(BO307="","","_Justify")</f>
        <v>_Justify</v>
      </c>
      <c r="BW307" s="16" t="str">
        <f>IF(BO307="","","_R")</f>
        <v>_R</v>
      </c>
      <c r="BX307" s="16" t="str">
        <f>IF(BO307="","",-Variabelen!B$31&amp;","&amp;BO307-0.5*BY307)</f>
        <v>-1,-3.225</v>
      </c>
      <c r="BY307" s="31">
        <f>Variabelen!B$32</f>
        <v>0.45</v>
      </c>
      <c r="BZ307" s="16">
        <f>IF(BO307="","",0)</f>
        <v>0</v>
      </c>
      <c r="CA307" s="16" t="str">
        <f>IF(BO307="","",IF(BO307=0,"N.A.P.",IF(BO307&gt;0,("+"&amp;BO307&amp;",0")," "&amp;BO307&amp;",0")))</f>
        <v xml:space="preserve"> -3,0</v>
      </c>
      <c r="CB307" s="27"/>
    </row>
    <row r="308" spans="1:80" x14ac:dyDescent="0.25">
      <c r="A308" s="85">
        <f t="shared" si="111"/>
        <v>18</v>
      </c>
      <c r="B308" s="296">
        <f t="shared" si="112"/>
        <v>103903.53161704355</v>
      </c>
      <c r="C308" s="296">
        <f t="shared" si="113"/>
        <v>489287.70517870464</v>
      </c>
      <c r="D308" s="85">
        <f t="shared" si="130"/>
        <v>1</v>
      </c>
      <c r="E308" s="17">
        <f t="shared" si="114"/>
        <v>0.38768131207325496</v>
      </c>
      <c r="F308" s="17">
        <f t="shared" si="115"/>
        <v>-0.10805969184730202</v>
      </c>
      <c r="G308" s="17" t="str">
        <f t="shared" si="116"/>
        <v>103903.531617044,489287.705178705</v>
      </c>
      <c r="H308" s="16">
        <v>18</v>
      </c>
      <c r="I308" s="16">
        <f t="shared" si="117"/>
        <v>18</v>
      </c>
      <c r="J308" s="209">
        <f t="shared" si="118"/>
        <v>0.40245955912734188</v>
      </c>
      <c r="K308" s="209">
        <f t="shared" si="119"/>
        <v>6.8418125049211964</v>
      </c>
      <c r="L308" s="692">
        <v>1.168781995773315</v>
      </c>
      <c r="M308" s="17" t="str">
        <f t="shared" si="128"/>
        <v>6.8418125049212,1.16878199577331</v>
      </c>
      <c r="O308" s="85">
        <f t="shared" si="120"/>
        <v>18</v>
      </c>
      <c r="P308" s="85">
        <f t="shared" si="121"/>
        <v>50.146349284566014</v>
      </c>
      <c r="Q308" s="233" t="str">
        <f t="shared" si="122"/>
        <v/>
      </c>
      <c r="R308" s="17">
        <f t="shared" si="123"/>
        <v>2.8513223154822356</v>
      </c>
      <c r="S308" s="235">
        <f t="shared" si="129"/>
        <v>51.494424550243508</v>
      </c>
      <c r="T308" s="17">
        <f t="shared" si="124"/>
        <v>2.8513223154822356</v>
      </c>
      <c r="U308" s="85">
        <f t="shared" si="125"/>
        <v>-9.5</v>
      </c>
      <c r="V308" s="17">
        <f t="shared" si="126"/>
        <v>0</v>
      </c>
      <c r="W308" s="17">
        <f t="shared" si="100"/>
        <v>-8.4907652139663696</v>
      </c>
      <c r="X308" s="17">
        <f t="shared" si="127"/>
        <v>-9.6915585994720459</v>
      </c>
      <c r="Y308" s="85">
        <f t="shared" si="101"/>
        <v>2</v>
      </c>
      <c r="Z308" s="17">
        <f t="shared" si="102"/>
        <v>18</v>
      </c>
      <c r="AA308" s="17" t="str">
        <f t="shared" si="103"/>
        <v>LINE</v>
      </c>
      <c r="AB308" s="17" t="str">
        <f t="shared" si="104"/>
        <v>50.146349284566,1.40572071075439</v>
      </c>
      <c r="AC308" s="17" t="str">
        <f>IF(O308="","",P308&amp;","&amp;AB$287-Variabelen!B$43)</f>
        <v>50.146349284566,-16.0407652139664</v>
      </c>
      <c r="AD308" s="17"/>
      <c r="AE308" s="17"/>
      <c r="AF308" s="17" t="str">
        <f>IF(J30="","","TEXT")</f>
        <v>TEXT</v>
      </c>
      <c r="AG308" s="17" t="str">
        <f>IF(AF308="","","_Justify")</f>
        <v>_Justify</v>
      </c>
      <c r="AH308" s="17" t="str">
        <f>IF(AF308="","","_BL")</f>
        <v>_BL</v>
      </c>
      <c r="AI308" s="17" t="str">
        <f>IF(O308="","",P308-Variabelen!B$36&amp;","&amp;AB$287-Variabelen!B$43+Variabelen!B$36)</f>
        <v>50.066349284566,-15.9607652139664</v>
      </c>
      <c r="AJ308" s="154">
        <f t="shared" si="105"/>
        <v>50.15</v>
      </c>
      <c r="AK308" s="17"/>
      <c r="AL308" s="17"/>
      <c r="AM308" s="17" t="str">
        <f>IF(AF308="","","TEXT")</f>
        <v>TEXT</v>
      </c>
      <c r="AN308" s="17" t="str">
        <f>IF(AM308="","","_Justify")</f>
        <v>_Justify</v>
      </c>
      <c r="AO308" s="17" t="str">
        <f>IF(AN308="","","_BL")</f>
        <v>_BL</v>
      </c>
      <c r="AP308" s="17" t="str">
        <f>IF(O308="","",P308-Variabelen!B$36&amp;","&amp;AB$287-Variabelen!B$42+Variabelen!B$36)</f>
        <v>50.066349284566,-13.7607652139664</v>
      </c>
      <c r="AQ308" s="154">
        <f t="shared" si="106"/>
        <v>51.49</v>
      </c>
      <c r="AR308" s="17"/>
      <c r="AS308" s="17"/>
      <c r="AT308" s="17" t="str">
        <f>IF(K30="","","TEXT")</f>
        <v>TEXT</v>
      </c>
      <c r="AU308" s="17" t="str">
        <f>IF(AT308="","","_Justify")</f>
        <v>_Justify</v>
      </c>
      <c r="AV308" s="17" t="str">
        <f t="shared" si="107"/>
        <v>_BR</v>
      </c>
      <c r="AW308" s="17" t="str">
        <f>IF(O308="","",P308-Variabelen!B$36&amp;","&amp;AB$287-Variabelen!B$41+Variabelen!B$36)</f>
        <v>50.066349284566,-11.5607652139664</v>
      </c>
      <c r="AX308" s="17">
        <f>IF(K30="","",IF(AND(AB308&lt;&gt;"L",3.5*Variabelen!L$32&gt;O30),0.9*Variabelen!L$32*O30/(3.5*Variabelen!L$32),Variabelen!L$32))</f>
        <v>0</v>
      </c>
      <c r="AY308" s="57">
        <f>IF(K30="","",IF(3.5*Variabelen!L$32&gt;O30,90,0))</f>
        <v>0</v>
      </c>
      <c r="AZ308" s="154">
        <f t="shared" si="108"/>
        <v>-8.49</v>
      </c>
      <c r="BA308" s="146"/>
      <c r="BB308" s="17"/>
      <c r="BC308" s="17" t="str">
        <f>IF(Z308="","","TEXT")</f>
        <v>TEXT</v>
      </c>
      <c r="BD308" s="17" t="str">
        <f>IF(BC308="","","_Justify")</f>
        <v>_Justify</v>
      </c>
      <c r="BE308" s="17" t="str">
        <f t="shared" si="109"/>
        <v>_BR</v>
      </c>
      <c r="BF308" s="17" t="str">
        <f>IF(O308="","",P308-Variabelen!B$36&amp;","&amp;AB$287-Variabelen!B$40+Variabelen!B$36)</f>
        <v>50.066349284566,-9.76076521396637</v>
      </c>
      <c r="BG308" s="17"/>
      <c r="BH308" s="17"/>
      <c r="BI308" s="154">
        <f t="shared" si="110"/>
        <v>-9.69</v>
      </c>
      <c r="BJ308" s="17"/>
      <c r="BN308" s="16">
        <f>IF(BO308="","",BN307+1)</f>
        <v>5</v>
      </c>
      <c r="BO308" s="16">
        <f>IF(BO307&lt;&gt;"",IF(BO307&gt;(AB$287+1),BO307-1,""),"")</f>
        <v>-4</v>
      </c>
      <c r="BP308" s="17" t="str">
        <f>IF(BO308="","","LINE")</f>
        <v>LINE</v>
      </c>
      <c r="BQ308" s="17" t="str">
        <f>IF(BO308="","",-Variabelen!B$30&amp;","&amp;BO308)</f>
        <v>-0.5,-4</v>
      </c>
      <c r="BR308" s="17" t="str">
        <f>IF(BO308="","",C$16+Variabelen!B$30&amp;","&amp;BO308)</f>
        <v>227.222690871591,-4</v>
      </c>
      <c r="BS308" s="17"/>
      <c r="BU308" s="29" t="str">
        <f>IF(BO308="","","TEXT")</f>
        <v>TEXT</v>
      </c>
      <c r="BV308" s="16" t="str">
        <f>IF(BO308="","","_Justify")</f>
        <v>_Justify</v>
      </c>
      <c r="BW308" s="16" t="str">
        <f>IF(BO308="","","_R")</f>
        <v>_R</v>
      </c>
      <c r="BX308" s="16" t="str">
        <f>IF(BO308="","",-Variabelen!B$31&amp;","&amp;BO308-0.5*BY308)</f>
        <v>-1,-4.225</v>
      </c>
      <c r="BY308" s="31">
        <f>Variabelen!B$32</f>
        <v>0.45</v>
      </c>
      <c r="BZ308" s="16">
        <f>IF(BO308="","",0)</f>
        <v>0</v>
      </c>
      <c r="CA308" s="16" t="str">
        <f>IF(BO308="","",IF(BO308=0,"N.A.P.",IF(BO308&gt;0,("+"&amp;BO308&amp;",0")," "&amp;BO308&amp;",0")))</f>
        <v xml:space="preserve"> -4,0</v>
      </c>
      <c r="CB308" s="27"/>
    </row>
    <row r="309" spans="1:80" x14ac:dyDescent="0.25">
      <c r="A309" s="85">
        <f t="shared" si="111"/>
        <v>19</v>
      </c>
      <c r="B309" s="296">
        <f t="shared" si="112"/>
        <v>103903.91929835561</v>
      </c>
      <c r="C309" s="296">
        <f t="shared" si="113"/>
        <v>489287.59711901285</v>
      </c>
      <c r="D309" s="85">
        <f t="shared" si="130"/>
        <v>1</v>
      </c>
      <c r="E309" s="17">
        <f t="shared" si="114"/>
        <v>0.38768131205870304</v>
      </c>
      <c r="F309" s="17">
        <f t="shared" si="115"/>
        <v>-0.10805969178909436</v>
      </c>
      <c r="G309" s="17" t="str">
        <f t="shared" si="116"/>
        <v>103903.919298356,489287.597119013</v>
      </c>
      <c r="H309" s="16">
        <v>19</v>
      </c>
      <c r="I309" s="16">
        <f t="shared" si="117"/>
        <v>19</v>
      </c>
      <c r="J309" s="209">
        <f t="shared" si="118"/>
        <v>0.4024595590976956</v>
      </c>
      <c r="K309" s="209">
        <f t="shared" si="119"/>
        <v>7.244272064018892</v>
      </c>
      <c r="L309" s="692">
        <v>1.1634256839752199</v>
      </c>
      <c r="M309" s="17" t="str">
        <f t="shared" si="128"/>
        <v>7.24427206401889,1.16342568397522</v>
      </c>
      <c r="O309" s="85">
        <f t="shared" si="120"/>
        <v>19</v>
      </c>
      <c r="P309" s="85">
        <f t="shared" si="121"/>
        <v>52.99767160004825</v>
      </c>
      <c r="Q309" s="233" t="str">
        <f t="shared" si="122"/>
        <v/>
      </c>
      <c r="R309" s="17">
        <f t="shared" si="123"/>
        <v>2.8513223154822356</v>
      </c>
      <c r="S309" s="235">
        <f t="shared" si="129"/>
        <v>54.345746865725744</v>
      </c>
      <c r="T309" s="17">
        <f t="shared" si="124"/>
        <v>2.8513223154822356</v>
      </c>
      <c r="U309" s="85">
        <f t="shared" si="125"/>
        <v>-9.5</v>
      </c>
      <c r="V309" s="17">
        <f t="shared" si="126"/>
        <v>0</v>
      </c>
      <c r="W309" s="17">
        <f t="shared" si="100"/>
        <v>-8.4907652139663696</v>
      </c>
      <c r="X309" s="17">
        <f t="shared" si="127"/>
        <v>-9.6790522336959839</v>
      </c>
      <c r="Y309" s="85">
        <f t="shared" si="101"/>
        <v>2</v>
      </c>
      <c r="Z309" s="17">
        <f t="shared" si="102"/>
        <v>19</v>
      </c>
      <c r="AA309" s="17" t="str">
        <f t="shared" si="103"/>
        <v>LINE</v>
      </c>
      <c r="AB309" s="17" t="str">
        <f t="shared" si="104"/>
        <v>52.9976716000482,1.40572071075439</v>
      </c>
      <c r="AC309" s="17" t="str">
        <f>IF(O309="","",P309&amp;","&amp;AB$287-Variabelen!B$43)</f>
        <v>52.9976716000482,-16.0407652139664</v>
      </c>
      <c r="AD309" s="17"/>
      <c r="AE309" s="17"/>
      <c r="AF309" s="17"/>
      <c r="AG309" s="17"/>
      <c r="AH309" s="17"/>
      <c r="AI309" s="17" t="str">
        <f>IF(O309="","",P309-Variabelen!B$36&amp;","&amp;AB$287-Variabelen!B$43+Variabelen!B$36)</f>
        <v>52.9176716000483,-15.9607652139664</v>
      </c>
      <c r="AJ309" s="154">
        <f t="shared" si="105"/>
        <v>53</v>
      </c>
      <c r="AK309" s="17"/>
      <c r="AL309" s="17"/>
      <c r="AM309" s="17"/>
      <c r="AN309" s="17"/>
      <c r="AO309" s="17"/>
      <c r="AP309" s="17" t="str">
        <f>IF(O309="","",P309-Variabelen!B$36&amp;","&amp;AB$287-Variabelen!B$42+Variabelen!B$36)</f>
        <v>52.9176716000483,-13.7607652139664</v>
      </c>
      <c r="AQ309" s="154">
        <f t="shared" si="106"/>
        <v>54.35</v>
      </c>
      <c r="AR309" s="17"/>
      <c r="AS309" s="17"/>
      <c r="AT309" s="17"/>
      <c r="AU309" s="17"/>
      <c r="AV309" s="17" t="str">
        <f t="shared" si="107"/>
        <v>_BR</v>
      </c>
      <c r="AW309" s="17" t="str">
        <f>IF(O309="","",P309-Variabelen!B$36&amp;","&amp;AB$287-Variabelen!B$41+Variabelen!B$36)</f>
        <v>52.9176716000483,-11.5607652139664</v>
      </c>
      <c r="AX309" s="17"/>
      <c r="AY309" s="57"/>
      <c r="AZ309" s="154">
        <f t="shared" si="108"/>
        <v>-8.49</v>
      </c>
      <c r="BA309" s="146"/>
      <c r="BB309" s="17"/>
      <c r="BC309" s="17"/>
      <c r="BD309" s="17"/>
      <c r="BE309" s="17" t="str">
        <f t="shared" si="109"/>
        <v>_BR</v>
      </c>
      <c r="BF309" s="17" t="str">
        <f>IF(O309="","",P309-Variabelen!B$36&amp;","&amp;AB$287-Variabelen!B$40+Variabelen!B$36)</f>
        <v>52.9176716000483,-9.76076521396637</v>
      </c>
      <c r="BG309" s="17"/>
      <c r="BH309" s="17"/>
      <c r="BI309" s="154">
        <f t="shared" si="110"/>
        <v>-9.68</v>
      </c>
      <c r="BJ309" s="17"/>
      <c r="BP309" s="17"/>
      <c r="BQ309" s="17"/>
      <c r="BR309" s="17"/>
      <c r="BS309" s="17"/>
      <c r="BU309" s="29"/>
      <c r="BY309" s="31"/>
      <c r="CB309" s="27"/>
    </row>
    <row r="310" spans="1:80" x14ac:dyDescent="0.25">
      <c r="A310" s="85">
        <f t="shared" si="111"/>
        <v>20</v>
      </c>
      <c r="B310" s="296">
        <f t="shared" si="112"/>
        <v>103904.30697966769</v>
      </c>
      <c r="C310" s="296">
        <f t="shared" si="113"/>
        <v>489287.48905932106</v>
      </c>
      <c r="D310" s="85">
        <f t="shared" si="130"/>
        <v>1</v>
      </c>
      <c r="E310" s="17">
        <f t="shared" si="114"/>
        <v>0.38768131207325496</v>
      </c>
      <c r="F310" s="17">
        <f t="shared" si="115"/>
        <v>-0.10805969178909436</v>
      </c>
      <c r="G310" s="17" t="str">
        <f t="shared" si="116"/>
        <v>103904.306979668,489287.489059321</v>
      </c>
      <c r="H310" s="16">
        <v>20</v>
      </c>
      <c r="I310" s="16">
        <f t="shared" si="117"/>
        <v>20</v>
      </c>
      <c r="J310" s="209">
        <f t="shared" si="118"/>
        <v>0.40245955911171322</v>
      </c>
      <c r="K310" s="209">
        <f t="shared" si="119"/>
        <v>7.6467316231306048</v>
      </c>
      <c r="L310" s="692">
        <v>1.1784899234771731</v>
      </c>
      <c r="M310" s="17" t="str">
        <f t="shared" si="128"/>
        <v>7.6467316231306,1.17848992347717</v>
      </c>
      <c r="O310" s="85">
        <f t="shared" si="120"/>
        <v>20</v>
      </c>
      <c r="P310" s="85">
        <f t="shared" si="121"/>
        <v>55.848993915530478</v>
      </c>
      <c r="Q310" s="233" t="str">
        <f t="shared" si="122"/>
        <v/>
      </c>
      <c r="R310" s="17">
        <f t="shared" si="123"/>
        <v>2.8513223154822285</v>
      </c>
      <c r="S310" s="235">
        <f t="shared" si="129"/>
        <v>57.197069181207972</v>
      </c>
      <c r="T310" s="17">
        <f t="shared" si="124"/>
        <v>2.8513223154822285</v>
      </c>
      <c r="U310" s="85">
        <f t="shared" si="125"/>
        <v>-9.5</v>
      </c>
      <c r="V310" s="17">
        <f t="shared" si="126"/>
        <v>0</v>
      </c>
      <c r="W310" s="17">
        <f t="shared" si="100"/>
        <v>-8.4907652139663696</v>
      </c>
      <c r="X310" s="17">
        <f t="shared" si="127"/>
        <v>-9.6508429050445557</v>
      </c>
      <c r="Y310" s="85">
        <f t="shared" si="101"/>
        <v>2</v>
      </c>
      <c r="Z310" s="17">
        <f t="shared" si="102"/>
        <v>20</v>
      </c>
      <c r="AA310" s="17" t="str">
        <f t="shared" si="103"/>
        <v>LINE</v>
      </c>
      <c r="AB310" s="17" t="str">
        <f t="shared" si="104"/>
        <v>55.8489939155305,1.40572071075439</v>
      </c>
      <c r="AC310" s="17" t="str">
        <f>IF(O310="","",P310&amp;","&amp;AB$287-Variabelen!B$43)</f>
        <v>55.8489939155305,-16.0407652139664</v>
      </c>
      <c r="AD310" s="17"/>
      <c r="AE310" s="17"/>
      <c r="AF310" s="17" t="e">
        <f>IF(J32="","","TEXT")</f>
        <v>#VALUE!</v>
      </c>
      <c r="AG310" s="17" t="e">
        <f>IF(AF310="","","_Justify")</f>
        <v>#VALUE!</v>
      </c>
      <c r="AH310" s="17" t="e">
        <f>IF(AF310="","","_BL")</f>
        <v>#VALUE!</v>
      </c>
      <c r="AI310" s="17" t="str">
        <f>IF(O310="","",P310-Variabelen!B$36&amp;","&amp;AB$287-Variabelen!B$43+Variabelen!B$36)</f>
        <v>55.7689939155305,-15.9607652139664</v>
      </c>
      <c r="AJ310" s="154">
        <f t="shared" si="105"/>
        <v>55.85</v>
      </c>
      <c r="AK310" s="17"/>
      <c r="AL310" s="17"/>
      <c r="AM310" s="17" t="e">
        <f>IF(AF310="","","TEXT")</f>
        <v>#VALUE!</v>
      </c>
      <c r="AN310" s="17" t="e">
        <f>IF(AM310="","","_Justify")</f>
        <v>#VALUE!</v>
      </c>
      <c r="AO310" s="17" t="e">
        <f>IF(AN310="","","_BL")</f>
        <v>#VALUE!</v>
      </c>
      <c r="AP310" s="17" t="str">
        <f>IF(O310="","",P310-Variabelen!B$36&amp;","&amp;AB$287-Variabelen!B$42+Variabelen!B$36)</f>
        <v>55.7689939155305,-13.7607652139664</v>
      </c>
      <c r="AQ310" s="154">
        <f t="shared" si="106"/>
        <v>57.2</v>
      </c>
      <c r="AR310" s="17"/>
      <c r="AS310" s="17"/>
      <c r="AT310" s="17" t="str">
        <f>IF(K32="","","TEXT")</f>
        <v>TEXT</v>
      </c>
      <c r="AU310" s="17" t="str">
        <f>IF(AT310="","","_Justify")</f>
        <v>_Justify</v>
      </c>
      <c r="AV310" s="17" t="str">
        <f t="shared" si="107"/>
        <v>_BR</v>
      </c>
      <c r="AW310" s="17" t="str">
        <f>IF(O310="","",P310-Variabelen!B$36&amp;","&amp;AB$287-Variabelen!B$41+Variabelen!B$36)</f>
        <v>55.7689939155305,-11.5607652139664</v>
      </c>
      <c r="AX310" s="17">
        <f>IF(K32="","",IF(AND(AB310&lt;&gt;"L",3.5*Variabelen!L$32&gt;O32),0.9*Variabelen!L$32*O32/(3.5*Variabelen!L$32),Variabelen!L$32))</f>
        <v>0</v>
      </c>
      <c r="AY310" s="57">
        <f>IF(K32="","",IF(3.5*Variabelen!L$32&gt;O32,90,0))</f>
        <v>0</v>
      </c>
      <c r="AZ310" s="154">
        <f t="shared" si="108"/>
        <v>-8.49</v>
      </c>
      <c r="BA310" s="146"/>
      <c r="BB310" s="17"/>
      <c r="BC310" s="17" t="str">
        <f>IF(Z310="","","TEXT")</f>
        <v>TEXT</v>
      </c>
      <c r="BD310" s="17" t="str">
        <f>IF(BC310="","","_Justify")</f>
        <v>_Justify</v>
      </c>
      <c r="BE310" s="17" t="str">
        <f t="shared" si="109"/>
        <v>_BR</v>
      </c>
      <c r="BF310" s="17" t="str">
        <f>IF(O310="","",P310-Variabelen!B$36&amp;","&amp;AB$287-Variabelen!B$40+Variabelen!B$36)</f>
        <v>55.7689939155305,-9.76076521396637</v>
      </c>
      <c r="BG310" s="17"/>
      <c r="BH310" s="17"/>
      <c r="BI310" s="154">
        <f t="shared" si="110"/>
        <v>-9.65</v>
      </c>
      <c r="BJ310" s="17"/>
      <c r="BN310" s="16">
        <f>IF(BO310="","",BN308+1)</f>
        <v>6</v>
      </c>
      <c r="BO310" s="16">
        <f>IF(BO308&lt;&gt;"",IF(BO308&gt;(AB$287+1),BO308-1,""),"")</f>
        <v>-5</v>
      </c>
      <c r="BP310" s="17" t="str">
        <f t="shared" ref="BP310:BP322" si="131">IF(BO310="","","LINE")</f>
        <v>LINE</v>
      </c>
      <c r="BQ310" s="17" t="str">
        <f>IF(BO310="","",-Variabelen!B$30&amp;","&amp;BO310)</f>
        <v>-0.5,-5</v>
      </c>
      <c r="BR310" s="17" t="str">
        <f>IF(BO310="","",C$16+Variabelen!B$30&amp;","&amp;BO310)</f>
        <v>227.222690871591,-5</v>
      </c>
      <c r="BS310" s="17"/>
      <c r="BU310" s="29" t="str">
        <f t="shared" ref="BU310:BU322" si="132">IF(BO310="","","TEXT")</f>
        <v>TEXT</v>
      </c>
      <c r="BV310" s="16" t="str">
        <f t="shared" ref="BV310:BV322" si="133">IF(BO310="","","_Justify")</f>
        <v>_Justify</v>
      </c>
      <c r="BW310" s="16" t="str">
        <f t="shared" ref="BW310:BW322" si="134">IF(BO310="","","_R")</f>
        <v>_R</v>
      </c>
      <c r="BX310" s="16" t="str">
        <f>IF(BO310="","",-Variabelen!B$31&amp;","&amp;BO310-0.5*BY310)</f>
        <v>-1,-5.225</v>
      </c>
      <c r="BY310" s="31">
        <f>Variabelen!B$32</f>
        <v>0.45</v>
      </c>
      <c r="BZ310" s="16">
        <f t="shared" ref="BZ310:BZ322" si="135">IF(BO310="","",0)</f>
        <v>0</v>
      </c>
      <c r="CA310" s="16" t="str">
        <f t="shared" ref="CA310:CA322" si="136">IF(BO310="","",IF(BO310=0,"N.A.P.",IF(BO310&gt;0,("+"&amp;BO310&amp;",0")," "&amp;BO310&amp;",0")))</f>
        <v xml:space="preserve"> -5,0</v>
      </c>
      <c r="CB310" s="27"/>
    </row>
    <row r="311" spans="1:80" x14ac:dyDescent="0.25">
      <c r="A311" s="85">
        <f t="shared" si="111"/>
        <v>21</v>
      </c>
      <c r="B311" s="296">
        <f t="shared" si="112"/>
        <v>103904.69466097976</v>
      </c>
      <c r="C311" s="296">
        <f t="shared" si="113"/>
        <v>489287.38099962921</v>
      </c>
      <c r="D311" s="85">
        <f t="shared" si="130"/>
        <v>1</v>
      </c>
      <c r="E311" s="17">
        <f t="shared" si="114"/>
        <v>0.38768131207325496</v>
      </c>
      <c r="F311" s="17">
        <f t="shared" si="115"/>
        <v>-0.10805969184730202</v>
      </c>
      <c r="G311" s="17" t="str">
        <f t="shared" si="116"/>
        <v>103904.69466098,489287.380999629</v>
      </c>
      <c r="H311" s="16">
        <v>21</v>
      </c>
      <c r="I311" s="16">
        <f t="shared" si="117"/>
        <v>21</v>
      </c>
      <c r="J311" s="209">
        <f t="shared" si="118"/>
        <v>0.40245955912734188</v>
      </c>
      <c r="K311" s="209">
        <f t="shared" si="119"/>
        <v>8.0491911822579461</v>
      </c>
      <c r="L311" s="692">
        <v>1.193211674690247</v>
      </c>
      <c r="M311" s="17" t="str">
        <f t="shared" si="128"/>
        <v>8.04919118225795,1.19321167469025</v>
      </c>
      <c r="O311" s="85">
        <f t="shared" si="120"/>
        <v>21</v>
      </c>
      <c r="P311" s="85">
        <f t="shared" si="121"/>
        <v>58.700316231012707</v>
      </c>
      <c r="Q311" s="233" t="str">
        <f t="shared" si="122"/>
        <v/>
      </c>
      <c r="R311" s="17">
        <f t="shared" si="123"/>
        <v>2.8513223154822285</v>
      </c>
      <c r="S311" s="235">
        <f t="shared" si="129"/>
        <v>60.048391496690201</v>
      </c>
      <c r="T311" s="17">
        <f t="shared" si="124"/>
        <v>2.8513223154822285</v>
      </c>
      <c r="U311" s="85">
        <f t="shared" si="125"/>
        <v>-9.5</v>
      </c>
      <c r="V311" s="17">
        <f t="shared" si="126"/>
        <v>0</v>
      </c>
      <c r="W311" s="17">
        <f t="shared" si="100"/>
        <v>-8.4907652139663696</v>
      </c>
      <c r="X311" s="17">
        <f t="shared" si="127"/>
        <v>-9.6849280595779419</v>
      </c>
      <c r="Y311" s="85">
        <f t="shared" si="101"/>
        <v>2</v>
      </c>
      <c r="Z311" s="17">
        <f t="shared" si="102"/>
        <v>21</v>
      </c>
      <c r="AA311" s="17" t="str">
        <f t="shared" si="103"/>
        <v>LINE</v>
      </c>
      <c r="AB311" s="17" t="str">
        <f t="shared" si="104"/>
        <v>58.7003162310127,1.40572071075439</v>
      </c>
      <c r="AC311" s="17" t="str">
        <f>IF(O311="","",P311&amp;","&amp;AB$287-Variabelen!B$43)</f>
        <v>58.7003162310127,-16.0407652139664</v>
      </c>
      <c r="AD311" s="17"/>
      <c r="AE311" s="17"/>
      <c r="AF311" s="17"/>
      <c r="AG311" s="17"/>
      <c r="AH311" s="17"/>
      <c r="AI311" s="17" t="str">
        <f>IF(O311="","",P311-Variabelen!B$36&amp;","&amp;AB$287-Variabelen!B$43+Variabelen!B$36)</f>
        <v>58.6203162310127,-15.9607652139664</v>
      </c>
      <c r="AJ311" s="154">
        <f t="shared" si="105"/>
        <v>58.7</v>
      </c>
      <c r="AK311" s="17"/>
      <c r="AL311" s="17"/>
      <c r="AM311" s="17"/>
      <c r="AN311" s="17"/>
      <c r="AO311" s="17"/>
      <c r="AP311" s="17" t="str">
        <f>IF(O311="","",P311-Variabelen!B$36&amp;","&amp;AB$287-Variabelen!B$42+Variabelen!B$36)</f>
        <v>58.6203162310127,-13.7607652139664</v>
      </c>
      <c r="AQ311" s="154">
        <f t="shared" si="106"/>
        <v>60.05</v>
      </c>
      <c r="AR311" s="17"/>
      <c r="AS311" s="17"/>
      <c r="AT311" s="17"/>
      <c r="AU311" s="17"/>
      <c r="AV311" s="17" t="str">
        <f t="shared" si="107"/>
        <v>_BR</v>
      </c>
      <c r="AW311" s="17" t="str">
        <f>IF(O311="","",P311-Variabelen!B$36&amp;","&amp;AB$287-Variabelen!B$41+Variabelen!B$36)</f>
        <v>58.6203162310127,-11.5607652139664</v>
      </c>
      <c r="AX311" s="17"/>
      <c r="AY311" s="17"/>
      <c r="AZ311" s="154">
        <f t="shared" si="108"/>
        <v>-8.49</v>
      </c>
      <c r="BA311" s="17"/>
      <c r="BB311" s="17"/>
      <c r="BC311" s="17"/>
      <c r="BD311" s="17"/>
      <c r="BE311" s="17" t="str">
        <f t="shared" si="109"/>
        <v>_BR</v>
      </c>
      <c r="BF311" s="17" t="str">
        <f>IF(O311="","",P311-Variabelen!B$36&amp;","&amp;AB$287-Variabelen!B$40+Variabelen!B$36)</f>
        <v>58.6203162310127,-9.76076521396637</v>
      </c>
      <c r="BG311" s="17"/>
      <c r="BH311" s="17"/>
      <c r="BI311" s="154">
        <f t="shared" si="110"/>
        <v>-9.68</v>
      </c>
      <c r="BJ311" s="17"/>
      <c r="BN311" s="16">
        <f t="shared" ref="BN311:BN322" si="137">IF(BO311="","",BN310+1)</f>
        <v>7</v>
      </c>
      <c r="BO311" s="16">
        <f t="shared" ref="BO311:BO322" si="138">IF(BO310&lt;&gt;"",IF(BO310&gt;(AB$287+1),BO310-1,""),"")</f>
        <v>-6</v>
      </c>
      <c r="BP311" s="17" t="str">
        <f t="shared" si="131"/>
        <v>LINE</v>
      </c>
      <c r="BQ311" s="17" t="str">
        <f>IF(BO311="","",-Variabelen!B$30&amp;","&amp;BO311)</f>
        <v>-0.5,-6</v>
      </c>
      <c r="BR311" s="17" t="str">
        <f>IF(BO311="","",K$43+Variabelen!B$30&amp;","&amp;BO311)</f>
        <v>227.222690871591,-6</v>
      </c>
      <c r="BS311" s="17"/>
      <c r="BU311" s="29" t="str">
        <f t="shared" si="132"/>
        <v>TEXT</v>
      </c>
      <c r="BV311" s="16" t="str">
        <f t="shared" si="133"/>
        <v>_Justify</v>
      </c>
      <c r="BW311" s="16" t="str">
        <f t="shared" si="134"/>
        <v>_R</v>
      </c>
      <c r="BX311" s="16" t="str">
        <f>IF(BO311="","",-Variabelen!B$31&amp;","&amp;BO311-0.5*BY311)</f>
        <v>-1,-6.225</v>
      </c>
      <c r="BY311" s="31">
        <f>Variabelen!B$32</f>
        <v>0.45</v>
      </c>
      <c r="BZ311" s="16">
        <f t="shared" si="135"/>
        <v>0</v>
      </c>
      <c r="CA311" s="16" t="str">
        <f t="shared" si="136"/>
        <v xml:space="preserve"> -6,0</v>
      </c>
      <c r="CB311" s="27"/>
    </row>
    <row r="312" spans="1:80" x14ac:dyDescent="0.25">
      <c r="A312" s="85">
        <f t="shared" si="111"/>
        <v>22</v>
      </c>
      <c r="B312" s="296">
        <f t="shared" si="112"/>
        <v>103905.08234229183</v>
      </c>
      <c r="C312" s="296">
        <f t="shared" si="113"/>
        <v>489287.27293993742</v>
      </c>
      <c r="D312" s="85">
        <f t="shared" si="130"/>
        <v>1</v>
      </c>
      <c r="E312" s="17">
        <f t="shared" si="114"/>
        <v>0.38768131207325496</v>
      </c>
      <c r="F312" s="17">
        <f t="shared" si="115"/>
        <v>-0.10805969178909436</v>
      </c>
      <c r="G312" s="17" t="str">
        <f t="shared" si="116"/>
        <v>103905.082342292,489287.272939937</v>
      </c>
      <c r="H312" s="16">
        <v>22</v>
      </c>
      <c r="I312" s="16">
        <f t="shared" si="117"/>
        <v>22</v>
      </c>
      <c r="J312" s="209">
        <f t="shared" si="118"/>
        <v>0.40245955911171322</v>
      </c>
      <c r="K312" s="209">
        <f t="shared" si="119"/>
        <v>8.4516507413696598</v>
      </c>
      <c r="L312" s="692">
        <v>1.192324280738831</v>
      </c>
      <c r="M312" s="17" t="str">
        <f t="shared" si="128"/>
        <v>8.45165074136966,1.19232428073883</v>
      </c>
      <c r="O312" s="85">
        <f t="shared" si="120"/>
        <v>22</v>
      </c>
      <c r="P312" s="85">
        <f t="shared" si="121"/>
        <v>61.551638546494942</v>
      </c>
      <c r="Q312" s="233" t="str">
        <f t="shared" si="122"/>
        <v/>
      </c>
      <c r="R312" s="17">
        <f t="shared" si="123"/>
        <v>2.8513223154822356</v>
      </c>
      <c r="S312" s="235">
        <f t="shared" si="129"/>
        <v>62.899713812172436</v>
      </c>
      <c r="T312" s="17">
        <f t="shared" si="124"/>
        <v>2.8513223154822356</v>
      </c>
      <c r="U312" s="85">
        <f t="shared" si="125"/>
        <v>-9.5</v>
      </c>
      <c r="V312" s="17">
        <f t="shared" si="126"/>
        <v>0</v>
      </c>
      <c r="W312" s="17">
        <f t="shared" si="100"/>
        <v>-8.4907652139663696</v>
      </c>
      <c r="X312" s="17">
        <f t="shared" si="127"/>
        <v>-9.6704716682434082</v>
      </c>
      <c r="Y312" s="85">
        <f t="shared" si="101"/>
        <v>2</v>
      </c>
      <c r="Z312" s="17">
        <f t="shared" si="102"/>
        <v>22</v>
      </c>
      <c r="AA312" s="17" t="str">
        <f t="shared" si="103"/>
        <v>LINE</v>
      </c>
      <c r="AB312" s="17" t="str">
        <f t="shared" si="104"/>
        <v>61.5516385464949,1.40572071075439</v>
      </c>
      <c r="AC312" s="17" t="str">
        <f>IF(O312="","",P312&amp;","&amp;AB$287-Variabelen!B$43)</f>
        <v>61.5516385464949,-16.0407652139664</v>
      </c>
      <c r="AD312" s="17"/>
      <c r="AE312" s="17"/>
      <c r="AF312" s="17"/>
      <c r="AG312" s="17"/>
      <c r="AH312" s="17"/>
      <c r="AI312" s="17" t="str">
        <f>IF(O312="","",P312-Variabelen!B$36&amp;","&amp;AB$287-Variabelen!B$43+Variabelen!B$36)</f>
        <v>61.4716385464949,-15.9607652139664</v>
      </c>
      <c r="AJ312" s="154">
        <f t="shared" si="105"/>
        <v>61.55</v>
      </c>
      <c r="AK312" s="17"/>
      <c r="AL312" s="17"/>
      <c r="AM312" s="17"/>
      <c r="AN312" s="17"/>
      <c r="AO312" s="17"/>
      <c r="AP312" s="17" t="str">
        <f>IF(O312="","",P312-Variabelen!B$36&amp;","&amp;AB$287-Variabelen!B$42+Variabelen!B$36)</f>
        <v>61.4716385464949,-13.7607652139664</v>
      </c>
      <c r="AQ312" s="154">
        <f t="shared" si="106"/>
        <v>62.9</v>
      </c>
      <c r="AR312" s="17"/>
      <c r="AS312" s="17"/>
      <c r="AT312" s="17"/>
      <c r="AU312" s="17"/>
      <c r="AV312" s="17" t="str">
        <f t="shared" si="107"/>
        <v>_BR</v>
      </c>
      <c r="AW312" s="17" t="str">
        <f>IF(O312="","",P312-Variabelen!B$36&amp;","&amp;AB$287-Variabelen!B$41+Variabelen!B$36)</f>
        <v>61.4716385464949,-11.5607652139664</v>
      </c>
      <c r="AX312" s="17"/>
      <c r="AY312" s="17"/>
      <c r="AZ312" s="154">
        <f t="shared" si="108"/>
        <v>-8.49</v>
      </c>
      <c r="BA312" s="17"/>
      <c r="BB312" s="17"/>
      <c r="BC312" s="17"/>
      <c r="BD312" s="17"/>
      <c r="BE312" s="17" t="str">
        <f t="shared" si="109"/>
        <v>_BR</v>
      </c>
      <c r="BF312" s="17" t="str">
        <f>IF(O312="","",P312-Variabelen!B$36&amp;","&amp;AB$287-Variabelen!B$40+Variabelen!B$36)</f>
        <v>61.4716385464949,-9.76076521396637</v>
      </c>
      <c r="BG312" s="17"/>
      <c r="BH312" s="17"/>
      <c r="BI312" s="154">
        <f t="shared" si="110"/>
        <v>-9.67</v>
      </c>
      <c r="BJ312" s="17"/>
      <c r="BN312" s="16">
        <f t="shared" si="137"/>
        <v>8</v>
      </c>
      <c r="BO312" s="16">
        <f t="shared" si="138"/>
        <v>-7</v>
      </c>
      <c r="BP312" s="17" t="str">
        <f t="shared" si="131"/>
        <v>LINE</v>
      </c>
      <c r="BQ312" s="17" t="str">
        <f>IF(BO312="","",-Variabelen!B$30&amp;","&amp;BO312)</f>
        <v>-0.5,-7</v>
      </c>
      <c r="BR312" s="17" t="str">
        <f>IF(BO312="","",K$43+Variabelen!B$30&amp;","&amp;BO312)</f>
        <v>227.222690871591,-7</v>
      </c>
      <c r="BS312" s="17"/>
      <c r="BU312" s="29" t="str">
        <f t="shared" si="132"/>
        <v>TEXT</v>
      </c>
      <c r="BV312" s="16" t="str">
        <f t="shared" si="133"/>
        <v>_Justify</v>
      </c>
      <c r="BW312" s="16" t="str">
        <f t="shared" si="134"/>
        <v>_R</v>
      </c>
      <c r="BX312" s="16" t="str">
        <f>IF(BO312="","",-Variabelen!B$31&amp;","&amp;BO312-0.5*BY312)</f>
        <v>-1,-7.225</v>
      </c>
      <c r="BY312" s="31">
        <f>Variabelen!B$32</f>
        <v>0.45</v>
      </c>
      <c r="BZ312" s="16">
        <f t="shared" si="135"/>
        <v>0</v>
      </c>
      <c r="CA312" s="16" t="str">
        <f t="shared" si="136"/>
        <v xml:space="preserve"> -7,0</v>
      </c>
      <c r="CB312" s="27"/>
    </row>
    <row r="313" spans="1:80" x14ac:dyDescent="0.25">
      <c r="A313" s="85">
        <f t="shared" si="111"/>
        <v>23</v>
      </c>
      <c r="B313" s="296">
        <f t="shared" si="112"/>
        <v>103905.47002360389</v>
      </c>
      <c r="C313" s="296">
        <f t="shared" si="113"/>
        <v>489287.16488024563</v>
      </c>
      <c r="D313" s="85">
        <f t="shared" si="130"/>
        <v>1</v>
      </c>
      <c r="E313" s="17">
        <f t="shared" si="114"/>
        <v>0.38768131205870304</v>
      </c>
      <c r="F313" s="17">
        <f t="shared" si="115"/>
        <v>-0.10805969178909436</v>
      </c>
      <c r="G313" s="17" t="str">
        <f t="shared" si="116"/>
        <v>103905.470023604,489287.164880246</v>
      </c>
      <c r="H313" s="16">
        <v>23</v>
      </c>
      <c r="I313" s="16">
        <f t="shared" si="117"/>
        <v>23</v>
      </c>
      <c r="J313" s="209">
        <f t="shared" si="118"/>
        <v>0.4024595590976956</v>
      </c>
      <c r="K313" s="209">
        <f t="shared" si="119"/>
        <v>8.8541103004673545</v>
      </c>
      <c r="L313" s="692">
        <v>1.19236171245575</v>
      </c>
      <c r="M313" s="17" t="str">
        <f t="shared" si="128"/>
        <v>8.85411030046735,1.19236171245575</v>
      </c>
      <c r="O313" s="85">
        <f t="shared" si="120"/>
        <v>23</v>
      </c>
      <c r="P313" s="85">
        <f t="shared" si="121"/>
        <v>64.402960861977178</v>
      </c>
      <c r="Q313" s="233" t="str">
        <f t="shared" si="122"/>
        <v/>
      </c>
      <c r="R313" s="17">
        <f t="shared" si="123"/>
        <v>2.8513223154822356</v>
      </c>
      <c r="S313" s="235">
        <f t="shared" si="129"/>
        <v>65.751036127654672</v>
      </c>
      <c r="T313" s="17">
        <f t="shared" si="124"/>
        <v>2.8513223154822356</v>
      </c>
      <c r="U313" s="85">
        <f t="shared" si="125"/>
        <v>-9.5</v>
      </c>
      <c r="V313" s="17">
        <f t="shared" si="126"/>
        <v>0</v>
      </c>
      <c r="W313" s="17">
        <f t="shared" si="100"/>
        <v>-8.4907652139663696</v>
      </c>
      <c r="X313" s="17">
        <f t="shared" si="127"/>
        <v>-9.657539963722229</v>
      </c>
      <c r="Y313" s="85">
        <f t="shared" si="101"/>
        <v>2</v>
      </c>
      <c r="Z313" s="17">
        <f t="shared" si="102"/>
        <v>23</v>
      </c>
      <c r="AA313" s="17" t="str">
        <f t="shared" si="103"/>
        <v>LINE</v>
      </c>
      <c r="AB313" s="17" t="str">
        <f t="shared" si="104"/>
        <v>64.4029608619772,1.40572071075439</v>
      </c>
      <c r="AC313" s="17" t="str">
        <f>IF(O313="","",P313&amp;","&amp;AB$287-Variabelen!B$43)</f>
        <v>64.4029608619772,-16.0407652139664</v>
      </c>
      <c r="AD313" s="17"/>
      <c r="AE313" s="17"/>
      <c r="AF313" s="17"/>
      <c r="AG313" s="17"/>
      <c r="AH313" s="17"/>
      <c r="AI313" s="17" t="str">
        <f>IF(O313="","",P313-Variabelen!B$36&amp;","&amp;AB$287-Variabelen!B$43+Variabelen!B$36)</f>
        <v>64.3229608619772,-15.9607652139664</v>
      </c>
      <c r="AJ313" s="154">
        <f t="shared" si="105"/>
        <v>64.400000000000006</v>
      </c>
      <c r="AK313" s="17"/>
      <c r="AL313" s="17"/>
      <c r="AM313" s="17"/>
      <c r="AN313" s="17"/>
      <c r="AO313" s="17"/>
      <c r="AP313" s="17" t="str">
        <f>IF(O313="","",P313-Variabelen!B$36&amp;","&amp;AB$287-Variabelen!B$42+Variabelen!B$36)</f>
        <v>64.3229608619772,-13.7607652139664</v>
      </c>
      <c r="AQ313" s="154">
        <f t="shared" si="106"/>
        <v>65.75</v>
      </c>
      <c r="AR313" s="17"/>
      <c r="AS313" s="17"/>
      <c r="AT313" s="17"/>
      <c r="AU313" s="17"/>
      <c r="AV313" s="17" t="str">
        <f t="shared" si="107"/>
        <v>_BR</v>
      </c>
      <c r="AW313" s="17" t="str">
        <f>IF(O313="","",P313-Variabelen!B$36&amp;","&amp;AB$287-Variabelen!B$41+Variabelen!B$36)</f>
        <v>64.3229608619772,-11.5607652139664</v>
      </c>
      <c r="AX313" s="17"/>
      <c r="AY313" s="17"/>
      <c r="AZ313" s="154">
        <f t="shared" si="108"/>
        <v>-8.49</v>
      </c>
      <c r="BA313" s="17"/>
      <c r="BB313" s="17"/>
      <c r="BC313" s="17"/>
      <c r="BD313" s="17"/>
      <c r="BE313" s="17" t="str">
        <f t="shared" si="109"/>
        <v>_BR</v>
      </c>
      <c r="BF313" s="17" t="str">
        <f>IF(O313="","",P313-Variabelen!B$36&amp;","&amp;AB$287-Variabelen!B$40+Variabelen!B$36)</f>
        <v>64.3229608619772,-9.76076521396637</v>
      </c>
      <c r="BG313" s="17"/>
      <c r="BH313" s="17"/>
      <c r="BI313" s="154">
        <f t="shared" si="110"/>
        <v>-9.66</v>
      </c>
      <c r="BJ313" s="17"/>
      <c r="BN313" s="16">
        <f t="shared" si="137"/>
        <v>9</v>
      </c>
      <c r="BO313" s="16">
        <f t="shared" si="138"/>
        <v>-8</v>
      </c>
      <c r="BP313" s="17" t="str">
        <f t="shared" si="131"/>
        <v>LINE</v>
      </c>
      <c r="BQ313" s="17" t="str">
        <f>IF(BO313="","",-Variabelen!B$30&amp;","&amp;BO313)</f>
        <v>-0.5,-8</v>
      </c>
      <c r="BR313" s="17" t="str">
        <f>IF(BO313="","",K$43+Variabelen!B$30&amp;","&amp;BO313)</f>
        <v>227.222690871591,-8</v>
      </c>
      <c r="BS313" s="17"/>
      <c r="BU313" s="29" t="str">
        <f t="shared" si="132"/>
        <v>TEXT</v>
      </c>
      <c r="BV313" s="16" t="str">
        <f t="shared" si="133"/>
        <v>_Justify</v>
      </c>
      <c r="BW313" s="16" t="str">
        <f t="shared" si="134"/>
        <v>_R</v>
      </c>
      <c r="BX313" s="16" t="str">
        <f>IF(BO313="","",-Variabelen!B$31&amp;","&amp;BO313-0.5*BY313)</f>
        <v>-1,-8.225</v>
      </c>
      <c r="BY313" s="31">
        <f>Variabelen!B$32</f>
        <v>0.45</v>
      </c>
      <c r="BZ313" s="16">
        <f t="shared" si="135"/>
        <v>0</v>
      </c>
      <c r="CA313" s="16" t="str">
        <f t="shared" si="136"/>
        <v xml:space="preserve"> -8,0</v>
      </c>
      <c r="CB313" s="27"/>
    </row>
    <row r="314" spans="1:80" x14ac:dyDescent="0.25">
      <c r="A314" s="85">
        <f t="shared" si="111"/>
        <v>24</v>
      </c>
      <c r="B314" s="296">
        <f t="shared" si="112"/>
        <v>103905.85770491596</v>
      </c>
      <c r="C314" s="296">
        <f t="shared" si="113"/>
        <v>489287.05682055384</v>
      </c>
      <c r="D314" s="85">
        <f t="shared" si="130"/>
        <v>1</v>
      </c>
      <c r="E314" s="17">
        <f t="shared" si="114"/>
        <v>0.38768131207325496</v>
      </c>
      <c r="F314" s="17">
        <f t="shared" si="115"/>
        <v>-0.10805969178909436</v>
      </c>
      <c r="G314" s="17" t="str">
        <f t="shared" si="116"/>
        <v>103905.857704916,489287.056820554</v>
      </c>
      <c r="H314" s="16">
        <v>24</v>
      </c>
      <c r="I314" s="16">
        <f t="shared" si="117"/>
        <v>24</v>
      </c>
      <c r="J314" s="209">
        <f t="shared" si="118"/>
        <v>0.40245955911171322</v>
      </c>
      <c r="K314" s="209">
        <f t="shared" si="119"/>
        <v>9.2565698595790682</v>
      </c>
      <c r="L314" s="692">
        <v>1.198861956596375</v>
      </c>
      <c r="M314" s="17" t="str">
        <f t="shared" si="128"/>
        <v>9.25656985957907,1.19886195659637</v>
      </c>
      <c r="O314" s="85">
        <f t="shared" si="120"/>
        <v>24</v>
      </c>
      <c r="P314" s="85">
        <f t="shared" si="121"/>
        <v>67.254283177459413</v>
      </c>
      <c r="Q314" s="233" t="str">
        <f t="shared" si="122"/>
        <v/>
      </c>
      <c r="R314" s="17">
        <f t="shared" si="123"/>
        <v>2.8513223154822356</v>
      </c>
      <c r="S314" s="235">
        <f t="shared" si="129"/>
        <v>68.602358443136907</v>
      </c>
      <c r="T314" s="17">
        <f t="shared" si="124"/>
        <v>2.8513223154822356</v>
      </c>
      <c r="U314" s="85">
        <f t="shared" si="125"/>
        <v>-9.5</v>
      </c>
      <c r="V314" s="17">
        <f t="shared" si="126"/>
        <v>0</v>
      </c>
      <c r="W314" s="17">
        <f t="shared" si="100"/>
        <v>-8.4907652139663696</v>
      </c>
      <c r="X314" s="17">
        <f t="shared" si="127"/>
        <v>-9.6965056657791138</v>
      </c>
      <c r="Y314" s="85">
        <f t="shared" si="101"/>
        <v>2</v>
      </c>
      <c r="Z314" s="17">
        <f t="shared" si="102"/>
        <v>24</v>
      </c>
      <c r="AA314" s="17" t="str">
        <f t="shared" si="103"/>
        <v>LINE</v>
      </c>
      <c r="AB314" s="17" t="str">
        <f t="shared" si="104"/>
        <v>67.2542831774594,1.40572071075439</v>
      </c>
      <c r="AC314" s="17" t="str">
        <f>IF(O314="","",P314&amp;","&amp;AB$287-Variabelen!B$43)</f>
        <v>67.2542831774594,-16.0407652139664</v>
      </c>
      <c r="AD314" s="17"/>
      <c r="AE314" s="17"/>
      <c r="AF314" s="17"/>
      <c r="AG314" s="17"/>
      <c r="AH314" s="17"/>
      <c r="AI314" s="17" t="str">
        <f>IF(O314="","",P314-Variabelen!B$36&amp;","&amp;AB$287-Variabelen!B$43+Variabelen!B$36)</f>
        <v>67.1742831774594,-15.9607652139664</v>
      </c>
      <c r="AJ314" s="154">
        <f t="shared" si="105"/>
        <v>67.25</v>
      </c>
      <c r="AK314" s="17"/>
      <c r="AL314" s="17"/>
      <c r="AM314" s="17"/>
      <c r="AN314" s="17"/>
      <c r="AO314" s="17"/>
      <c r="AP314" s="17" t="str">
        <f>IF(O314="","",P314-Variabelen!B$36&amp;","&amp;AB$287-Variabelen!B$42+Variabelen!B$36)</f>
        <v>67.1742831774594,-13.7607652139664</v>
      </c>
      <c r="AQ314" s="154">
        <f t="shared" si="106"/>
        <v>68.599999999999994</v>
      </c>
      <c r="AR314" s="17"/>
      <c r="AS314" s="17"/>
      <c r="AT314" s="17"/>
      <c r="AU314" s="17"/>
      <c r="AV314" s="17" t="str">
        <f t="shared" si="107"/>
        <v>_BR</v>
      </c>
      <c r="AW314" s="17" t="str">
        <f>IF(O314="","",P314-Variabelen!B$36&amp;","&amp;AB$287-Variabelen!B$41+Variabelen!B$36)</f>
        <v>67.1742831774594,-11.5607652139664</v>
      </c>
      <c r="AX314" s="17"/>
      <c r="AY314" s="17"/>
      <c r="AZ314" s="154">
        <f t="shared" si="108"/>
        <v>-8.49</v>
      </c>
      <c r="BA314" s="17"/>
      <c r="BB314" s="17"/>
      <c r="BC314" s="17"/>
      <c r="BD314" s="17"/>
      <c r="BE314" s="17" t="str">
        <f t="shared" si="109"/>
        <v>_BR</v>
      </c>
      <c r="BF314" s="17" t="str">
        <f>IF(O314="","",P314-Variabelen!B$36&amp;","&amp;AB$287-Variabelen!B$40+Variabelen!B$36)</f>
        <v>67.1742831774594,-9.76076521396637</v>
      </c>
      <c r="BG314" s="17"/>
      <c r="BH314" s="17"/>
      <c r="BI314" s="154">
        <f t="shared" si="110"/>
        <v>-9.6999999999999993</v>
      </c>
      <c r="BJ314" s="17"/>
      <c r="BN314" s="16" t="str">
        <f t="shared" si="137"/>
        <v/>
      </c>
      <c r="BO314" s="16" t="str">
        <f t="shared" si="138"/>
        <v/>
      </c>
      <c r="BP314" s="17" t="str">
        <f t="shared" si="131"/>
        <v/>
      </c>
      <c r="BQ314" s="17" t="str">
        <f>IF(BO314="","",-Variabelen!B$30&amp;","&amp;BO314)</f>
        <v/>
      </c>
      <c r="BR314" s="17" t="str">
        <f>IF(BO314="","",K$43+Variabelen!B$30&amp;","&amp;BO314)</f>
        <v/>
      </c>
      <c r="BS314" s="17"/>
      <c r="BU314" s="29" t="str">
        <f t="shared" si="132"/>
        <v/>
      </c>
      <c r="BV314" s="16" t="str">
        <f t="shared" si="133"/>
        <v/>
      </c>
      <c r="BW314" s="16" t="str">
        <f t="shared" si="134"/>
        <v/>
      </c>
      <c r="BX314" s="16" t="str">
        <f>IF(BO314="","",-Variabelen!B$31&amp;","&amp;BO314-0.5*BY314)</f>
        <v/>
      </c>
      <c r="BY314" s="31">
        <f>Variabelen!B$32</f>
        <v>0.45</v>
      </c>
      <c r="BZ314" s="16" t="str">
        <f t="shared" si="135"/>
        <v/>
      </c>
      <c r="CA314" s="16" t="str">
        <f t="shared" si="136"/>
        <v/>
      </c>
      <c r="CB314" s="27"/>
    </row>
    <row r="315" spans="1:80" x14ac:dyDescent="0.25">
      <c r="A315" s="85">
        <f t="shared" si="111"/>
        <v>25</v>
      </c>
      <c r="B315" s="296">
        <f t="shared" si="112"/>
        <v>103906.24538622804</v>
      </c>
      <c r="C315" s="296">
        <f t="shared" si="113"/>
        <v>489286.948760862</v>
      </c>
      <c r="D315" s="85">
        <f t="shared" si="130"/>
        <v>1</v>
      </c>
      <c r="E315" s="17">
        <f t="shared" si="114"/>
        <v>0.38768131207325496</v>
      </c>
      <c r="F315" s="17">
        <f t="shared" si="115"/>
        <v>-0.10805969184730202</v>
      </c>
      <c r="G315" s="17" t="str">
        <f t="shared" si="116"/>
        <v>103906.245386228,489286.948760862</v>
      </c>
      <c r="H315" s="16">
        <v>25</v>
      </c>
      <c r="I315" s="16">
        <f t="shared" si="117"/>
        <v>25</v>
      </c>
      <c r="J315" s="209">
        <f t="shared" si="118"/>
        <v>0.40245955912734188</v>
      </c>
      <c r="K315" s="209">
        <f t="shared" si="119"/>
        <v>9.6590294187064103</v>
      </c>
      <c r="L315" s="692">
        <v>1.1909165382385249</v>
      </c>
      <c r="M315" s="17" t="str">
        <f t="shared" si="128"/>
        <v>9.65902941870641,1.19091653823852</v>
      </c>
      <c r="O315" s="85">
        <f t="shared" si="120"/>
        <v>25</v>
      </c>
      <c r="P315" s="85">
        <f t="shared" si="121"/>
        <v>70.105605492941635</v>
      </c>
      <c r="Q315" s="233" t="str">
        <f t="shared" si="122"/>
        <v/>
      </c>
      <c r="R315" s="17">
        <f t="shared" si="123"/>
        <v>2.8513223154822214</v>
      </c>
      <c r="S315" s="235">
        <f t="shared" si="129"/>
        <v>71.453680758619129</v>
      </c>
      <c r="T315" s="17">
        <f t="shared" si="124"/>
        <v>2.8513223154822214</v>
      </c>
      <c r="U315" s="85">
        <f t="shared" si="125"/>
        <v>-9.5</v>
      </c>
      <c r="V315" s="17">
        <f t="shared" si="126"/>
        <v>0</v>
      </c>
      <c r="W315" s="17">
        <f t="shared" si="100"/>
        <v>-8.4907652139663696</v>
      </c>
      <c r="X315" s="17">
        <f t="shared" si="127"/>
        <v>-9.6966181993484497</v>
      </c>
      <c r="Y315" s="85">
        <f t="shared" si="101"/>
        <v>2</v>
      </c>
      <c r="Z315" s="17">
        <f t="shared" si="102"/>
        <v>25</v>
      </c>
      <c r="AA315" s="17" t="str">
        <f t="shared" si="103"/>
        <v>LINE</v>
      </c>
      <c r="AB315" s="17" t="str">
        <f t="shared" si="104"/>
        <v>70.1056054929416,1.40572071075439</v>
      </c>
      <c r="AC315" s="17" t="str">
        <f>IF(O315="","",P315&amp;","&amp;AB$287-Variabelen!B$43)</f>
        <v>70.1056054929416,-16.0407652139664</v>
      </c>
      <c r="AD315" s="17"/>
      <c r="AE315" s="17"/>
      <c r="AF315" s="17"/>
      <c r="AG315" s="17"/>
      <c r="AH315" s="17"/>
      <c r="AI315" s="17" t="str">
        <f>IF(O315="","",P315-Variabelen!B$36&amp;","&amp;AB$287-Variabelen!B$43+Variabelen!B$36)</f>
        <v>70.0256054929416,-15.9607652139664</v>
      </c>
      <c r="AJ315" s="154">
        <f t="shared" si="105"/>
        <v>70.11</v>
      </c>
      <c r="AK315" s="17"/>
      <c r="AL315" s="17"/>
      <c r="AM315" s="17"/>
      <c r="AN315" s="17"/>
      <c r="AO315" s="17"/>
      <c r="AP315" s="17" t="str">
        <f>IF(O315="","",P315-Variabelen!B$36&amp;","&amp;AB$287-Variabelen!B$42+Variabelen!B$36)</f>
        <v>70.0256054929416,-13.7607652139664</v>
      </c>
      <c r="AQ315" s="154">
        <f t="shared" si="106"/>
        <v>71.45</v>
      </c>
      <c r="AR315" s="17"/>
      <c r="AS315" s="17"/>
      <c r="AT315" s="17"/>
      <c r="AU315" s="17"/>
      <c r="AV315" s="17" t="str">
        <f t="shared" si="107"/>
        <v>_BR</v>
      </c>
      <c r="AW315" s="17" t="str">
        <f>IF(O315="","",P315-Variabelen!B$36&amp;","&amp;AB$287-Variabelen!B$41+Variabelen!B$36)</f>
        <v>70.0256054929416,-11.5607652139664</v>
      </c>
      <c r="AX315" s="17"/>
      <c r="AY315" s="17"/>
      <c r="AZ315" s="154">
        <f t="shared" si="108"/>
        <v>-8.49</v>
      </c>
      <c r="BA315" s="17"/>
      <c r="BB315" s="17"/>
      <c r="BC315" s="17"/>
      <c r="BD315" s="17"/>
      <c r="BE315" s="17" t="str">
        <f t="shared" si="109"/>
        <v>_BR</v>
      </c>
      <c r="BF315" s="17" t="str">
        <f>IF(O315="","",P315-Variabelen!B$36&amp;","&amp;AB$287-Variabelen!B$40+Variabelen!B$36)</f>
        <v>70.0256054929416,-9.76076521396637</v>
      </c>
      <c r="BG315" s="17"/>
      <c r="BH315" s="17"/>
      <c r="BI315" s="154">
        <f t="shared" si="110"/>
        <v>-9.6999999999999993</v>
      </c>
      <c r="BJ315" s="17"/>
      <c r="BN315" s="16" t="str">
        <f t="shared" si="137"/>
        <v/>
      </c>
      <c r="BO315" s="16" t="str">
        <f t="shared" si="138"/>
        <v/>
      </c>
      <c r="BP315" s="17" t="str">
        <f t="shared" si="131"/>
        <v/>
      </c>
      <c r="BQ315" s="17" t="str">
        <f>IF(BO315="","",-Variabelen!B$30&amp;","&amp;BO315)</f>
        <v/>
      </c>
      <c r="BR315" s="17" t="str">
        <f>IF(BO315="","",K$43+Variabelen!B$30&amp;","&amp;BO315)</f>
        <v/>
      </c>
      <c r="BS315" s="17"/>
      <c r="BU315" s="29" t="str">
        <f t="shared" si="132"/>
        <v/>
      </c>
      <c r="BV315" s="16" t="str">
        <f t="shared" si="133"/>
        <v/>
      </c>
      <c r="BW315" s="16" t="str">
        <f t="shared" si="134"/>
        <v/>
      </c>
      <c r="BX315" s="16" t="str">
        <f>IF(BO315="","",-Variabelen!B$31&amp;","&amp;BO315-0.5*BY315)</f>
        <v/>
      </c>
      <c r="BY315" s="31">
        <f>Variabelen!B$32</f>
        <v>0.45</v>
      </c>
      <c r="BZ315" s="16" t="str">
        <f t="shared" si="135"/>
        <v/>
      </c>
      <c r="CA315" s="16" t="str">
        <f t="shared" si="136"/>
        <v/>
      </c>
      <c r="CB315" s="27"/>
    </row>
    <row r="316" spans="1:80" x14ac:dyDescent="0.25">
      <c r="A316" s="85">
        <f t="shared" si="111"/>
        <v>26</v>
      </c>
      <c r="B316" s="296">
        <f t="shared" si="112"/>
        <v>103906.6330675401</v>
      </c>
      <c r="C316" s="296">
        <f t="shared" si="113"/>
        <v>489286.84070117021</v>
      </c>
      <c r="D316" s="85">
        <f t="shared" si="130"/>
        <v>1</v>
      </c>
      <c r="E316" s="17">
        <f t="shared" si="114"/>
        <v>0.38768131205870304</v>
      </c>
      <c r="F316" s="17">
        <f t="shared" si="115"/>
        <v>-0.10805969178909436</v>
      </c>
      <c r="G316" s="17" t="str">
        <f t="shared" si="116"/>
        <v>103906.63306754,489286.84070117</v>
      </c>
      <c r="H316" s="16">
        <v>26</v>
      </c>
      <c r="I316" s="16">
        <f t="shared" si="117"/>
        <v>26</v>
      </c>
      <c r="J316" s="209">
        <f t="shared" si="118"/>
        <v>0.4024595590976956</v>
      </c>
      <c r="K316" s="209">
        <f t="shared" si="119"/>
        <v>10.061488977804107</v>
      </c>
      <c r="L316" s="692">
        <v>1.1897000074386599</v>
      </c>
      <c r="M316" s="17" t="str">
        <f t="shared" si="128"/>
        <v>10.0614889778041,1.18970000743866</v>
      </c>
      <c r="O316" s="85">
        <f t="shared" si="120"/>
        <v>26</v>
      </c>
      <c r="P316" s="85">
        <f t="shared" si="121"/>
        <v>72.95692780842387</v>
      </c>
      <c r="Q316" s="233" t="str">
        <f t="shared" si="122"/>
        <v/>
      </c>
      <c r="R316" s="17">
        <f t="shared" si="123"/>
        <v>2.8513223154822356</v>
      </c>
      <c r="S316" s="235">
        <f t="shared" si="129"/>
        <v>74.305003074101364</v>
      </c>
      <c r="T316" s="17">
        <f t="shared" si="124"/>
        <v>2.8513223154822356</v>
      </c>
      <c r="U316" s="85">
        <f t="shared" si="125"/>
        <v>-9.5</v>
      </c>
      <c r="V316" s="17">
        <f t="shared" si="126"/>
        <v>0</v>
      </c>
      <c r="W316" s="17">
        <f t="shared" si="100"/>
        <v>-8.4907652139663696</v>
      </c>
      <c r="X316" s="17">
        <f t="shared" si="127"/>
        <v>-9.7418217658996582</v>
      </c>
      <c r="Y316" s="85">
        <f t="shared" si="101"/>
        <v>2</v>
      </c>
      <c r="Z316" s="17">
        <f t="shared" si="102"/>
        <v>26</v>
      </c>
      <c r="AA316" s="17" t="str">
        <f t="shared" si="103"/>
        <v>LINE</v>
      </c>
      <c r="AB316" s="17" t="str">
        <f t="shared" si="104"/>
        <v>72.9569278084239,1.40572071075439</v>
      </c>
      <c r="AC316" s="17" t="str">
        <f>IF(O316="","",P316&amp;","&amp;AB$287-Variabelen!B$43)</f>
        <v>72.9569278084239,-16.0407652139664</v>
      </c>
      <c r="AD316" s="17"/>
      <c r="AE316" s="17"/>
      <c r="AF316" s="17"/>
      <c r="AG316" s="17"/>
      <c r="AH316" s="17"/>
      <c r="AI316" s="17" t="str">
        <f>IF(O316="","",P316-Variabelen!B$36&amp;","&amp;AB$287-Variabelen!B$43+Variabelen!B$36)</f>
        <v>72.8769278084239,-15.9607652139664</v>
      </c>
      <c r="AJ316" s="154">
        <f t="shared" si="105"/>
        <v>72.959999999999994</v>
      </c>
      <c r="AK316" s="17"/>
      <c r="AL316" s="17"/>
      <c r="AM316" s="17"/>
      <c r="AN316" s="17"/>
      <c r="AO316" s="17"/>
      <c r="AP316" s="17" t="str">
        <f>IF(O316="","",P316-Variabelen!B$36&amp;","&amp;AB$287-Variabelen!B$42+Variabelen!B$36)</f>
        <v>72.8769278084239,-13.7607652139664</v>
      </c>
      <c r="AQ316" s="154">
        <f t="shared" si="106"/>
        <v>74.31</v>
      </c>
      <c r="AR316" s="17"/>
      <c r="AS316" s="17"/>
      <c r="AT316" s="17"/>
      <c r="AU316" s="17"/>
      <c r="AV316" s="17" t="str">
        <f t="shared" si="107"/>
        <v>_BR</v>
      </c>
      <c r="AW316" s="17" t="str">
        <f>IF(O316="","",P316-Variabelen!B$36&amp;","&amp;AB$287-Variabelen!B$41+Variabelen!B$36)</f>
        <v>72.8769278084239,-11.5607652139664</v>
      </c>
      <c r="AX316" s="17"/>
      <c r="AY316" s="17"/>
      <c r="AZ316" s="154">
        <f t="shared" si="108"/>
        <v>-8.49</v>
      </c>
      <c r="BA316" s="17"/>
      <c r="BB316" s="17"/>
      <c r="BC316" s="17"/>
      <c r="BD316" s="17"/>
      <c r="BE316" s="17" t="str">
        <f t="shared" si="109"/>
        <v>_BR</v>
      </c>
      <c r="BF316" s="17" t="str">
        <f>IF(O316="","",P316-Variabelen!B$36&amp;","&amp;AB$287-Variabelen!B$40+Variabelen!B$36)</f>
        <v>72.8769278084239,-9.76076521396637</v>
      </c>
      <c r="BG316" s="17"/>
      <c r="BH316" s="17"/>
      <c r="BI316" s="154">
        <f t="shared" si="110"/>
        <v>-9.74</v>
      </c>
      <c r="BJ316" s="17"/>
      <c r="BN316" s="16" t="str">
        <f t="shared" si="137"/>
        <v/>
      </c>
      <c r="BO316" s="16" t="str">
        <f t="shared" si="138"/>
        <v/>
      </c>
      <c r="BP316" s="17" t="str">
        <f t="shared" si="131"/>
        <v/>
      </c>
      <c r="BQ316" s="17" t="str">
        <f>IF(BO316="","",-Variabelen!B$30&amp;","&amp;BO316)</f>
        <v/>
      </c>
      <c r="BR316" s="17" t="str">
        <f>IF(BO316="","",K$43+Variabelen!B$30&amp;","&amp;BO316)</f>
        <v/>
      </c>
      <c r="BS316" s="17"/>
      <c r="BU316" s="29" t="str">
        <f t="shared" si="132"/>
        <v/>
      </c>
      <c r="BV316" s="16" t="str">
        <f t="shared" si="133"/>
        <v/>
      </c>
      <c r="BW316" s="16" t="str">
        <f t="shared" si="134"/>
        <v/>
      </c>
      <c r="BX316" s="16" t="str">
        <f>IF(BO316="","",-Variabelen!B$31&amp;","&amp;BO316-0.5*BY316)</f>
        <v/>
      </c>
      <c r="BY316" s="31">
        <f>Variabelen!B$32</f>
        <v>0.45</v>
      </c>
      <c r="BZ316" s="16" t="str">
        <f t="shared" si="135"/>
        <v/>
      </c>
      <c r="CA316" s="16" t="str">
        <f t="shared" si="136"/>
        <v/>
      </c>
      <c r="CB316" s="27"/>
    </row>
    <row r="317" spans="1:80" x14ac:dyDescent="0.25">
      <c r="A317" s="85">
        <f t="shared" si="111"/>
        <v>27</v>
      </c>
      <c r="B317" s="296">
        <f t="shared" si="112"/>
        <v>103907.02074885217</v>
      </c>
      <c r="C317" s="296">
        <f t="shared" si="113"/>
        <v>489286.73264147842</v>
      </c>
      <c r="D317" s="85">
        <f t="shared" si="130"/>
        <v>1</v>
      </c>
      <c r="E317" s="17">
        <f t="shared" si="114"/>
        <v>0.38768131207325496</v>
      </c>
      <c r="F317" s="17">
        <f t="shared" si="115"/>
        <v>-0.10805969178909436</v>
      </c>
      <c r="G317" s="17" t="str">
        <f t="shared" si="116"/>
        <v>103907.020748852,489286.732641478</v>
      </c>
      <c r="H317" s="16">
        <v>27</v>
      </c>
      <c r="I317" s="16">
        <f t="shared" si="117"/>
        <v>27</v>
      </c>
      <c r="J317" s="209">
        <f t="shared" si="118"/>
        <v>0.40245955911171322</v>
      </c>
      <c r="K317" s="209">
        <f t="shared" si="119"/>
        <v>10.46394853691582</v>
      </c>
      <c r="L317" s="692">
        <v>1.195153474807739</v>
      </c>
      <c r="M317" s="17" t="str">
        <f t="shared" si="128"/>
        <v>10.4639485369158,1.19515347480774</v>
      </c>
      <c r="O317" s="85">
        <f t="shared" si="120"/>
        <v>27</v>
      </c>
      <c r="P317" s="85">
        <f t="shared" si="121"/>
        <v>75.808250123906106</v>
      </c>
      <c r="Q317" s="233" t="str">
        <f t="shared" si="122"/>
        <v/>
      </c>
      <c r="R317" s="17">
        <f t="shared" si="123"/>
        <v>2.8513223154822356</v>
      </c>
      <c r="S317" s="235">
        <f t="shared" si="129"/>
        <v>77.1563253895836</v>
      </c>
      <c r="T317" s="17">
        <f t="shared" si="124"/>
        <v>2.8513223154822356</v>
      </c>
      <c r="U317" s="85">
        <f t="shared" si="125"/>
        <v>-9.5</v>
      </c>
      <c r="V317" s="17">
        <f t="shared" si="126"/>
        <v>0</v>
      </c>
      <c r="W317" s="17">
        <f t="shared" si="100"/>
        <v>-8.4907652139663696</v>
      </c>
      <c r="X317" s="17">
        <f t="shared" si="127"/>
        <v>-9.7562568187713623</v>
      </c>
      <c r="Y317" s="85">
        <f t="shared" si="101"/>
        <v>2</v>
      </c>
      <c r="Z317" s="17">
        <f t="shared" si="102"/>
        <v>27</v>
      </c>
      <c r="AA317" s="17" t="str">
        <f t="shared" si="103"/>
        <v>LINE</v>
      </c>
      <c r="AB317" s="17" t="str">
        <f t="shared" si="104"/>
        <v>75.8082501239061,1.40572071075439</v>
      </c>
      <c r="AC317" s="17" t="str">
        <f>IF(O317="","",P317&amp;","&amp;AB$287-Variabelen!B$43)</f>
        <v>75.8082501239061,-16.0407652139664</v>
      </c>
      <c r="AD317" s="17"/>
      <c r="AE317" s="17"/>
      <c r="AF317" s="17"/>
      <c r="AG317" s="17"/>
      <c r="AH317" s="17"/>
      <c r="AI317" s="17" t="str">
        <f>IF(O317="","",P317-Variabelen!B$36&amp;","&amp;AB$287-Variabelen!B$43+Variabelen!B$36)</f>
        <v>75.7282501239061,-15.9607652139664</v>
      </c>
      <c r="AJ317" s="154">
        <f t="shared" si="105"/>
        <v>75.81</v>
      </c>
      <c r="AK317" s="17"/>
      <c r="AL317" s="17"/>
      <c r="AM317" s="17"/>
      <c r="AN317" s="17"/>
      <c r="AO317" s="17"/>
      <c r="AP317" s="17" t="str">
        <f>IF(O317="","",P317-Variabelen!B$36&amp;","&amp;AB$287-Variabelen!B$42+Variabelen!B$36)</f>
        <v>75.7282501239061,-13.7607652139664</v>
      </c>
      <c r="AQ317" s="154">
        <f t="shared" si="106"/>
        <v>77.16</v>
      </c>
      <c r="AR317" s="17"/>
      <c r="AS317" s="17"/>
      <c r="AT317" s="17"/>
      <c r="AU317" s="17"/>
      <c r="AV317" s="17" t="str">
        <f t="shared" si="107"/>
        <v>_BR</v>
      </c>
      <c r="AW317" s="17" t="str">
        <f>IF(O317="","",P317-Variabelen!B$36&amp;","&amp;AB$287-Variabelen!B$41+Variabelen!B$36)</f>
        <v>75.7282501239061,-11.5607652139664</v>
      </c>
      <c r="AX317" s="17"/>
      <c r="AY317" s="17"/>
      <c r="AZ317" s="154">
        <f t="shared" si="108"/>
        <v>-8.49</v>
      </c>
      <c r="BA317" s="17"/>
      <c r="BB317" s="17"/>
      <c r="BC317" s="17"/>
      <c r="BD317" s="17"/>
      <c r="BE317" s="17" t="str">
        <f t="shared" si="109"/>
        <v>_BR</v>
      </c>
      <c r="BF317" s="17" t="str">
        <f>IF(O317="","",P317-Variabelen!B$36&amp;","&amp;AB$287-Variabelen!B$40+Variabelen!B$36)</f>
        <v>75.7282501239061,-9.76076521396637</v>
      </c>
      <c r="BG317" s="17"/>
      <c r="BH317" s="17"/>
      <c r="BI317" s="154">
        <f t="shared" si="110"/>
        <v>-9.76</v>
      </c>
      <c r="BJ317" s="17"/>
      <c r="BN317" s="16" t="str">
        <f t="shared" si="137"/>
        <v/>
      </c>
      <c r="BO317" s="16" t="str">
        <f t="shared" si="138"/>
        <v/>
      </c>
      <c r="BP317" s="17" t="str">
        <f t="shared" si="131"/>
        <v/>
      </c>
      <c r="BQ317" s="17" t="str">
        <f>IF(BO317="","",-Variabelen!B$30&amp;","&amp;BO317)</f>
        <v/>
      </c>
      <c r="BR317" s="17" t="str">
        <f>IF(BO317="","",K$43+Variabelen!B$30&amp;","&amp;BO317)</f>
        <v/>
      </c>
      <c r="BS317" s="17"/>
      <c r="BU317" s="29" t="str">
        <f t="shared" si="132"/>
        <v/>
      </c>
      <c r="BV317" s="16" t="str">
        <f t="shared" si="133"/>
        <v/>
      </c>
      <c r="BW317" s="16" t="str">
        <f t="shared" si="134"/>
        <v/>
      </c>
      <c r="BX317" s="16" t="str">
        <f>IF(BO317="","",-Variabelen!B$31&amp;","&amp;BO317-0.5*BY317)</f>
        <v/>
      </c>
      <c r="BY317" s="31">
        <f>Variabelen!B$32</f>
        <v>0.45</v>
      </c>
      <c r="BZ317" s="16" t="str">
        <f t="shared" si="135"/>
        <v/>
      </c>
      <c r="CA317" s="16" t="str">
        <f t="shared" si="136"/>
        <v/>
      </c>
      <c r="CB317" s="27"/>
    </row>
    <row r="318" spans="1:80" x14ac:dyDescent="0.25">
      <c r="A318" s="85">
        <f t="shared" si="111"/>
        <v>28</v>
      </c>
      <c r="B318" s="296">
        <f t="shared" si="112"/>
        <v>103907.40843016424</v>
      </c>
      <c r="C318" s="296">
        <f t="shared" si="113"/>
        <v>489286.62458178663</v>
      </c>
      <c r="D318" s="85">
        <f t="shared" si="130"/>
        <v>1</v>
      </c>
      <c r="E318" s="17">
        <f t="shared" si="114"/>
        <v>0.38768131207325496</v>
      </c>
      <c r="F318" s="17">
        <f t="shared" si="115"/>
        <v>-0.10805969178909436</v>
      </c>
      <c r="G318" s="17" t="str">
        <f t="shared" si="116"/>
        <v>103907.408430164,489286.624581787</v>
      </c>
      <c r="H318" s="16">
        <v>28</v>
      </c>
      <c r="I318" s="16">
        <f t="shared" si="117"/>
        <v>28</v>
      </c>
      <c r="J318" s="209">
        <f t="shared" si="118"/>
        <v>0.40245955911171322</v>
      </c>
      <c r="K318" s="209">
        <f t="shared" si="119"/>
        <v>10.866408096027534</v>
      </c>
      <c r="L318" s="692">
        <v>1.2143706083297729</v>
      </c>
      <c r="M318" s="17" t="str">
        <f t="shared" si="128"/>
        <v>10.8664080960275,1.21437060832977</v>
      </c>
      <c r="O318" s="85">
        <f t="shared" si="120"/>
        <v>28</v>
      </c>
      <c r="P318" s="85">
        <f t="shared" si="121"/>
        <v>78.659572439388342</v>
      </c>
      <c r="Q318" s="233" t="str">
        <f t="shared" si="122"/>
        <v/>
      </c>
      <c r="R318" s="17">
        <f t="shared" si="123"/>
        <v>2.8513223154822356</v>
      </c>
      <c r="S318" s="235">
        <f t="shared" si="129"/>
        <v>80.007647705065835</v>
      </c>
      <c r="T318" s="17">
        <f t="shared" si="124"/>
        <v>2.8513223154822356</v>
      </c>
      <c r="U318" s="85">
        <f t="shared" si="125"/>
        <v>-9.5</v>
      </c>
      <c r="V318" s="17">
        <f t="shared" si="126"/>
        <v>0</v>
      </c>
      <c r="W318" s="17">
        <f t="shared" si="100"/>
        <v>-8.4907652139663696</v>
      </c>
      <c r="X318" s="17">
        <f t="shared" si="127"/>
        <v>-9.7841020822525024</v>
      </c>
      <c r="Y318" s="85">
        <f t="shared" si="101"/>
        <v>2</v>
      </c>
      <c r="Z318" s="17">
        <f t="shared" si="102"/>
        <v>28</v>
      </c>
      <c r="AA318" s="17" t="str">
        <f t="shared" si="103"/>
        <v>LINE</v>
      </c>
      <c r="AB318" s="17" t="str">
        <f t="shared" si="104"/>
        <v>78.6595724393883,1.40572071075439</v>
      </c>
      <c r="AC318" s="17" t="str">
        <f>IF(O318="","",P318&amp;","&amp;AB$287-Variabelen!B$43)</f>
        <v>78.6595724393883,-16.0407652139664</v>
      </c>
      <c r="AD318" s="17"/>
      <c r="AE318" s="17"/>
      <c r="AF318" s="17"/>
      <c r="AG318" s="17"/>
      <c r="AH318" s="17"/>
      <c r="AI318" s="17" t="str">
        <f>IF(O318="","",P318-Variabelen!B$36&amp;","&amp;AB$287-Variabelen!B$43+Variabelen!B$36)</f>
        <v>78.5795724393883,-15.9607652139664</v>
      </c>
      <c r="AJ318" s="154">
        <f t="shared" si="105"/>
        <v>78.66</v>
      </c>
      <c r="AK318" s="17"/>
      <c r="AL318" s="17"/>
      <c r="AM318" s="17"/>
      <c r="AN318" s="17"/>
      <c r="AO318" s="17"/>
      <c r="AP318" s="17" t="str">
        <f>IF(O318="","",P318-Variabelen!B$36&amp;","&amp;AB$287-Variabelen!B$42+Variabelen!B$36)</f>
        <v>78.5795724393883,-13.7607652139664</v>
      </c>
      <c r="AQ318" s="154">
        <f t="shared" si="106"/>
        <v>80.010000000000005</v>
      </c>
      <c r="AR318" s="17"/>
      <c r="AS318" s="17"/>
      <c r="AT318" s="17"/>
      <c r="AU318" s="17"/>
      <c r="AV318" s="17" t="str">
        <f t="shared" si="107"/>
        <v>_BR</v>
      </c>
      <c r="AW318" s="17" t="str">
        <f>IF(O318="","",P318-Variabelen!B$36&amp;","&amp;AB$287-Variabelen!B$41+Variabelen!B$36)</f>
        <v>78.5795724393883,-11.5607652139664</v>
      </c>
      <c r="AX318" s="17"/>
      <c r="AY318" s="17"/>
      <c r="AZ318" s="154">
        <f t="shared" si="108"/>
        <v>-8.49</v>
      </c>
      <c r="BA318" s="17"/>
      <c r="BB318" s="17"/>
      <c r="BC318" s="17"/>
      <c r="BD318" s="17"/>
      <c r="BE318" s="17" t="str">
        <f t="shared" si="109"/>
        <v>_BR</v>
      </c>
      <c r="BF318" s="17" t="str">
        <f>IF(O318="","",P318-Variabelen!B$36&amp;","&amp;AB$287-Variabelen!B$40+Variabelen!B$36)</f>
        <v>78.5795724393883,-9.76076521396637</v>
      </c>
      <c r="BG318" s="17"/>
      <c r="BH318" s="17"/>
      <c r="BI318" s="154">
        <f t="shared" si="110"/>
        <v>-9.7799999999999994</v>
      </c>
      <c r="BJ318" s="17"/>
      <c r="BN318" s="16" t="str">
        <f t="shared" si="137"/>
        <v/>
      </c>
      <c r="BO318" s="16" t="str">
        <f t="shared" si="138"/>
        <v/>
      </c>
      <c r="BP318" s="17" t="str">
        <f t="shared" si="131"/>
        <v/>
      </c>
      <c r="BQ318" s="17" t="str">
        <f>IF(BO318="","",-Variabelen!B$30&amp;","&amp;BO318)</f>
        <v/>
      </c>
      <c r="BR318" s="17" t="str">
        <f>IF(BO318="","",K$43+Variabelen!B$30&amp;","&amp;BO318)</f>
        <v/>
      </c>
      <c r="BS318" s="17"/>
      <c r="BU318" s="29" t="str">
        <f t="shared" si="132"/>
        <v/>
      </c>
      <c r="BV318" s="16" t="str">
        <f t="shared" si="133"/>
        <v/>
      </c>
      <c r="BW318" s="16" t="str">
        <f t="shared" si="134"/>
        <v/>
      </c>
      <c r="BX318" s="16" t="str">
        <f>IF(BO318="","",-Variabelen!B$31&amp;","&amp;BO318-0.5*BY318)</f>
        <v/>
      </c>
      <c r="BY318" s="31">
        <f>Variabelen!B$32</f>
        <v>0.45</v>
      </c>
      <c r="BZ318" s="16" t="str">
        <f t="shared" si="135"/>
        <v/>
      </c>
      <c r="CA318" s="16" t="str">
        <f t="shared" si="136"/>
        <v/>
      </c>
      <c r="CB318" s="27"/>
    </row>
    <row r="319" spans="1:80" x14ac:dyDescent="0.25">
      <c r="A319" s="85">
        <f t="shared" si="111"/>
        <v>29</v>
      </c>
      <c r="B319" s="296">
        <f t="shared" si="112"/>
        <v>103907.79611147632</v>
      </c>
      <c r="C319" s="296">
        <f t="shared" si="113"/>
        <v>489286.51652209478</v>
      </c>
      <c r="D319" s="85">
        <f t="shared" si="130"/>
        <v>1</v>
      </c>
      <c r="E319" s="17">
        <f t="shared" si="114"/>
        <v>0.38768131207325496</v>
      </c>
      <c r="F319" s="17">
        <f t="shared" si="115"/>
        <v>-0.10805969184730202</v>
      </c>
      <c r="G319" s="17" t="str">
        <f t="shared" si="116"/>
        <v>103907.796111476,489286.516522095</v>
      </c>
      <c r="H319" s="16">
        <v>29</v>
      </c>
      <c r="I319" s="16">
        <f t="shared" si="117"/>
        <v>29</v>
      </c>
      <c r="J319" s="209">
        <f t="shared" si="118"/>
        <v>0.40245955912734188</v>
      </c>
      <c r="K319" s="209">
        <f t="shared" si="119"/>
        <v>11.268867655154876</v>
      </c>
      <c r="L319" s="692">
        <v>1.2063019275665281</v>
      </c>
      <c r="M319" s="17" t="str">
        <f t="shared" si="128"/>
        <v>11.2688676551549,1.20630192756653</v>
      </c>
      <c r="O319" s="85">
        <f t="shared" si="120"/>
        <v>29</v>
      </c>
      <c r="P319" s="85">
        <f t="shared" si="121"/>
        <v>81.510894754870577</v>
      </c>
      <c r="Q319" s="233" t="str">
        <f t="shared" si="122"/>
        <v/>
      </c>
      <c r="R319" s="17">
        <f t="shared" si="123"/>
        <v>2.8513223154822356</v>
      </c>
      <c r="S319" s="235">
        <f t="shared" si="129"/>
        <v>82.858970020548071</v>
      </c>
      <c r="T319" s="17">
        <f t="shared" si="124"/>
        <v>2.8513223154822356</v>
      </c>
      <c r="U319" s="85">
        <f t="shared" si="125"/>
        <v>-9.5</v>
      </c>
      <c r="V319" s="17">
        <f t="shared" si="126"/>
        <v>0</v>
      </c>
      <c r="W319" s="17">
        <f t="shared" si="100"/>
        <v>-8.4907652139663696</v>
      </c>
      <c r="X319" s="17">
        <f t="shared" si="127"/>
        <v>-9.7968761920928955</v>
      </c>
      <c r="Y319" s="85">
        <f t="shared" si="101"/>
        <v>2</v>
      </c>
      <c r="Z319" s="17">
        <f t="shared" si="102"/>
        <v>29</v>
      </c>
      <c r="AA319" s="17" t="str">
        <f t="shared" si="103"/>
        <v>LINE</v>
      </c>
      <c r="AB319" s="17" t="str">
        <f t="shared" si="104"/>
        <v>81.5108947548706,1.40572071075439</v>
      </c>
      <c r="AC319" s="17" t="str">
        <f>IF(O319="","",P319&amp;","&amp;AB$287-Variabelen!B$43)</f>
        <v>81.5108947548706,-16.0407652139664</v>
      </c>
      <c r="AD319" s="17"/>
      <c r="AE319" s="17"/>
      <c r="AF319" s="17"/>
      <c r="AG319" s="17"/>
      <c r="AH319" s="17"/>
      <c r="AI319" s="17" t="str">
        <f>IF(O319="","",P319-Variabelen!B$36&amp;","&amp;AB$287-Variabelen!B$43+Variabelen!B$36)</f>
        <v>81.4308947548706,-15.9607652139664</v>
      </c>
      <c r="AJ319" s="154">
        <f t="shared" si="105"/>
        <v>81.510000000000005</v>
      </c>
      <c r="AK319" s="17"/>
      <c r="AL319" s="17"/>
      <c r="AM319" s="17"/>
      <c r="AN319" s="17"/>
      <c r="AO319" s="17"/>
      <c r="AP319" s="17" t="str">
        <f>IF(O319="","",P319-Variabelen!B$36&amp;","&amp;AB$287-Variabelen!B$42+Variabelen!B$36)</f>
        <v>81.4308947548706,-13.7607652139664</v>
      </c>
      <c r="AQ319" s="154">
        <f t="shared" si="106"/>
        <v>82.86</v>
      </c>
      <c r="AR319" s="17"/>
      <c r="AS319" s="17"/>
      <c r="AT319" s="17"/>
      <c r="AU319" s="17"/>
      <c r="AV319" s="17" t="str">
        <f t="shared" si="107"/>
        <v>_BR</v>
      </c>
      <c r="AW319" s="17" t="str">
        <f>IF(O319="","",P319-Variabelen!B$36&amp;","&amp;AB$287-Variabelen!B$41+Variabelen!B$36)</f>
        <v>81.4308947548706,-11.5607652139664</v>
      </c>
      <c r="AX319" s="17"/>
      <c r="AY319" s="17"/>
      <c r="AZ319" s="154">
        <f t="shared" si="108"/>
        <v>-8.49</v>
      </c>
      <c r="BA319" s="17"/>
      <c r="BB319" s="17"/>
      <c r="BC319" s="17"/>
      <c r="BD319" s="17"/>
      <c r="BE319" s="17" t="str">
        <f t="shared" si="109"/>
        <v>_BR</v>
      </c>
      <c r="BF319" s="17" t="str">
        <f>IF(O319="","",P319-Variabelen!B$36&amp;","&amp;AB$287-Variabelen!B$40+Variabelen!B$36)</f>
        <v>81.4308947548706,-9.76076521396637</v>
      </c>
      <c r="BG319" s="17"/>
      <c r="BH319" s="17"/>
      <c r="BI319" s="154">
        <f t="shared" si="110"/>
        <v>-9.8000000000000007</v>
      </c>
      <c r="BJ319" s="17"/>
      <c r="BN319" s="16" t="str">
        <f t="shared" si="137"/>
        <v/>
      </c>
      <c r="BO319" s="16" t="str">
        <f t="shared" si="138"/>
        <v/>
      </c>
      <c r="BP319" s="17" t="str">
        <f t="shared" si="131"/>
        <v/>
      </c>
      <c r="BQ319" s="17" t="str">
        <f>IF(BO319="","",-Variabelen!B$30&amp;","&amp;BO319)</f>
        <v/>
      </c>
      <c r="BR319" s="17" t="str">
        <f>IF(BO319="","",K$43+Variabelen!B$30&amp;","&amp;BO319)</f>
        <v/>
      </c>
      <c r="BS319" s="17"/>
      <c r="BU319" s="29" t="str">
        <f t="shared" si="132"/>
        <v/>
      </c>
      <c r="BV319" s="16" t="str">
        <f t="shared" si="133"/>
        <v/>
      </c>
      <c r="BW319" s="16" t="str">
        <f t="shared" si="134"/>
        <v/>
      </c>
      <c r="BX319" s="16" t="str">
        <f>IF(BO319="","",-Variabelen!B$31&amp;","&amp;BO319-0.5*BY319)</f>
        <v/>
      </c>
      <c r="BY319" s="31">
        <f>Variabelen!B$32</f>
        <v>0.45</v>
      </c>
      <c r="BZ319" s="16" t="str">
        <f t="shared" si="135"/>
        <v/>
      </c>
      <c r="CA319" s="16" t="str">
        <f t="shared" si="136"/>
        <v/>
      </c>
      <c r="CB319" s="27"/>
    </row>
    <row r="320" spans="1:80" x14ac:dyDescent="0.25">
      <c r="A320" s="85">
        <f t="shared" si="111"/>
        <v>30</v>
      </c>
      <c r="B320" s="296">
        <f t="shared" si="112"/>
        <v>103908.18379278838</v>
      </c>
      <c r="C320" s="296">
        <f t="shared" si="113"/>
        <v>489286.40846240299</v>
      </c>
      <c r="D320" s="85">
        <f t="shared" si="130"/>
        <v>1</v>
      </c>
      <c r="E320" s="17">
        <f t="shared" si="114"/>
        <v>0.38768131205870304</v>
      </c>
      <c r="F320" s="17">
        <f t="shared" si="115"/>
        <v>-0.10805969178909436</v>
      </c>
      <c r="G320" s="17" t="str">
        <f t="shared" si="116"/>
        <v>103908.183792788,489286.408462403</v>
      </c>
      <c r="H320" s="16">
        <v>30</v>
      </c>
      <c r="I320" s="16">
        <f t="shared" si="117"/>
        <v>30</v>
      </c>
      <c r="J320" s="209">
        <f t="shared" si="118"/>
        <v>0.4024595590976956</v>
      </c>
      <c r="K320" s="209">
        <f t="shared" si="119"/>
        <v>11.671327214252571</v>
      </c>
      <c r="L320" s="692">
        <v>1.204738855361938</v>
      </c>
      <c r="M320" s="17" t="str">
        <f t="shared" si="128"/>
        <v>11.6713272142526,1.20473885536194</v>
      </c>
      <c r="O320" s="85">
        <f t="shared" si="120"/>
        <v>30</v>
      </c>
      <c r="P320" s="85">
        <f t="shared" si="121"/>
        <v>84.362217070352813</v>
      </c>
      <c r="Q320" s="233" t="str">
        <f t="shared" si="122"/>
        <v/>
      </c>
      <c r="R320" s="17">
        <f t="shared" si="123"/>
        <v>2.8513223154822356</v>
      </c>
      <c r="S320" s="235">
        <f t="shared" si="129"/>
        <v>85.710292336030307</v>
      </c>
      <c r="T320" s="17">
        <f t="shared" si="124"/>
        <v>2.8513223154822356</v>
      </c>
      <c r="U320" s="85">
        <f t="shared" si="125"/>
        <v>-9.5</v>
      </c>
      <c r="V320" s="17">
        <f t="shared" si="126"/>
        <v>0</v>
      </c>
      <c r="W320" s="17">
        <f t="shared" si="100"/>
        <v>-8.4907652139663696</v>
      </c>
      <c r="X320" s="17">
        <f t="shared" si="127"/>
        <v>-9.7860391139984131</v>
      </c>
      <c r="Y320" s="85">
        <f t="shared" si="101"/>
        <v>2</v>
      </c>
      <c r="Z320" s="17">
        <f t="shared" si="102"/>
        <v>30</v>
      </c>
      <c r="AA320" s="17" t="str">
        <f t="shared" si="103"/>
        <v>LINE</v>
      </c>
      <c r="AB320" s="17" t="str">
        <f t="shared" si="104"/>
        <v>84.3622170703528,1.40572071075439</v>
      </c>
      <c r="AC320" s="17" t="str">
        <f>IF(O320="","",P320&amp;","&amp;AB$287-Variabelen!B$43)</f>
        <v>84.3622170703528,-16.0407652139664</v>
      </c>
      <c r="AD320" s="17"/>
      <c r="AE320" s="17"/>
      <c r="AF320" s="17"/>
      <c r="AG320" s="17"/>
      <c r="AH320" s="17"/>
      <c r="AI320" s="17" t="str">
        <f>IF(O320="","",P320-Variabelen!B$36&amp;","&amp;AB$287-Variabelen!B$43+Variabelen!B$36)</f>
        <v>84.2822170703528,-15.9607652139664</v>
      </c>
      <c r="AJ320" s="154">
        <f t="shared" si="105"/>
        <v>84.36</v>
      </c>
      <c r="AK320" s="17"/>
      <c r="AL320" s="17"/>
      <c r="AM320" s="17"/>
      <c r="AN320" s="17"/>
      <c r="AO320" s="17"/>
      <c r="AP320" s="17" t="str">
        <f>IF(O320="","",P320-Variabelen!B$36&amp;","&amp;AB$287-Variabelen!B$42+Variabelen!B$36)</f>
        <v>84.2822170703528,-13.7607652139664</v>
      </c>
      <c r="AQ320" s="154">
        <f t="shared" si="106"/>
        <v>85.71</v>
      </c>
      <c r="AR320" s="17"/>
      <c r="AS320" s="17"/>
      <c r="AT320" s="17"/>
      <c r="AU320" s="17"/>
      <c r="AV320" s="17" t="str">
        <f t="shared" si="107"/>
        <v>_BR</v>
      </c>
      <c r="AW320" s="17" t="str">
        <f>IF(O320="","",P320-Variabelen!B$36&amp;","&amp;AB$287-Variabelen!B$41+Variabelen!B$36)</f>
        <v>84.2822170703528,-11.5607652139664</v>
      </c>
      <c r="AX320" s="17"/>
      <c r="AY320" s="17"/>
      <c r="AZ320" s="154">
        <f t="shared" si="108"/>
        <v>-8.49</v>
      </c>
      <c r="BA320" s="17"/>
      <c r="BB320" s="17"/>
      <c r="BC320" s="17"/>
      <c r="BD320" s="17"/>
      <c r="BE320" s="17" t="str">
        <f t="shared" si="109"/>
        <v>_BR</v>
      </c>
      <c r="BF320" s="17" t="str">
        <f>IF(O320="","",P320-Variabelen!B$36&amp;","&amp;AB$287-Variabelen!B$40+Variabelen!B$36)</f>
        <v>84.2822170703528,-9.76076521396637</v>
      </c>
      <c r="BG320" s="17"/>
      <c r="BH320" s="17"/>
      <c r="BI320" s="154">
        <f t="shared" si="110"/>
        <v>-9.7899999999999991</v>
      </c>
      <c r="BJ320" s="17"/>
      <c r="BN320" s="16" t="str">
        <f t="shared" si="137"/>
        <v/>
      </c>
      <c r="BO320" s="16" t="str">
        <f t="shared" si="138"/>
        <v/>
      </c>
      <c r="BP320" s="17" t="str">
        <f t="shared" si="131"/>
        <v/>
      </c>
      <c r="BQ320" s="17" t="str">
        <f>IF(BO320="","",-Variabelen!B$30&amp;","&amp;BO320)</f>
        <v/>
      </c>
      <c r="BR320" s="17" t="str">
        <f>IF(BO320="","",K$43+Variabelen!B$30&amp;","&amp;BO320)</f>
        <v/>
      </c>
      <c r="BS320" s="17"/>
      <c r="BU320" s="29" t="str">
        <f t="shared" si="132"/>
        <v/>
      </c>
      <c r="BV320" s="16" t="str">
        <f t="shared" si="133"/>
        <v/>
      </c>
      <c r="BW320" s="16" t="str">
        <f t="shared" si="134"/>
        <v/>
      </c>
      <c r="BX320" s="16" t="str">
        <f>IF(BO320="","",-Variabelen!B$31&amp;","&amp;BO320-0.5*BY320)</f>
        <v/>
      </c>
      <c r="BY320" s="31">
        <f>Variabelen!B$32</f>
        <v>0.45</v>
      </c>
      <c r="BZ320" s="16" t="str">
        <f t="shared" si="135"/>
        <v/>
      </c>
      <c r="CA320" s="16" t="str">
        <f t="shared" si="136"/>
        <v/>
      </c>
      <c r="CB320" s="27"/>
    </row>
    <row r="321" spans="1:80" x14ac:dyDescent="0.25">
      <c r="A321" s="85">
        <f t="shared" si="111"/>
        <v>31</v>
      </c>
      <c r="B321" s="296">
        <f t="shared" si="112"/>
        <v>103908.57147410045</v>
      </c>
      <c r="C321" s="296">
        <f t="shared" si="113"/>
        <v>489286.3004027112</v>
      </c>
      <c r="D321" s="85">
        <f t="shared" si="130"/>
        <v>1</v>
      </c>
      <c r="E321" s="17">
        <f t="shared" si="114"/>
        <v>0.38768131207325496</v>
      </c>
      <c r="F321" s="17">
        <f t="shared" si="115"/>
        <v>-0.10805969178909436</v>
      </c>
      <c r="G321" s="17" t="str">
        <f t="shared" si="116"/>
        <v>103908.5714741,489286.300402711</v>
      </c>
      <c r="H321" s="16">
        <v>31</v>
      </c>
      <c r="I321" s="16">
        <f t="shared" si="117"/>
        <v>31</v>
      </c>
      <c r="J321" s="209">
        <f t="shared" si="118"/>
        <v>0.40245955911171322</v>
      </c>
      <c r="K321" s="209">
        <f t="shared" si="119"/>
        <v>12.073786773364285</v>
      </c>
      <c r="L321" s="692">
        <v>1.2202243804931641</v>
      </c>
      <c r="M321" s="17" t="str">
        <f t="shared" si="128"/>
        <v>12.0737867733643,1.22022438049316</v>
      </c>
      <c r="O321" s="85">
        <f t="shared" si="120"/>
        <v>31</v>
      </c>
      <c r="P321" s="85">
        <f t="shared" si="121"/>
        <v>87.213539385835034</v>
      </c>
      <c r="Q321" s="233" t="str">
        <f t="shared" si="122"/>
        <v/>
      </c>
      <c r="R321" s="17">
        <f t="shared" si="123"/>
        <v>2.8513223154822214</v>
      </c>
      <c r="S321" s="235">
        <f t="shared" si="129"/>
        <v>88.561614651512528</v>
      </c>
      <c r="T321" s="17">
        <f t="shared" si="124"/>
        <v>2.8513223154822214</v>
      </c>
      <c r="U321" s="85">
        <f t="shared" si="125"/>
        <v>-9.5</v>
      </c>
      <c r="V321" s="17">
        <f t="shared" si="126"/>
        <v>0</v>
      </c>
      <c r="W321" s="17">
        <f t="shared" si="100"/>
        <v>-8.4907652139663696</v>
      </c>
      <c r="X321" s="17">
        <f t="shared" si="127"/>
        <v>-9.7776504755020142</v>
      </c>
      <c r="Y321" s="85">
        <f t="shared" si="101"/>
        <v>2</v>
      </c>
      <c r="Z321" s="17">
        <f t="shared" si="102"/>
        <v>31</v>
      </c>
      <c r="AA321" s="17" t="str">
        <f t="shared" si="103"/>
        <v>LINE</v>
      </c>
      <c r="AB321" s="17" t="str">
        <f t="shared" si="104"/>
        <v>87.213539385835,1.40572071075439</v>
      </c>
      <c r="AC321" s="17" t="str">
        <f>IF(O321="","",P321&amp;","&amp;AB$287-Variabelen!B$43)</f>
        <v>87.213539385835,-16.0407652139664</v>
      </c>
      <c r="AD321" s="17"/>
      <c r="AE321" s="17"/>
      <c r="AF321" s="17"/>
      <c r="AG321" s="17"/>
      <c r="AH321" s="17"/>
      <c r="AI321" s="17" t="str">
        <f>IF(O321="","",P321-Variabelen!B$36&amp;","&amp;AB$287-Variabelen!B$43+Variabelen!B$36)</f>
        <v>87.133539385835,-15.9607652139664</v>
      </c>
      <c r="AJ321" s="154">
        <f t="shared" si="105"/>
        <v>87.21</v>
      </c>
      <c r="AK321" s="17"/>
      <c r="AL321" s="17"/>
      <c r="AM321" s="17"/>
      <c r="AN321" s="17"/>
      <c r="AO321" s="17"/>
      <c r="AP321" s="17" t="str">
        <f>IF(O321="","",P321-Variabelen!B$36&amp;","&amp;AB$287-Variabelen!B$42+Variabelen!B$36)</f>
        <v>87.133539385835,-13.7607652139664</v>
      </c>
      <c r="AQ321" s="154">
        <f t="shared" si="106"/>
        <v>88.56</v>
      </c>
      <c r="AR321" s="17"/>
      <c r="AS321" s="17"/>
      <c r="AT321" s="17"/>
      <c r="AU321" s="17"/>
      <c r="AV321" s="17" t="str">
        <f t="shared" si="107"/>
        <v>_BR</v>
      </c>
      <c r="AW321" s="17" t="str">
        <f>IF(O321="","",P321-Variabelen!B$36&amp;","&amp;AB$287-Variabelen!B$41+Variabelen!B$36)</f>
        <v>87.133539385835,-11.5607652139664</v>
      </c>
      <c r="AX321" s="17"/>
      <c r="AY321" s="17"/>
      <c r="AZ321" s="154">
        <f t="shared" si="108"/>
        <v>-8.49</v>
      </c>
      <c r="BA321" s="17"/>
      <c r="BB321" s="17"/>
      <c r="BC321" s="17"/>
      <c r="BD321" s="17"/>
      <c r="BE321" s="17" t="str">
        <f t="shared" si="109"/>
        <v>_BR</v>
      </c>
      <c r="BF321" s="17" t="str">
        <f>IF(O321="","",P321-Variabelen!B$36&amp;","&amp;AB$287-Variabelen!B$40+Variabelen!B$36)</f>
        <v>87.133539385835,-9.76076521396637</v>
      </c>
      <c r="BG321" s="17"/>
      <c r="BH321" s="17"/>
      <c r="BI321" s="154">
        <f t="shared" si="110"/>
        <v>-9.7799999999999994</v>
      </c>
      <c r="BJ321" s="17"/>
      <c r="BN321" s="16" t="str">
        <f t="shared" si="137"/>
        <v/>
      </c>
      <c r="BO321" s="16" t="str">
        <f t="shared" si="138"/>
        <v/>
      </c>
      <c r="BP321" s="17" t="str">
        <f t="shared" si="131"/>
        <v/>
      </c>
      <c r="BQ321" s="17" t="str">
        <f>IF(BO321="","",-Variabelen!B$30&amp;","&amp;BO321)</f>
        <v/>
      </c>
      <c r="BR321" s="17" t="str">
        <f>IF(BO321="","",K$43+Variabelen!B$30&amp;","&amp;BO321)</f>
        <v/>
      </c>
      <c r="BS321" s="17"/>
      <c r="BU321" s="29" t="str">
        <f t="shared" si="132"/>
        <v/>
      </c>
      <c r="BV321" s="16" t="str">
        <f t="shared" si="133"/>
        <v/>
      </c>
      <c r="BW321" s="16" t="str">
        <f t="shared" si="134"/>
        <v/>
      </c>
      <c r="BX321" s="16" t="str">
        <f>IF(BO321="","",-Variabelen!B$31&amp;","&amp;BO321-0.5*BY321)</f>
        <v/>
      </c>
      <c r="BY321" s="31">
        <f>Variabelen!B$32</f>
        <v>0.45</v>
      </c>
      <c r="BZ321" s="16" t="str">
        <f t="shared" si="135"/>
        <v/>
      </c>
      <c r="CA321" s="16" t="str">
        <f t="shared" si="136"/>
        <v/>
      </c>
      <c r="CB321" s="27"/>
    </row>
    <row r="322" spans="1:80" x14ac:dyDescent="0.25">
      <c r="A322" s="85">
        <f t="shared" si="111"/>
        <v>32</v>
      </c>
      <c r="B322" s="296">
        <f t="shared" si="112"/>
        <v>103908.95915541252</v>
      </c>
      <c r="C322" s="296">
        <f t="shared" si="113"/>
        <v>489286.19234301936</v>
      </c>
      <c r="D322" s="85">
        <f t="shared" si="130"/>
        <v>1</v>
      </c>
      <c r="E322" s="17">
        <f t="shared" si="114"/>
        <v>0.38768131207325496</v>
      </c>
      <c r="F322" s="17">
        <f t="shared" si="115"/>
        <v>-0.10805969184730202</v>
      </c>
      <c r="G322" s="17" t="str">
        <f t="shared" si="116"/>
        <v>103908.959155413,489286.192343019</v>
      </c>
      <c r="H322" s="16">
        <v>32</v>
      </c>
      <c r="I322" s="16">
        <f t="shared" si="117"/>
        <v>32</v>
      </c>
      <c r="J322" s="209">
        <f t="shared" si="118"/>
        <v>0.40245955912734188</v>
      </c>
      <c r="K322" s="209">
        <f t="shared" si="119"/>
        <v>12.476246332491627</v>
      </c>
      <c r="L322" s="692">
        <v>1.221534371376038</v>
      </c>
      <c r="M322" s="17" t="str">
        <f t="shared" si="128"/>
        <v>12.4762463324916,1.22153437137604</v>
      </c>
      <c r="O322" s="85">
        <f t="shared" si="120"/>
        <v>32</v>
      </c>
      <c r="P322" s="85">
        <f t="shared" si="121"/>
        <v>90.06486170131727</v>
      </c>
      <c r="Q322" s="233" t="str">
        <f t="shared" si="122"/>
        <v/>
      </c>
      <c r="R322" s="17">
        <f t="shared" si="123"/>
        <v>2.8513223154822356</v>
      </c>
      <c r="S322" s="235">
        <f t="shared" si="129"/>
        <v>91.412936966994764</v>
      </c>
      <c r="T322" s="17">
        <f t="shared" si="124"/>
        <v>2.8513223154822356</v>
      </c>
      <c r="U322" s="85">
        <f t="shared" si="125"/>
        <v>-9.5</v>
      </c>
      <c r="V322" s="17">
        <f t="shared" si="126"/>
        <v>0</v>
      </c>
      <c r="W322" s="17">
        <f t="shared" si="100"/>
        <v>-8.4907652139663696</v>
      </c>
      <c r="X322" s="17">
        <f t="shared" si="127"/>
        <v>-9.7531313896179199</v>
      </c>
      <c r="Y322" s="85">
        <f t="shared" si="101"/>
        <v>2</v>
      </c>
      <c r="Z322" s="17">
        <f t="shared" si="102"/>
        <v>32</v>
      </c>
      <c r="AA322" s="17" t="str">
        <f t="shared" si="103"/>
        <v>LINE</v>
      </c>
      <c r="AB322" s="17" t="str">
        <f t="shared" si="104"/>
        <v>90.0648617013173,1.40572071075439</v>
      </c>
      <c r="AC322" s="17" t="str">
        <f>IF(O322="","",P322&amp;","&amp;AB$287-Variabelen!B$43)</f>
        <v>90.0648617013173,-16.0407652139664</v>
      </c>
      <c r="AD322" s="17"/>
      <c r="AE322" s="17"/>
      <c r="AF322" s="17"/>
      <c r="AG322" s="17"/>
      <c r="AH322" s="17"/>
      <c r="AI322" s="17" t="str">
        <f>IF(O322="","",P322-Variabelen!B$36&amp;","&amp;AB$287-Variabelen!B$43+Variabelen!B$36)</f>
        <v>89.9848617013173,-15.9607652139664</v>
      </c>
      <c r="AJ322" s="154">
        <f t="shared" si="105"/>
        <v>90.06</v>
      </c>
      <c r="AK322" s="17"/>
      <c r="AL322" s="17"/>
      <c r="AM322" s="17"/>
      <c r="AN322" s="17"/>
      <c r="AO322" s="17"/>
      <c r="AP322" s="17" t="str">
        <f>IF(O322="","",P322-Variabelen!B$36&amp;","&amp;AB$287-Variabelen!B$42+Variabelen!B$36)</f>
        <v>89.9848617013173,-13.7607652139664</v>
      </c>
      <c r="AQ322" s="154">
        <f t="shared" si="106"/>
        <v>91.41</v>
      </c>
      <c r="AR322" s="17"/>
      <c r="AS322" s="17"/>
      <c r="AT322" s="17"/>
      <c r="AU322" s="17"/>
      <c r="AV322" s="17" t="str">
        <f t="shared" si="107"/>
        <v>_BR</v>
      </c>
      <c r="AW322" s="17" t="str">
        <f>IF(O322="","",P322-Variabelen!B$36&amp;","&amp;AB$287-Variabelen!B$41+Variabelen!B$36)</f>
        <v>89.9848617013173,-11.5607652139664</v>
      </c>
      <c r="AX322" s="17"/>
      <c r="AY322" s="17"/>
      <c r="AZ322" s="154">
        <f t="shared" si="108"/>
        <v>-8.49</v>
      </c>
      <c r="BA322" s="17"/>
      <c r="BB322" s="17"/>
      <c r="BC322" s="17"/>
      <c r="BD322" s="17"/>
      <c r="BE322" s="17" t="str">
        <f t="shared" si="109"/>
        <v>_BR</v>
      </c>
      <c r="BF322" s="17" t="str">
        <f>IF(O322="","",P322-Variabelen!B$36&amp;","&amp;AB$287-Variabelen!B$40+Variabelen!B$36)</f>
        <v>89.9848617013173,-9.76076521396637</v>
      </c>
      <c r="BG322" s="17"/>
      <c r="BH322" s="17"/>
      <c r="BI322" s="154">
        <f t="shared" si="110"/>
        <v>-9.75</v>
      </c>
      <c r="BJ322" s="17"/>
      <c r="BN322" s="16" t="str">
        <f t="shared" si="137"/>
        <v/>
      </c>
      <c r="BO322" s="16" t="str">
        <f t="shared" si="138"/>
        <v/>
      </c>
      <c r="BP322" s="17" t="str">
        <f t="shared" si="131"/>
        <v/>
      </c>
      <c r="BQ322" s="17" t="str">
        <f>IF(BO322="","",-Variabelen!B$30&amp;","&amp;BO322)</f>
        <v/>
      </c>
      <c r="BR322" s="17" t="str">
        <f>IF(BO322="","",K$43+Variabelen!B$30&amp;","&amp;BO322)</f>
        <v/>
      </c>
      <c r="BS322" s="17"/>
      <c r="BU322" s="26" t="str">
        <f t="shared" si="132"/>
        <v/>
      </c>
      <c r="BV322" s="25" t="str">
        <f t="shared" si="133"/>
        <v/>
      </c>
      <c r="BW322" s="25" t="str">
        <f t="shared" si="134"/>
        <v/>
      </c>
      <c r="BX322" s="16" t="str">
        <f>IF(BO322="","",-Variabelen!B$31&amp;","&amp;BO322-0.5*BY322)</f>
        <v/>
      </c>
      <c r="BY322" s="31">
        <f>Variabelen!B$32</f>
        <v>0.45</v>
      </c>
      <c r="BZ322" s="25" t="str">
        <f t="shared" si="135"/>
        <v/>
      </c>
      <c r="CA322" s="25" t="str">
        <f t="shared" si="136"/>
        <v/>
      </c>
      <c r="CB322" s="24"/>
    </row>
    <row r="323" spans="1:80" x14ac:dyDescent="0.25">
      <c r="A323" s="85">
        <f t="shared" si="111"/>
        <v>33</v>
      </c>
      <c r="B323" s="296">
        <f t="shared" si="112"/>
        <v>103909.3468367246</v>
      </c>
      <c r="C323" s="296">
        <f t="shared" si="113"/>
        <v>489286.08428332757</v>
      </c>
      <c r="D323" s="85">
        <f t="shared" si="130"/>
        <v>1</v>
      </c>
      <c r="E323" s="17">
        <f t="shared" si="114"/>
        <v>0.38768131207325496</v>
      </c>
      <c r="F323" s="17">
        <f t="shared" si="115"/>
        <v>-0.10805969178909436</v>
      </c>
      <c r="G323" s="17" t="str">
        <f t="shared" si="116"/>
        <v>103909.346836725,489286.084283328</v>
      </c>
      <c r="H323" s="16">
        <v>33</v>
      </c>
      <c r="I323" s="16">
        <f t="shared" si="117"/>
        <v>33</v>
      </c>
      <c r="J323" s="209">
        <f t="shared" si="118"/>
        <v>0.40245955911171322</v>
      </c>
      <c r="K323" s="209">
        <f t="shared" si="119"/>
        <v>12.878705891603341</v>
      </c>
      <c r="L323" s="692">
        <v>1.2198143005371089</v>
      </c>
      <c r="M323" s="17" t="str">
        <f t="shared" si="128"/>
        <v>12.8787058916033,1.21981430053711</v>
      </c>
      <c r="O323" s="85">
        <f t="shared" si="120"/>
        <v>33</v>
      </c>
      <c r="P323" s="85">
        <f t="shared" si="121"/>
        <v>92.916184016799505</v>
      </c>
      <c r="Q323" s="233" t="str">
        <f t="shared" si="122"/>
        <v/>
      </c>
      <c r="R323" s="17">
        <f t="shared" si="123"/>
        <v>2.8513223154822356</v>
      </c>
      <c r="S323" s="235">
        <f t="shared" si="129"/>
        <v>94.264259282476999</v>
      </c>
      <c r="T323" s="17">
        <f t="shared" si="124"/>
        <v>2.8513223154822356</v>
      </c>
      <c r="U323" s="85">
        <f t="shared" si="125"/>
        <v>-9.5</v>
      </c>
      <c r="V323" s="17">
        <f t="shared" si="126"/>
        <v>0</v>
      </c>
      <c r="W323" s="17">
        <f t="shared" ref="W323:W354" si="139">IF(O323="","",U323+G$49)</f>
        <v>-8.4907652139663696</v>
      </c>
      <c r="X323" s="17">
        <f t="shared" si="127"/>
        <v>-9.7734229564666748</v>
      </c>
      <c r="Y323" s="85">
        <f t="shared" ref="Y323:Y354" si="140">_xlfn.SINGLE(IF(O323="","",_xlfn.XLOOKUP(P323,P$273:P$284,O$273:O$284,Y322)))</f>
        <v>2</v>
      </c>
      <c r="Z323" s="17">
        <f t="shared" ref="Z323:Z354" si="141">IF(O323="","",O323)</f>
        <v>33</v>
      </c>
      <c r="AA323" s="17" t="str">
        <f t="shared" ref="AA323:AA354" si="142">IF(O323="","","LINE")</f>
        <v>LINE</v>
      </c>
      <c r="AB323" s="17" t="str">
        <f t="shared" ref="AB323:AB354" si="143">IF(O323="","",P323&amp;","&amp;AB$286)</f>
        <v>92.9161840167995,1.40572071075439</v>
      </c>
      <c r="AC323" s="17" t="str">
        <f>IF(O323="","",P323&amp;","&amp;AB$287-Variabelen!B$43)</f>
        <v>92.9161840167995,-16.0407652139664</v>
      </c>
      <c r="AD323" s="17"/>
      <c r="AE323" s="17"/>
      <c r="AF323" s="17"/>
      <c r="AG323" s="17"/>
      <c r="AH323" s="17"/>
      <c r="AI323" s="17" t="str">
        <f>IF(O323="","",P323-Variabelen!B$36&amp;","&amp;AB$287-Variabelen!B$43+Variabelen!B$36)</f>
        <v>92.8361840167995,-15.9607652139664</v>
      </c>
      <c r="AJ323" s="154">
        <f t="shared" ref="AJ323:AJ354" si="144">IF(O323="","",ROUND(P323,2))</f>
        <v>92.92</v>
      </c>
      <c r="AK323" s="17"/>
      <c r="AL323" s="17"/>
      <c r="AM323" s="17"/>
      <c r="AN323" s="17"/>
      <c r="AO323" s="17"/>
      <c r="AP323" s="17" t="str">
        <f>IF(O323="","",P323-Variabelen!B$36&amp;","&amp;AB$287-Variabelen!B$42+Variabelen!B$36)</f>
        <v>92.8361840167995,-13.7607652139664</v>
      </c>
      <c r="AQ323" s="154">
        <f t="shared" ref="AQ323:AQ354" si="145">IF(O323="","",ROUND(S323,2))</f>
        <v>94.26</v>
      </c>
      <c r="AR323" s="17"/>
      <c r="AS323" s="17"/>
      <c r="AT323" s="17"/>
      <c r="AU323" s="17"/>
      <c r="AV323" s="17" t="str">
        <f t="shared" ref="AV323:AV354" si="146">IF(O323="","","_BR")</f>
        <v>_BR</v>
      </c>
      <c r="AW323" s="17" t="str">
        <f>IF(O323="","",P323-Variabelen!B$36&amp;","&amp;AB$287-Variabelen!B$41+Variabelen!B$36)</f>
        <v>92.8361840167995,-11.5607652139664</v>
      </c>
      <c r="AX323" s="17"/>
      <c r="AY323" s="17"/>
      <c r="AZ323" s="154">
        <f t="shared" ref="AZ323:AZ354" si="147">IF(O323="","",ROUND(W323,2))</f>
        <v>-8.49</v>
      </c>
      <c r="BA323" s="17"/>
      <c r="BB323" s="17"/>
      <c r="BC323" s="17"/>
      <c r="BD323" s="17"/>
      <c r="BE323" s="17" t="str">
        <f t="shared" ref="BE323:BE354" si="148">IF(O323="","","_BR")</f>
        <v>_BR</v>
      </c>
      <c r="BF323" s="17" t="str">
        <f>IF(O323="","",P323-Variabelen!B$36&amp;","&amp;AB$287-Variabelen!B$40+Variabelen!B$36)</f>
        <v>92.8361840167995,-9.76076521396637</v>
      </c>
      <c r="BG323" s="17"/>
      <c r="BH323" s="17"/>
      <c r="BI323" s="154">
        <f t="shared" ref="BI323:BI354" si="149">IF(O323="","",ROUND(X323,2))</f>
        <v>-9.77</v>
      </c>
      <c r="BJ323" s="17"/>
      <c r="BN323" s="16">
        <f>MAX(BN291:BN322)</f>
        <v>9</v>
      </c>
      <c r="BO323" s="16">
        <f>MIN(BO291:BO322)</f>
        <v>-8</v>
      </c>
      <c r="BP323" s="16" t="s">
        <v>460</v>
      </c>
    </row>
    <row r="324" spans="1:80" x14ac:dyDescent="0.25">
      <c r="A324" s="85">
        <f t="shared" si="111"/>
        <v>34</v>
      </c>
      <c r="B324" s="296">
        <f t="shared" si="112"/>
        <v>103909.73451803665</v>
      </c>
      <c r="C324" s="296">
        <f t="shared" si="113"/>
        <v>489285.97622363578</v>
      </c>
      <c r="D324" s="85">
        <f t="shared" si="130"/>
        <v>1</v>
      </c>
      <c r="E324" s="17">
        <f t="shared" si="114"/>
        <v>0.38768131205870304</v>
      </c>
      <c r="F324" s="17">
        <f t="shared" si="115"/>
        <v>-0.10805969178909436</v>
      </c>
      <c r="G324" s="17" t="str">
        <f t="shared" si="116"/>
        <v>103909.734518037,489285.976223636</v>
      </c>
      <c r="H324" s="16">
        <v>34</v>
      </c>
      <c r="I324" s="16">
        <f t="shared" si="117"/>
        <v>34</v>
      </c>
      <c r="J324" s="209">
        <f t="shared" si="118"/>
        <v>0.4024595590976956</v>
      </c>
      <c r="K324" s="209">
        <f t="shared" si="119"/>
        <v>13.281165450701035</v>
      </c>
      <c r="L324" s="692">
        <v>1.2252131700515749</v>
      </c>
      <c r="M324" s="17" t="str">
        <f t="shared" si="128"/>
        <v>13.281165450701,1.22521317005157</v>
      </c>
      <c r="O324" s="85">
        <f t="shared" ref="O324:O355" si="150">IF(O323&lt;W$269,O323+1,"")</f>
        <v>34</v>
      </c>
      <c r="P324" s="85">
        <f t="shared" ref="P324:P355" si="151">IF(O323&lt;=Q$270,P$273+(O323*R$274/Q$269),IF(O323&lt;=R$270,P$274+((O323-Q$270)*R$275/R$269),IF(O323&lt;=S$270,P$275+((O323-R$270)*R$276/S$269),IF(O323&lt;=T$270,P$276+((O323-S$270)*R$277/T$269),IF(O323&lt;=U$270,P$277+((O323-T$270)*R$278/U$269),"Formule bijwerken voor T6")))))</f>
        <v>95.767506332281727</v>
      </c>
      <c r="Q324" s="233" t="str">
        <f t="shared" ref="Q324:Q355" si="152">IF(AND(O323&gt;=Q$270,O323&lt;R$270+1),Z$265-DEGREES(ASIN((R$275-(((O323-Q$270)/R$269)*R$275))/Z$266)),IF(AND(O323&gt;=S$270,O323&lt;T$270+1),Z$270-DEGREES(ASIN((((O323-S$270)/T$269)*R$277)/Z$269)),""))</f>
        <v/>
      </c>
      <c r="R324" s="17">
        <f t="shared" ref="R324:R355" si="153">IF(O324="","",P324-P323)</f>
        <v>2.8513223154822214</v>
      </c>
      <c r="S324" s="235">
        <f t="shared" si="129"/>
        <v>97.115581597959221</v>
      </c>
      <c r="T324" s="17">
        <f t="shared" ref="T324:T355" si="154">IF(O324="","",S324-S323)</f>
        <v>2.8513223154822214</v>
      </c>
      <c r="U324" s="85">
        <f t="shared" ref="U324:U355" si="155">IF(O323&lt;=Q$270,U$273+(O323*V$274/Q$269),IF(O323&lt;=R$270,U$274-Z$266*((COS(RADIANS(Z$265-Q324)))-(COS(RADIANS(Z$265)))),IF(O323&lt;=S$270,U$275+((O323-R$270)*V$276/S$269),IF(O323&lt;=T$270,U$276+Z$269-(Z$269*(COS(RADIANS(Z$270-Q324)))),IF(O323&lt;=U$270,U$277+((O323-T$270)*V$278/U$269),"Formule bijwerken voor  T6")))))</f>
        <v>-9.5</v>
      </c>
      <c r="V324" s="17">
        <f t="shared" ref="V324:V355" si="156">IF(O324="","",U324-U323)</f>
        <v>0</v>
      </c>
      <c r="W324" s="17">
        <f t="shared" si="139"/>
        <v>-8.4907652139663696</v>
      </c>
      <c r="X324" s="17">
        <f t="shared" ref="X324:X355" si="157">IF(O324="","",W324-VLOOKUP(P324,K$290:L$1291,2,TRUE))</f>
        <v>-9.7589008808135986</v>
      </c>
      <c r="Y324" s="85">
        <f t="shared" si="140"/>
        <v>2</v>
      </c>
      <c r="Z324" s="17">
        <f t="shared" si="141"/>
        <v>34</v>
      </c>
      <c r="AA324" s="17" t="str">
        <f t="shared" si="142"/>
        <v>LINE</v>
      </c>
      <c r="AB324" s="17" t="str">
        <f t="shared" si="143"/>
        <v>95.7675063322817,1.40572071075439</v>
      </c>
      <c r="AC324" s="17" t="str">
        <f>IF(O324="","",P324&amp;","&amp;AB$287-Variabelen!B$43)</f>
        <v>95.7675063322817,-16.0407652139664</v>
      </c>
      <c r="AD324" s="17"/>
      <c r="AE324" s="17"/>
      <c r="AF324" s="17"/>
      <c r="AG324" s="17"/>
      <c r="AH324" s="17"/>
      <c r="AI324" s="17" t="str">
        <f>IF(O324="","",P324-Variabelen!B$36&amp;","&amp;AB$287-Variabelen!B$43+Variabelen!B$36)</f>
        <v>95.6875063322817,-15.9607652139664</v>
      </c>
      <c r="AJ324" s="154">
        <f t="shared" si="144"/>
        <v>95.77</v>
      </c>
      <c r="AK324" s="17"/>
      <c r="AL324" s="17"/>
      <c r="AM324" s="17"/>
      <c r="AN324" s="17"/>
      <c r="AO324" s="17"/>
      <c r="AP324" s="17" t="str">
        <f>IF(O324="","",P324-Variabelen!B$36&amp;","&amp;AB$287-Variabelen!B$42+Variabelen!B$36)</f>
        <v>95.6875063322817,-13.7607652139664</v>
      </c>
      <c r="AQ324" s="154">
        <f t="shared" si="145"/>
        <v>97.12</v>
      </c>
      <c r="AR324" s="17"/>
      <c r="AS324" s="17"/>
      <c r="AT324" s="17"/>
      <c r="AU324" s="17"/>
      <c r="AV324" s="17" t="str">
        <f t="shared" si="146"/>
        <v>_BR</v>
      </c>
      <c r="AW324" s="17" t="str">
        <f>IF(O324="","",P324-Variabelen!B$36&amp;","&amp;AB$287-Variabelen!B$41+Variabelen!B$36)</f>
        <v>95.6875063322817,-11.5607652139664</v>
      </c>
      <c r="AX324" s="17"/>
      <c r="AY324" s="17"/>
      <c r="AZ324" s="154">
        <f t="shared" si="147"/>
        <v>-8.49</v>
      </c>
      <c r="BA324" s="17"/>
      <c r="BB324" s="17"/>
      <c r="BC324" s="17"/>
      <c r="BD324" s="17"/>
      <c r="BE324" s="17" t="str">
        <f t="shared" si="148"/>
        <v>_BR</v>
      </c>
      <c r="BF324" s="17" t="str">
        <f>IF(O324="","",P324-Variabelen!B$36&amp;","&amp;AB$287-Variabelen!B$40+Variabelen!B$36)</f>
        <v>95.6875063322817,-9.76076521396637</v>
      </c>
      <c r="BG324" s="17"/>
      <c r="BH324" s="17"/>
      <c r="BI324" s="154">
        <f t="shared" si="149"/>
        <v>-9.76</v>
      </c>
      <c r="BJ324" s="17"/>
      <c r="BO324" s="145" t="s">
        <v>461</v>
      </c>
      <c r="BP324" s="52" t="str">
        <f>IF(BO291&lt;0,"LINE","")</f>
        <v/>
      </c>
      <c r="BQ324" s="53" t="str">
        <f>IF(BP324="","",-Variabelen!B$30&amp;",0")</f>
        <v/>
      </c>
      <c r="BR324" s="53" t="str">
        <f>IF(BP324="","",C16+Variabelen!B$30&amp;",0")</f>
        <v/>
      </c>
      <c r="BS324" s="54"/>
      <c r="BU324" s="32" t="str">
        <f>IF(BP324="","","TEXT")</f>
        <v/>
      </c>
      <c r="BV324" s="31" t="str">
        <f>IF(BU324="","","_Justify")</f>
        <v/>
      </c>
      <c r="BW324" s="31" t="str">
        <f>IF(BU324="","","_R")</f>
        <v/>
      </c>
      <c r="BX324" s="31" t="str">
        <f>IF(BU324="","",-Variabelen!M$31&amp;","&amp;-0.5*BY324)</f>
        <v/>
      </c>
      <c r="BY324" s="31" t="str">
        <f>IF(BU324="","",Variabelen!M$32)</f>
        <v/>
      </c>
      <c r="BZ324" s="31" t="str">
        <f>IF(BU324="","",0)</f>
        <v/>
      </c>
      <c r="CA324" s="31" t="str">
        <f>IF(BU324="","","N.A.P.")</f>
        <v/>
      </c>
      <c r="CB324" s="30"/>
    </row>
    <row r="325" spans="1:80" x14ac:dyDescent="0.25">
      <c r="A325" s="85">
        <f t="shared" si="111"/>
        <v>35</v>
      </c>
      <c r="B325" s="296">
        <f t="shared" si="112"/>
        <v>103910.12219934873</v>
      </c>
      <c r="C325" s="296">
        <f t="shared" si="113"/>
        <v>489285.86816394399</v>
      </c>
      <c r="D325" s="85">
        <f t="shared" si="130"/>
        <v>1</v>
      </c>
      <c r="E325" s="17">
        <f t="shared" si="114"/>
        <v>0.38768131207325496</v>
      </c>
      <c r="F325" s="17">
        <f t="shared" si="115"/>
        <v>-0.10805969178909436</v>
      </c>
      <c r="G325" s="17" t="str">
        <f t="shared" si="116"/>
        <v>103910.122199349,489285.868163944</v>
      </c>
      <c r="H325" s="16">
        <v>35</v>
      </c>
      <c r="I325" s="16">
        <f t="shared" si="117"/>
        <v>35</v>
      </c>
      <c r="J325" s="209">
        <f t="shared" si="118"/>
        <v>0.40245955911171322</v>
      </c>
      <c r="K325" s="209">
        <f t="shared" si="119"/>
        <v>13.683625009812749</v>
      </c>
      <c r="L325" s="692">
        <v>1.229625940322876</v>
      </c>
      <c r="M325" s="17" t="str">
        <f t="shared" si="128"/>
        <v>13.6836250098127,1.22962594032288</v>
      </c>
      <c r="O325" s="85">
        <f t="shared" si="150"/>
        <v>35</v>
      </c>
      <c r="P325" s="85">
        <f t="shared" si="151"/>
        <v>98.618828647763962</v>
      </c>
      <c r="Q325" s="233" t="str">
        <f t="shared" si="152"/>
        <v/>
      </c>
      <c r="R325" s="17">
        <f t="shared" si="153"/>
        <v>2.8513223154822356</v>
      </c>
      <c r="S325" s="235">
        <f t="shared" ref="S325:S356" si="158">IF(O324&lt;=Q$270,S$273+(O324*T$274/Q$269),IF(O324&lt;=R$270,S$274+(Z$265-DEGREES(ASIN((R$275*(R$269-(O324-Q$270))/R$269)/Z$266)))*2*Z$266*PI()/360,IF(O324&lt;=S$270,S$275+((O324-R$270)*T$276/S$269),IF(O324&lt;=T$270,S$276+(DEGREES(ASIN(((O324-S$270)*(P$277-P$276)/T$269)/Z$269)))*2*Z$269*PI()/360,IF(O324&lt;=U$270,S$277+((O324-T$270)*T$278/U$269),"Formule bijwerken voor T6")))))</f>
        <v>99.966903913441456</v>
      </c>
      <c r="T325" s="17">
        <f t="shared" si="154"/>
        <v>2.8513223154822356</v>
      </c>
      <c r="U325" s="85">
        <f t="shared" si="155"/>
        <v>-9.5</v>
      </c>
      <c r="V325" s="17">
        <f t="shared" si="156"/>
        <v>0</v>
      </c>
      <c r="W325" s="17">
        <f t="shared" si="139"/>
        <v>-8.4907652139663696</v>
      </c>
      <c r="X325" s="17">
        <f t="shared" si="157"/>
        <v>-9.7254873514175415</v>
      </c>
      <c r="Y325" s="85">
        <f t="shared" si="140"/>
        <v>2</v>
      </c>
      <c r="Z325" s="17">
        <f t="shared" si="141"/>
        <v>35</v>
      </c>
      <c r="AA325" s="17" t="str">
        <f t="shared" si="142"/>
        <v>LINE</v>
      </c>
      <c r="AB325" s="17" t="str">
        <f t="shared" si="143"/>
        <v>98.618828647764,1.40572071075439</v>
      </c>
      <c r="AC325" s="17" t="str">
        <f>IF(O325="","",P325&amp;","&amp;AB$287-Variabelen!B$43)</f>
        <v>98.618828647764,-16.0407652139664</v>
      </c>
      <c r="AD325" s="17"/>
      <c r="AE325" s="17"/>
      <c r="AF325" s="17"/>
      <c r="AG325" s="17"/>
      <c r="AH325" s="17"/>
      <c r="AI325" s="17" t="str">
        <f>IF(O325="","",P325-Variabelen!B$36&amp;","&amp;AB$287-Variabelen!B$43+Variabelen!B$36)</f>
        <v>98.538828647764,-15.9607652139664</v>
      </c>
      <c r="AJ325" s="154">
        <f t="shared" si="144"/>
        <v>98.62</v>
      </c>
      <c r="AK325" s="17"/>
      <c r="AL325" s="17"/>
      <c r="AM325" s="17"/>
      <c r="AN325" s="17"/>
      <c r="AO325" s="17"/>
      <c r="AP325" s="17" t="str">
        <f>IF(O325="","",P325-Variabelen!B$36&amp;","&amp;AB$287-Variabelen!B$42+Variabelen!B$36)</f>
        <v>98.538828647764,-13.7607652139664</v>
      </c>
      <c r="AQ325" s="154">
        <f t="shared" si="145"/>
        <v>99.97</v>
      </c>
      <c r="AR325" s="17"/>
      <c r="AS325" s="17"/>
      <c r="AT325" s="17"/>
      <c r="AU325" s="17"/>
      <c r="AV325" s="17" t="str">
        <f t="shared" si="146"/>
        <v>_BR</v>
      </c>
      <c r="AW325" s="17" t="str">
        <f>IF(O325="","",P325-Variabelen!B$36&amp;","&amp;AB$287-Variabelen!B$41+Variabelen!B$36)</f>
        <v>98.538828647764,-11.5607652139664</v>
      </c>
      <c r="AX325" s="17"/>
      <c r="AY325" s="17"/>
      <c r="AZ325" s="154">
        <f t="shared" si="147"/>
        <v>-8.49</v>
      </c>
      <c r="BA325" s="17"/>
      <c r="BB325" s="17"/>
      <c r="BC325" s="17"/>
      <c r="BD325" s="17"/>
      <c r="BE325" s="17" t="str">
        <f t="shared" si="148"/>
        <v>_BR</v>
      </c>
      <c r="BF325" s="17" t="str">
        <f>IF(O325="","",P325-Variabelen!B$36&amp;","&amp;AB$287-Variabelen!B$40+Variabelen!B$36)</f>
        <v>98.538828647764,-9.76076521396637</v>
      </c>
      <c r="BG325" s="17"/>
      <c r="BH325" s="17"/>
      <c r="BI325" s="154">
        <f t="shared" si="149"/>
        <v>-9.73</v>
      </c>
      <c r="BJ325" s="17"/>
      <c r="BU325" s="29" t="s">
        <v>456</v>
      </c>
      <c r="BV325" s="16" t="s">
        <v>458</v>
      </c>
      <c r="BW325" s="16" t="s">
        <v>462</v>
      </c>
      <c r="BX325" s="16" t="str">
        <f>IF(BO291&lt;0,0&amp;","&amp;Variabelen!B28,0&amp;","&amp;BO291+Variabelen!B28)</f>
        <v>0,1.5</v>
      </c>
      <c r="BY325" s="16">
        <f>1.5*Variabelen!B$32</f>
        <v>0.67500000000000004</v>
      </c>
      <c r="BZ325" s="16">
        <v>0</v>
      </c>
      <c r="CA325" s="25" t="str">
        <f>Variabelen!B3&amp;". INTREDE"</f>
        <v>A. INTREDE</v>
      </c>
      <c r="CB325" s="27"/>
    </row>
    <row r="326" spans="1:80" x14ac:dyDescent="0.25">
      <c r="A326" s="85">
        <f t="shared" si="111"/>
        <v>36</v>
      </c>
      <c r="B326" s="296">
        <f t="shared" si="112"/>
        <v>103910.5098806608</v>
      </c>
      <c r="C326" s="296">
        <f t="shared" si="113"/>
        <v>489285.76010425214</v>
      </c>
      <c r="D326" s="85">
        <f t="shared" si="130"/>
        <v>1</v>
      </c>
      <c r="E326" s="17">
        <f t="shared" si="114"/>
        <v>0.38768131207325496</v>
      </c>
      <c r="F326" s="17">
        <f t="shared" si="115"/>
        <v>-0.10805969184730202</v>
      </c>
      <c r="G326" s="17" t="str">
        <f t="shared" si="116"/>
        <v>103910.509880661,489285.760104252</v>
      </c>
      <c r="H326" s="16">
        <v>36</v>
      </c>
      <c r="I326" s="16">
        <f t="shared" si="117"/>
        <v>36</v>
      </c>
      <c r="J326" s="209">
        <f t="shared" si="118"/>
        <v>0.40245955912734188</v>
      </c>
      <c r="K326" s="209">
        <f t="shared" si="119"/>
        <v>14.086084568940091</v>
      </c>
      <c r="L326" s="692">
        <v>1.238826990127563</v>
      </c>
      <c r="M326" s="17" t="str">
        <f t="shared" si="128"/>
        <v>14.0860845689401,1.23882699012756</v>
      </c>
      <c r="O326" s="85">
        <f t="shared" si="150"/>
        <v>36</v>
      </c>
      <c r="P326" s="85">
        <f t="shared" si="151"/>
        <v>101.4701509632462</v>
      </c>
      <c r="Q326" s="233" t="str">
        <f t="shared" si="152"/>
        <v/>
      </c>
      <c r="R326" s="17">
        <f t="shared" si="153"/>
        <v>2.8513223154822356</v>
      </c>
      <c r="S326" s="235">
        <f t="shared" si="158"/>
        <v>102.81822622892369</v>
      </c>
      <c r="T326" s="17">
        <f t="shared" si="154"/>
        <v>2.8513223154822356</v>
      </c>
      <c r="U326" s="85">
        <f t="shared" si="155"/>
        <v>-9.5</v>
      </c>
      <c r="V326" s="17">
        <f t="shared" si="156"/>
        <v>0</v>
      </c>
      <c r="W326" s="17">
        <f t="shared" si="139"/>
        <v>-8.4907652139663696</v>
      </c>
      <c r="X326" s="17">
        <f t="shared" si="157"/>
        <v>-9.7682714462280273</v>
      </c>
      <c r="Y326" s="85">
        <f t="shared" si="140"/>
        <v>2</v>
      </c>
      <c r="Z326" s="17">
        <f t="shared" si="141"/>
        <v>36</v>
      </c>
      <c r="AA326" s="17" t="str">
        <f t="shared" si="142"/>
        <v>LINE</v>
      </c>
      <c r="AB326" s="17" t="str">
        <f t="shared" si="143"/>
        <v>101.470150963246,1.40572071075439</v>
      </c>
      <c r="AC326" s="17" t="str">
        <f>IF(O326="","",P326&amp;","&amp;AB$287-Variabelen!B$43)</f>
        <v>101.470150963246,-16.0407652139664</v>
      </c>
      <c r="AD326" s="17"/>
      <c r="AE326" s="17"/>
      <c r="AF326" s="17"/>
      <c r="AG326" s="17"/>
      <c r="AH326" s="17"/>
      <c r="AI326" s="17" t="str">
        <f>IF(O326="","",P326-Variabelen!B$36&amp;","&amp;AB$287-Variabelen!B$43+Variabelen!B$36)</f>
        <v>101.390150963246,-15.9607652139664</v>
      </c>
      <c r="AJ326" s="154">
        <f t="shared" si="144"/>
        <v>101.47</v>
      </c>
      <c r="AK326" s="17"/>
      <c r="AL326" s="17"/>
      <c r="AM326" s="17"/>
      <c r="AN326" s="17"/>
      <c r="AO326" s="17"/>
      <c r="AP326" s="17" t="str">
        <f>IF(O326="","",P326-Variabelen!B$36&amp;","&amp;AB$287-Variabelen!B$42+Variabelen!B$36)</f>
        <v>101.390150963246,-13.7607652139664</v>
      </c>
      <c r="AQ326" s="154">
        <f t="shared" si="145"/>
        <v>102.82</v>
      </c>
      <c r="AR326" s="17"/>
      <c r="AS326" s="17"/>
      <c r="AT326" s="17"/>
      <c r="AU326" s="17"/>
      <c r="AV326" s="17" t="str">
        <f t="shared" si="146"/>
        <v>_BR</v>
      </c>
      <c r="AW326" s="17" t="str">
        <f>IF(O326="","",P326-Variabelen!B$36&amp;","&amp;AB$287-Variabelen!B$41+Variabelen!B$36)</f>
        <v>101.390150963246,-11.5607652139664</v>
      </c>
      <c r="AX326" s="17"/>
      <c r="AY326" s="17"/>
      <c r="AZ326" s="154">
        <f t="shared" si="147"/>
        <v>-8.49</v>
      </c>
      <c r="BA326" s="17"/>
      <c r="BB326" s="17"/>
      <c r="BC326" s="17"/>
      <c r="BD326" s="17"/>
      <c r="BE326" s="17" t="str">
        <f t="shared" si="148"/>
        <v>_BR</v>
      </c>
      <c r="BF326" s="17" t="str">
        <f>IF(O326="","",P326-Variabelen!B$36&amp;","&amp;AB$287-Variabelen!B$40+Variabelen!B$36)</f>
        <v>101.390150963246,-9.76076521396637</v>
      </c>
      <c r="BG326" s="17"/>
      <c r="BH326" s="17"/>
      <c r="BI326" s="154">
        <f t="shared" si="149"/>
        <v>-9.77</v>
      </c>
      <c r="BJ326" s="17"/>
      <c r="BN326" s="16">
        <v>29</v>
      </c>
      <c r="BU326" s="26" t="s">
        <v>456</v>
      </c>
      <c r="BV326" s="25" t="s">
        <v>458</v>
      </c>
      <c r="BW326" s="25" t="s">
        <v>459</v>
      </c>
      <c r="BX326" s="25" t="str">
        <f>IF(BO291&lt;0,X$65&amp;","&amp;Variabelen!B$28,K43&amp;","&amp;BO291+Variabelen!B$28)</f>
        <v>226.722690871591,1.5</v>
      </c>
      <c r="BY326" s="25">
        <f>1.5*Variabelen!B$32</f>
        <v>0.67500000000000004</v>
      </c>
      <c r="BZ326" s="25">
        <v>0</v>
      </c>
      <c r="CA326" s="25" t="str">
        <f>Variabelen!B5&amp;". UITTREDE"</f>
        <v>B. UITTREDE</v>
      </c>
      <c r="CB326" s="24"/>
    </row>
    <row r="327" spans="1:80" x14ac:dyDescent="0.25">
      <c r="A327" s="85">
        <f t="shared" si="111"/>
        <v>37</v>
      </c>
      <c r="B327" s="296">
        <f t="shared" si="112"/>
        <v>103910.89756197287</v>
      </c>
      <c r="C327" s="296">
        <f t="shared" si="113"/>
        <v>489285.65204456035</v>
      </c>
      <c r="D327" s="85">
        <f t="shared" si="130"/>
        <v>1</v>
      </c>
      <c r="E327" s="17">
        <f t="shared" si="114"/>
        <v>0.38768131207325496</v>
      </c>
      <c r="F327" s="17">
        <f t="shared" si="115"/>
        <v>-0.10805969178909436</v>
      </c>
      <c r="G327" s="17" t="str">
        <f t="shared" si="116"/>
        <v>103910.897561973,489285.65204456</v>
      </c>
      <c r="H327" s="16">
        <v>37</v>
      </c>
      <c r="I327" s="16">
        <f t="shared" si="117"/>
        <v>37</v>
      </c>
      <c r="J327" s="209">
        <f t="shared" si="118"/>
        <v>0.40245955911171322</v>
      </c>
      <c r="K327" s="209">
        <f t="shared" si="119"/>
        <v>14.488544128051805</v>
      </c>
      <c r="L327" s="692">
        <v>1.226365923881531</v>
      </c>
      <c r="M327" s="17" t="str">
        <f t="shared" si="128"/>
        <v>14.4885441280518,1.22636592388153</v>
      </c>
      <c r="O327" s="85">
        <f t="shared" si="150"/>
        <v>37</v>
      </c>
      <c r="P327" s="85">
        <f t="shared" si="151"/>
        <v>104.32147327872843</v>
      </c>
      <c r="Q327" s="233" t="str">
        <f t="shared" si="152"/>
        <v/>
      </c>
      <c r="R327" s="17">
        <f t="shared" si="153"/>
        <v>2.8513223154822356</v>
      </c>
      <c r="S327" s="235">
        <f t="shared" si="158"/>
        <v>105.66954854440593</v>
      </c>
      <c r="T327" s="17">
        <f t="shared" si="154"/>
        <v>2.8513223154822356</v>
      </c>
      <c r="U327" s="85">
        <f t="shared" si="155"/>
        <v>-9.5</v>
      </c>
      <c r="V327" s="17">
        <f t="shared" si="156"/>
        <v>0</v>
      </c>
      <c r="W327" s="17">
        <f t="shared" si="139"/>
        <v>-8.4907652139663696</v>
      </c>
      <c r="X327" s="17">
        <f t="shared" si="157"/>
        <v>-9.7589677572250366</v>
      </c>
      <c r="Y327" s="85">
        <f t="shared" si="140"/>
        <v>2</v>
      </c>
      <c r="Z327" s="17">
        <f t="shared" si="141"/>
        <v>37</v>
      </c>
      <c r="AA327" s="17" t="str">
        <f t="shared" si="142"/>
        <v>LINE</v>
      </c>
      <c r="AB327" s="17" t="str">
        <f t="shared" si="143"/>
        <v>104.321473278728,1.40572071075439</v>
      </c>
      <c r="AC327" s="17" t="str">
        <f>IF(O327="","",P327&amp;","&amp;AB$287-Variabelen!B$43)</f>
        <v>104.321473278728,-16.0407652139664</v>
      </c>
      <c r="AD327" s="17"/>
      <c r="AE327" s="17"/>
      <c r="AF327" s="17"/>
      <c r="AG327" s="17"/>
      <c r="AH327" s="17"/>
      <c r="AI327" s="17" t="str">
        <f>IF(O327="","",P327-Variabelen!B$36&amp;","&amp;AB$287-Variabelen!B$43+Variabelen!B$36)</f>
        <v>104.241473278728,-15.9607652139664</v>
      </c>
      <c r="AJ327" s="154">
        <f t="shared" si="144"/>
        <v>104.32</v>
      </c>
      <c r="AK327" s="17"/>
      <c r="AL327" s="17"/>
      <c r="AM327" s="17"/>
      <c r="AN327" s="17"/>
      <c r="AO327" s="17"/>
      <c r="AP327" s="17" t="str">
        <f>IF(O327="","",P327-Variabelen!B$36&amp;","&amp;AB$287-Variabelen!B$42+Variabelen!B$36)</f>
        <v>104.241473278728,-13.7607652139664</v>
      </c>
      <c r="AQ327" s="154">
        <f t="shared" si="145"/>
        <v>105.67</v>
      </c>
      <c r="AR327" s="17"/>
      <c r="AS327" s="17"/>
      <c r="AT327" s="17"/>
      <c r="AU327" s="17"/>
      <c r="AV327" s="17" t="str">
        <f t="shared" si="146"/>
        <v>_BR</v>
      </c>
      <c r="AW327" s="17" t="str">
        <f>IF(O327="","",P327-Variabelen!B$36&amp;","&amp;AB$287-Variabelen!B$41+Variabelen!B$36)</f>
        <v>104.241473278728,-11.5607652139664</v>
      </c>
      <c r="AX327" s="17"/>
      <c r="AY327" s="17"/>
      <c r="AZ327" s="154">
        <f t="shared" si="147"/>
        <v>-8.49</v>
      </c>
      <c r="BA327" s="17"/>
      <c r="BB327" s="17"/>
      <c r="BC327" s="17"/>
      <c r="BD327" s="17"/>
      <c r="BE327" s="17" t="str">
        <f t="shared" si="148"/>
        <v>_BR</v>
      </c>
      <c r="BF327" s="17" t="str">
        <f>IF(O327="","",P327-Variabelen!B$36&amp;","&amp;AB$287-Variabelen!B$40+Variabelen!B$36)</f>
        <v>104.241473278728,-9.76076521396637</v>
      </c>
      <c r="BG327" s="17"/>
      <c r="BH327" s="17"/>
      <c r="BI327" s="154">
        <f t="shared" si="149"/>
        <v>-9.76</v>
      </c>
      <c r="BJ327" s="17"/>
      <c r="BO327" s="16" t="str">
        <f>IF(BO326&lt;&gt;"",IF(BO326&gt;#REF!,BO326-1,""),"")</f>
        <v/>
      </c>
      <c r="BU327" s="16" t="str">
        <f>IF(BO327="","","TEXT")</f>
        <v/>
      </c>
      <c r="BY327" s="16" t="str">
        <f>IF(BO327="","",Variabelen!M$32)</f>
        <v/>
      </c>
      <c r="BZ327" s="16" t="str">
        <f>IF(BO327="","",0)</f>
        <v/>
      </c>
      <c r="CA327" s="16" t="str">
        <f>IF(BO327="","",IF(BO327=0,"N.A.P.",IF(BO327&gt;0,("+"&amp;BO327&amp;",0")," "&amp;BO327&amp;",0")))</f>
        <v/>
      </c>
    </row>
    <row r="328" spans="1:80" x14ac:dyDescent="0.25">
      <c r="A328" s="85">
        <f t="shared" si="111"/>
        <v>38</v>
      </c>
      <c r="B328" s="296">
        <f t="shared" si="112"/>
        <v>103911.28524328493</v>
      </c>
      <c r="C328" s="296">
        <f t="shared" si="113"/>
        <v>489285.54398486856</v>
      </c>
      <c r="D328" s="85">
        <f t="shared" si="130"/>
        <v>1</v>
      </c>
      <c r="E328" s="17">
        <f t="shared" si="114"/>
        <v>0.38768131205870304</v>
      </c>
      <c r="F328" s="17">
        <f t="shared" si="115"/>
        <v>-0.10805969178909436</v>
      </c>
      <c r="G328" s="17" t="str">
        <f t="shared" si="116"/>
        <v>103911.285243285,489285.543984869</v>
      </c>
      <c r="H328" s="16">
        <v>38</v>
      </c>
      <c r="I328" s="16">
        <f t="shared" si="117"/>
        <v>38</v>
      </c>
      <c r="J328" s="209">
        <f t="shared" si="118"/>
        <v>0.4024595590976956</v>
      </c>
      <c r="K328" s="209">
        <f t="shared" si="119"/>
        <v>14.8910036871495</v>
      </c>
      <c r="L328" s="692">
        <v>1.223989844322205</v>
      </c>
      <c r="M328" s="17" t="str">
        <f t="shared" si="128"/>
        <v>14.8910036871495,1.22398984432221</v>
      </c>
      <c r="O328" s="85">
        <f t="shared" si="150"/>
        <v>38</v>
      </c>
      <c r="P328" s="85">
        <f t="shared" si="151"/>
        <v>107.17279559421065</v>
      </c>
      <c r="Q328" s="233" t="str">
        <f t="shared" si="152"/>
        <v/>
      </c>
      <c r="R328" s="17">
        <f t="shared" si="153"/>
        <v>2.8513223154822214</v>
      </c>
      <c r="S328" s="235">
        <f t="shared" si="158"/>
        <v>108.52087085988815</v>
      </c>
      <c r="T328" s="17">
        <f t="shared" si="154"/>
        <v>2.8513223154822214</v>
      </c>
      <c r="U328" s="85">
        <f t="shared" si="155"/>
        <v>-9.5</v>
      </c>
      <c r="V328" s="17">
        <f t="shared" si="156"/>
        <v>0</v>
      </c>
      <c r="W328" s="17">
        <f t="shared" si="139"/>
        <v>-8.4907652139663696</v>
      </c>
      <c r="X328" s="17">
        <f t="shared" si="157"/>
        <v>-9.7589282989501953</v>
      </c>
      <c r="Y328" s="85">
        <f t="shared" si="140"/>
        <v>2</v>
      </c>
      <c r="Z328" s="17">
        <f t="shared" si="141"/>
        <v>38</v>
      </c>
      <c r="AA328" s="17" t="str">
        <f t="shared" si="142"/>
        <v>LINE</v>
      </c>
      <c r="AB328" s="17" t="str">
        <f t="shared" si="143"/>
        <v>107.172795594211,1.40572071075439</v>
      </c>
      <c r="AC328" s="17" t="str">
        <f>IF(O328="","",P328&amp;","&amp;AB$287-Variabelen!B$43)</f>
        <v>107.172795594211,-16.0407652139664</v>
      </c>
      <c r="AD328" s="17"/>
      <c r="AE328" s="17"/>
      <c r="AF328" s="17"/>
      <c r="AG328" s="17"/>
      <c r="AH328" s="17"/>
      <c r="AI328" s="17" t="str">
        <f>IF(O328="","",P328-Variabelen!B$36&amp;","&amp;AB$287-Variabelen!B$43+Variabelen!B$36)</f>
        <v>107.092795594211,-15.9607652139664</v>
      </c>
      <c r="AJ328" s="154">
        <f t="shared" si="144"/>
        <v>107.17</v>
      </c>
      <c r="AK328" s="17"/>
      <c r="AL328" s="17"/>
      <c r="AM328" s="17"/>
      <c r="AN328" s="17"/>
      <c r="AO328" s="17"/>
      <c r="AP328" s="17" t="str">
        <f>IF(O328="","",P328-Variabelen!B$36&amp;","&amp;AB$287-Variabelen!B$42+Variabelen!B$36)</f>
        <v>107.092795594211,-13.7607652139664</v>
      </c>
      <c r="AQ328" s="154">
        <f t="shared" si="145"/>
        <v>108.52</v>
      </c>
      <c r="AR328" s="17"/>
      <c r="AS328" s="17"/>
      <c r="AT328" s="17"/>
      <c r="AU328" s="17"/>
      <c r="AV328" s="17" t="str">
        <f t="shared" si="146"/>
        <v>_BR</v>
      </c>
      <c r="AW328" s="17" t="str">
        <f>IF(O328="","",P328-Variabelen!B$36&amp;","&amp;AB$287-Variabelen!B$41+Variabelen!B$36)</f>
        <v>107.092795594211,-11.5607652139664</v>
      </c>
      <c r="AX328" s="17"/>
      <c r="AY328" s="17"/>
      <c r="AZ328" s="154">
        <f t="shared" si="147"/>
        <v>-8.49</v>
      </c>
      <c r="BA328" s="17"/>
      <c r="BB328" s="17"/>
      <c r="BC328" s="17"/>
      <c r="BD328" s="17"/>
      <c r="BE328" s="17" t="str">
        <f t="shared" si="148"/>
        <v>_BR</v>
      </c>
      <c r="BF328" s="17" t="str">
        <f>IF(O328="","",P328-Variabelen!B$36&amp;","&amp;AB$287-Variabelen!B$40+Variabelen!B$36)</f>
        <v>107.092795594211,-9.76076521396637</v>
      </c>
      <c r="BG328" s="17"/>
      <c r="BH328" s="17"/>
      <c r="BI328" s="154">
        <f t="shared" si="149"/>
        <v>-9.76</v>
      </c>
      <c r="BJ328" s="17"/>
      <c r="BO328" s="16" t="s">
        <v>463</v>
      </c>
    </row>
    <row r="329" spans="1:80" x14ac:dyDescent="0.25">
      <c r="A329" s="85">
        <f t="shared" si="111"/>
        <v>39</v>
      </c>
      <c r="B329" s="296">
        <f t="shared" si="112"/>
        <v>103911.67292459701</v>
      </c>
      <c r="C329" s="296">
        <f t="shared" si="113"/>
        <v>489285.43592517672</v>
      </c>
      <c r="D329" s="85">
        <f t="shared" si="130"/>
        <v>1</v>
      </c>
      <c r="E329" s="17">
        <f t="shared" si="114"/>
        <v>0.38768131207325496</v>
      </c>
      <c r="F329" s="17">
        <f t="shared" si="115"/>
        <v>-0.10805969184730202</v>
      </c>
      <c r="G329" s="17" t="str">
        <f t="shared" si="116"/>
        <v>103911.672924597,489285.435925177</v>
      </c>
      <c r="H329" s="16">
        <v>39</v>
      </c>
      <c r="I329" s="16">
        <f t="shared" si="117"/>
        <v>39</v>
      </c>
      <c r="J329" s="209">
        <f t="shared" si="118"/>
        <v>0.40245955912734188</v>
      </c>
      <c r="K329" s="209">
        <f t="shared" si="119"/>
        <v>15.293463246276842</v>
      </c>
      <c r="L329" s="692">
        <v>1.2255439758300779</v>
      </c>
      <c r="M329" s="17" t="str">
        <f t="shared" si="128"/>
        <v>15.2934632462768,1.22554397583008</v>
      </c>
      <c r="O329" s="85">
        <f t="shared" si="150"/>
        <v>39</v>
      </c>
      <c r="P329" s="85">
        <f t="shared" si="151"/>
        <v>110.02411790969289</v>
      </c>
      <c r="Q329" s="233" t="str">
        <f t="shared" si="152"/>
        <v/>
      </c>
      <c r="R329" s="17">
        <f t="shared" si="153"/>
        <v>2.8513223154822356</v>
      </c>
      <c r="S329" s="235">
        <f t="shared" si="158"/>
        <v>111.37219317537038</v>
      </c>
      <c r="T329" s="17">
        <f t="shared" si="154"/>
        <v>2.8513223154822356</v>
      </c>
      <c r="U329" s="85">
        <f t="shared" si="155"/>
        <v>-9.5</v>
      </c>
      <c r="V329" s="17">
        <f t="shared" si="156"/>
        <v>0</v>
      </c>
      <c r="W329" s="17">
        <f t="shared" si="139"/>
        <v>-8.4907652139663696</v>
      </c>
      <c r="X329" s="17">
        <f t="shared" si="157"/>
        <v>-9.7853767871856689</v>
      </c>
      <c r="Y329" s="85">
        <f t="shared" si="140"/>
        <v>2</v>
      </c>
      <c r="Z329" s="17">
        <f t="shared" si="141"/>
        <v>39</v>
      </c>
      <c r="AA329" s="17" t="str">
        <f t="shared" si="142"/>
        <v>LINE</v>
      </c>
      <c r="AB329" s="17" t="str">
        <f t="shared" si="143"/>
        <v>110.024117909693,1.40572071075439</v>
      </c>
      <c r="AC329" s="17" t="str">
        <f>IF(O329="","",P329&amp;","&amp;AB$287-Variabelen!B$43)</f>
        <v>110.024117909693,-16.0407652139664</v>
      </c>
      <c r="AD329" s="17"/>
      <c r="AE329" s="17"/>
      <c r="AF329" s="17"/>
      <c r="AG329" s="17"/>
      <c r="AH329" s="17"/>
      <c r="AI329" s="17" t="str">
        <f>IF(O329="","",P329-Variabelen!B$36&amp;","&amp;AB$287-Variabelen!B$43+Variabelen!B$36)</f>
        <v>109.944117909693,-15.9607652139664</v>
      </c>
      <c r="AJ329" s="154">
        <f t="shared" si="144"/>
        <v>110.02</v>
      </c>
      <c r="AK329" s="17"/>
      <c r="AL329" s="17"/>
      <c r="AM329" s="17"/>
      <c r="AN329" s="17"/>
      <c r="AO329" s="17"/>
      <c r="AP329" s="17" t="str">
        <f>IF(O329="","",P329-Variabelen!B$36&amp;","&amp;AB$287-Variabelen!B$42+Variabelen!B$36)</f>
        <v>109.944117909693,-13.7607652139664</v>
      </c>
      <c r="AQ329" s="154">
        <f t="shared" si="145"/>
        <v>111.37</v>
      </c>
      <c r="AR329" s="17"/>
      <c r="AS329" s="17"/>
      <c r="AT329" s="17"/>
      <c r="AU329" s="17"/>
      <c r="AV329" s="17" t="str">
        <f t="shared" si="146"/>
        <v>_BR</v>
      </c>
      <c r="AW329" s="17" t="str">
        <f>IF(O329="","",P329-Variabelen!B$36&amp;","&amp;AB$287-Variabelen!B$41+Variabelen!B$36)</f>
        <v>109.944117909693,-11.5607652139664</v>
      </c>
      <c r="AX329" s="17"/>
      <c r="AY329" s="17"/>
      <c r="AZ329" s="154">
        <f t="shared" si="147"/>
        <v>-8.49</v>
      </c>
      <c r="BA329" s="17"/>
      <c r="BB329" s="17"/>
      <c r="BC329" s="17"/>
      <c r="BD329" s="17"/>
      <c r="BE329" s="17" t="str">
        <f t="shared" si="148"/>
        <v>_BR</v>
      </c>
      <c r="BF329" s="17" t="str">
        <f>IF(O329="","",P329-Variabelen!B$36&amp;","&amp;AB$287-Variabelen!B$40+Variabelen!B$36)</f>
        <v>109.944117909693,-9.76076521396637</v>
      </c>
      <c r="BG329" s="17"/>
      <c r="BH329" s="17"/>
      <c r="BI329" s="154">
        <f t="shared" si="149"/>
        <v>-9.7899999999999991</v>
      </c>
      <c r="BJ329" s="17"/>
      <c r="BM329" s="229" t="s">
        <v>464</v>
      </c>
      <c r="BN329" s="17">
        <v>0</v>
      </c>
      <c r="BO329" s="17"/>
      <c r="BP329" s="17" t="s">
        <v>457</v>
      </c>
      <c r="BQ329" s="17" t="str">
        <f>-Variabelen!B$35&amp;","&amp;AB$287-Variabelen!B40</f>
        <v>-11,-9.84076521396637</v>
      </c>
      <c r="BR329" s="17" t="str">
        <f>C$16+Variabelen!B$30&amp;","&amp;AB$287-Variabelen!B40</f>
        <v>227.222690871591,-9.84076521396637</v>
      </c>
      <c r="BS329" s="17"/>
      <c r="BT329" s="17"/>
      <c r="BU329" s="17" t="s">
        <v>456</v>
      </c>
      <c r="BV329" s="17" t="s">
        <v>458</v>
      </c>
      <c r="BW329" s="17" t="s">
        <v>459</v>
      </c>
      <c r="BX329" s="17" t="str">
        <f>-Variabelen!B$34&amp;","&amp;AB$287-Variabelen!B40+0.5*BY329</f>
        <v>-2.7,-9.61576521396637</v>
      </c>
      <c r="BY329" s="17">
        <f>IF(BM329="","",Variabelen!B$32)</f>
        <v>0.45</v>
      </c>
      <c r="BZ329" s="17">
        <f>IF(BM329="","",0)</f>
        <v>0</v>
      </c>
      <c r="CA329" s="17" t="str">
        <f>BM329</f>
        <v>Hartlijn Boring t.o.v. MV (m)</v>
      </c>
      <c r="CB329" s="30"/>
    </row>
    <row r="330" spans="1:80" x14ac:dyDescent="0.25">
      <c r="A330" s="85">
        <f t="shared" si="111"/>
        <v>40</v>
      </c>
      <c r="B330" s="296">
        <f t="shared" si="112"/>
        <v>103912.06060590908</v>
      </c>
      <c r="C330" s="296">
        <f t="shared" si="113"/>
        <v>489285.32786548493</v>
      </c>
      <c r="D330" s="85">
        <f t="shared" si="130"/>
        <v>1</v>
      </c>
      <c r="E330" s="17">
        <f t="shared" si="114"/>
        <v>0.38768131207325496</v>
      </c>
      <c r="F330" s="17">
        <f t="shared" si="115"/>
        <v>-0.10805969178909436</v>
      </c>
      <c r="G330" s="17" t="str">
        <f t="shared" si="116"/>
        <v>103912.060605909,489285.327865485</v>
      </c>
      <c r="H330" s="16">
        <v>40</v>
      </c>
      <c r="I330" s="16">
        <f t="shared" si="117"/>
        <v>40</v>
      </c>
      <c r="J330" s="209">
        <f t="shared" si="118"/>
        <v>0.40245955911171322</v>
      </c>
      <c r="K330" s="209">
        <f t="shared" si="119"/>
        <v>15.695922805388555</v>
      </c>
      <c r="L330" s="692">
        <v>1.234270334243774</v>
      </c>
      <c r="M330" s="17" t="str">
        <f t="shared" si="128"/>
        <v>15.6959228053886,1.23427033424377</v>
      </c>
      <c r="O330" s="85">
        <f t="shared" si="150"/>
        <v>40</v>
      </c>
      <c r="P330" s="85">
        <f t="shared" si="151"/>
        <v>112.87544022517513</v>
      </c>
      <c r="Q330" s="233" t="str">
        <f t="shared" si="152"/>
        <v/>
      </c>
      <c r="R330" s="17">
        <f t="shared" si="153"/>
        <v>2.8513223154822356</v>
      </c>
      <c r="S330" s="235">
        <f t="shared" si="158"/>
        <v>114.22351549085262</v>
      </c>
      <c r="T330" s="17">
        <f t="shared" si="154"/>
        <v>2.8513223154822356</v>
      </c>
      <c r="U330" s="85">
        <f t="shared" si="155"/>
        <v>-9.5</v>
      </c>
      <c r="V330" s="17">
        <f t="shared" si="156"/>
        <v>0</v>
      </c>
      <c r="W330" s="17">
        <f t="shared" si="139"/>
        <v>-8.4907652139663696</v>
      </c>
      <c r="X330" s="17">
        <f t="shared" si="157"/>
        <v>-9.771484375</v>
      </c>
      <c r="Y330" s="85">
        <f t="shared" si="140"/>
        <v>2</v>
      </c>
      <c r="Z330" s="17">
        <f t="shared" si="141"/>
        <v>40</v>
      </c>
      <c r="AA330" s="17" t="str">
        <f t="shared" si="142"/>
        <v>LINE</v>
      </c>
      <c r="AB330" s="17" t="str">
        <f t="shared" si="143"/>
        <v>112.875440225175,1.40572071075439</v>
      </c>
      <c r="AC330" s="17" t="str">
        <f>IF(O330="","",P330&amp;","&amp;AB$287-Variabelen!B$43)</f>
        <v>112.875440225175,-16.0407652139664</v>
      </c>
      <c r="AD330" s="17"/>
      <c r="AE330" s="17"/>
      <c r="AF330" s="17"/>
      <c r="AG330" s="17"/>
      <c r="AH330" s="17"/>
      <c r="AI330" s="17" t="str">
        <f>IF(O330="","",P330-Variabelen!B$36&amp;","&amp;AB$287-Variabelen!B$43+Variabelen!B$36)</f>
        <v>112.795440225175,-15.9607652139664</v>
      </c>
      <c r="AJ330" s="154">
        <f t="shared" si="144"/>
        <v>112.88</v>
      </c>
      <c r="AK330" s="17"/>
      <c r="AL330" s="17"/>
      <c r="AM330" s="17"/>
      <c r="AN330" s="17"/>
      <c r="AO330" s="17"/>
      <c r="AP330" s="17" t="str">
        <f>IF(O330="","",P330-Variabelen!B$36&amp;","&amp;AB$287-Variabelen!B$42+Variabelen!B$36)</f>
        <v>112.795440225175,-13.7607652139664</v>
      </c>
      <c r="AQ330" s="154">
        <f t="shared" si="145"/>
        <v>114.22</v>
      </c>
      <c r="AR330" s="17"/>
      <c r="AS330" s="17"/>
      <c r="AT330" s="17"/>
      <c r="AU330" s="17"/>
      <c r="AV330" s="17" t="str">
        <f t="shared" si="146"/>
        <v>_BR</v>
      </c>
      <c r="AW330" s="17" t="str">
        <f>IF(O330="","",P330-Variabelen!B$36&amp;","&amp;AB$287-Variabelen!B$41+Variabelen!B$36)</f>
        <v>112.795440225175,-11.5607652139664</v>
      </c>
      <c r="AX330" s="17"/>
      <c r="AY330" s="17"/>
      <c r="AZ330" s="154">
        <f t="shared" si="147"/>
        <v>-8.49</v>
      </c>
      <c r="BA330" s="17"/>
      <c r="BB330" s="17"/>
      <c r="BC330" s="17"/>
      <c r="BD330" s="17"/>
      <c r="BE330" s="17" t="str">
        <f t="shared" si="148"/>
        <v>_BR</v>
      </c>
      <c r="BF330" s="17" t="str">
        <f>IF(O330="","",P330-Variabelen!B$36&amp;","&amp;AB$287-Variabelen!B$40+Variabelen!B$36)</f>
        <v>112.795440225175,-9.76076521396637</v>
      </c>
      <c r="BG330" s="17"/>
      <c r="BH330" s="17"/>
      <c r="BI330" s="154">
        <f t="shared" si="149"/>
        <v>-9.77</v>
      </c>
      <c r="BJ330" s="17"/>
      <c r="BM330" s="19" t="s">
        <v>465</v>
      </c>
      <c r="BN330" s="17">
        <f>IF(BM330="","",BN329+1)</f>
        <v>1</v>
      </c>
      <c r="BO330" s="17"/>
      <c r="BP330" s="17" t="s">
        <v>457</v>
      </c>
      <c r="BQ330" s="17" t="str">
        <f>-Variabelen!B$35&amp;","&amp;AB$287-Variabelen!B41</f>
        <v>-11,-11.6407652139664</v>
      </c>
      <c r="BR330" s="17" t="str">
        <f>C$16+Variabelen!B$30&amp;","&amp;AB$287-Variabelen!B41</f>
        <v>227.222690871591,-11.6407652139664</v>
      </c>
      <c r="BS330" s="17"/>
      <c r="BT330" s="17"/>
      <c r="BU330" s="17" t="s">
        <v>456</v>
      </c>
      <c r="BV330" s="17" t="s">
        <v>458</v>
      </c>
      <c r="BW330" s="17" t="s">
        <v>459</v>
      </c>
      <c r="BX330" s="17" t="str">
        <f>-Variabelen!B$34&amp;","&amp;AB$287-Variabelen!B41+0.5*BY330</f>
        <v>-2.7,-11.4157652139664</v>
      </c>
      <c r="BY330" s="17">
        <f>IF(BM330="","",Variabelen!B$32)</f>
        <v>0.45</v>
      </c>
      <c r="BZ330" s="17">
        <f>IF(BM330="","",0)</f>
        <v>0</v>
      </c>
      <c r="CA330" s="17" t="str">
        <f>BM330</f>
        <v>Hartlijn Boring t.o.v. NAP (m)</v>
      </c>
      <c r="CB330" s="27"/>
    </row>
    <row r="331" spans="1:80" x14ac:dyDescent="0.25">
      <c r="A331" s="85">
        <f t="shared" si="111"/>
        <v>41</v>
      </c>
      <c r="B331" s="296">
        <f t="shared" si="112"/>
        <v>103912.44828722115</v>
      </c>
      <c r="C331" s="296">
        <f t="shared" si="113"/>
        <v>489285.21980579314</v>
      </c>
      <c r="D331" s="85">
        <f t="shared" si="130"/>
        <v>1</v>
      </c>
      <c r="E331" s="17">
        <f t="shared" si="114"/>
        <v>0.38768131207325496</v>
      </c>
      <c r="F331" s="17">
        <f t="shared" si="115"/>
        <v>-0.10805969178909436</v>
      </c>
      <c r="G331" s="17" t="str">
        <f t="shared" si="116"/>
        <v>103912.448287221,489285.219805793</v>
      </c>
      <c r="H331" s="16">
        <v>41</v>
      </c>
      <c r="I331" s="16">
        <f t="shared" si="117"/>
        <v>41</v>
      </c>
      <c r="J331" s="209">
        <f t="shared" si="118"/>
        <v>0.40245955911171322</v>
      </c>
      <c r="K331" s="209">
        <f t="shared" si="119"/>
        <v>16.098382364500267</v>
      </c>
      <c r="L331" s="692">
        <v>1.2451574802398679</v>
      </c>
      <c r="M331" s="17" t="str">
        <f t="shared" si="128"/>
        <v>16.0983823645003,1.24515748023987</v>
      </c>
      <c r="O331" s="85">
        <f t="shared" si="150"/>
        <v>41</v>
      </c>
      <c r="P331" s="85">
        <f t="shared" si="151"/>
        <v>115.72676254065736</v>
      </c>
      <c r="Q331" s="233" t="str">
        <f t="shared" si="152"/>
        <v/>
      </c>
      <c r="R331" s="17">
        <f t="shared" si="153"/>
        <v>2.8513223154822356</v>
      </c>
      <c r="S331" s="235">
        <f t="shared" si="158"/>
        <v>117.07483780633486</v>
      </c>
      <c r="T331" s="17">
        <f t="shared" si="154"/>
        <v>2.8513223154822356</v>
      </c>
      <c r="U331" s="85">
        <f t="shared" si="155"/>
        <v>-9.5</v>
      </c>
      <c r="V331" s="17">
        <f t="shared" si="156"/>
        <v>0</v>
      </c>
      <c r="W331" s="17">
        <f t="shared" si="139"/>
        <v>-8.4907652139663696</v>
      </c>
      <c r="X331" s="17">
        <f t="shared" si="157"/>
        <v>-9.783822774887085</v>
      </c>
      <c r="Y331" s="85">
        <f t="shared" si="140"/>
        <v>2</v>
      </c>
      <c r="Z331" s="17">
        <f t="shared" si="141"/>
        <v>41</v>
      </c>
      <c r="AA331" s="17" t="str">
        <f t="shared" si="142"/>
        <v>LINE</v>
      </c>
      <c r="AB331" s="17" t="str">
        <f t="shared" si="143"/>
        <v>115.726762540657,1.40572071075439</v>
      </c>
      <c r="AC331" s="17" t="str">
        <f>IF(O331="","",P331&amp;","&amp;AB$287-Variabelen!B$43)</f>
        <v>115.726762540657,-16.0407652139664</v>
      </c>
      <c r="AD331" s="17"/>
      <c r="AE331" s="17"/>
      <c r="AF331" s="17"/>
      <c r="AG331" s="17"/>
      <c r="AH331" s="17"/>
      <c r="AI331" s="17" t="str">
        <f>IF(O331="","",P331-Variabelen!B$36&amp;","&amp;AB$287-Variabelen!B$43+Variabelen!B$36)</f>
        <v>115.646762540657,-15.9607652139664</v>
      </c>
      <c r="AJ331" s="154">
        <f t="shared" si="144"/>
        <v>115.73</v>
      </c>
      <c r="AK331" s="17"/>
      <c r="AL331" s="17"/>
      <c r="AM331" s="17"/>
      <c r="AN331" s="17"/>
      <c r="AO331" s="17"/>
      <c r="AP331" s="17" t="str">
        <f>IF(O331="","",P331-Variabelen!B$36&amp;","&amp;AB$287-Variabelen!B$42+Variabelen!B$36)</f>
        <v>115.646762540657,-13.7607652139664</v>
      </c>
      <c r="AQ331" s="154">
        <f t="shared" si="145"/>
        <v>117.07</v>
      </c>
      <c r="AR331" s="17"/>
      <c r="AS331" s="17"/>
      <c r="AT331" s="17"/>
      <c r="AU331" s="17"/>
      <c r="AV331" s="17" t="str">
        <f t="shared" si="146"/>
        <v>_BR</v>
      </c>
      <c r="AW331" s="17" t="str">
        <f>IF(O331="","",P331-Variabelen!B$36&amp;","&amp;AB$287-Variabelen!B$41+Variabelen!B$36)</f>
        <v>115.646762540657,-11.5607652139664</v>
      </c>
      <c r="AX331" s="17"/>
      <c r="AY331" s="17"/>
      <c r="AZ331" s="154">
        <f t="shared" si="147"/>
        <v>-8.49</v>
      </c>
      <c r="BA331" s="17"/>
      <c r="BB331" s="17"/>
      <c r="BC331" s="17"/>
      <c r="BD331" s="17"/>
      <c r="BE331" s="17" t="str">
        <f t="shared" si="148"/>
        <v>_BR</v>
      </c>
      <c r="BF331" s="17" t="str">
        <f>IF(O331="","",P331-Variabelen!B$36&amp;","&amp;AB$287-Variabelen!B$40+Variabelen!B$36)</f>
        <v>115.646762540657,-9.76076521396637</v>
      </c>
      <c r="BG331" s="17"/>
      <c r="BH331" s="17"/>
      <c r="BI331" s="154">
        <f t="shared" si="149"/>
        <v>-9.7799999999999994</v>
      </c>
      <c r="BJ331" s="17"/>
      <c r="BM331" s="150" t="s">
        <v>466</v>
      </c>
      <c r="BN331" s="17">
        <f>IF(BM331="","",BN330+1)</f>
        <v>2</v>
      </c>
      <c r="BO331" s="17"/>
      <c r="BP331" s="17" t="s">
        <v>457</v>
      </c>
      <c r="BQ331" s="17" t="str">
        <f>-Variabelen!B$35&amp;","&amp;AB$287-Variabelen!B42</f>
        <v>-11,-13.8407652139664</v>
      </c>
      <c r="BR331" s="17" t="str">
        <f>C$16+Variabelen!B$30&amp;","&amp;AB$287-Variabelen!B42</f>
        <v>227.222690871591,-13.8407652139664</v>
      </c>
      <c r="BS331" s="17"/>
      <c r="BT331" s="17"/>
      <c r="BU331" s="17" t="s">
        <v>456</v>
      </c>
      <c r="BV331" s="17" t="s">
        <v>458</v>
      </c>
      <c r="BW331" s="17" t="s">
        <v>459</v>
      </c>
      <c r="BX331" s="17" t="str">
        <f>-Variabelen!B$34&amp;","&amp;AB$287-Variabelen!B42+0.5*BY331</f>
        <v>-2.7,-13.6157652139664</v>
      </c>
      <c r="BY331" s="17">
        <f>IF(BM331="","",Variabelen!B$32)</f>
        <v>0.45</v>
      </c>
      <c r="BZ331" s="17">
        <f>IF(BM331="","",0)</f>
        <v>0</v>
      </c>
      <c r="CA331" s="17" t="str">
        <f>BM331</f>
        <v>Geboorde lengte (m)</v>
      </c>
      <c r="CB331" s="24"/>
    </row>
    <row r="332" spans="1:80" x14ac:dyDescent="0.25">
      <c r="A332" s="85">
        <f t="shared" si="111"/>
        <v>42</v>
      </c>
      <c r="B332" s="296">
        <f t="shared" si="112"/>
        <v>103912.83596853321</v>
      </c>
      <c r="C332" s="296">
        <f t="shared" si="113"/>
        <v>489285.11174610135</v>
      </c>
      <c r="D332" s="85">
        <f t="shared" si="130"/>
        <v>1</v>
      </c>
      <c r="E332" s="17">
        <f t="shared" si="114"/>
        <v>0.38768131205870304</v>
      </c>
      <c r="F332" s="17">
        <f t="shared" si="115"/>
        <v>-0.10805969178909436</v>
      </c>
      <c r="G332" s="17" t="str">
        <f t="shared" si="116"/>
        <v>103912.835968533,489285.111746101</v>
      </c>
      <c r="H332" s="16">
        <v>42</v>
      </c>
      <c r="I332" s="16">
        <f t="shared" si="117"/>
        <v>42</v>
      </c>
      <c r="J332" s="209">
        <f t="shared" si="118"/>
        <v>0.4024595590976956</v>
      </c>
      <c r="K332" s="209">
        <f t="shared" si="119"/>
        <v>16.500841923597964</v>
      </c>
      <c r="L332" s="692">
        <v>1.239106297492981</v>
      </c>
      <c r="M332" s="17" t="str">
        <f t="shared" si="128"/>
        <v>16.500841923598,1.23910629749298</v>
      </c>
      <c r="O332" s="85">
        <f t="shared" si="150"/>
        <v>42</v>
      </c>
      <c r="P332" s="85">
        <f t="shared" si="151"/>
        <v>118.57808485613958</v>
      </c>
      <c r="Q332" s="233" t="str">
        <f t="shared" si="152"/>
        <v/>
      </c>
      <c r="R332" s="17">
        <f t="shared" si="153"/>
        <v>2.8513223154822214</v>
      </c>
      <c r="S332" s="235">
        <f t="shared" si="158"/>
        <v>119.92616012181708</v>
      </c>
      <c r="T332" s="17">
        <f t="shared" si="154"/>
        <v>2.8513223154822214</v>
      </c>
      <c r="U332" s="85">
        <f t="shared" si="155"/>
        <v>-9.5</v>
      </c>
      <c r="V332" s="17">
        <f t="shared" si="156"/>
        <v>0</v>
      </c>
      <c r="W332" s="17">
        <f t="shared" si="139"/>
        <v>-8.4907652139663696</v>
      </c>
      <c r="X332" s="17">
        <f t="shared" si="157"/>
        <v>-9.7803444862365723</v>
      </c>
      <c r="Y332" s="85">
        <f t="shared" si="140"/>
        <v>2</v>
      </c>
      <c r="Z332" s="17">
        <f t="shared" si="141"/>
        <v>42</v>
      </c>
      <c r="AA332" s="17" t="str">
        <f t="shared" si="142"/>
        <v>LINE</v>
      </c>
      <c r="AB332" s="17" t="str">
        <f t="shared" si="143"/>
        <v>118.57808485614,1.40572071075439</v>
      </c>
      <c r="AC332" s="17" t="str">
        <f>IF(O332="","",P332&amp;","&amp;AB$287-Variabelen!B$43)</f>
        <v>118.57808485614,-16.0407652139664</v>
      </c>
      <c r="AD332" s="17"/>
      <c r="AE332" s="17"/>
      <c r="AF332" s="17"/>
      <c r="AG332" s="17"/>
      <c r="AH332" s="17"/>
      <c r="AI332" s="17" t="str">
        <f>IF(O332="","",P332-Variabelen!B$36&amp;","&amp;AB$287-Variabelen!B$43+Variabelen!B$36)</f>
        <v>118.49808485614,-15.9607652139664</v>
      </c>
      <c r="AJ332" s="154">
        <f t="shared" si="144"/>
        <v>118.58</v>
      </c>
      <c r="AK332" s="17"/>
      <c r="AL332" s="17"/>
      <c r="AM332" s="17"/>
      <c r="AN332" s="17"/>
      <c r="AO332" s="17"/>
      <c r="AP332" s="17" t="str">
        <f>IF(O332="","",P332-Variabelen!B$36&amp;","&amp;AB$287-Variabelen!B$42+Variabelen!B$36)</f>
        <v>118.49808485614,-13.7607652139664</v>
      </c>
      <c r="AQ332" s="154">
        <f t="shared" si="145"/>
        <v>119.93</v>
      </c>
      <c r="AR332" s="17"/>
      <c r="AS332" s="17"/>
      <c r="AT332" s="17"/>
      <c r="AU332" s="17"/>
      <c r="AV332" s="17" t="str">
        <f t="shared" si="146"/>
        <v>_BR</v>
      </c>
      <c r="AW332" s="17" t="str">
        <f>IF(O332="","",P332-Variabelen!B$36&amp;","&amp;AB$287-Variabelen!B$41+Variabelen!B$36)</f>
        <v>118.49808485614,-11.5607652139664</v>
      </c>
      <c r="AX332" s="17"/>
      <c r="AY332" s="17"/>
      <c r="AZ332" s="154">
        <f t="shared" si="147"/>
        <v>-8.49</v>
      </c>
      <c r="BA332" s="17"/>
      <c r="BB332" s="17"/>
      <c r="BC332" s="17"/>
      <c r="BD332" s="17"/>
      <c r="BE332" s="17" t="str">
        <f t="shared" si="148"/>
        <v>_BR</v>
      </c>
      <c r="BF332" s="17" t="str">
        <f>IF(O332="","",P332-Variabelen!B$36&amp;","&amp;AB$287-Variabelen!B$40+Variabelen!B$36)</f>
        <v>118.49808485614,-9.76076521396637</v>
      </c>
      <c r="BG332" s="17"/>
      <c r="BH332" s="17"/>
      <c r="BI332" s="154">
        <f t="shared" si="149"/>
        <v>-9.7799999999999994</v>
      </c>
      <c r="BJ332" s="17"/>
      <c r="BM332" s="172" t="s">
        <v>467</v>
      </c>
      <c r="BN332" s="17">
        <f>IF(BM332="","",BN331+1)</f>
        <v>3</v>
      </c>
      <c r="BO332" s="17"/>
      <c r="BP332" s="17" t="s">
        <v>457</v>
      </c>
      <c r="BQ332" s="17" t="str">
        <f>-Variabelen!B$35&amp;","&amp;AB$287-Variabelen!B43</f>
        <v>-11,-16.0407652139664</v>
      </c>
      <c r="BR332" s="17" t="str">
        <f>C$16+Variabelen!B$30&amp;","&amp;AB$287-Variabelen!B43</f>
        <v>227.222690871591,-16.0407652139664</v>
      </c>
      <c r="BS332" s="17"/>
      <c r="BT332" s="17"/>
      <c r="BU332" s="17" t="s">
        <v>456</v>
      </c>
      <c r="BV332" s="17" t="s">
        <v>458</v>
      </c>
      <c r="BW332" s="17" t="s">
        <v>459</v>
      </c>
      <c r="BX332" s="17" t="str">
        <f>-Variabelen!B$34&amp;","&amp;AB$287-Variabelen!B43+0.5*BY332</f>
        <v>-2.7,-15.8157652139664</v>
      </c>
      <c r="BY332" s="17">
        <f>IF(BM332="","",Variabelen!B$32)</f>
        <v>0.45</v>
      </c>
      <c r="BZ332" s="17">
        <f>IF(BM332="","",0)</f>
        <v>0</v>
      </c>
      <c r="CA332" s="17" t="str">
        <f>BM332</f>
        <v>Horiz. afstand tov Intrede (m)</v>
      </c>
    </row>
    <row r="333" spans="1:80" x14ac:dyDescent="0.25">
      <c r="A333" s="85">
        <f t="shared" si="111"/>
        <v>43</v>
      </c>
      <c r="B333" s="296">
        <f t="shared" si="112"/>
        <v>103913.22364984528</v>
      </c>
      <c r="C333" s="296">
        <f t="shared" si="113"/>
        <v>489285.0036864095</v>
      </c>
      <c r="D333" s="85">
        <f t="shared" si="130"/>
        <v>1</v>
      </c>
      <c r="E333" s="17">
        <f t="shared" si="114"/>
        <v>0.38768131207325496</v>
      </c>
      <c r="F333" s="17">
        <f t="shared" si="115"/>
        <v>-0.10805969184730202</v>
      </c>
      <c r="G333" s="17" t="str">
        <f t="shared" si="116"/>
        <v>103913.223649845,489285.00368641</v>
      </c>
      <c r="H333" s="16">
        <v>43</v>
      </c>
      <c r="I333" s="16">
        <f t="shared" si="117"/>
        <v>43</v>
      </c>
      <c r="J333" s="209">
        <f t="shared" si="118"/>
        <v>0.40245955912734188</v>
      </c>
      <c r="K333" s="209">
        <f t="shared" si="119"/>
        <v>16.903301482725304</v>
      </c>
      <c r="L333" s="692">
        <v>1.2407535314559941</v>
      </c>
      <c r="M333" s="17" t="str">
        <f t="shared" si="128"/>
        <v>16.9033014827253,1.24075353145599</v>
      </c>
      <c r="O333" s="85">
        <f t="shared" si="150"/>
        <v>43</v>
      </c>
      <c r="P333" s="85">
        <f t="shared" si="151"/>
        <v>121.42940717162182</v>
      </c>
      <c r="Q333" s="233" t="str">
        <f t="shared" si="152"/>
        <v/>
      </c>
      <c r="R333" s="17">
        <f t="shared" si="153"/>
        <v>2.8513223154822356</v>
      </c>
      <c r="S333" s="235">
        <f t="shared" si="158"/>
        <v>122.77748243729931</v>
      </c>
      <c r="T333" s="17">
        <f t="shared" si="154"/>
        <v>2.8513223154822356</v>
      </c>
      <c r="U333" s="85">
        <f t="shared" si="155"/>
        <v>-9.5</v>
      </c>
      <c r="V333" s="17">
        <f t="shared" si="156"/>
        <v>0</v>
      </c>
      <c r="W333" s="17">
        <f t="shared" si="139"/>
        <v>-8.4907652139663696</v>
      </c>
      <c r="X333" s="17">
        <f t="shared" si="157"/>
        <v>-9.7846667766571045</v>
      </c>
      <c r="Y333" s="85">
        <f t="shared" si="140"/>
        <v>2</v>
      </c>
      <c r="Z333" s="17">
        <f t="shared" si="141"/>
        <v>43</v>
      </c>
      <c r="AA333" s="17" t="str">
        <f t="shared" si="142"/>
        <v>LINE</v>
      </c>
      <c r="AB333" s="17" t="str">
        <f t="shared" si="143"/>
        <v>121.429407171622,1.40572071075439</v>
      </c>
      <c r="AC333" s="17" t="str">
        <f>IF(O333="","",P333&amp;","&amp;AB$287-Variabelen!B$43)</f>
        <v>121.429407171622,-16.0407652139664</v>
      </c>
      <c r="AD333" s="17"/>
      <c r="AE333" s="17"/>
      <c r="AF333" s="17"/>
      <c r="AG333" s="17"/>
      <c r="AH333" s="17"/>
      <c r="AI333" s="17" t="str">
        <f>IF(O333="","",P333-Variabelen!B$36&amp;","&amp;AB$287-Variabelen!B$43+Variabelen!B$36)</f>
        <v>121.349407171622,-15.9607652139664</v>
      </c>
      <c r="AJ333" s="154">
        <f t="shared" si="144"/>
        <v>121.43</v>
      </c>
      <c r="AK333" s="17"/>
      <c r="AL333" s="17"/>
      <c r="AM333" s="17"/>
      <c r="AN333" s="17"/>
      <c r="AO333" s="17"/>
      <c r="AP333" s="17" t="str">
        <f>IF(O333="","",P333-Variabelen!B$36&amp;","&amp;AB$287-Variabelen!B$42+Variabelen!B$36)</f>
        <v>121.349407171622,-13.7607652139664</v>
      </c>
      <c r="AQ333" s="154">
        <f t="shared" si="145"/>
        <v>122.78</v>
      </c>
      <c r="AR333" s="17"/>
      <c r="AS333" s="17"/>
      <c r="AT333" s="17"/>
      <c r="AU333" s="17"/>
      <c r="AV333" s="17" t="str">
        <f t="shared" si="146"/>
        <v>_BR</v>
      </c>
      <c r="AW333" s="17" t="str">
        <f>IF(O333="","",P333-Variabelen!B$36&amp;","&amp;AB$287-Variabelen!B$41+Variabelen!B$36)</f>
        <v>121.349407171622,-11.5607652139664</v>
      </c>
      <c r="AX333" s="17"/>
      <c r="AY333" s="17"/>
      <c r="AZ333" s="154">
        <f t="shared" si="147"/>
        <v>-8.49</v>
      </c>
      <c r="BA333" s="17"/>
      <c r="BB333" s="17"/>
      <c r="BC333" s="17"/>
      <c r="BD333" s="17"/>
      <c r="BE333" s="17" t="str">
        <f t="shared" si="148"/>
        <v>_BR</v>
      </c>
      <c r="BF333" s="17" t="str">
        <f>IF(O333="","",P333-Variabelen!B$36&amp;","&amp;AB$287-Variabelen!B$40+Variabelen!B$36)</f>
        <v>121.349407171622,-9.76076521396637</v>
      </c>
      <c r="BG333" s="17"/>
      <c r="BH333" s="17"/>
      <c r="BI333" s="154">
        <f t="shared" si="149"/>
        <v>-9.7799999999999994</v>
      </c>
      <c r="BJ333" s="17"/>
      <c r="BN333" s="17" t="str">
        <f>IF(BM333="","",BN332+1)</f>
        <v/>
      </c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</row>
    <row r="334" spans="1:80" x14ac:dyDescent="0.25">
      <c r="A334" s="85">
        <f t="shared" si="111"/>
        <v>44</v>
      </c>
      <c r="B334" s="296">
        <f t="shared" si="112"/>
        <v>103913.61133115736</v>
      </c>
      <c r="C334" s="296">
        <f t="shared" si="113"/>
        <v>489284.89562671771</v>
      </c>
      <c r="D334" s="85">
        <f t="shared" si="130"/>
        <v>1</v>
      </c>
      <c r="E334" s="17">
        <f t="shared" si="114"/>
        <v>0.38768131207325496</v>
      </c>
      <c r="F334" s="17">
        <f t="shared" si="115"/>
        <v>-0.10805969178909436</v>
      </c>
      <c r="G334" s="17" t="str">
        <f t="shared" si="116"/>
        <v>103913.611331157,489284.895626718</v>
      </c>
      <c r="H334" s="16">
        <v>44</v>
      </c>
      <c r="I334" s="16">
        <f t="shared" si="117"/>
        <v>44</v>
      </c>
      <c r="J334" s="209">
        <f t="shared" si="118"/>
        <v>0.40245955911171322</v>
      </c>
      <c r="K334" s="209">
        <f t="shared" si="119"/>
        <v>17.305761041837016</v>
      </c>
      <c r="L334" s="692">
        <v>1.237044215202332</v>
      </c>
      <c r="M334" s="17" t="str">
        <f t="shared" si="128"/>
        <v>17.305761041837,1.23704421520233</v>
      </c>
      <c r="O334" s="85">
        <f t="shared" si="150"/>
        <v>44</v>
      </c>
      <c r="P334" s="85">
        <f t="shared" si="151"/>
        <v>124.28072948710405</v>
      </c>
      <c r="Q334" s="233" t="str">
        <f t="shared" si="152"/>
        <v/>
      </c>
      <c r="R334" s="17">
        <f t="shared" si="153"/>
        <v>2.8513223154822356</v>
      </c>
      <c r="S334" s="235">
        <f t="shared" si="158"/>
        <v>125.62880475278155</v>
      </c>
      <c r="T334" s="17">
        <f t="shared" si="154"/>
        <v>2.8513223154822356</v>
      </c>
      <c r="U334" s="85">
        <f t="shared" si="155"/>
        <v>-9.5</v>
      </c>
      <c r="V334" s="17">
        <f t="shared" si="156"/>
        <v>0</v>
      </c>
      <c r="W334" s="17">
        <f t="shared" si="139"/>
        <v>-8.4907652139663696</v>
      </c>
      <c r="X334" s="17">
        <f t="shared" si="157"/>
        <v>-9.7964670658111572</v>
      </c>
      <c r="Y334" s="85">
        <f t="shared" si="140"/>
        <v>2</v>
      </c>
      <c r="Z334" s="17">
        <f t="shared" si="141"/>
        <v>44</v>
      </c>
      <c r="AA334" s="17" t="str">
        <f t="shared" si="142"/>
        <v>LINE</v>
      </c>
      <c r="AB334" s="17" t="str">
        <f t="shared" si="143"/>
        <v>124.280729487104,1.40572071075439</v>
      </c>
      <c r="AC334" s="17" t="str">
        <f>IF(O334="","",P334&amp;","&amp;AB$287-Variabelen!B$43)</f>
        <v>124.280729487104,-16.0407652139664</v>
      </c>
      <c r="AD334" s="17"/>
      <c r="AE334" s="17"/>
      <c r="AF334" s="17"/>
      <c r="AG334" s="17"/>
      <c r="AH334" s="17"/>
      <c r="AI334" s="17" t="str">
        <f>IF(O334="","",P334-Variabelen!B$36&amp;","&amp;AB$287-Variabelen!B$43+Variabelen!B$36)</f>
        <v>124.200729487104,-15.9607652139664</v>
      </c>
      <c r="AJ334" s="154">
        <f t="shared" si="144"/>
        <v>124.28</v>
      </c>
      <c r="AK334" s="17"/>
      <c r="AL334" s="17"/>
      <c r="AM334" s="17"/>
      <c r="AN334" s="17"/>
      <c r="AO334" s="17"/>
      <c r="AP334" s="17" t="str">
        <f>IF(O334="","",P334-Variabelen!B$36&amp;","&amp;AB$287-Variabelen!B$42+Variabelen!B$36)</f>
        <v>124.200729487104,-13.7607652139664</v>
      </c>
      <c r="AQ334" s="154">
        <f t="shared" si="145"/>
        <v>125.63</v>
      </c>
      <c r="AR334" s="17"/>
      <c r="AS334" s="17"/>
      <c r="AT334" s="17"/>
      <c r="AU334" s="17"/>
      <c r="AV334" s="17" t="str">
        <f t="shared" si="146"/>
        <v>_BR</v>
      </c>
      <c r="AW334" s="17" t="str">
        <f>IF(O334="","",P334-Variabelen!B$36&amp;","&amp;AB$287-Variabelen!B$41+Variabelen!B$36)</f>
        <v>124.200729487104,-11.5607652139664</v>
      </c>
      <c r="AX334" s="17"/>
      <c r="AY334" s="17"/>
      <c r="AZ334" s="154">
        <f t="shared" si="147"/>
        <v>-8.49</v>
      </c>
      <c r="BA334" s="17"/>
      <c r="BB334" s="17"/>
      <c r="BC334" s="17"/>
      <c r="BD334" s="17"/>
      <c r="BE334" s="17" t="str">
        <f t="shared" si="148"/>
        <v>_BR</v>
      </c>
      <c r="BF334" s="17" t="str">
        <f>IF(O334="","",P334-Variabelen!B$36&amp;","&amp;AB$287-Variabelen!B$40+Variabelen!B$36)</f>
        <v>124.200729487104,-9.76076521396637</v>
      </c>
      <c r="BG334" s="17"/>
      <c r="BH334" s="17"/>
      <c r="BI334" s="154">
        <f t="shared" si="149"/>
        <v>-9.8000000000000007</v>
      </c>
      <c r="BJ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</row>
    <row r="335" spans="1:80" x14ac:dyDescent="0.25">
      <c r="A335" s="85">
        <f t="shared" si="111"/>
        <v>45</v>
      </c>
      <c r="B335" s="296">
        <f t="shared" si="112"/>
        <v>103913.99901246942</v>
      </c>
      <c r="C335" s="296">
        <f t="shared" si="113"/>
        <v>489284.78756702592</v>
      </c>
      <c r="D335" s="85">
        <f t="shared" si="130"/>
        <v>1</v>
      </c>
      <c r="E335" s="17">
        <f t="shared" si="114"/>
        <v>0.38768131205870304</v>
      </c>
      <c r="F335" s="17">
        <f t="shared" si="115"/>
        <v>-0.10805969178909436</v>
      </c>
      <c r="G335" s="17" t="str">
        <f t="shared" si="116"/>
        <v>103913.999012469,489284.787567026</v>
      </c>
      <c r="H335" s="16">
        <v>45</v>
      </c>
      <c r="I335" s="16">
        <f t="shared" si="117"/>
        <v>45</v>
      </c>
      <c r="J335" s="209">
        <f t="shared" si="118"/>
        <v>0.4024595590976956</v>
      </c>
      <c r="K335" s="209">
        <f t="shared" si="119"/>
        <v>17.708220600934713</v>
      </c>
      <c r="L335" s="692">
        <v>1.227176308631897</v>
      </c>
      <c r="M335" s="17" t="str">
        <f t="shared" si="128"/>
        <v>17.7082206009347,1.2271763086319</v>
      </c>
      <c r="O335" s="85">
        <f t="shared" si="150"/>
        <v>45</v>
      </c>
      <c r="P335" s="85">
        <f t="shared" si="151"/>
        <v>127.13205180258629</v>
      </c>
      <c r="Q335" s="233" t="str">
        <f t="shared" si="152"/>
        <v/>
      </c>
      <c r="R335" s="17">
        <f t="shared" si="153"/>
        <v>2.8513223154822356</v>
      </c>
      <c r="S335" s="235">
        <f t="shared" si="158"/>
        <v>128.48012706826378</v>
      </c>
      <c r="T335" s="17">
        <f t="shared" si="154"/>
        <v>2.8513223154822356</v>
      </c>
      <c r="U335" s="85">
        <f t="shared" si="155"/>
        <v>-9.5</v>
      </c>
      <c r="V335" s="17">
        <f t="shared" si="156"/>
        <v>0</v>
      </c>
      <c r="W335" s="17">
        <f t="shared" si="139"/>
        <v>-8.4907652139663696</v>
      </c>
      <c r="X335" s="17">
        <f t="shared" si="157"/>
        <v>-9.7684690952301025</v>
      </c>
      <c r="Y335" s="85">
        <f t="shared" si="140"/>
        <v>2</v>
      </c>
      <c r="Z335" s="17">
        <f t="shared" si="141"/>
        <v>45</v>
      </c>
      <c r="AA335" s="17" t="str">
        <f t="shared" si="142"/>
        <v>LINE</v>
      </c>
      <c r="AB335" s="17" t="str">
        <f t="shared" si="143"/>
        <v>127.132051802586,1.40572071075439</v>
      </c>
      <c r="AC335" s="17" t="str">
        <f>IF(O335="","",P335&amp;","&amp;AB$287-Variabelen!B$43)</f>
        <v>127.132051802586,-16.0407652139664</v>
      </c>
      <c r="AD335" s="17"/>
      <c r="AE335" s="17"/>
      <c r="AF335" s="17"/>
      <c r="AG335" s="17"/>
      <c r="AH335" s="17"/>
      <c r="AI335" s="17" t="str">
        <f>IF(O335="","",P335-Variabelen!B$36&amp;","&amp;AB$287-Variabelen!B$43+Variabelen!B$36)</f>
        <v>127.052051802586,-15.9607652139664</v>
      </c>
      <c r="AJ335" s="154">
        <f t="shared" si="144"/>
        <v>127.13</v>
      </c>
      <c r="AK335" s="17"/>
      <c r="AL335" s="17"/>
      <c r="AM335" s="17"/>
      <c r="AN335" s="17"/>
      <c r="AO335" s="17"/>
      <c r="AP335" s="17" t="str">
        <f>IF(O335="","",P335-Variabelen!B$36&amp;","&amp;AB$287-Variabelen!B$42+Variabelen!B$36)</f>
        <v>127.052051802586,-13.7607652139664</v>
      </c>
      <c r="AQ335" s="154">
        <f t="shared" si="145"/>
        <v>128.47999999999999</v>
      </c>
      <c r="AR335" s="17"/>
      <c r="AS335" s="17"/>
      <c r="AT335" s="17"/>
      <c r="AU335" s="17"/>
      <c r="AV335" s="17" t="str">
        <f t="shared" si="146"/>
        <v>_BR</v>
      </c>
      <c r="AW335" s="17" t="str">
        <f>IF(O335="","",P335-Variabelen!B$36&amp;","&amp;AB$287-Variabelen!B$41+Variabelen!B$36)</f>
        <v>127.052051802586,-11.5607652139664</v>
      </c>
      <c r="AX335" s="17"/>
      <c r="AY335" s="17"/>
      <c r="AZ335" s="154">
        <f t="shared" si="147"/>
        <v>-8.49</v>
      </c>
      <c r="BA335" s="17"/>
      <c r="BB335" s="17"/>
      <c r="BC335" s="17"/>
      <c r="BD335" s="17"/>
      <c r="BE335" s="17" t="str">
        <f t="shared" si="148"/>
        <v>_BR</v>
      </c>
      <c r="BF335" s="17" t="str">
        <f>IF(O335="","",P335-Variabelen!B$36&amp;","&amp;AB$287-Variabelen!B$40+Variabelen!B$36)</f>
        <v>127.052051802586,-9.76076521396637</v>
      </c>
      <c r="BG335" s="17"/>
      <c r="BH335" s="17"/>
      <c r="BI335" s="154">
        <f t="shared" si="149"/>
        <v>-9.77</v>
      </c>
      <c r="BJ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</row>
    <row r="336" spans="1:80" x14ac:dyDescent="0.25">
      <c r="A336" s="85">
        <f t="shared" si="111"/>
        <v>46</v>
      </c>
      <c r="B336" s="296">
        <f t="shared" si="112"/>
        <v>103914.38669378149</v>
      </c>
      <c r="C336" s="296">
        <f t="shared" si="113"/>
        <v>489284.67950733413</v>
      </c>
      <c r="D336" s="85">
        <f t="shared" si="130"/>
        <v>1</v>
      </c>
      <c r="E336" s="17">
        <f t="shared" si="114"/>
        <v>0.38768131207325496</v>
      </c>
      <c r="F336" s="17">
        <f t="shared" si="115"/>
        <v>-0.10805969178909436</v>
      </c>
      <c r="G336" s="17" t="str">
        <f t="shared" si="116"/>
        <v>103914.386693781,489284.679507334</v>
      </c>
      <c r="H336" s="16">
        <v>46</v>
      </c>
      <c r="I336" s="16">
        <f t="shared" si="117"/>
        <v>46</v>
      </c>
      <c r="J336" s="209">
        <f t="shared" si="118"/>
        <v>0.40245955911171322</v>
      </c>
      <c r="K336" s="209">
        <f t="shared" si="119"/>
        <v>18.110680160046424</v>
      </c>
      <c r="L336" s="692">
        <v>1.218045830726624</v>
      </c>
      <c r="M336" s="17" t="str">
        <f t="shared" si="128"/>
        <v>18.1106801600464,1.21804583072662</v>
      </c>
      <c r="O336" s="85">
        <f t="shared" si="150"/>
        <v>46</v>
      </c>
      <c r="P336" s="85">
        <f t="shared" si="151"/>
        <v>129.98337411806853</v>
      </c>
      <c r="Q336" s="233" t="str">
        <f t="shared" si="152"/>
        <v/>
      </c>
      <c r="R336" s="17">
        <f t="shared" si="153"/>
        <v>2.8513223154822356</v>
      </c>
      <c r="S336" s="235">
        <f t="shared" si="158"/>
        <v>131.33144938374602</v>
      </c>
      <c r="T336" s="17">
        <f t="shared" si="154"/>
        <v>2.8513223154822356</v>
      </c>
      <c r="U336" s="85">
        <f t="shared" si="155"/>
        <v>-9.5</v>
      </c>
      <c r="V336" s="17">
        <f t="shared" si="156"/>
        <v>0</v>
      </c>
      <c r="W336" s="17">
        <f t="shared" si="139"/>
        <v>-8.4907652139663696</v>
      </c>
      <c r="X336" s="17">
        <f t="shared" si="157"/>
        <v>-9.8270785808563232</v>
      </c>
      <c r="Y336" s="85">
        <f t="shared" si="140"/>
        <v>2</v>
      </c>
      <c r="Z336" s="17">
        <f t="shared" si="141"/>
        <v>46</v>
      </c>
      <c r="AA336" s="17" t="str">
        <f t="shared" si="142"/>
        <v>LINE</v>
      </c>
      <c r="AB336" s="17" t="str">
        <f t="shared" si="143"/>
        <v>129.983374118069,1.40572071075439</v>
      </c>
      <c r="AC336" s="17" t="str">
        <f>IF(O336="","",P336&amp;","&amp;AB$287-Variabelen!B$43)</f>
        <v>129.983374118069,-16.0407652139664</v>
      </c>
      <c r="AD336" s="17"/>
      <c r="AE336" s="17"/>
      <c r="AF336" s="17"/>
      <c r="AG336" s="17"/>
      <c r="AH336" s="17"/>
      <c r="AI336" s="17" t="str">
        <f>IF(O336="","",P336-Variabelen!B$36&amp;","&amp;AB$287-Variabelen!B$43+Variabelen!B$36)</f>
        <v>129.903374118069,-15.9607652139664</v>
      </c>
      <c r="AJ336" s="154">
        <f t="shared" si="144"/>
        <v>129.97999999999999</v>
      </c>
      <c r="AK336" s="17"/>
      <c r="AL336" s="17"/>
      <c r="AM336" s="17"/>
      <c r="AN336" s="17"/>
      <c r="AO336" s="17"/>
      <c r="AP336" s="17" t="str">
        <f>IF(O336="","",P336-Variabelen!B$36&amp;","&amp;AB$287-Variabelen!B$42+Variabelen!B$36)</f>
        <v>129.903374118069,-13.7607652139664</v>
      </c>
      <c r="AQ336" s="154">
        <f t="shared" si="145"/>
        <v>131.33000000000001</v>
      </c>
      <c r="AR336" s="17"/>
      <c r="AS336" s="17"/>
      <c r="AT336" s="17"/>
      <c r="AU336" s="17"/>
      <c r="AV336" s="17" t="str">
        <f t="shared" si="146"/>
        <v>_BR</v>
      </c>
      <c r="AW336" s="17" t="str">
        <f>IF(O336="","",P336-Variabelen!B$36&amp;","&amp;AB$287-Variabelen!B$41+Variabelen!B$36)</f>
        <v>129.903374118069,-11.5607652139664</v>
      </c>
      <c r="AX336" s="17"/>
      <c r="AY336" s="17"/>
      <c r="AZ336" s="154">
        <f t="shared" si="147"/>
        <v>-8.49</v>
      </c>
      <c r="BA336" s="17"/>
      <c r="BB336" s="17"/>
      <c r="BC336" s="17"/>
      <c r="BD336" s="17"/>
      <c r="BE336" s="17" t="str">
        <f t="shared" si="148"/>
        <v>_BR</v>
      </c>
      <c r="BF336" s="17" t="str">
        <f>IF(O336="","",P336-Variabelen!B$36&amp;","&amp;AB$287-Variabelen!B$40+Variabelen!B$36)</f>
        <v>129.903374118069,-9.76076521396637</v>
      </c>
      <c r="BG336" s="17"/>
      <c r="BH336" s="17"/>
      <c r="BI336" s="154">
        <f t="shared" si="149"/>
        <v>-9.83</v>
      </c>
      <c r="BJ336" s="17"/>
      <c r="BN336" s="16">
        <f>MAX(BN329:BN335)</f>
        <v>3</v>
      </c>
    </row>
    <row r="337" spans="1:62" x14ac:dyDescent="0.25">
      <c r="A337" s="85">
        <f t="shared" si="111"/>
        <v>47</v>
      </c>
      <c r="B337" s="296">
        <f t="shared" si="112"/>
        <v>103914.77437509356</v>
      </c>
      <c r="C337" s="296">
        <f t="shared" si="113"/>
        <v>489284.57144764229</v>
      </c>
      <c r="D337" s="85">
        <f t="shared" si="130"/>
        <v>1</v>
      </c>
      <c r="E337" s="17">
        <f t="shared" si="114"/>
        <v>0.38768131207325496</v>
      </c>
      <c r="F337" s="17">
        <f t="shared" si="115"/>
        <v>-0.10805969184730202</v>
      </c>
      <c r="G337" s="17" t="str">
        <f t="shared" si="116"/>
        <v>103914.774375094,489284.571447642</v>
      </c>
      <c r="H337" s="16">
        <v>47</v>
      </c>
      <c r="I337" s="16">
        <f t="shared" si="117"/>
        <v>47</v>
      </c>
      <c r="J337" s="209">
        <f t="shared" si="118"/>
        <v>0.40245955912734188</v>
      </c>
      <c r="K337" s="209">
        <f t="shared" si="119"/>
        <v>18.513139719173765</v>
      </c>
      <c r="L337" s="692">
        <v>1.2268438339233401</v>
      </c>
      <c r="M337" s="17" t="str">
        <f t="shared" si="128"/>
        <v>18.5131397191738,1.22684383392334</v>
      </c>
      <c r="O337" s="85">
        <f t="shared" si="150"/>
        <v>47</v>
      </c>
      <c r="P337" s="85">
        <f t="shared" si="151"/>
        <v>132.83469643355073</v>
      </c>
      <c r="Q337" s="233" t="str">
        <f t="shared" si="152"/>
        <v/>
      </c>
      <c r="R337" s="17">
        <f t="shared" si="153"/>
        <v>2.8513223154822072</v>
      </c>
      <c r="S337" s="235">
        <f t="shared" si="158"/>
        <v>134.18277169922823</v>
      </c>
      <c r="T337" s="17">
        <f t="shared" si="154"/>
        <v>2.8513223154822072</v>
      </c>
      <c r="U337" s="85">
        <f t="shared" si="155"/>
        <v>-9.5</v>
      </c>
      <c r="V337" s="17">
        <f t="shared" si="156"/>
        <v>0</v>
      </c>
      <c r="W337" s="17">
        <f t="shared" si="139"/>
        <v>-8.4907652139663696</v>
      </c>
      <c r="X337" s="17">
        <f t="shared" si="157"/>
        <v>-9.8269509077072144</v>
      </c>
      <c r="Y337" s="85">
        <f t="shared" si="140"/>
        <v>2</v>
      </c>
      <c r="Z337" s="17">
        <f t="shared" si="141"/>
        <v>47</v>
      </c>
      <c r="AA337" s="17" t="str">
        <f t="shared" si="142"/>
        <v>LINE</v>
      </c>
      <c r="AB337" s="17" t="str">
        <f t="shared" si="143"/>
        <v>132.834696433551,1.40572071075439</v>
      </c>
      <c r="AC337" s="17" t="str">
        <f>IF(O337="","",P337&amp;","&amp;AB$287-Variabelen!B$43)</f>
        <v>132.834696433551,-16.0407652139664</v>
      </c>
      <c r="AD337" s="17"/>
      <c r="AE337" s="17"/>
      <c r="AF337" s="17"/>
      <c r="AG337" s="17"/>
      <c r="AH337" s="17"/>
      <c r="AI337" s="17" t="str">
        <f>IF(O337="","",P337-Variabelen!B$36&amp;","&amp;AB$287-Variabelen!B$43+Variabelen!B$36)</f>
        <v>132.754696433551,-15.9607652139664</v>
      </c>
      <c r="AJ337" s="154">
        <f t="shared" si="144"/>
        <v>132.83000000000001</v>
      </c>
      <c r="AK337" s="17"/>
      <c r="AL337" s="17"/>
      <c r="AM337" s="17"/>
      <c r="AN337" s="17"/>
      <c r="AO337" s="17"/>
      <c r="AP337" s="17" t="str">
        <f>IF(O337="","",P337-Variabelen!B$36&amp;","&amp;AB$287-Variabelen!B$42+Variabelen!B$36)</f>
        <v>132.754696433551,-13.7607652139664</v>
      </c>
      <c r="AQ337" s="154">
        <f t="shared" si="145"/>
        <v>134.18</v>
      </c>
      <c r="AR337" s="17"/>
      <c r="AS337" s="17"/>
      <c r="AT337" s="17"/>
      <c r="AU337" s="17"/>
      <c r="AV337" s="17" t="str">
        <f t="shared" si="146"/>
        <v>_BR</v>
      </c>
      <c r="AW337" s="17" t="str">
        <f>IF(O337="","",P337-Variabelen!B$36&amp;","&amp;AB$287-Variabelen!B$41+Variabelen!B$36)</f>
        <v>132.754696433551,-11.5607652139664</v>
      </c>
      <c r="AX337" s="17"/>
      <c r="AY337" s="17"/>
      <c r="AZ337" s="154">
        <f t="shared" si="147"/>
        <v>-8.49</v>
      </c>
      <c r="BA337" s="17"/>
      <c r="BB337" s="17"/>
      <c r="BC337" s="17"/>
      <c r="BD337" s="17"/>
      <c r="BE337" s="17" t="str">
        <f t="shared" si="148"/>
        <v>_BR</v>
      </c>
      <c r="BF337" s="17" t="str">
        <f>IF(O337="","",P337-Variabelen!B$36&amp;","&amp;AB$287-Variabelen!B$40+Variabelen!B$36)</f>
        <v>132.754696433551,-9.76076521396637</v>
      </c>
      <c r="BG337" s="17"/>
      <c r="BH337" s="17"/>
      <c r="BI337" s="154">
        <f t="shared" si="149"/>
        <v>-9.83</v>
      </c>
      <c r="BJ337" s="17"/>
    </row>
    <row r="338" spans="1:62" x14ac:dyDescent="0.25">
      <c r="A338" s="85">
        <f t="shared" si="111"/>
        <v>48</v>
      </c>
      <c r="B338" s="296">
        <f t="shared" si="112"/>
        <v>103915.16205640564</v>
      </c>
      <c r="C338" s="296">
        <f t="shared" si="113"/>
        <v>489284.4633879505</v>
      </c>
      <c r="D338" s="85">
        <f t="shared" si="130"/>
        <v>1</v>
      </c>
      <c r="E338" s="17">
        <f t="shared" si="114"/>
        <v>0.38768131207325496</v>
      </c>
      <c r="F338" s="17">
        <f t="shared" si="115"/>
        <v>-0.10805969178909436</v>
      </c>
      <c r="G338" s="17" t="str">
        <f t="shared" si="116"/>
        <v>103915.162056406,489284.46338795</v>
      </c>
      <c r="H338" s="16">
        <v>48</v>
      </c>
      <c r="I338" s="16">
        <f t="shared" si="117"/>
        <v>48</v>
      </c>
      <c r="J338" s="209">
        <f t="shared" si="118"/>
        <v>0.40245955911171322</v>
      </c>
      <c r="K338" s="209">
        <f t="shared" si="119"/>
        <v>18.915599278285477</v>
      </c>
      <c r="L338" s="692">
        <v>1.2464979887008669</v>
      </c>
      <c r="M338" s="17" t="str">
        <f t="shared" si="128"/>
        <v>18.9155992782855,1.24649798870087</v>
      </c>
      <c r="O338" s="85">
        <f t="shared" si="150"/>
        <v>48</v>
      </c>
      <c r="P338" s="85">
        <f t="shared" si="151"/>
        <v>135.686018749033</v>
      </c>
      <c r="Q338" s="233" t="str">
        <f t="shared" si="152"/>
        <v/>
      </c>
      <c r="R338" s="17">
        <f t="shared" si="153"/>
        <v>2.851322315482264</v>
      </c>
      <c r="S338" s="235">
        <f t="shared" si="158"/>
        <v>137.03409401471049</v>
      </c>
      <c r="T338" s="17">
        <f t="shared" si="154"/>
        <v>2.851322315482264</v>
      </c>
      <c r="U338" s="85">
        <f t="shared" si="155"/>
        <v>-9.5</v>
      </c>
      <c r="V338" s="17">
        <f t="shared" si="156"/>
        <v>0</v>
      </c>
      <c r="W338" s="17">
        <f t="shared" si="139"/>
        <v>-8.4907652139663696</v>
      </c>
      <c r="X338" s="17">
        <f t="shared" si="157"/>
        <v>-9.8415943384170532</v>
      </c>
      <c r="Y338" s="85">
        <f t="shared" si="140"/>
        <v>2</v>
      </c>
      <c r="Z338" s="17">
        <f t="shared" si="141"/>
        <v>48</v>
      </c>
      <c r="AA338" s="17" t="str">
        <f t="shared" si="142"/>
        <v>LINE</v>
      </c>
      <c r="AB338" s="17" t="str">
        <f t="shared" si="143"/>
        <v>135.686018749033,1.40572071075439</v>
      </c>
      <c r="AC338" s="17" t="str">
        <f>IF(O338="","",P338&amp;","&amp;AB$287-Variabelen!B$43)</f>
        <v>135.686018749033,-16.0407652139664</v>
      </c>
      <c r="AD338" s="17"/>
      <c r="AE338" s="17"/>
      <c r="AF338" s="17"/>
      <c r="AG338" s="17"/>
      <c r="AH338" s="17"/>
      <c r="AI338" s="17" t="str">
        <f>IF(O338="","",P338-Variabelen!B$36&amp;","&amp;AB$287-Variabelen!B$43+Variabelen!B$36)</f>
        <v>135.606018749033,-15.9607652139664</v>
      </c>
      <c r="AJ338" s="154">
        <f t="shared" si="144"/>
        <v>135.69</v>
      </c>
      <c r="AK338" s="17"/>
      <c r="AL338" s="17"/>
      <c r="AM338" s="17"/>
      <c r="AN338" s="17"/>
      <c r="AO338" s="17"/>
      <c r="AP338" s="17" t="str">
        <f>IF(O338="","",P338-Variabelen!B$36&amp;","&amp;AB$287-Variabelen!B$42+Variabelen!B$36)</f>
        <v>135.606018749033,-13.7607652139664</v>
      </c>
      <c r="AQ338" s="154">
        <f t="shared" si="145"/>
        <v>137.03</v>
      </c>
      <c r="AR338" s="17"/>
      <c r="AS338" s="17"/>
      <c r="AT338" s="17"/>
      <c r="AU338" s="17"/>
      <c r="AV338" s="17" t="str">
        <f t="shared" si="146"/>
        <v>_BR</v>
      </c>
      <c r="AW338" s="17" t="str">
        <f>IF(O338="","",P338-Variabelen!B$36&amp;","&amp;AB$287-Variabelen!B$41+Variabelen!B$36)</f>
        <v>135.606018749033,-11.5607652139664</v>
      </c>
      <c r="AX338" s="17"/>
      <c r="AY338" s="17"/>
      <c r="AZ338" s="154">
        <f t="shared" si="147"/>
        <v>-8.49</v>
      </c>
      <c r="BA338" s="17"/>
      <c r="BB338" s="17"/>
      <c r="BC338" s="17"/>
      <c r="BD338" s="17"/>
      <c r="BE338" s="17" t="str">
        <f t="shared" si="148"/>
        <v>_BR</v>
      </c>
      <c r="BF338" s="17" t="str">
        <f>IF(O338="","",P338-Variabelen!B$36&amp;","&amp;AB$287-Variabelen!B$40+Variabelen!B$36)</f>
        <v>135.606018749033,-9.76076521396637</v>
      </c>
      <c r="BG338" s="17"/>
      <c r="BH338" s="17"/>
      <c r="BI338" s="154">
        <f t="shared" si="149"/>
        <v>-9.84</v>
      </c>
      <c r="BJ338" s="17"/>
    </row>
    <row r="339" spans="1:62" x14ac:dyDescent="0.25">
      <c r="A339" s="85">
        <f t="shared" si="111"/>
        <v>49</v>
      </c>
      <c r="B339" s="296">
        <f t="shared" si="112"/>
        <v>103915.54973771769</v>
      </c>
      <c r="C339" s="296">
        <f t="shared" si="113"/>
        <v>489284.35532825871</v>
      </c>
      <c r="D339" s="85">
        <f t="shared" si="130"/>
        <v>1</v>
      </c>
      <c r="E339" s="17">
        <f t="shared" si="114"/>
        <v>0.38768131205870304</v>
      </c>
      <c r="F339" s="17">
        <f t="shared" si="115"/>
        <v>-0.10805969178909436</v>
      </c>
      <c r="G339" s="17" t="str">
        <f t="shared" si="116"/>
        <v>103915.549737718,489284.355328259</v>
      </c>
      <c r="H339" s="16">
        <v>49</v>
      </c>
      <c r="I339" s="16">
        <f t="shared" si="117"/>
        <v>49</v>
      </c>
      <c r="J339" s="209">
        <f t="shared" si="118"/>
        <v>0.4024595590976956</v>
      </c>
      <c r="K339" s="209">
        <f t="shared" si="119"/>
        <v>19.318058837383173</v>
      </c>
      <c r="L339" s="692">
        <v>1.2494874000549321</v>
      </c>
      <c r="M339" s="17" t="str">
        <f t="shared" si="128"/>
        <v>19.3180588373832,1.24948740005493</v>
      </c>
      <c r="O339" s="85">
        <f t="shared" si="150"/>
        <v>49</v>
      </c>
      <c r="P339" s="85">
        <f t="shared" si="151"/>
        <v>138.5373410645152</v>
      </c>
      <c r="Q339" s="233" t="str">
        <f t="shared" si="152"/>
        <v/>
      </c>
      <c r="R339" s="17">
        <f t="shared" si="153"/>
        <v>2.8513223154822072</v>
      </c>
      <c r="S339" s="235">
        <f t="shared" si="158"/>
        <v>139.8854163301927</v>
      </c>
      <c r="T339" s="17">
        <f t="shared" si="154"/>
        <v>2.8513223154822072</v>
      </c>
      <c r="U339" s="85">
        <f t="shared" si="155"/>
        <v>-9.5</v>
      </c>
      <c r="V339" s="17">
        <f t="shared" si="156"/>
        <v>0</v>
      </c>
      <c r="W339" s="17">
        <f t="shared" si="139"/>
        <v>-8.4907652139663696</v>
      </c>
      <c r="X339" s="17">
        <f t="shared" si="157"/>
        <v>-9.8098372220993042</v>
      </c>
      <c r="Y339" s="85">
        <f t="shared" si="140"/>
        <v>2</v>
      </c>
      <c r="Z339" s="17">
        <f t="shared" si="141"/>
        <v>49</v>
      </c>
      <c r="AA339" s="17" t="str">
        <f t="shared" si="142"/>
        <v>LINE</v>
      </c>
      <c r="AB339" s="17" t="str">
        <f t="shared" si="143"/>
        <v>138.537341064515,1.40572071075439</v>
      </c>
      <c r="AC339" s="17" t="str">
        <f>IF(O339="","",P339&amp;","&amp;AB$287-Variabelen!B$43)</f>
        <v>138.537341064515,-16.0407652139664</v>
      </c>
      <c r="AD339" s="17"/>
      <c r="AE339" s="17"/>
      <c r="AF339" s="17"/>
      <c r="AG339" s="17"/>
      <c r="AH339" s="17"/>
      <c r="AI339" s="17" t="str">
        <f>IF(O339="","",P339-Variabelen!B$36&amp;","&amp;AB$287-Variabelen!B$43+Variabelen!B$36)</f>
        <v>138.457341064515,-15.9607652139664</v>
      </c>
      <c r="AJ339" s="154">
        <f t="shared" si="144"/>
        <v>138.54</v>
      </c>
      <c r="AK339" s="17"/>
      <c r="AL339" s="17"/>
      <c r="AM339" s="17"/>
      <c r="AN339" s="17"/>
      <c r="AO339" s="17"/>
      <c r="AP339" s="17" t="str">
        <f>IF(O339="","",P339-Variabelen!B$36&amp;","&amp;AB$287-Variabelen!B$42+Variabelen!B$36)</f>
        <v>138.457341064515,-13.7607652139664</v>
      </c>
      <c r="AQ339" s="154">
        <f t="shared" si="145"/>
        <v>139.88999999999999</v>
      </c>
      <c r="AR339" s="17"/>
      <c r="AS339" s="17"/>
      <c r="AT339" s="17"/>
      <c r="AU339" s="17"/>
      <c r="AV339" s="17" t="str">
        <f t="shared" si="146"/>
        <v>_BR</v>
      </c>
      <c r="AW339" s="17" t="str">
        <f>IF(O339="","",P339-Variabelen!B$36&amp;","&amp;AB$287-Variabelen!B$41+Variabelen!B$36)</f>
        <v>138.457341064515,-11.5607652139664</v>
      </c>
      <c r="AX339" s="17"/>
      <c r="AY339" s="17"/>
      <c r="AZ339" s="154">
        <f t="shared" si="147"/>
        <v>-8.49</v>
      </c>
      <c r="BA339" s="17"/>
      <c r="BB339" s="17"/>
      <c r="BC339" s="17"/>
      <c r="BD339" s="17"/>
      <c r="BE339" s="17" t="str">
        <f t="shared" si="148"/>
        <v>_BR</v>
      </c>
      <c r="BF339" s="17" t="str">
        <f>IF(O339="","",P339-Variabelen!B$36&amp;","&amp;AB$287-Variabelen!B$40+Variabelen!B$36)</f>
        <v>138.457341064515,-9.76076521396637</v>
      </c>
      <c r="BG339" s="17"/>
      <c r="BH339" s="17"/>
      <c r="BI339" s="154">
        <f t="shared" si="149"/>
        <v>-9.81</v>
      </c>
      <c r="BJ339" s="17"/>
    </row>
    <row r="340" spans="1:62" x14ac:dyDescent="0.25">
      <c r="A340" s="85">
        <f t="shared" si="111"/>
        <v>50</v>
      </c>
      <c r="B340" s="296">
        <f t="shared" si="112"/>
        <v>103915.93741902977</v>
      </c>
      <c r="C340" s="296">
        <f t="shared" si="113"/>
        <v>489284.24726856686</v>
      </c>
      <c r="D340" s="85">
        <f t="shared" si="130"/>
        <v>1</v>
      </c>
      <c r="E340" s="17">
        <f t="shared" si="114"/>
        <v>0.38768131207325496</v>
      </c>
      <c r="F340" s="17">
        <f t="shared" si="115"/>
        <v>-0.10805969184730202</v>
      </c>
      <c r="G340" s="17" t="str">
        <f t="shared" si="116"/>
        <v>103915.93741903,489284.247268567</v>
      </c>
      <c r="H340" s="16">
        <v>50</v>
      </c>
      <c r="I340" s="16">
        <f t="shared" si="117"/>
        <v>50</v>
      </c>
      <c r="J340" s="209">
        <f t="shared" si="118"/>
        <v>0.40245955912734188</v>
      </c>
      <c r="K340" s="209">
        <f t="shared" si="119"/>
        <v>19.720518396510514</v>
      </c>
      <c r="L340" s="692">
        <v>1.2461180686950679</v>
      </c>
      <c r="M340" s="17" t="str">
        <f t="shared" si="128"/>
        <v>19.7205183965105,1.24611806869507</v>
      </c>
      <c r="O340" s="85">
        <f t="shared" si="150"/>
        <v>50</v>
      </c>
      <c r="P340" s="85">
        <f t="shared" si="151"/>
        <v>141.38866337999747</v>
      </c>
      <c r="Q340" s="233" t="str">
        <f t="shared" si="152"/>
        <v/>
      </c>
      <c r="R340" s="17">
        <f t="shared" si="153"/>
        <v>2.851322315482264</v>
      </c>
      <c r="S340" s="235">
        <f t="shared" si="158"/>
        <v>142.73673864567496</v>
      </c>
      <c r="T340" s="17">
        <f t="shared" si="154"/>
        <v>2.851322315482264</v>
      </c>
      <c r="U340" s="85">
        <f t="shared" si="155"/>
        <v>-9.5</v>
      </c>
      <c r="V340" s="17">
        <f t="shared" si="156"/>
        <v>0</v>
      </c>
      <c r="W340" s="17">
        <f t="shared" si="139"/>
        <v>-8.4907652139663696</v>
      </c>
      <c r="X340" s="17">
        <f t="shared" si="157"/>
        <v>-9.85650634765625</v>
      </c>
      <c r="Y340" s="85">
        <f t="shared" si="140"/>
        <v>2</v>
      </c>
      <c r="Z340" s="17">
        <f t="shared" si="141"/>
        <v>50</v>
      </c>
      <c r="AA340" s="17" t="str">
        <f t="shared" si="142"/>
        <v>LINE</v>
      </c>
      <c r="AB340" s="17" t="str">
        <f t="shared" si="143"/>
        <v>141.388663379997,1.40572071075439</v>
      </c>
      <c r="AC340" s="17" t="str">
        <f>IF(O340="","",P340&amp;","&amp;AB$287-Variabelen!B$43)</f>
        <v>141.388663379997,-16.0407652139664</v>
      </c>
      <c r="AD340" s="17"/>
      <c r="AE340" s="17"/>
      <c r="AF340" s="17"/>
      <c r="AG340" s="17"/>
      <c r="AH340" s="17"/>
      <c r="AI340" s="17" t="str">
        <f>IF(O340="","",P340-Variabelen!B$36&amp;","&amp;AB$287-Variabelen!B$43+Variabelen!B$36)</f>
        <v>141.308663379997,-15.9607652139664</v>
      </c>
      <c r="AJ340" s="154">
        <f t="shared" si="144"/>
        <v>141.38999999999999</v>
      </c>
      <c r="AK340" s="17"/>
      <c r="AL340" s="17"/>
      <c r="AM340" s="17"/>
      <c r="AN340" s="17"/>
      <c r="AO340" s="17"/>
      <c r="AP340" s="17" t="str">
        <f>IF(O340="","",P340-Variabelen!B$36&amp;","&amp;AB$287-Variabelen!B$42+Variabelen!B$36)</f>
        <v>141.308663379997,-13.7607652139664</v>
      </c>
      <c r="AQ340" s="154">
        <f t="shared" si="145"/>
        <v>142.74</v>
      </c>
      <c r="AR340" s="17"/>
      <c r="AS340" s="17"/>
      <c r="AT340" s="17"/>
      <c r="AU340" s="17"/>
      <c r="AV340" s="17" t="str">
        <f t="shared" si="146"/>
        <v>_BR</v>
      </c>
      <c r="AW340" s="17" t="str">
        <f>IF(O340="","",P340-Variabelen!B$36&amp;","&amp;AB$287-Variabelen!B$41+Variabelen!B$36)</f>
        <v>141.308663379997,-11.5607652139664</v>
      </c>
      <c r="AX340" s="17"/>
      <c r="AY340" s="17"/>
      <c r="AZ340" s="154">
        <f t="shared" si="147"/>
        <v>-8.49</v>
      </c>
      <c r="BA340" s="17"/>
      <c r="BB340" s="17"/>
      <c r="BC340" s="17"/>
      <c r="BD340" s="17"/>
      <c r="BE340" s="17" t="str">
        <f t="shared" si="148"/>
        <v>_BR</v>
      </c>
      <c r="BF340" s="17" t="str">
        <f>IF(O340="","",P340-Variabelen!B$36&amp;","&amp;AB$287-Variabelen!B$40+Variabelen!B$36)</f>
        <v>141.308663379997,-9.76076521396637</v>
      </c>
      <c r="BG340" s="17"/>
      <c r="BH340" s="17"/>
      <c r="BI340" s="154">
        <f t="shared" si="149"/>
        <v>-9.86</v>
      </c>
      <c r="BJ340" s="17"/>
    </row>
    <row r="341" spans="1:62" x14ac:dyDescent="0.25">
      <c r="A341" s="85">
        <f t="shared" si="111"/>
        <v>51</v>
      </c>
      <c r="B341" s="296">
        <f t="shared" si="112"/>
        <v>103916.32510034184</v>
      </c>
      <c r="C341" s="296">
        <f t="shared" si="113"/>
        <v>489284.13920887507</v>
      </c>
      <c r="D341" s="85">
        <f t="shared" si="130"/>
        <v>1</v>
      </c>
      <c r="E341" s="17">
        <f t="shared" si="114"/>
        <v>0.38768131207325496</v>
      </c>
      <c r="F341" s="17">
        <f t="shared" si="115"/>
        <v>-0.10805969178909436</v>
      </c>
      <c r="G341" s="17" t="str">
        <f t="shared" si="116"/>
        <v>103916.325100342,489284.139208875</v>
      </c>
      <c r="H341" s="16">
        <v>51</v>
      </c>
      <c r="I341" s="16">
        <f t="shared" si="117"/>
        <v>51</v>
      </c>
      <c r="J341" s="209">
        <f t="shared" si="118"/>
        <v>0.40245955911171322</v>
      </c>
      <c r="K341" s="209">
        <f t="shared" si="119"/>
        <v>20.122977955622225</v>
      </c>
      <c r="L341" s="692">
        <v>1.2521548271179199</v>
      </c>
      <c r="M341" s="17" t="str">
        <f t="shared" si="128"/>
        <v>20.1229779556222,1.25215482711792</v>
      </c>
      <c r="O341" s="85">
        <f t="shared" si="150"/>
        <v>51</v>
      </c>
      <c r="P341" s="85">
        <f t="shared" si="151"/>
        <v>144.23998569547967</v>
      </c>
      <c r="Q341" s="233" t="str">
        <f t="shared" si="152"/>
        <v/>
      </c>
      <c r="R341" s="17">
        <f t="shared" si="153"/>
        <v>2.8513223154822072</v>
      </c>
      <c r="S341" s="235">
        <f t="shared" si="158"/>
        <v>145.58806096115717</v>
      </c>
      <c r="T341" s="17">
        <f t="shared" si="154"/>
        <v>2.8513223154822072</v>
      </c>
      <c r="U341" s="85">
        <f t="shared" si="155"/>
        <v>-9.5</v>
      </c>
      <c r="V341" s="17">
        <f t="shared" si="156"/>
        <v>0</v>
      </c>
      <c r="W341" s="17">
        <f t="shared" si="139"/>
        <v>-8.4907652139663696</v>
      </c>
      <c r="X341" s="17">
        <f t="shared" si="157"/>
        <v>-9.7953283786773682</v>
      </c>
      <c r="Y341" s="85">
        <f t="shared" si="140"/>
        <v>2</v>
      </c>
      <c r="Z341" s="17">
        <f t="shared" si="141"/>
        <v>51</v>
      </c>
      <c r="AA341" s="17" t="str">
        <f t="shared" si="142"/>
        <v>LINE</v>
      </c>
      <c r="AB341" s="17" t="str">
        <f t="shared" si="143"/>
        <v>144.23998569548,1.40572071075439</v>
      </c>
      <c r="AC341" s="17" t="str">
        <f>IF(O341="","",P341&amp;","&amp;AB$287-Variabelen!B$43)</f>
        <v>144.23998569548,-16.0407652139664</v>
      </c>
      <c r="AD341" s="17"/>
      <c r="AE341" s="17"/>
      <c r="AF341" s="17"/>
      <c r="AG341" s="17"/>
      <c r="AH341" s="17"/>
      <c r="AI341" s="17" t="str">
        <f>IF(O341="","",P341-Variabelen!B$36&amp;","&amp;AB$287-Variabelen!B$43+Variabelen!B$36)</f>
        <v>144.15998569548,-15.9607652139664</v>
      </c>
      <c r="AJ341" s="154">
        <f t="shared" si="144"/>
        <v>144.24</v>
      </c>
      <c r="AK341" s="17"/>
      <c r="AL341" s="17"/>
      <c r="AM341" s="17"/>
      <c r="AN341" s="17"/>
      <c r="AO341" s="17"/>
      <c r="AP341" s="17" t="str">
        <f>IF(O341="","",P341-Variabelen!B$36&amp;","&amp;AB$287-Variabelen!B$42+Variabelen!B$36)</f>
        <v>144.15998569548,-13.7607652139664</v>
      </c>
      <c r="AQ341" s="154">
        <f t="shared" si="145"/>
        <v>145.59</v>
      </c>
      <c r="AR341" s="17"/>
      <c r="AS341" s="17"/>
      <c r="AT341" s="17"/>
      <c r="AU341" s="17"/>
      <c r="AV341" s="17" t="str">
        <f t="shared" si="146"/>
        <v>_BR</v>
      </c>
      <c r="AW341" s="17" t="str">
        <f>IF(O341="","",P341-Variabelen!B$36&amp;","&amp;AB$287-Variabelen!B$41+Variabelen!B$36)</f>
        <v>144.15998569548,-11.5607652139664</v>
      </c>
      <c r="AX341" s="17"/>
      <c r="AY341" s="17"/>
      <c r="AZ341" s="154">
        <f t="shared" si="147"/>
        <v>-8.49</v>
      </c>
      <c r="BA341" s="17"/>
      <c r="BB341" s="17"/>
      <c r="BC341" s="17"/>
      <c r="BD341" s="17"/>
      <c r="BE341" s="17" t="str">
        <f t="shared" si="148"/>
        <v>_BR</v>
      </c>
      <c r="BF341" s="17" t="str">
        <f>IF(O341="","",P341-Variabelen!B$36&amp;","&amp;AB$287-Variabelen!B$40+Variabelen!B$36)</f>
        <v>144.15998569548,-9.76076521396637</v>
      </c>
      <c r="BG341" s="17"/>
      <c r="BH341" s="17"/>
      <c r="BI341" s="154">
        <f t="shared" si="149"/>
        <v>-9.8000000000000007</v>
      </c>
      <c r="BJ341" s="17"/>
    </row>
    <row r="342" spans="1:62" x14ac:dyDescent="0.25">
      <c r="A342" s="85">
        <f t="shared" si="111"/>
        <v>52</v>
      </c>
      <c r="B342" s="296">
        <f t="shared" si="112"/>
        <v>103916.71278165391</v>
      </c>
      <c r="C342" s="296">
        <f t="shared" si="113"/>
        <v>489284.03114918328</v>
      </c>
      <c r="D342" s="85">
        <f t="shared" si="130"/>
        <v>1</v>
      </c>
      <c r="E342" s="17">
        <f t="shared" si="114"/>
        <v>0.38768131207325496</v>
      </c>
      <c r="F342" s="17">
        <f t="shared" si="115"/>
        <v>-0.10805969178909436</v>
      </c>
      <c r="G342" s="17" t="str">
        <f t="shared" si="116"/>
        <v>103916.712781654,489284.031149183</v>
      </c>
      <c r="H342" s="16">
        <v>52</v>
      </c>
      <c r="I342" s="16">
        <f t="shared" si="117"/>
        <v>52</v>
      </c>
      <c r="J342" s="209">
        <f t="shared" si="118"/>
        <v>0.40245955911171322</v>
      </c>
      <c r="K342" s="209">
        <f t="shared" si="119"/>
        <v>20.525437514733937</v>
      </c>
      <c r="L342" s="692">
        <v>1.2577031850814819</v>
      </c>
      <c r="M342" s="17" t="str">
        <f t="shared" si="128"/>
        <v>20.5254375147339,1.25770318508148</v>
      </c>
      <c r="O342" s="85">
        <f t="shared" si="150"/>
        <v>52</v>
      </c>
      <c r="P342" s="85">
        <f t="shared" si="151"/>
        <v>147.09130801096194</v>
      </c>
      <c r="Q342" s="233" t="str">
        <f t="shared" si="152"/>
        <v/>
      </c>
      <c r="R342" s="17">
        <f t="shared" si="153"/>
        <v>2.851322315482264</v>
      </c>
      <c r="S342" s="235">
        <f t="shared" si="158"/>
        <v>148.43938327663943</v>
      </c>
      <c r="T342" s="17">
        <f t="shared" si="154"/>
        <v>2.851322315482264</v>
      </c>
      <c r="U342" s="85">
        <f t="shared" si="155"/>
        <v>-9.5</v>
      </c>
      <c r="V342" s="17">
        <f t="shared" si="156"/>
        <v>0</v>
      </c>
      <c r="W342" s="17">
        <f t="shared" si="139"/>
        <v>-8.4907652139663696</v>
      </c>
      <c r="X342" s="17">
        <f t="shared" si="157"/>
        <v>-9.7819167375564575</v>
      </c>
      <c r="Y342" s="85">
        <f t="shared" si="140"/>
        <v>2</v>
      </c>
      <c r="Z342" s="17">
        <f t="shared" si="141"/>
        <v>52</v>
      </c>
      <c r="AA342" s="17" t="str">
        <f t="shared" si="142"/>
        <v>LINE</v>
      </c>
      <c r="AB342" s="17" t="str">
        <f t="shared" si="143"/>
        <v>147.091308010962,1.40572071075439</v>
      </c>
      <c r="AC342" s="17" t="str">
        <f>IF(O342="","",P342&amp;","&amp;AB$287-Variabelen!B$43)</f>
        <v>147.091308010962,-16.0407652139664</v>
      </c>
      <c r="AD342" s="17"/>
      <c r="AE342" s="17"/>
      <c r="AF342" s="17"/>
      <c r="AG342" s="17"/>
      <c r="AH342" s="17"/>
      <c r="AI342" s="17" t="str">
        <f>IF(O342="","",P342-Variabelen!B$36&amp;","&amp;AB$287-Variabelen!B$43+Variabelen!B$36)</f>
        <v>147.011308010962,-15.9607652139664</v>
      </c>
      <c r="AJ342" s="154">
        <f t="shared" si="144"/>
        <v>147.09</v>
      </c>
      <c r="AK342" s="17"/>
      <c r="AL342" s="17"/>
      <c r="AM342" s="17"/>
      <c r="AN342" s="17"/>
      <c r="AO342" s="17"/>
      <c r="AP342" s="17" t="str">
        <f>IF(O342="","",P342-Variabelen!B$36&amp;","&amp;AB$287-Variabelen!B$42+Variabelen!B$36)</f>
        <v>147.011308010962,-13.7607652139664</v>
      </c>
      <c r="AQ342" s="154">
        <f t="shared" si="145"/>
        <v>148.44</v>
      </c>
      <c r="AR342" s="17"/>
      <c r="AS342" s="17"/>
      <c r="AT342" s="17"/>
      <c r="AU342" s="17"/>
      <c r="AV342" s="17" t="str">
        <f t="shared" si="146"/>
        <v>_BR</v>
      </c>
      <c r="AW342" s="17" t="str">
        <f>IF(O342="","",P342-Variabelen!B$36&amp;","&amp;AB$287-Variabelen!B$41+Variabelen!B$36)</f>
        <v>147.011308010962,-11.5607652139664</v>
      </c>
      <c r="AX342" s="17"/>
      <c r="AY342" s="17"/>
      <c r="AZ342" s="154">
        <f t="shared" si="147"/>
        <v>-8.49</v>
      </c>
      <c r="BA342" s="17"/>
      <c r="BB342" s="17"/>
      <c r="BC342" s="17"/>
      <c r="BD342" s="17"/>
      <c r="BE342" s="17" t="str">
        <f t="shared" si="148"/>
        <v>_BR</v>
      </c>
      <c r="BF342" s="17" t="str">
        <f>IF(O342="","",P342-Variabelen!B$36&amp;","&amp;AB$287-Variabelen!B$40+Variabelen!B$36)</f>
        <v>147.011308010962,-9.76076521396637</v>
      </c>
      <c r="BG342" s="17"/>
      <c r="BH342" s="17"/>
      <c r="BI342" s="154">
        <f t="shared" si="149"/>
        <v>-9.7799999999999994</v>
      </c>
      <c r="BJ342" s="17"/>
    </row>
    <row r="343" spans="1:62" x14ac:dyDescent="0.25">
      <c r="A343" s="85">
        <f t="shared" si="111"/>
        <v>53</v>
      </c>
      <c r="B343" s="296">
        <f t="shared" si="112"/>
        <v>103917.10046296597</v>
      </c>
      <c r="C343" s="296">
        <f t="shared" si="113"/>
        <v>489283.92308949149</v>
      </c>
      <c r="D343" s="85">
        <f t="shared" si="130"/>
        <v>1</v>
      </c>
      <c r="E343" s="17">
        <f t="shared" si="114"/>
        <v>0.38768131205870304</v>
      </c>
      <c r="F343" s="17">
        <f t="shared" si="115"/>
        <v>-0.10805969178909436</v>
      </c>
      <c r="G343" s="17" t="str">
        <f t="shared" si="116"/>
        <v>103917.100462966,489283.923089491</v>
      </c>
      <c r="H343" s="16">
        <v>53</v>
      </c>
      <c r="I343" s="16">
        <f t="shared" si="117"/>
        <v>53</v>
      </c>
      <c r="J343" s="209">
        <f t="shared" si="118"/>
        <v>0.4024595590976956</v>
      </c>
      <c r="K343" s="209">
        <f t="shared" si="119"/>
        <v>20.927897073831634</v>
      </c>
      <c r="L343" s="692">
        <v>1.2630892992019651</v>
      </c>
      <c r="M343" s="17" t="str">
        <f t="shared" si="128"/>
        <v>20.9278970738316,1.26308929920197</v>
      </c>
      <c r="O343" s="85">
        <f t="shared" si="150"/>
        <v>53</v>
      </c>
      <c r="P343" s="85">
        <f t="shared" si="151"/>
        <v>149.94263032644415</v>
      </c>
      <c r="Q343" s="233" t="str">
        <f t="shared" si="152"/>
        <v/>
      </c>
      <c r="R343" s="17">
        <f t="shared" si="153"/>
        <v>2.8513223154822072</v>
      </c>
      <c r="S343" s="235">
        <f t="shared" si="158"/>
        <v>151.29070559212164</v>
      </c>
      <c r="T343" s="17">
        <f t="shared" si="154"/>
        <v>2.8513223154822072</v>
      </c>
      <c r="U343" s="85">
        <f t="shared" si="155"/>
        <v>-9.5</v>
      </c>
      <c r="V343" s="17">
        <f t="shared" si="156"/>
        <v>0</v>
      </c>
      <c r="W343" s="17">
        <f t="shared" si="139"/>
        <v>-8.4907652139663696</v>
      </c>
      <c r="X343" s="17">
        <f t="shared" si="157"/>
        <v>-9.7697293758392334</v>
      </c>
      <c r="Y343" s="85">
        <f t="shared" si="140"/>
        <v>2</v>
      </c>
      <c r="Z343" s="17">
        <f t="shared" si="141"/>
        <v>53</v>
      </c>
      <c r="AA343" s="17" t="str">
        <f t="shared" si="142"/>
        <v>LINE</v>
      </c>
      <c r="AB343" s="17" t="str">
        <f t="shared" si="143"/>
        <v>149.942630326444,1.40572071075439</v>
      </c>
      <c r="AC343" s="17" t="str">
        <f>IF(O343="","",P343&amp;","&amp;AB$287-Variabelen!B$43)</f>
        <v>149.942630326444,-16.0407652139664</v>
      </c>
      <c r="AD343" s="17"/>
      <c r="AE343" s="17"/>
      <c r="AF343" s="17"/>
      <c r="AG343" s="17"/>
      <c r="AH343" s="17"/>
      <c r="AI343" s="17" t="str">
        <f>IF(O343="","",P343-Variabelen!B$36&amp;","&amp;AB$287-Variabelen!B$43+Variabelen!B$36)</f>
        <v>149.862630326444,-15.9607652139664</v>
      </c>
      <c r="AJ343" s="154">
        <f t="shared" si="144"/>
        <v>149.94</v>
      </c>
      <c r="AK343" s="17"/>
      <c r="AL343" s="17"/>
      <c r="AM343" s="17"/>
      <c r="AN343" s="17"/>
      <c r="AO343" s="17"/>
      <c r="AP343" s="17" t="str">
        <f>IF(O343="","",P343-Variabelen!B$36&amp;","&amp;AB$287-Variabelen!B$42+Variabelen!B$36)</f>
        <v>149.862630326444,-13.7607652139664</v>
      </c>
      <c r="AQ343" s="154">
        <f t="shared" si="145"/>
        <v>151.29</v>
      </c>
      <c r="AR343" s="17"/>
      <c r="AS343" s="17"/>
      <c r="AT343" s="17"/>
      <c r="AU343" s="17"/>
      <c r="AV343" s="17" t="str">
        <f t="shared" si="146"/>
        <v>_BR</v>
      </c>
      <c r="AW343" s="17" t="str">
        <f>IF(O343="","",P343-Variabelen!B$36&amp;","&amp;AB$287-Variabelen!B$41+Variabelen!B$36)</f>
        <v>149.862630326444,-11.5607652139664</v>
      </c>
      <c r="AX343" s="17"/>
      <c r="AY343" s="17"/>
      <c r="AZ343" s="154">
        <f t="shared" si="147"/>
        <v>-8.49</v>
      </c>
      <c r="BA343" s="17"/>
      <c r="BB343" s="17"/>
      <c r="BC343" s="17"/>
      <c r="BD343" s="17"/>
      <c r="BE343" s="17" t="str">
        <f t="shared" si="148"/>
        <v>_BR</v>
      </c>
      <c r="BF343" s="17" t="str">
        <f>IF(O343="","",P343-Variabelen!B$36&amp;","&amp;AB$287-Variabelen!B$40+Variabelen!B$36)</f>
        <v>149.862630326444,-9.76076521396637</v>
      </c>
      <c r="BG343" s="17"/>
      <c r="BH343" s="17"/>
      <c r="BI343" s="154">
        <f t="shared" si="149"/>
        <v>-9.77</v>
      </c>
      <c r="BJ343" s="17"/>
    </row>
    <row r="344" spans="1:62" x14ac:dyDescent="0.25">
      <c r="A344" s="85">
        <f t="shared" si="111"/>
        <v>54</v>
      </c>
      <c r="B344" s="296">
        <f t="shared" si="112"/>
        <v>103917.48814427805</v>
      </c>
      <c r="C344" s="296">
        <f t="shared" si="113"/>
        <v>489283.81502979965</v>
      </c>
      <c r="D344" s="85">
        <f t="shared" si="130"/>
        <v>1</v>
      </c>
      <c r="E344" s="17">
        <f t="shared" si="114"/>
        <v>0.38768131207325496</v>
      </c>
      <c r="F344" s="17">
        <f t="shared" si="115"/>
        <v>-0.10805969184730202</v>
      </c>
      <c r="G344" s="17" t="str">
        <f t="shared" si="116"/>
        <v>103917.488144278,489283.8150298</v>
      </c>
      <c r="H344" s="16">
        <v>54</v>
      </c>
      <c r="I344" s="16">
        <f t="shared" si="117"/>
        <v>54</v>
      </c>
      <c r="J344" s="209">
        <f t="shared" si="118"/>
        <v>0.40245955912734188</v>
      </c>
      <c r="K344" s="209">
        <f t="shared" si="119"/>
        <v>21.330356632958974</v>
      </c>
      <c r="L344" s="692">
        <v>1.253510594367981</v>
      </c>
      <c r="M344" s="17" t="str">
        <f t="shared" si="128"/>
        <v>21.330356632959,1.25351059436798</v>
      </c>
      <c r="O344" s="85">
        <f t="shared" si="150"/>
        <v>54</v>
      </c>
      <c r="P344" s="85">
        <f t="shared" si="151"/>
        <v>152.79395264192638</v>
      </c>
      <c r="Q344" s="233" t="str">
        <f t="shared" si="152"/>
        <v/>
      </c>
      <c r="R344" s="17">
        <f t="shared" si="153"/>
        <v>2.8513223154822356</v>
      </c>
      <c r="S344" s="235">
        <f t="shared" si="158"/>
        <v>154.14202790760388</v>
      </c>
      <c r="T344" s="17">
        <f t="shared" si="154"/>
        <v>2.8513223154822356</v>
      </c>
      <c r="U344" s="85">
        <f t="shared" si="155"/>
        <v>-9.5</v>
      </c>
      <c r="V344" s="17">
        <f t="shared" si="156"/>
        <v>0</v>
      </c>
      <c r="W344" s="17">
        <f t="shared" si="139"/>
        <v>-8.4907652139663696</v>
      </c>
      <c r="X344" s="17">
        <f t="shared" si="157"/>
        <v>-9.7649837732315063</v>
      </c>
      <c r="Y344" s="85">
        <f t="shared" si="140"/>
        <v>2</v>
      </c>
      <c r="Z344" s="17">
        <f t="shared" si="141"/>
        <v>54</v>
      </c>
      <c r="AA344" s="17" t="str">
        <f t="shared" si="142"/>
        <v>LINE</v>
      </c>
      <c r="AB344" s="17" t="str">
        <f t="shared" si="143"/>
        <v>152.793952641926,1.40572071075439</v>
      </c>
      <c r="AC344" s="17" t="str">
        <f>IF(O344="","",P344&amp;","&amp;AB$287-Variabelen!B$43)</f>
        <v>152.793952641926,-16.0407652139664</v>
      </c>
      <c r="AD344" s="17"/>
      <c r="AE344" s="17"/>
      <c r="AF344" s="17"/>
      <c r="AG344" s="17"/>
      <c r="AH344" s="17"/>
      <c r="AI344" s="17" t="str">
        <f>IF(O344="","",P344-Variabelen!B$36&amp;","&amp;AB$287-Variabelen!B$43+Variabelen!B$36)</f>
        <v>152.713952641926,-15.9607652139664</v>
      </c>
      <c r="AJ344" s="154">
        <f t="shared" si="144"/>
        <v>152.79</v>
      </c>
      <c r="AK344" s="17"/>
      <c r="AL344" s="17"/>
      <c r="AM344" s="17"/>
      <c r="AN344" s="17"/>
      <c r="AO344" s="17"/>
      <c r="AP344" s="17" t="str">
        <f>IF(O344="","",P344-Variabelen!B$36&amp;","&amp;AB$287-Variabelen!B$42+Variabelen!B$36)</f>
        <v>152.713952641926,-13.7607652139664</v>
      </c>
      <c r="AQ344" s="154">
        <f t="shared" si="145"/>
        <v>154.13999999999999</v>
      </c>
      <c r="AR344" s="17"/>
      <c r="AS344" s="17"/>
      <c r="AT344" s="17"/>
      <c r="AU344" s="17"/>
      <c r="AV344" s="17" t="str">
        <f t="shared" si="146"/>
        <v>_BR</v>
      </c>
      <c r="AW344" s="17" t="str">
        <f>IF(O344="","",P344-Variabelen!B$36&amp;","&amp;AB$287-Variabelen!B$41+Variabelen!B$36)</f>
        <v>152.713952641926,-11.5607652139664</v>
      </c>
      <c r="AX344" s="17"/>
      <c r="AY344" s="17"/>
      <c r="AZ344" s="154">
        <f t="shared" si="147"/>
        <v>-8.49</v>
      </c>
      <c r="BA344" s="17"/>
      <c r="BB344" s="17"/>
      <c r="BC344" s="17"/>
      <c r="BD344" s="17"/>
      <c r="BE344" s="17" t="str">
        <f t="shared" si="148"/>
        <v>_BR</v>
      </c>
      <c r="BF344" s="17" t="str">
        <f>IF(O344="","",P344-Variabelen!B$36&amp;","&amp;AB$287-Variabelen!B$40+Variabelen!B$36)</f>
        <v>152.713952641926,-9.76076521396637</v>
      </c>
      <c r="BG344" s="17"/>
      <c r="BH344" s="17"/>
      <c r="BI344" s="154">
        <f t="shared" si="149"/>
        <v>-9.76</v>
      </c>
      <c r="BJ344" s="17"/>
    </row>
    <row r="345" spans="1:62" x14ac:dyDescent="0.25">
      <c r="A345" s="85">
        <f t="shared" si="111"/>
        <v>55</v>
      </c>
      <c r="B345" s="296">
        <f t="shared" si="112"/>
        <v>103917.87582559012</v>
      </c>
      <c r="C345" s="296">
        <f t="shared" si="113"/>
        <v>489283.70697010786</v>
      </c>
      <c r="D345" s="85">
        <f t="shared" si="130"/>
        <v>1</v>
      </c>
      <c r="E345" s="17">
        <f t="shared" si="114"/>
        <v>0.38768131207325496</v>
      </c>
      <c r="F345" s="17">
        <f t="shared" si="115"/>
        <v>-0.10805969178909436</v>
      </c>
      <c r="G345" s="17" t="str">
        <f t="shared" si="116"/>
        <v>103917.87582559,489283.706970108</v>
      </c>
      <c r="H345" s="16">
        <v>55</v>
      </c>
      <c r="I345" s="16">
        <f t="shared" si="117"/>
        <v>55</v>
      </c>
      <c r="J345" s="209">
        <f t="shared" si="118"/>
        <v>0.40245955911171322</v>
      </c>
      <c r="K345" s="209">
        <f t="shared" si="119"/>
        <v>21.732816192070686</v>
      </c>
      <c r="L345" s="692">
        <v>1.2611402273178101</v>
      </c>
      <c r="M345" s="17" t="str">
        <f t="shared" si="128"/>
        <v>21.7328161920707,1.26114022731781</v>
      </c>
      <c r="O345" s="85">
        <f t="shared" si="150"/>
        <v>55</v>
      </c>
      <c r="P345" s="85">
        <f t="shared" si="151"/>
        <v>155.64527495740862</v>
      </c>
      <c r="Q345" s="233" t="str">
        <f t="shared" si="152"/>
        <v/>
      </c>
      <c r="R345" s="17">
        <f t="shared" si="153"/>
        <v>2.8513223154822356</v>
      </c>
      <c r="S345" s="235">
        <f t="shared" si="158"/>
        <v>156.99335022308611</v>
      </c>
      <c r="T345" s="17">
        <f t="shared" si="154"/>
        <v>2.8513223154822356</v>
      </c>
      <c r="U345" s="85">
        <f t="shared" si="155"/>
        <v>-9.5</v>
      </c>
      <c r="V345" s="17">
        <f t="shared" si="156"/>
        <v>0</v>
      </c>
      <c r="W345" s="17">
        <f t="shared" si="139"/>
        <v>-8.4907652139663696</v>
      </c>
      <c r="X345" s="17">
        <f t="shared" si="157"/>
        <v>-9.7706599235534668</v>
      </c>
      <c r="Y345" s="85">
        <f t="shared" si="140"/>
        <v>2</v>
      </c>
      <c r="Z345" s="17">
        <f t="shared" si="141"/>
        <v>55</v>
      </c>
      <c r="AA345" s="17" t="str">
        <f t="shared" si="142"/>
        <v>LINE</v>
      </c>
      <c r="AB345" s="17" t="str">
        <f t="shared" si="143"/>
        <v>155.645274957409,1.40572071075439</v>
      </c>
      <c r="AC345" s="17" t="str">
        <f>IF(O345="","",P345&amp;","&amp;AB$287-Variabelen!B$43)</f>
        <v>155.645274957409,-16.0407652139664</v>
      </c>
      <c r="AD345" s="17"/>
      <c r="AE345" s="17"/>
      <c r="AF345" s="17"/>
      <c r="AG345" s="17"/>
      <c r="AH345" s="17"/>
      <c r="AI345" s="17" t="str">
        <f>IF(O345="","",P345-Variabelen!B$36&amp;","&amp;AB$287-Variabelen!B$43+Variabelen!B$36)</f>
        <v>155.565274957409,-15.9607652139664</v>
      </c>
      <c r="AJ345" s="154">
        <f t="shared" si="144"/>
        <v>155.65</v>
      </c>
      <c r="AK345" s="17"/>
      <c r="AL345" s="17"/>
      <c r="AM345" s="17"/>
      <c r="AN345" s="17"/>
      <c r="AO345" s="17"/>
      <c r="AP345" s="17" t="str">
        <f>IF(O345="","",P345-Variabelen!B$36&amp;","&amp;AB$287-Variabelen!B$42+Variabelen!B$36)</f>
        <v>155.565274957409,-13.7607652139664</v>
      </c>
      <c r="AQ345" s="154">
        <f t="shared" si="145"/>
        <v>156.99</v>
      </c>
      <c r="AR345" s="17"/>
      <c r="AS345" s="17"/>
      <c r="AT345" s="17"/>
      <c r="AU345" s="17"/>
      <c r="AV345" s="17" t="str">
        <f t="shared" si="146"/>
        <v>_BR</v>
      </c>
      <c r="AW345" s="17" t="str">
        <f>IF(O345="","",P345-Variabelen!B$36&amp;","&amp;AB$287-Variabelen!B$41+Variabelen!B$36)</f>
        <v>155.565274957409,-11.5607652139664</v>
      </c>
      <c r="AX345" s="17"/>
      <c r="AY345" s="17"/>
      <c r="AZ345" s="154">
        <f t="shared" si="147"/>
        <v>-8.49</v>
      </c>
      <c r="BA345" s="17"/>
      <c r="BB345" s="17"/>
      <c r="BC345" s="17"/>
      <c r="BD345" s="17"/>
      <c r="BE345" s="17" t="str">
        <f t="shared" si="148"/>
        <v>_BR</v>
      </c>
      <c r="BF345" s="17" t="str">
        <f>IF(O345="","",P345-Variabelen!B$36&amp;","&amp;AB$287-Variabelen!B$40+Variabelen!B$36)</f>
        <v>155.565274957409,-9.76076521396637</v>
      </c>
      <c r="BG345" s="17"/>
      <c r="BH345" s="17"/>
      <c r="BI345" s="154">
        <f t="shared" si="149"/>
        <v>-9.77</v>
      </c>
      <c r="BJ345" s="17"/>
    </row>
    <row r="346" spans="1:62" x14ac:dyDescent="0.25">
      <c r="A346" s="85">
        <f t="shared" si="111"/>
        <v>56</v>
      </c>
      <c r="B346" s="296">
        <f t="shared" si="112"/>
        <v>103918.26350690219</v>
      </c>
      <c r="C346" s="296">
        <f t="shared" si="113"/>
        <v>489283.59891041607</v>
      </c>
      <c r="D346" s="85">
        <f t="shared" si="130"/>
        <v>1</v>
      </c>
      <c r="E346" s="17">
        <f t="shared" si="114"/>
        <v>0.38768131207325496</v>
      </c>
      <c r="F346" s="17">
        <f t="shared" si="115"/>
        <v>-0.10805969178909436</v>
      </c>
      <c r="G346" s="17" t="str">
        <f t="shared" si="116"/>
        <v>103918.263506902,489283.598910416</v>
      </c>
      <c r="H346" s="16">
        <v>56</v>
      </c>
      <c r="I346" s="16">
        <f t="shared" si="117"/>
        <v>56</v>
      </c>
      <c r="J346" s="209">
        <f t="shared" si="118"/>
        <v>0.40245955911171322</v>
      </c>
      <c r="K346" s="209">
        <f t="shared" si="119"/>
        <v>22.135275751182398</v>
      </c>
      <c r="L346" s="692">
        <v>1.268137454986572</v>
      </c>
      <c r="M346" s="17" t="str">
        <f t="shared" si="128"/>
        <v>22.1352757511824,1.26813745498657</v>
      </c>
      <c r="O346" s="85">
        <f t="shared" si="150"/>
        <v>56</v>
      </c>
      <c r="P346" s="85">
        <f t="shared" si="151"/>
        <v>158.49659727289082</v>
      </c>
      <c r="Q346" s="233" t="str">
        <f t="shared" si="152"/>
        <v/>
      </c>
      <c r="R346" s="17">
        <f t="shared" si="153"/>
        <v>2.8513223154822072</v>
      </c>
      <c r="S346" s="235">
        <f t="shared" si="158"/>
        <v>159.84467253856832</v>
      </c>
      <c r="T346" s="17">
        <f t="shared" si="154"/>
        <v>2.8513223154822072</v>
      </c>
      <c r="U346" s="85">
        <f t="shared" si="155"/>
        <v>-9.5</v>
      </c>
      <c r="V346" s="17">
        <f t="shared" si="156"/>
        <v>0</v>
      </c>
      <c r="W346" s="17">
        <f t="shared" si="139"/>
        <v>-8.4907652139663696</v>
      </c>
      <c r="X346" s="17">
        <f t="shared" si="157"/>
        <v>-9.791344165802002</v>
      </c>
      <c r="Y346" s="85">
        <f t="shared" si="140"/>
        <v>2</v>
      </c>
      <c r="Z346" s="17">
        <f t="shared" si="141"/>
        <v>56</v>
      </c>
      <c r="AA346" s="17" t="str">
        <f t="shared" si="142"/>
        <v>LINE</v>
      </c>
      <c r="AB346" s="17" t="str">
        <f t="shared" si="143"/>
        <v>158.496597272891,1.40572071075439</v>
      </c>
      <c r="AC346" s="17" t="str">
        <f>IF(O346="","",P346&amp;","&amp;AB$287-Variabelen!B$43)</f>
        <v>158.496597272891,-16.0407652139664</v>
      </c>
      <c r="AD346" s="17"/>
      <c r="AE346" s="17"/>
      <c r="AF346" s="17"/>
      <c r="AG346" s="17"/>
      <c r="AH346" s="17"/>
      <c r="AI346" s="17" t="str">
        <f>IF(O346="","",P346-Variabelen!B$36&amp;","&amp;AB$287-Variabelen!B$43+Variabelen!B$36)</f>
        <v>158.416597272891,-15.9607652139664</v>
      </c>
      <c r="AJ346" s="154">
        <f t="shared" si="144"/>
        <v>158.5</v>
      </c>
      <c r="AK346" s="17"/>
      <c r="AL346" s="17"/>
      <c r="AM346" s="17"/>
      <c r="AN346" s="17"/>
      <c r="AO346" s="17"/>
      <c r="AP346" s="17" t="str">
        <f>IF(O346="","",P346-Variabelen!B$36&amp;","&amp;AB$287-Variabelen!B$42+Variabelen!B$36)</f>
        <v>158.416597272891,-13.7607652139664</v>
      </c>
      <c r="AQ346" s="154">
        <f t="shared" si="145"/>
        <v>159.84</v>
      </c>
      <c r="AR346" s="17"/>
      <c r="AS346" s="17"/>
      <c r="AT346" s="17"/>
      <c r="AU346" s="17"/>
      <c r="AV346" s="17" t="str">
        <f t="shared" si="146"/>
        <v>_BR</v>
      </c>
      <c r="AW346" s="17" t="str">
        <f>IF(O346="","",P346-Variabelen!B$36&amp;","&amp;AB$287-Variabelen!B$41+Variabelen!B$36)</f>
        <v>158.416597272891,-11.5607652139664</v>
      </c>
      <c r="AX346" s="17"/>
      <c r="AY346" s="17"/>
      <c r="AZ346" s="154">
        <f t="shared" si="147"/>
        <v>-8.49</v>
      </c>
      <c r="BA346" s="17"/>
      <c r="BB346" s="17"/>
      <c r="BC346" s="17"/>
      <c r="BD346" s="17"/>
      <c r="BE346" s="17" t="str">
        <f t="shared" si="148"/>
        <v>_BR</v>
      </c>
      <c r="BF346" s="17" t="str">
        <f>IF(O346="","",P346-Variabelen!B$36&amp;","&amp;AB$287-Variabelen!B$40+Variabelen!B$36)</f>
        <v>158.416597272891,-9.76076521396637</v>
      </c>
      <c r="BG346" s="17"/>
      <c r="BH346" s="17"/>
      <c r="BI346" s="154">
        <f t="shared" si="149"/>
        <v>-9.7899999999999991</v>
      </c>
      <c r="BJ346" s="17"/>
    </row>
    <row r="347" spans="1:62" x14ac:dyDescent="0.25">
      <c r="A347" s="85">
        <f t="shared" si="111"/>
        <v>57</v>
      </c>
      <c r="B347" s="296">
        <f t="shared" si="112"/>
        <v>103918.65118821425</v>
      </c>
      <c r="C347" s="296">
        <f t="shared" si="113"/>
        <v>489283.49085072422</v>
      </c>
      <c r="D347" s="85">
        <f t="shared" si="130"/>
        <v>1</v>
      </c>
      <c r="E347" s="17">
        <f t="shared" si="114"/>
        <v>0.38768131205870304</v>
      </c>
      <c r="F347" s="17">
        <f t="shared" si="115"/>
        <v>-0.10805969184730202</v>
      </c>
      <c r="G347" s="17" t="str">
        <f t="shared" si="116"/>
        <v>103918.651188214,489283.490850724</v>
      </c>
      <c r="H347" s="16">
        <v>57</v>
      </c>
      <c r="I347" s="16">
        <f t="shared" si="117"/>
        <v>57</v>
      </c>
      <c r="J347" s="209">
        <f t="shared" si="118"/>
        <v>0.40245955911332426</v>
      </c>
      <c r="K347" s="209">
        <f t="shared" si="119"/>
        <v>22.537735310295723</v>
      </c>
      <c r="L347" s="692">
        <v>1.2644258737564089</v>
      </c>
      <c r="M347" s="17" t="str">
        <f t="shared" si="128"/>
        <v>22.5377353102957,1.26442587375641</v>
      </c>
      <c r="O347" s="85">
        <f t="shared" si="150"/>
        <v>57</v>
      </c>
      <c r="P347" s="85">
        <f t="shared" si="151"/>
        <v>161.34791958837309</v>
      </c>
      <c r="Q347" s="233" t="str">
        <f t="shared" si="152"/>
        <v/>
      </c>
      <c r="R347" s="17">
        <f t="shared" si="153"/>
        <v>2.851322315482264</v>
      </c>
      <c r="S347" s="235">
        <f t="shared" si="158"/>
        <v>162.69599485405058</v>
      </c>
      <c r="T347" s="17">
        <f t="shared" si="154"/>
        <v>2.851322315482264</v>
      </c>
      <c r="U347" s="85">
        <f t="shared" si="155"/>
        <v>-9.5</v>
      </c>
      <c r="V347" s="17">
        <f t="shared" si="156"/>
        <v>0</v>
      </c>
      <c r="W347" s="17">
        <f t="shared" si="139"/>
        <v>-8.4907652139663696</v>
      </c>
      <c r="X347" s="17">
        <f t="shared" si="157"/>
        <v>-9.8476994037628174</v>
      </c>
      <c r="Y347" s="85">
        <f t="shared" si="140"/>
        <v>2</v>
      </c>
      <c r="Z347" s="17">
        <f t="shared" si="141"/>
        <v>57</v>
      </c>
      <c r="AA347" s="17" t="str">
        <f t="shared" si="142"/>
        <v>LINE</v>
      </c>
      <c r="AB347" s="17" t="str">
        <f t="shared" si="143"/>
        <v>161.347919588373,1.40572071075439</v>
      </c>
      <c r="AC347" s="17" t="str">
        <f>IF(O347="","",P347&amp;","&amp;AB$287-Variabelen!B$43)</f>
        <v>161.347919588373,-16.0407652139664</v>
      </c>
      <c r="AD347" s="17"/>
      <c r="AE347" s="17"/>
      <c r="AF347" s="17"/>
      <c r="AG347" s="17"/>
      <c r="AH347" s="17"/>
      <c r="AI347" s="17" t="str">
        <f>IF(O347="","",P347-Variabelen!B$36&amp;","&amp;AB$287-Variabelen!B$43+Variabelen!B$36)</f>
        <v>161.267919588373,-15.9607652139664</v>
      </c>
      <c r="AJ347" s="154">
        <f t="shared" si="144"/>
        <v>161.35</v>
      </c>
      <c r="AK347" s="17"/>
      <c r="AL347" s="17"/>
      <c r="AM347" s="17"/>
      <c r="AN347" s="17"/>
      <c r="AO347" s="17"/>
      <c r="AP347" s="17" t="str">
        <f>IF(O347="","",P347-Variabelen!B$36&amp;","&amp;AB$287-Variabelen!B$42+Variabelen!B$36)</f>
        <v>161.267919588373,-13.7607652139664</v>
      </c>
      <c r="AQ347" s="154">
        <f t="shared" si="145"/>
        <v>162.69999999999999</v>
      </c>
      <c r="AR347" s="17"/>
      <c r="AS347" s="17"/>
      <c r="AT347" s="17"/>
      <c r="AU347" s="17"/>
      <c r="AV347" s="17" t="str">
        <f t="shared" si="146"/>
        <v>_BR</v>
      </c>
      <c r="AW347" s="17" t="str">
        <f>IF(O347="","",P347-Variabelen!B$36&amp;","&amp;AB$287-Variabelen!B$41+Variabelen!B$36)</f>
        <v>161.267919588373,-11.5607652139664</v>
      </c>
      <c r="AX347" s="17"/>
      <c r="AY347" s="17"/>
      <c r="AZ347" s="154">
        <f t="shared" si="147"/>
        <v>-8.49</v>
      </c>
      <c r="BA347" s="17"/>
      <c r="BB347" s="17"/>
      <c r="BC347" s="17"/>
      <c r="BD347" s="17"/>
      <c r="BE347" s="17" t="str">
        <f t="shared" si="148"/>
        <v>_BR</v>
      </c>
      <c r="BF347" s="17" t="str">
        <f>IF(O347="","",P347-Variabelen!B$36&amp;","&amp;AB$287-Variabelen!B$40+Variabelen!B$36)</f>
        <v>161.267919588373,-9.76076521396637</v>
      </c>
      <c r="BG347" s="17"/>
      <c r="BH347" s="17"/>
      <c r="BI347" s="154">
        <f t="shared" si="149"/>
        <v>-9.85</v>
      </c>
      <c r="BJ347" s="17"/>
    </row>
    <row r="348" spans="1:62" x14ac:dyDescent="0.25">
      <c r="A348" s="85">
        <f t="shared" si="111"/>
        <v>58</v>
      </c>
      <c r="B348" s="296">
        <f t="shared" si="112"/>
        <v>103919.03886952632</v>
      </c>
      <c r="C348" s="296">
        <f t="shared" si="113"/>
        <v>489283.38279103243</v>
      </c>
      <c r="D348" s="85">
        <f t="shared" si="130"/>
        <v>1</v>
      </c>
      <c r="E348" s="17">
        <f t="shared" si="114"/>
        <v>0.38768131207325496</v>
      </c>
      <c r="F348" s="17">
        <f t="shared" si="115"/>
        <v>-0.10805969178909436</v>
      </c>
      <c r="G348" s="17" t="str">
        <f t="shared" si="116"/>
        <v>103919.038869526,489283.382791032</v>
      </c>
      <c r="H348" s="16">
        <v>58</v>
      </c>
      <c r="I348" s="16">
        <f t="shared" si="117"/>
        <v>58</v>
      </c>
      <c r="J348" s="209">
        <f t="shared" si="118"/>
        <v>0.40245955911171322</v>
      </c>
      <c r="K348" s="209">
        <f t="shared" si="119"/>
        <v>22.940194869407435</v>
      </c>
      <c r="L348" s="692">
        <v>1.2547163963317871</v>
      </c>
      <c r="M348" s="17" t="str">
        <f t="shared" si="128"/>
        <v>22.9401948694074,1.25471639633179</v>
      </c>
      <c r="O348" s="85">
        <f t="shared" si="150"/>
        <v>58</v>
      </c>
      <c r="P348" s="85">
        <f t="shared" si="151"/>
        <v>164.1992419038553</v>
      </c>
      <c r="Q348" s="233" t="str">
        <f t="shared" si="152"/>
        <v/>
      </c>
      <c r="R348" s="17">
        <f t="shared" si="153"/>
        <v>2.8513223154822072</v>
      </c>
      <c r="S348" s="235">
        <f t="shared" si="158"/>
        <v>165.54731716953279</v>
      </c>
      <c r="T348" s="17">
        <f t="shared" si="154"/>
        <v>2.8513223154822072</v>
      </c>
      <c r="U348" s="85">
        <f t="shared" si="155"/>
        <v>-9.5</v>
      </c>
      <c r="V348" s="17">
        <f t="shared" si="156"/>
        <v>0</v>
      </c>
      <c r="W348" s="17">
        <f t="shared" si="139"/>
        <v>-8.4907652139663696</v>
      </c>
      <c r="X348" s="17">
        <f t="shared" si="157"/>
        <v>-9.8602274656295776</v>
      </c>
      <c r="Y348" s="85">
        <f t="shared" si="140"/>
        <v>2</v>
      </c>
      <c r="Z348" s="17">
        <f t="shared" si="141"/>
        <v>58</v>
      </c>
      <c r="AA348" s="17" t="str">
        <f t="shared" si="142"/>
        <v>LINE</v>
      </c>
      <c r="AB348" s="17" t="str">
        <f t="shared" si="143"/>
        <v>164.199241903855,1.40572071075439</v>
      </c>
      <c r="AC348" s="17" t="str">
        <f>IF(O348="","",P348&amp;","&amp;AB$287-Variabelen!B$43)</f>
        <v>164.199241903855,-16.0407652139664</v>
      </c>
      <c r="AD348" s="17"/>
      <c r="AE348" s="17"/>
      <c r="AF348" s="17"/>
      <c r="AG348" s="17"/>
      <c r="AH348" s="17"/>
      <c r="AI348" s="17" t="str">
        <f>IF(O348="","",P348-Variabelen!B$36&amp;","&amp;AB$287-Variabelen!B$43+Variabelen!B$36)</f>
        <v>164.119241903855,-15.9607652139664</v>
      </c>
      <c r="AJ348" s="154">
        <f t="shared" si="144"/>
        <v>164.2</v>
      </c>
      <c r="AK348" s="17"/>
      <c r="AL348" s="17"/>
      <c r="AM348" s="17"/>
      <c r="AN348" s="17"/>
      <c r="AO348" s="17"/>
      <c r="AP348" s="17" t="str">
        <f>IF(O348="","",P348-Variabelen!B$36&amp;","&amp;AB$287-Variabelen!B$42+Variabelen!B$36)</f>
        <v>164.119241903855,-13.7607652139664</v>
      </c>
      <c r="AQ348" s="154">
        <f t="shared" si="145"/>
        <v>165.55</v>
      </c>
      <c r="AR348" s="17"/>
      <c r="AS348" s="17"/>
      <c r="AT348" s="17"/>
      <c r="AU348" s="17"/>
      <c r="AV348" s="17" t="str">
        <f t="shared" si="146"/>
        <v>_BR</v>
      </c>
      <c r="AW348" s="17" t="str">
        <f>IF(O348="","",P348-Variabelen!B$36&amp;","&amp;AB$287-Variabelen!B$41+Variabelen!B$36)</f>
        <v>164.119241903855,-11.5607652139664</v>
      </c>
      <c r="AX348" s="17"/>
      <c r="AY348" s="17"/>
      <c r="AZ348" s="154">
        <f t="shared" si="147"/>
        <v>-8.49</v>
      </c>
      <c r="BA348" s="17"/>
      <c r="BB348" s="17"/>
      <c r="BC348" s="17"/>
      <c r="BD348" s="17"/>
      <c r="BE348" s="17" t="str">
        <f t="shared" si="148"/>
        <v>_BR</v>
      </c>
      <c r="BF348" s="17" t="str">
        <f>IF(O348="","",P348-Variabelen!B$36&amp;","&amp;AB$287-Variabelen!B$40+Variabelen!B$36)</f>
        <v>164.119241903855,-9.76076521396637</v>
      </c>
      <c r="BG348" s="17"/>
      <c r="BH348" s="17"/>
      <c r="BI348" s="154">
        <f t="shared" si="149"/>
        <v>-9.86</v>
      </c>
      <c r="BJ348" s="17"/>
    </row>
    <row r="349" spans="1:62" x14ac:dyDescent="0.25">
      <c r="A349" s="85">
        <f t="shared" si="111"/>
        <v>59</v>
      </c>
      <c r="B349" s="296">
        <f t="shared" si="112"/>
        <v>103919.4265508384</v>
      </c>
      <c r="C349" s="296">
        <f t="shared" si="113"/>
        <v>489283.27473134064</v>
      </c>
      <c r="D349" s="85">
        <f t="shared" si="130"/>
        <v>1</v>
      </c>
      <c r="E349" s="17">
        <f t="shared" si="114"/>
        <v>0.38768131207325496</v>
      </c>
      <c r="F349" s="17">
        <f t="shared" si="115"/>
        <v>-0.10805969178909436</v>
      </c>
      <c r="G349" s="17" t="str">
        <f t="shared" si="116"/>
        <v>103919.426550838,489283.274731341</v>
      </c>
      <c r="H349" s="16">
        <v>59</v>
      </c>
      <c r="I349" s="16">
        <f t="shared" si="117"/>
        <v>59</v>
      </c>
      <c r="J349" s="209">
        <f t="shared" si="118"/>
        <v>0.40245955911171322</v>
      </c>
      <c r="K349" s="209">
        <f t="shared" si="119"/>
        <v>23.342654428519147</v>
      </c>
      <c r="L349" s="692">
        <v>1.2577346563339229</v>
      </c>
      <c r="M349" s="17" t="str">
        <f t="shared" si="128"/>
        <v>23.3426544285191,1.25773465633392</v>
      </c>
      <c r="O349" s="85">
        <f t="shared" si="150"/>
        <v>59</v>
      </c>
      <c r="P349" s="85">
        <f t="shared" si="151"/>
        <v>167.05056421933756</v>
      </c>
      <c r="Q349" s="233" t="str">
        <f t="shared" si="152"/>
        <v/>
      </c>
      <c r="R349" s="17">
        <f t="shared" si="153"/>
        <v>2.851322315482264</v>
      </c>
      <c r="S349" s="235">
        <f t="shared" si="158"/>
        <v>168.39863948501505</v>
      </c>
      <c r="T349" s="17">
        <f t="shared" si="154"/>
        <v>2.851322315482264</v>
      </c>
      <c r="U349" s="85">
        <f t="shared" si="155"/>
        <v>-9.5</v>
      </c>
      <c r="V349" s="17">
        <f t="shared" si="156"/>
        <v>0</v>
      </c>
      <c r="W349" s="17">
        <f t="shared" si="139"/>
        <v>-8.4907652139663696</v>
      </c>
      <c r="X349" s="17">
        <f t="shared" si="157"/>
        <v>-9.8875484466552734</v>
      </c>
      <c r="Y349" s="85">
        <f t="shared" si="140"/>
        <v>2</v>
      </c>
      <c r="Z349" s="17">
        <f t="shared" si="141"/>
        <v>59</v>
      </c>
      <c r="AA349" s="17" t="str">
        <f t="shared" si="142"/>
        <v>LINE</v>
      </c>
      <c r="AB349" s="17" t="str">
        <f t="shared" si="143"/>
        <v>167.050564219338,1.40572071075439</v>
      </c>
      <c r="AC349" s="17" t="str">
        <f>IF(O349="","",P349&amp;","&amp;AB$287-Variabelen!B$43)</f>
        <v>167.050564219338,-16.0407652139664</v>
      </c>
      <c r="AD349" s="17"/>
      <c r="AE349" s="17"/>
      <c r="AF349" s="17"/>
      <c r="AG349" s="17"/>
      <c r="AH349" s="17"/>
      <c r="AI349" s="17" t="str">
        <f>IF(O349="","",P349-Variabelen!B$36&amp;","&amp;AB$287-Variabelen!B$43+Variabelen!B$36)</f>
        <v>166.970564219338,-15.9607652139664</v>
      </c>
      <c r="AJ349" s="154">
        <f t="shared" si="144"/>
        <v>167.05</v>
      </c>
      <c r="AK349" s="17"/>
      <c r="AL349" s="17"/>
      <c r="AM349" s="17"/>
      <c r="AN349" s="17"/>
      <c r="AO349" s="17"/>
      <c r="AP349" s="17" t="str">
        <f>IF(O349="","",P349-Variabelen!B$36&amp;","&amp;AB$287-Variabelen!B$42+Variabelen!B$36)</f>
        <v>166.970564219338,-13.7607652139664</v>
      </c>
      <c r="AQ349" s="154">
        <f t="shared" si="145"/>
        <v>168.4</v>
      </c>
      <c r="AR349" s="17"/>
      <c r="AS349" s="17"/>
      <c r="AT349" s="17"/>
      <c r="AU349" s="17"/>
      <c r="AV349" s="17" t="str">
        <f t="shared" si="146"/>
        <v>_BR</v>
      </c>
      <c r="AW349" s="17" t="str">
        <f>IF(O349="","",P349-Variabelen!B$36&amp;","&amp;AB$287-Variabelen!B$41+Variabelen!B$36)</f>
        <v>166.970564219338,-11.5607652139664</v>
      </c>
      <c r="AX349" s="17"/>
      <c r="AY349" s="17"/>
      <c r="AZ349" s="154">
        <f t="shared" si="147"/>
        <v>-8.49</v>
      </c>
      <c r="BA349" s="17"/>
      <c r="BB349" s="17"/>
      <c r="BC349" s="17"/>
      <c r="BD349" s="17"/>
      <c r="BE349" s="17" t="str">
        <f t="shared" si="148"/>
        <v>_BR</v>
      </c>
      <c r="BF349" s="17" t="str">
        <f>IF(O349="","",P349-Variabelen!B$36&amp;","&amp;AB$287-Variabelen!B$40+Variabelen!B$36)</f>
        <v>166.970564219338,-9.76076521396637</v>
      </c>
      <c r="BG349" s="17"/>
      <c r="BH349" s="17"/>
      <c r="BI349" s="154">
        <f t="shared" si="149"/>
        <v>-9.89</v>
      </c>
      <c r="BJ349" s="17"/>
    </row>
    <row r="350" spans="1:62" x14ac:dyDescent="0.25">
      <c r="A350" s="85">
        <f t="shared" si="111"/>
        <v>60</v>
      </c>
      <c r="B350" s="296">
        <f t="shared" si="112"/>
        <v>103919.81423215047</v>
      </c>
      <c r="C350" s="296">
        <f t="shared" si="113"/>
        <v>489283.16667164885</v>
      </c>
      <c r="D350" s="85">
        <f t="shared" si="130"/>
        <v>1</v>
      </c>
      <c r="E350" s="17">
        <f t="shared" si="114"/>
        <v>0.38768131207325496</v>
      </c>
      <c r="F350" s="17">
        <f t="shared" si="115"/>
        <v>-0.10805969178909436</v>
      </c>
      <c r="G350" s="17" t="str">
        <f t="shared" si="116"/>
        <v>103919.81423215,489283.166671649</v>
      </c>
      <c r="H350" s="16">
        <v>60</v>
      </c>
      <c r="I350" s="16">
        <f t="shared" si="117"/>
        <v>60</v>
      </c>
      <c r="J350" s="209">
        <f t="shared" si="118"/>
        <v>0.40245955911171322</v>
      </c>
      <c r="K350" s="209">
        <f t="shared" si="119"/>
        <v>23.745113987630859</v>
      </c>
      <c r="L350" s="692">
        <v>1.2745616436004641</v>
      </c>
      <c r="M350" s="17" t="str">
        <f t="shared" si="128"/>
        <v>23.7451139876309,1.27456164360046</v>
      </c>
      <c r="O350" s="85">
        <f t="shared" si="150"/>
        <v>60</v>
      </c>
      <c r="P350" s="85">
        <f t="shared" si="151"/>
        <v>169.90188653481977</v>
      </c>
      <c r="Q350" s="233" t="str">
        <f t="shared" si="152"/>
        <v/>
      </c>
      <c r="R350" s="17">
        <f t="shared" si="153"/>
        <v>2.8513223154822072</v>
      </c>
      <c r="S350" s="235">
        <f t="shared" si="158"/>
        <v>171.24996180049726</v>
      </c>
      <c r="T350" s="17">
        <f t="shared" si="154"/>
        <v>2.8513223154822072</v>
      </c>
      <c r="U350" s="85">
        <f t="shared" si="155"/>
        <v>-9.5</v>
      </c>
      <c r="V350" s="17">
        <f t="shared" si="156"/>
        <v>0</v>
      </c>
      <c r="W350" s="17">
        <f t="shared" si="139"/>
        <v>-8.4907652139663696</v>
      </c>
      <c r="X350" s="17">
        <f t="shared" si="157"/>
        <v>-9.8824311494827271</v>
      </c>
      <c r="Y350" s="85">
        <f t="shared" si="140"/>
        <v>2</v>
      </c>
      <c r="Z350" s="17">
        <f t="shared" si="141"/>
        <v>60</v>
      </c>
      <c r="AA350" s="17" t="str">
        <f t="shared" si="142"/>
        <v>LINE</v>
      </c>
      <c r="AB350" s="17" t="str">
        <f t="shared" si="143"/>
        <v>169.90188653482,1.40572071075439</v>
      </c>
      <c r="AC350" s="17" t="str">
        <f>IF(O350="","",P350&amp;","&amp;AB$287-Variabelen!B$43)</f>
        <v>169.90188653482,-16.0407652139664</v>
      </c>
      <c r="AD350" s="17"/>
      <c r="AE350" s="17"/>
      <c r="AF350" s="17"/>
      <c r="AG350" s="17"/>
      <c r="AH350" s="17"/>
      <c r="AI350" s="17" t="str">
        <f>IF(O350="","",P350-Variabelen!B$36&amp;","&amp;AB$287-Variabelen!B$43+Variabelen!B$36)</f>
        <v>169.82188653482,-15.9607652139664</v>
      </c>
      <c r="AJ350" s="154">
        <f t="shared" si="144"/>
        <v>169.9</v>
      </c>
      <c r="AK350" s="17"/>
      <c r="AL350" s="17"/>
      <c r="AM350" s="17"/>
      <c r="AN350" s="17"/>
      <c r="AO350" s="17"/>
      <c r="AP350" s="17" t="str">
        <f>IF(O350="","",P350-Variabelen!B$36&amp;","&amp;AB$287-Variabelen!B$42+Variabelen!B$36)</f>
        <v>169.82188653482,-13.7607652139664</v>
      </c>
      <c r="AQ350" s="154">
        <f t="shared" si="145"/>
        <v>171.25</v>
      </c>
      <c r="AR350" s="17"/>
      <c r="AS350" s="17"/>
      <c r="AT350" s="17"/>
      <c r="AU350" s="17"/>
      <c r="AV350" s="17" t="str">
        <f t="shared" si="146"/>
        <v>_BR</v>
      </c>
      <c r="AW350" s="17" t="str">
        <f>IF(O350="","",P350-Variabelen!B$36&amp;","&amp;AB$287-Variabelen!B$41+Variabelen!B$36)</f>
        <v>169.82188653482,-11.5607652139664</v>
      </c>
      <c r="AX350" s="17"/>
      <c r="AY350" s="17"/>
      <c r="AZ350" s="154">
        <f t="shared" si="147"/>
        <v>-8.49</v>
      </c>
      <c r="BA350" s="17"/>
      <c r="BB350" s="17"/>
      <c r="BC350" s="17"/>
      <c r="BD350" s="17"/>
      <c r="BE350" s="17" t="str">
        <f t="shared" si="148"/>
        <v>_BR</v>
      </c>
      <c r="BF350" s="17" t="str">
        <f>IF(O350="","",P350-Variabelen!B$36&amp;","&amp;AB$287-Variabelen!B$40+Variabelen!B$36)</f>
        <v>169.82188653482,-9.76076521396637</v>
      </c>
      <c r="BG350" s="17"/>
      <c r="BH350" s="17"/>
      <c r="BI350" s="154">
        <f t="shared" si="149"/>
        <v>-9.8800000000000008</v>
      </c>
      <c r="BJ350" s="17"/>
    </row>
    <row r="351" spans="1:62" x14ac:dyDescent="0.25">
      <c r="A351" s="85">
        <f t="shared" si="111"/>
        <v>61</v>
      </c>
      <c r="B351" s="296">
        <f t="shared" si="112"/>
        <v>103920.20191346253</v>
      </c>
      <c r="C351" s="296">
        <f t="shared" si="113"/>
        <v>489283.05861195701</v>
      </c>
      <c r="D351" s="85">
        <f t="shared" si="130"/>
        <v>1</v>
      </c>
      <c r="E351" s="17">
        <f t="shared" si="114"/>
        <v>0.38768131205870304</v>
      </c>
      <c r="F351" s="17">
        <f t="shared" si="115"/>
        <v>-0.10805969184730202</v>
      </c>
      <c r="G351" s="17" t="str">
        <f t="shared" si="116"/>
        <v>103920.201913463,489283.058611957</v>
      </c>
      <c r="H351" s="16">
        <v>61</v>
      </c>
      <c r="I351" s="16">
        <f t="shared" si="117"/>
        <v>61</v>
      </c>
      <c r="J351" s="209">
        <f t="shared" si="118"/>
        <v>0.40245955911332426</v>
      </c>
      <c r="K351" s="209">
        <f t="shared" si="119"/>
        <v>24.147573546744184</v>
      </c>
      <c r="L351" s="692">
        <v>1.2903221845626831</v>
      </c>
      <c r="M351" s="17" t="str">
        <f t="shared" si="128"/>
        <v>24.1475735467442,1.29032218456268</v>
      </c>
      <c r="O351" s="85">
        <f t="shared" si="150"/>
        <v>61</v>
      </c>
      <c r="P351" s="85">
        <f t="shared" si="151"/>
        <v>172.75320885030203</v>
      </c>
      <c r="Q351" s="233" t="str">
        <f t="shared" si="152"/>
        <v/>
      </c>
      <c r="R351" s="17">
        <f t="shared" si="153"/>
        <v>2.851322315482264</v>
      </c>
      <c r="S351" s="235">
        <f t="shared" si="158"/>
        <v>174.10128411597952</v>
      </c>
      <c r="T351" s="17">
        <f t="shared" si="154"/>
        <v>2.851322315482264</v>
      </c>
      <c r="U351" s="85">
        <f t="shared" si="155"/>
        <v>-9.5</v>
      </c>
      <c r="V351" s="17">
        <f t="shared" si="156"/>
        <v>0</v>
      </c>
      <c r="W351" s="17">
        <f t="shared" si="139"/>
        <v>-8.4907652139663696</v>
      </c>
      <c r="X351" s="17">
        <f t="shared" si="157"/>
        <v>-9.8791657686233521</v>
      </c>
      <c r="Y351" s="85">
        <f t="shared" si="140"/>
        <v>2</v>
      </c>
      <c r="Z351" s="17">
        <f t="shared" si="141"/>
        <v>61</v>
      </c>
      <c r="AA351" s="17" t="str">
        <f t="shared" si="142"/>
        <v>LINE</v>
      </c>
      <c r="AB351" s="17" t="str">
        <f t="shared" si="143"/>
        <v>172.753208850302,1.40572071075439</v>
      </c>
      <c r="AC351" s="17" t="str">
        <f>IF(O351="","",P351&amp;","&amp;AB$287-Variabelen!B$43)</f>
        <v>172.753208850302,-16.0407652139664</v>
      </c>
      <c r="AD351" s="17"/>
      <c r="AE351" s="17"/>
      <c r="AF351" s="17"/>
      <c r="AG351" s="17"/>
      <c r="AH351" s="17"/>
      <c r="AI351" s="17" t="str">
        <f>IF(O351="","",P351-Variabelen!B$36&amp;","&amp;AB$287-Variabelen!B$43+Variabelen!B$36)</f>
        <v>172.673208850302,-15.9607652139664</v>
      </c>
      <c r="AJ351" s="154">
        <f t="shared" si="144"/>
        <v>172.75</v>
      </c>
      <c r="AK351" s="17"/>
      <c r="AL351" s="17"/>
      <c r="AM351" s="17"/>
      <c r="AN351" s="17"/>
      <c r="AO351" s="17"/>
      <c r="AP351" s="17" t="str">
        <f>IF(O351="","",P351-Variabelen!B$36&amp;","&amp;AB$287-Variabelen!B$42+Variabelen!B$36)</f>
        <v>172.673208850302,-13.7607652139664</v>
      </c>
      <c r="AQ351" s="154">
        <f t="shared" si="145"/>
        <v>174.1</v>
      </c>
      <c r="AR351" s="17"/>
      <c r="AS351" s="17"/>
      <c r="AT351" s="17"/>
      <c r="AU351" s="17"/>
      <c r="AV351" s="17" t="str">
        <f t="shared" si="146"/>
        <v>_BR</v>
      </c>
      <c r="AW351" s="17" t="str">
        <f>IF(O351="","",P351-Variabelen!B$36&amp;","&amp;AB$287-Variabelen!B$41+Variabelen!B$36)</f>
        <v>172.673208850302,-11.5607652139664</v>
      </c>
      <c r="AX351" s="17"/>
      <c r="AY351" s="17"/>
      <c r="AZ351" s="154">
        <f t="shared" si="147"/>
        <v>-8.49</v>
      </c>
      <c r="BA351" s="17"/>
      <c r="BB351" s="17"/>
      <c r="BC351" s="17"/>
      <c r="BD351" s="17"/>
      <c r="BE351" s="17" t="str">
        <f t="shared" si="148"/>
        <v>_BR</v>
      </c>
      <c r="BF351" s="17" t="str">
        <f>IF(O351="","",P351-Variabelen!B$36&amp;","&amp;AB$287-Variabelen!B$40+Variabelen!B$36)</f>
        <v>172.673208850302,-9.76076521396637</v>
      </c>
      <c r="BG351" s="17"/>
      <c r="BH351" s="17"/>
      <c r="BI351" s="154">
        <f t="shared" si="149"/>
        <v>-9.8800000000000008</v>
      </c>
      <c r="BJ351" s="17"/>
    </row>
    <row r="352" spans="1:62" x14ac:dyDescent="0.25">
      <c r="A352" s="85">
        <f t="shared" si="111"/>
        <v>62</v>
      </c>
      <c r="B352" s="296">
        <f t="shared" si="112"/>
        <v>103920.5895947746</v>
      </c>
      <c r="C352" s="296">
        <f t="shared" si="113"/>
        <v>489282.95055226522</v>
      </c>
      <c r="D352" s="85">
        <f t="shared" si="130"/>
        <v>1</v>
      </c>
      <c r="E352" s="17">
        <f t="shared" si="114"/>
        <v>0.38768131207325496</v>
      </c>
      <c r="F352" s="17">
        <f t="shared" si="115"/>
        <v>-0.10805969178909436</v>
      </c>
      <c r="G352" s="17" t="str">
        <f t="shared" si="116"/>
        <v>103920.589594775,489282.950552265</v>
      </c>
      <c r="H352" s="16">
        <v>62</v>
      </c>
      <c r="I352" s="16">
        <f t="shared" si="117"/>
        <v>62</v>
      </c>
      <c r="J352" s="209">
        <f t="shared" si="118"/>
        <v>0.40245955911171322</v>
      </c>
      <c r="K352" s="209">
        <f t="shared" si="119"/>
        <v>24.550033105855896</v>
      </c>
      <c r="L352" s="692">
        <v>1.2876627445220949</v>
      </c>
      <c r="M352" s="17" t="str">
        <f t="shared" si="128"/>
        <v>24.5500331058559,1.28766274452209</v>
      </c>
      <c r="O352" s="85">
        <f t="shared" si="150"/>
        <v>62</v>
      </c>
      <c r="P352" s="85">
        <f t="shared" si="151"/>
        <v>175.60453116578424</v>
      </c>
      <c r="Q352" s="233" t="str">
        <f t="shared" si="152"/>
        <v/>
      </c>
      <c r="R352" s="17">
        <f t="shared" si="153"/>
        <v>2.8513223154822072</v>
      </c>
      <c r="S352" s="235">
        <f t="shared" si="158"/>
        <v>176.95260643146173</v>
      </c>
      <c r="T352" s="17">
        <f t="shared" si="154"/>
        <v>2.8513223154822072</v>
      </c>
      <c r="U352" s="85">
        <f t="shared" si="155"/>
        <v>-9.5</v>
      </c>
      <c r="V352" s="17">
        <f t="shared" si="156"/>
        <v>0</v>
      </c>
      <c r="W352" s="17">
        <f t="shared" si="139"/>
        <v>-8.4907652139663696</v>
      </c>
      <c r="X352" s="17">
        <f t="shared" si="157"/>
        <v>-9.8265290260314941</v>
      </c>
      <c r="Y352" s="85">
        <f t="shared" si="140"/>
        <v>2</v>
      </c>
      <c r="Z352" s="17">
        <f t="shared" si="141"/>
        <v>62</v>
      </c>
      <c r="AA352" s="17" t="str">
        <f t="shared" si="142"/>
        <v>LINE</v>
      </c>
      <c r="AB352" s="17" t="str">
        <f t="shared" si="143"/>
        <v>175.604531165784,1.40572071075439</v>
      </c>
      <c r="AC352" s="17" t="str">
        <f>IF(O352="","",P352&amp;","&amp;AB$287-Variabelen!B$43)</f>
        <v>175.604531165784,-16.0407652139664</v>
      </c>
      <c r="AD352" s="17"/>
      <c r="AE352" s="17"/>
      <c r="AF352" s="17"/>
      <c r="AG352" s="17"/>
      <c r="AH352" s="17"/>
      <c r="AI352" s="17" t="str">
        <f>IF(O352="","",P352-Variabelen!B$36&amp;","&amp;AB$287-Variabelen!B$43+Variabelen!B$36)</f>
        <v>175.524531165784,-15.9607652139664</v>
      </c>
      <c r="AJ352" s="154">
        <f t="shared" si="144"/>
        <v>175.6</v>
      </c>
      <c r="AK352" s="17"/>
      <c r="AL352" s="17"/>
      <c r="AM352" s="17"/>
      <c r="AN352" s="17"/>
      <c r="AO352" s="17"/>
      <c r="AP352" s="17" t="str">
        <f>IF(O352="","",P352-Variabelen!B$36&amp;","&amp;AB$287-Variabelen!B$42+Variabelen!B$36)</f>
        <v>175.524531165784,-13.7607652139664</v>
      </c>
      <c r="AQ352" s="154">
        <f t="shared" si="145"/>
        <v>176.95</v>
      </c>
      <c r="AR352" s="17"/>
      <c r="AS352" s="17"/>
      <c r="AT352" s="17"/>
      <c r="AU352" s="17"/>
      <c r="AV352" s="17" t="str">
        <f t="shared" si="146"/>
        <v>_BR</v>
      </c>
      <c r="AW352" s="17" t="str">
        <f>IF(O352="","",P352-Variabelen!B$36&amp;","&amp;AB$287-Variabelen!B$41+Variabelen!B$36)</f>
        <v>175.524531165784,-11.5607652139664</v>
      </c>
      <c r="AX352" s="17"/>
      <c r="AY352" s="17"/>
      <c r="AZ352" s="154">
        <f t="shared" si="147"/>
        <v>-8.49</v>
      </c>
      <c r="BA352" s="17"/>
      <c r="BB352" s="17"/>
      <c r="BC352" s="17"/>
      <c r="BD352" s="17"/>
      <c r="BE352" s="17" t="str">
        <f t="shared" si="148"/>
        <v>_BR</v>
      </c>
      <c r="BF352" s="17" t="str">
        <f>IF(O352="","",P352-Variabelen!B$36&amp;","&amp;AB$287-Variabelen!B$40+Variabelen!B$36)</f>
        <v>175.524531165784,-9.76076521396637</v>
      </c>
      <c r="BG352" s="17"/>
      <c r="BH352" s="17"/>
      <c r="BI352" s="154">
        <f t="shared" si="149"/>
        <v>-9.83</v>
      </c>
      <c r="BJ352" s="17"/>
    </row>
    <row r="353" spans="1:62" x14ac:dyDescent="0.25">
      <c r="A353" s="85">
        <f t="shared" si="111"/>
        <v>63</v>
      </c>
      <c r="B353" s="296">
        <f t="shared" si="112"/>
        <v>103920.97727608668</v>
      </c>
      <c r="C353" s="296">
        <f t="shared" si="113"/>
        <v>489282.84249257343</v>
      </c>
      <c r="D353" s="85">
        <f t="shared" si="130"/>
        <v>1</v>
      </c>
      <c r="E353" s="17">
        <f t="shared" si="114"/>
        <v>0.38768131207325496</v>
      </c>
      <c r="F353" s="17">
        <f t="shared" si="115"/>
        <v>-0.10805969178909436</v>
      </c>
      <c r="G353" s="17" t="str">
        <f t="shared" si="116"/>
        <v>103920.977276087,489282.842492573</v>
      </c>
      <c r="H353" s="16">
        <v>63</v>
      </c>
      <c r="I353" s="16">
        <f t="shared" si="117"/>
        <v>63</v>
      </c>
      <c r="J353" s="209">
        <f t="shared" si="118"/>
        <v>0.40245955911171322</v>
      </c>
      <c r="K353" s="209">
        <f t="shared" si="119"/>
        <v>24.952492664967608</v>
      </c>
      <c r="L353" s="692">
        <v>1.2940076589584351</v>
      </c>
      <c r="M353" s="17" t="str">
        <f t="shared" si="128"/>
        <v>24.9524926649676,1.29400765895844</v>
      </c>
      <c r="O353" s="85">
        <f t="shared" si="150"/>
        <v>63</v>
      </c>
      <c r="P353" s="85">
        <f t="shared" si="151"/>
        <v>178.45585348126644</v>
      </c>
      <c r="Q353" s="233" t="str">
        <f t="shared" si="152"/>
        <v/>
      </c>
      <c r="R353" s="17">
        <f t="shared" si="153"/>
        <v>2.8513223154822072</v>
      </c>
      <c r="S353" s="235">
        <f t="shared" si="158"/>
        <v>179.80392874694394</v>
      </c>
      <c r="T353" s="17">
        <f t="shared" si="154"/>
        <v>2.8513223154822072</v>
      </c>
      <c r="U353" s="85">
        <f t="shared" si="155"/>
        <v>-9.5</v>
      </c>
      <c r="V353" s="17">
        <f t="shared" si="156"/>
        <v>0</v>
      </c>
      <c r="W353" s="17">
        <f t="shared" si="139"/>
        <v>-8.4907652139663696</v>
      </c>
      <c r="X353" s="17">
        <f t="shared" si="157"/>
        <v>-9.7864615917205811</v>
      </c>
      <c r="Y353" s="85">
        <f t="shared" si="140"/>
        <v>2</v>
      </c>
      <c r="Z353" s="17">
        <f t="shared" si="141"/>
        <v>63</v>
      </c>
      <c r="AA353" s="17" t="str">
        <f t="shared" si="142"/>
        <v>LINE</v>
      </c>
      <c r="AB353" s="17" t="str">
        <f t="shared" si="143"/>
        <v>178.455853481266,1.40572071075439</v>
      </c>
      <c r="AC353" s="17" t="str">
        <f>IF(O353="","",P353&amp;","&amp;AB$287-Variabelen!B$43)</f>
        <v>178.455853481266,-16.0407652139664</v>
      </c>
      <c r="AD353" s="17"/>
      <c r="AE353" s="17"/>
      <c r="AF353" s="17"/>
      <c r="AG353" s="17"/>
      <c r="AH353" s="17"/>
      <c r="AI353" s="17" t="str">
        <f>IF(O353="","",P353-Variabelen!B$36&amp;","&amp;AB$287-Variabelen!B$43+Variabelen!B$36)</f>
        <v>178.375853481266,-15.9607652139664</v>
      </c>
      <c r="AJ353" s="154">
        <f t="shared" si="144"/>
        <v>178.46</v>
      </c>
      <c r="AK353" s="17"/>
      <c r="AL353" s="17"/>
      <c r="AM353" s="17"/>
      <c r="AN353" s="17"/>
      <c r="AO353" s="17"/>
      <c r="AP353" s="17" t="str">
        <f>IF(O353="","",P353-Variabelen!B$36&amp;","&amp;AB$287-Variabelen!B$42+Variabelen!B$36)</f>
        <v>178.375853481266,-13.7607652139664</v>
      </c>
      <c r="AQ353" s="154">
        <f t="shared" si="145"/>
        <v>179.8</v>
      </c>
      <c r="AR353" s="17"/>
      <c r="AS353" s="17"/>
      <c r="AT353" s="17"/>
      <c r="AU353" s="17"/>
      <c r="AV353" s="17" t="str">
        <f t="shared" si="146"/>
        <v>_BR</v>
      </c>
      <c r="AW353" s="17" t="str">
        <f>IF(O353="","",P353-Variabelen!B$36&amp;","&amp;AB$287-Variabelen!B$41+Variabelen!B$36)</f>
        <v>178.375853481266,-11.5607652139664</v>
      </c>
      <c r="AX353" s="17"/>
      <c r="AY353" s="17"/>
      <c r="AZ353" s="154">
        <f t="shared" si="147"/>
        <v>-8.49</v>
      </c>
      <c r="BA353" s="17"/>
      <c r="BB353" s="17"/>
      <c r="BC353" s="17"/>
      <c r="BD353" s="17"/>
      <c r="BE353" s="17" t="str">
        <f t="shared" si="148"/>
        <v>_BR</v>
      </c>
      <c r="BF353" s="17" t="str">
        <f>IF(O353="","",P353-Variabelen!B$36&amp;","&amp;AB$287-Variabelen!B$40+Variabelen!B$36)</f>
        <v>178.375853481266,-9.76076521396637</v>
      </c>
      <c r="BG353" s="17"/>
      <c r="BH353" s="17"/>
      <c r="BI353" s="154">
        <f t="shared" si="149"/>
        <v>-9.7899999999999991</v>
      </c>
      <c r="BJ353" s="17"/>
    </row>
    <row r="354" spans="1:62" x14ac:dyDescent="0.25">
      <c r="A354" s="85">
        <f t="shared" si="111"/>
        <v>64</v>
      </c>
      <c r="B354" s="296">
        <f t="shared" si="112"/>
        <v>103921.36495739875</v>
      </c>
      <c r="C354" s="296">
        <f t="shared" si="113"/>
        <v>489282.73443288164</v>
      </c>
      <c r="D354" s="85">
        <f t="shared" si="130"/>
        <v>1</v>
      </c>
      <c r="E354" s="17">
        <f t="shared" si="114"/>
        <v>0.38768131207325496</v>
      </c>
      <c r="F354" s="17">
        <f t="shared" si="115"/>
        <v>-0.10805969178909436</v>
      </c>
      <c r="G354" s="17" t="str">
        <f t="shared" si="116"/>
        <v>103921.364957399,489282.734432882</v>
      </c>
      <c r="H354" s="16">
        <v>64</v>
      </c>
      <c r="I354" s="16">
        <f t="shared" si="117"/>
        <v>64</v>
      </c>
      <c r="J354" s="209">
        <f t="shared" si="118"/>
        <v>0.40245955911171322</v>
      </c>
      <c r="K354" s="209">
        <f t="shared" si="119"/>
        <v>25.354952224079319</v>
      </c>
      <c r="L354" s="692">
        <v>1.283765316009521</v>
      </c>
      <c r="M354" s="17" t="str">
        <f t="shared" si="128"/>
        <v>25.3549522240793,1.28376531600952</v>
      </c>
      <c r="O354" s="85">
        <f t="shared" si="150"/>
        <v>64</v>
      </c>
      <c r="P354" s="85">
        <f t="shared" si="151"/>
        <v>181.30717579674871</v>
      </c>
      <c r="Q354" s="233" t="str">
        <f t="shared" si="152"/>
        <v/>
      </c>
      <c r="R354" s="17">
        <f t="shared" si="153"/>
        <v>2.851322315482264</v>
      </c>
      <c r="S354" s="235">
        <f t="shared" si="158"/>
        <v>182.6552510624262</v>
      </c>
      <c r="T354" s="17">
        <f t="shared" si="154"/>
        <v>2.851322315482264</v>
      </c>
      <c r="U354" s="85">
        <f t="shared" si="155"/>
        <v>-9.5</v>
      </c>
      <c r="V354" s="17">
        <f t="shared" si="156"/>
        <v>0</v>
      </c>
      <c r="W354" s="17">
        <f t="shared" si="139"/>
        <v>-8.4907652139663696</v>
      </c>
      <c r="X354" s="17">
        <f t="shared" si="157"/>
        <v>-9.7578442096710205</v>
      </c>
      <c r="Y354" s="85">
        <f t="shared" si="140"/>
        <v>2</v>
      </c>
      <c r="Z354" s="17">
        <f t="shared" si="141"/>
        <v>64</v>
      </c>
      <c r="AA354" s="17" t="str">
        <f t="shared" si="142"/>
        <v>LINE</v>
      </c>
      <c r="AB354" s="17" t="str">
        <f t="shared" si="143"/>
        <v>181.307175796749,1.40572071075439</v>
      </c>
      <c r="AC354" s="17" t="str">
        <f>IF(O354="","",P354&amp;","&amp;AB$287-Variabelen!B$43)</f>
        <v>181.307175796749,-16.0407652139664</v>
      </c>
      <c r="AD354" s="17"/>
      <c r="AE354" s="17"/>
      <c r="AF354" s="17"/>
      <c r="AG354" s="17"/>
      <c r="AH354" s="17"/>
      <c r="AI354" s="17" t="str">
        <f>IF(O354="","",P354-Variabelen!B$36&amp;","&amp;AB$287-Variabelen!B$43+Variabelen!B$36)</f>
        <v>181.227175796749,-15.9607652139664</v>
      </c>
      <c r="AJ354" s="154">
        <f t="shared" si="144"/>
        <v>181.31</v>
      </c>
      <c r="AK354" s="17"/>
      <c r="AL354" s="17"/>
      <c r="AM354" s="17"/>
      <c r="AN354" s="17"/>
      <c r="AO354" s="17"/>
      <c r="AP354" s="17" t="str">
        <f>IF(O354="","",P354-Variabelen!B$36&amp;","&amp;AB$287-Variabelen!B$42+Variabelen!B$36)</f>
        <v>181.227175796749,-13.7607652139664</v>
      </c>
      <c r="AQ354" s="154">
        <f t="shared" si="145"/>
        <v>182.66</v>
      </c>
      <c r="AR354" s="17"/>
      <c r="AS354" s="17"/>
      <c r="AT354" s="17"/>
      <c r="AU354" s="17"/>
      <c r="AV354" s="17" t="str">
        <f t="shared" si="146"/>
        <v>_BR</v>
      </c>
      <c r="AW354" s="17" t="str">
        <f>IF(O354="","",P354-Variabelen!B$36&amp;","&amp;AB$287-Variabelen!B$41+Variabelen!B$36)</f>
        <v>181.227175796749,-11.5607652139664</v>
      </c>
      <c r="AX354" s="17"/>
      <c r="AY354" s="17"/>
      <c r="AZ354" s="154">
        <f t="shared" si="147"/>
        <v>-8.49</v>
      </c>
      <c r="BA354" s="17"/>
      <c r="BB354" s="17"/>
      <c r="BC354" s="17"/>
      <c r="BD354" s="17"/>
      <c r="BE354" s="17" t="str">
        <f t="shared" si="148"/>
        <v>_BR</v>
      </c>
      <c r="BF354" s="17" t="str">
        <f>IF(O354="","",P354-Variabelen!B$36&amp;","&amp;AB$287-Variabelen!B$40+Variabelen!B$36)</f>
        <v>181.227175796749,-9.76076521396637</v>
      </c>
      <c r="BG354" s="17"/>
      <c r="BH354" s="17"/>
      <c r="BI354" s="154">
        <f t="shared" si="149"/>
        <v>-9.76</v>
      </c>
      <c r="BJ354" s="17"/>
    </row>
    <row r="355" spans="1:62" x14ac:dyDescent="0.25">
      <c r="A355" s="85">
        <f t="shared" si="111"/>
        <v>65</v>
      </c>
      <c r="B355" s="296">
        <f t="shared" si="112"/>
        <v>103921.75263871081</v>
      </c>
      <c r="C355" s="296">
        <f t="shared" si="113"/>
        <v>489282.62637318979</v>
      </c>
      <c r="D355" s="85">
        <f t="shared" si="130"/>
        <v>1</v>
      </c>
      <c r="E355" s="17">
        <f t="shared" si="114"/>
        <v>0.38768131205870304</v>
      </c>
      <c r="F355" s="17">
        <f t="shared" si="115"/>
        <v>-0.10805969184730202</v>
      </c>
      <c r="G355" s="17" t="str">
        <f t="shared" si="116"/>
        <v>103921.752638711,489282.62637319</v>
      </c>
      <c r="H355" s="16">
        <v>65</v>
      </c>
      <c r="I355" s="16">
        <f t="shared" si="117"/>
        <v>65</v>
      </c>
      <c r="J355" s="209">
        <f t="shared" si="118"/>
        <v>0.40245955911332426</v>
      </c>
      <c r="K355" s="209">
        <f t="shared" si="119"/>
        <v>25.757411783192644</v>
      </c>
      <c r="L355" s="692">
        <v>1.268389225006104</v>
      </c>
      <c r="M355" s="17" t="str">
        <f t="shared" si="128"/>
        <v>25.7574117831926,1.2683892250061</v>
      </c>
      <c r="O355" s="85">
        <f t="shared" si="150"/>
        <v>65</v>
      </c>
      <c r="P355" s="85">
        <f t="shared" si="151"/>
        <v>184.15849811223092</v>
      </c>
      <c r="Q355" s="233" t="str">
        <f t="shared" si="152"/>
        <v/>
      </c>
      <c r="R355" s="17">
        <f t="shared" si="153"/>
        <v>2.8513223154822072</v>
      </c>
      <c r="S355" s="235">
        <f t="shared" si="158"/>
        <v>185.50657337790841</v>
      </c>
      <c r="T355" s="17">
        <f t="shared" si="154"/>
        <v>2.8513223154822072</v>
      </c>
      <c r="U355" s="85">
        <f t="shared" si="155"/>
        <v>-9.5</v>
      </c>
      <c r="V355" s="17">
        <f t="shared" si="156"/>
        <v>0</v>
      </c>
      <c r="W355" s="17">
        <f t="shared" ref="W355:W386" si="159">IF(O355="","",U355+G$49)</f>
        <v>-8.4907652139663696</v>
      </c>
      <c r="X355" s="17">
        <f t="shared" si="157"/>
        <v>-9.784637451171875</v>
      </c>
      <c r="Y355" s="85">
        <f t="shared" ref="Y355:Y386" si="160">_xlfn.SINGLE(IF(O355="","",_xlfn.XLOOKUP(P355,P$273:P$284,O$273:O$284,Y354)))</f>
        <v>2</v>
      </c>
      <c r="Z355" s="17">
        <f t="shared" ref="Z355:Z386" si="161">IF(O355="","",O355)</f>
        <v>65</v>
      </c>
      <c r="AA355" s="17" t="str">
        <f t="shared" ref="AA355:AA386" si="162">IF(O355="","","LINE")</f>
        <v>LINE</v>
      </c>
      <c r="AB355" s="17" t="str">
        <f t="shared" ref="AB355:AB386" si="163">IF(O355="","",P355&amp;","&amp;AB$286)</f>
        <v>184.158498112231,1.40572071075439</v>
      </c>
      <c r="AC355" s="17" t="str">
        <f>IF(O355="","",P355&amp;","&amp;AB$287-Variabelen!B$43)</f>
        <v>184.158498112231,-16.0407652139664</v>
      </c>
      <c r="AD355" s="17"/>
      <c r="AE355" s="17"/>
      <c r="AF355" s="17"/>
      <c r="AG355" s="17"/>
      <c r="AH355" s="17"/>
      <c r="AI355" s="17" t="str">
        <f>IF(O355="","",P355-Variabelen!B$36&amp;","&amp;AB$287-Variabelen!B$43+Variabelen!B$36)</f>
        <v>184.078498112231,-15.9607652139664</v>
      </c>
      <c r="AJ355" s="154">
        <f t="shared" ref="AJ355:AJ386" si="164">IF(O355="","",ROUND(P355,2))</f>
        <v>184.16</v>
      </c>
      <c r="AK355" s="17"/>
      <c r="AL355" s="17"/>
      <c r="AM355" s="17"/>
      <c r="AN355" s="17"/>
      <c r="AO355" s="17"/>
      <c r="AP355" s="17" t="str">
        <f>IF(O355="","",P355-Variabelen!B$36&amp;","&amp;AB$287-Variabelen!B$42+Variabelen!B$36)</f>
        <v>184.078498112231,-13.7607652139664</v>
      </c>
      <c r="AQ355" s="154">
        <f t="shared" ref="AQ355:AQ386" si="165">IF(O355="","",ROUND(S355,2))</f>
        <v>185.51</v>
      </c>
      <c r="AR355" s="17"/>
      <c r="AS355" s="17"/>
      <c r="AT355" s="17"/>
      <c r="AU355" s="17"/>
      <c r="AV355" s="17" t="str">
        <f t="shared" ref="AV355:AV386" si="166">IF(O355="","","_BR")</f>
        <v>_BR</v>
      </c>
      <c r="AW355" s="17" t="str">
        <f>IF(O355="","",P355-Variabelen!B$36&amp;","&amp;AB$287-Variabelen!B$41+Variabelen!B$36)</f>
        <v>184.078498112231,-11.5607652139664</v>
      </c>
      <c r="AX355" s="17"/>
      <c r="AY355" s="17"/>
      <c r="AZ355" s="154">
        <f t="shared" ref="AZ355:AZ386" si="167">IF(O355="","",ROUND(W355,2))</f>
        <v>-8.49</v>
      </c>
      <c r="BA355" s="17"/>
      <c r="BB355" s="17"/>
      <c r="BC355" s="17"/>
      <c r="BD355" s="17"/>
      <c r="BE355" s="17" t="str">
        <f t="shared" ref="BE355:BE386" si="168">IF(O355="","","_BR")</f>
        <v>_BR</v>
      </c>
      <c r="BF355" s="17" t="str">
        <f>IF(O355="","",P355-Variabelen!B$36&amp;","&amp;AB$287-Variabelen!B$40+Variabelen!B$36)</f>
        <v>184.078498112231,-9.76076521396637</v>
      </c>
      <c r="BG355" s="17"/>
      <c r="BH355" s="17"/>
      <c r="BI355" s="154">
        <f t="shared" ref="BI355:BI386" si="169">IF(O355="","",ROUND(X355,2))</f>
        <v>-9.7799999999999994</v>
      </c>
      <c r="BJ355" s="17"/>
    </row>
    <row r="356" spans="1:62" x14ac:dyDescent="0.25">
      <c r="A356" s="85">
        <f t="shared" ref="A356:A419" si="170">IF(A355&lt;J$269,A355+1,"")</f>
        <v>66</v>
      </c>
      <c r="B356" s="296">
        <f t="shared" ref="B356:B419" si="171">IF(A356="","",IF(A355&lt;=C$270,B$273+(A355*E$274/C$269),IF(A355&lt;=D$270,B$274+(D$275*COS(RADIANS(G$275+((A355-C$270)*H$276/D$269))))-E$275,IF(A355&lt;=E$270,B$276+((A355-D$270)*E$277/E$269),IF(A355&lt;=F$270,B$277+(D$278*COS(RADIANS(G$278+((A355-E$270)*H$279/F$269))))-E$278,IF(A355&lt;=G$270,B$279+((A355-F$270)*E$280/G$269),IF(A355&lt;=H$270,B$280+(D$281*COS(RADIANS(G$281+((A355-G$270)*H$282/H$269))))-E$281,IF(A355&lt;=I$270,B$282+((A355-H$270)*E$283/I$269),"CHECK FORMULE"))))))))</f>
        <v>103922.14032002288</v>
      </c>
      <c r="C356" s="296">
        <f t="shared" ref="C356:C419" si="172">IF(A356="","",IF(A355&lt;=C$270,C$273+(A355*F$274/C$269),IF(A355&lt;=D$270,C$274+(D$275*SIN(RADIANS(G$275+((A355-C$270)*H$276/D$269))))-F$275,IF(A355&lt;=E$270,C$276+((A355-D$270)*F$277/E$269),IF(A355&lt;=F$270,C$277+(D$278*SIN(RADIANS(G$278+((A355-E$270)*H$279/F$269))))-F$278,IF(A355&lt;=G$270,C$279+((A355-F$270)*F$280/G$269),IF(A355&lt;=H$270,C$280+(D$281*SIN(RADIANS(G$281+((A355-G$270)*H$282/H$269))))-F$281,IF(A355&lt;=I$270,C$282+((A355-H$270)*F$283/I$269),"CHECK FORMULE"))))))))</f>
        <v>489282.518313498</v>
      </c>
      <c r="D356" s="85">
        <f t="shared" si="130"/>
        <v>1</v>
      </c>
      <c r="E356" s="17">
        <f t="shared" ref="E356:E419" si="173">IF(A356="","",B356-B355)</f>
        <v>0.38768131207325496</v>
      </c>
      <c r="F356" s="17">
        <f t="shared" ref="F356:F419" si="174">IF(A356="","",C356-C355)</f>
        <v>-0.10805969178909436</v>
      </c>
      <c r="G356" s="17" t="str">
        <f t="shared" ref="G356:G419" si="175">IF(E356="","",B356&amp;","&amp;C356)</f>
        <v>103922.140320023,489282.518313498</v>
      </c>
      <c r="H356" s="16">
        <v>66</v>
      </c>
      <c r="I356" s="16">
        <f t="shared" ref="I356:I419" si="176">IF(J356="","",I355+1)</f>
        <v>66</v>
      </c>
      <c r="J356" s="209">
        <f t="shared" ref="J356:J419" si="177">IF(E356="","",(E356^2+F356^2)^0.5)</f>
        <v>0.40245955911171322</v>
      </c>
      <c r="K356" s="209">
        <f t="shared" ref="K356:K419" si="178">IF(E356="","",K355+J356)</f>
        <v>26.159871342304356</v>
      </c>
      <c r="L356" s="692">
        <v>1.2574601173400879</v>
      </c>
      <c r="M356" s="17" t="str">
        <f t="shared" ref="M356:M419" si="179">IF(L356="","",K356&amp;","&amp;L356)</f>
        <v>26.1598713423044,1.25746011734009</v>
      </c>
      <c r="O356" s="85">
        <f t="shared" ref="O356:O387" si="180">IF(O355&lt;W$269,O355+1,"")</f>
        <v>66</v>
      </c>
      <c r="P356" s="85">
        <f t="shared" ref="P356:P387" si="181">IF(O355&lt;=Q$270,P$273+(O355*R$274/Q$269),IF(O355&lt;=R$270,P$274+((O355-Q$270)*R$275/R$269),IF(O355&lt;=S$270,P$275+((O355-R$270)*R$276/S$269),IF(O355&lt;=T$270,P$276+((O355-S$270)*R$277/T$269),IF(O355&lt;=U$270,P$277+((O355-T$270)*R$278/U$269),"Formule bijwerken voor T6")))))</f>
        <v>187.00982042771318</v>
      </c>
      <c r="Q356" s="233">
        <f t="shared" ref="Q356:Q387" si="182">IF(AND(O355&gt;=Q$270,O355&lt;R$270+1),Z$265-DEGREES(ASIN((R$275-(((O355-Q$270)/R$269)*R$275))/Z$266)),IF(AND(O355&gt;=S$270,O355&lt;T$270+1),Z$270-DEGREES(ASIN((((O355-S$270)/T$269)*R$277)/Z$269)),""))</f>
        <v>22</v>
      </c>
      <c r="R356" s="17">
        <f t="shared" ref="R356:R387" si="183">IF(O356="","",P356-P355)</f>
        <v>2.851322315482264</v>
      </c>
      <c r="S356" s="235">
        <f t="shared" si="158"/>
        <v>188.35789569339067</v>
      </c>
      <c r="T356" s="17">
        <f t="shared" ref="T356:T387" si="184">IF(O356="","",S356-S355)</f>
        <v>2.851322315482264</v>
      </c>
      <c r="U356" s="85">
        <f t="shared" ref="U356:U387" si="185">IF(O355&lt;=Q$270,U$273+(O355*V$274/Q$269),IF(O355&lt;=R$270,U$274-Z$266*((COS(RADIANS(Z$265-Q356)))-(COS(RADIANS(Z$265)))),IF(O355&lt;=S$270,U$275+((O355-R$270)*V$276/S$269),IF(O355&lt;=T$270,U$276+Z$269-(Z$269*(COS(RADIANS(Z$270-Q356)))),IF(O355&lt;=U$270,U$277+((O355-T$270)*V$278/U$269),"Formule bijwerken voor  T6")))))</f>
        <v>-9.5</v>
      </c>
      <c r="V356" s="17">
        <f t="shared" ref="V356:V387" si="186">IF(O356="","",U356-U355)</f>
        <v>0</v>
      </c>
      <c r="W356" s="17">
        <f t="shared" si="159"/>
        <v>-8.4907652139663696</v>
      </c>
      <c r="X356" s="17">
        <f t="shared" ref="X356:X387" si="187">IF(O356="","",W356-VLOOKUP(P356,K$290:L$1291,2,TRUE))</f>
        <v>-9.7939567565917969</v>
      </c>
      <c r="Y356" s="85">
        <f t="shared" si="160"/>
        <v>3</v>
      </c>
      <c r="Z356" s="17">
        <f t="shared" si="161"/>
        <v>66</v>
      </c>
      <c r="AA356" s="17" t="str">
        <f t="shared" si="162"/>
        <v>LINE</v>
      </c>
      <c r="AB356" s="17" t="str">
        <f t="shared" si="163"/>
        <v>187.009820427713,1.40572071075439</v>
      </c>
      <c r="AC356" s="17" t="str">
        <f>IF(O356="","",P356&amp;","&amp;AB$287-Variabelen!B$43)</f>
        <v>187.009820427713,-16.0407652139664</v>
      </c>
      <c r="AD356" s="17"/>
      <c r="AE356" s="17"/>
      <c r="AF356" s="17"/>
      <c r="AG356" s="17"/>
      <c r="AH356" s="17"/>
      <c r="AI356" s="17" t="str">
        <f>IF(O356="","",P356-Variabelen!B$36&amp;","&amp;AB$287-Variabelen!B$43+Variabelen!B$36)</f>
        <v>186.929820427713,-15.9607652139664</v>
      </c>
      <c r="AJ356" s="154">
        <f t="shared" si="164"/>
        <v>187.01</v>
      </c>
      <c r="AK356" s="17"/>
      <c r="AL356" s="17"/>
      <c r="AM356" s="17"/>
      <c r="AN356" s="17"/>
      <c r="AO356" s="17"/>
      <c r="AP356" s="17" t="str">
        <f>IF(O356="","",P356-Variabelen!B$36&amp;","&amp;AB$287-Variabelen!B$42+Variabelen!B$36)</f>
        <v>186.929820427713,-13.7607652139664</v>
      </c>
      <c r="AQ356" s="154">
        <f t="shared" si="165"/>
        <v>188.36</v>
      </c>
      <c r="AR356" s="17"/>
      <c r="AS356" s="17"/>
      <c r="AT356" s="17"/>
      <c r="AU356" s="17"/>
      <c r="AV356" s="17" t="str">
        <f t="shared" si="166"/>
        <v>_BR</v>
      </c>
      <c r="AW356" s="17" t="str">
        <f>IF(O356="","",P356-Variabelen!B$36&amp;","&amp;AB$287-Variabelen!B$41+Variabelen!B$36)</f>
        <v>186.929820427713,-11.5607652139664</v>
      </c>
      <c r="AX356" s="17"/>
      <c r="AY356" s="17"/>
      <c r="AZ356" s="154">
        <f t="shared" si="167"/>
        <v>-8.49</v>
      </c>
      <c r="BA356" s="17"/>
      <c r="BB356" s="17"/>
      <c r="BC356" s="17"/>
      <c r="BD356" s="17"/>
      <c r="BE356" s="17" t="str">
        <f t="shared" si="168"/>
        <v>_BR</v>
      </c>
      <c r="BF356" s="17" t="str">
        <f>IF(O356="","",P356-Variabelen!B$36&amp;","&amp;AB$287-Variabelen!B$40+Variabelen!B$36)</f>
        <v>186.929820427713,-9.76076521396637</v>
      </c>
      <c r="BG356" s="17"/>
      <c r="BH356" s="17"/>
      <c r="BI356" s="154">
        <f t="shared" si="169"/>
        <v>-9.7899999999999991</v>
      </c>
      <c r="BJ356" s="17"/>
    </row>
    <row r="357" spans="1:62" x14ac:dyDescent="0.25">
      <c r="A357" s="85">
        <f t="shared" si="170"/>
        <v>67</v>
      </c>
      <c r="B357" s="296">
        <f t="shared" si="171"/>
        <v>103922.52800133495</v>
      </c>
      <c r="C357" s="296">
        <f t="shared" si="172"/>
        <v>489282.41025380621</v>
      </c>
      <c r="D357" s="85">
        <f t="shared" si="130"/>
        <v>1</v>
      </c>
      <c r="E357" s="17">
        <f t="shared" si="173"/>
        <v>0.38768131207325496</v>
      </c>
      <c r="F357" s="17">
        <f t="shared" si="174"/>
        <v>-0.10805969178909436</v>
      </c>
      <c r="G357" s="17" t="str">
        <f t="shared" si="175"/>
        <v>103922.528001335,489282.410253806</v>
      </c>
      <c r="H357" s="16">
        <v>67</v>
      </c>
      <c r="I357" s="16">
        <f t="shared" si="176"/>
        <v>67</v>
      </c>
      <c r="J357" s="209">
        <f t="shared" si="177"/>
        <v>0.40245955911171322</v>
      </c>
      <c r="K357" s="209">
        <f t="shared" si="178"/>
        <v>26.562330901416068</v>
      </c>
      <c r="L357" s="692">
        <v>1.2650072574615481</v>
      </c>
      <c r="M357" s="17" t="str">
        <f t="shared" si="179"/>
        <v>26.5623309014161,1.26500725746155</v>
      </c>
      <c r="O357" s="85">
        <f t="shared" si="180"/>
        <v>67</v>
      </c>
      <c r="P357" s="85">
        <f t="shared" si="181"/>
        <v>190.00667317504048</v>
      </c>
      <c r="Q357" s="233">
        <f t="shared" si="182"/>
        <v>19.853160011715488</v>
      </c>
      <c r="R357" s="17">
        <f t="shared" si="183"/>
        <v>2.9968527473272957</v>
      </c>
      <c r="S357" s="235">
        <f t="shared" ref="S357:S388" si="188">IF(O356&lt;=Q$270,S$273+(O356*T$274/Q$269),IF(O356&lt;=R$270,S$274+(Z$265-DEGREES(ASIN((R$275*(R$269-(O356-Q$270))/R$269)/Z$266)))*2*Z$266*PI()/360,IF(O356&lt;=S$270,S$275+((O356-R$270)*T$276/S$269),IF(O356&lt;=T$270,S$276+(DEGREES(ASIN(((O356-S$270)*(P$277-P$276)/T$269)/Z$269)))*2*Z$269*PI()/360,IF(O356&lt;=U$270,S$277+((O356-T$270)*T$278/U$269),"Formule bijwerken voor T6")))))</f>
        <v>191.35544979811397</v>
      </c>
      <c r="T357" s="17">
        <f t="shared" si="184"/>
        <v>2.9975541047232923</v>
      </c>
      <c r="U357" s="85">
        <f t="shared" si="185"/>
        <v>-9.4438482537014039</v>
      </c>
      <c r="V357" s="17">
        <f t="shared" si="186"/>
        <v>5.6151746298596095E-2</v>
      </c>
      <c r="W357" s="17">
        <f t="shared" si="159"/>
        <v>-8.4346134676677735</v>
      </c>
      <c r="X357" s="17">
        <f t="shared" si="187"/>
        <v>-9.6516493572933229</v>
      </c>
      <c r="Y357" s="85">
        <f t="shared" si="160"/>
        <v>3</v>
      </c>
      <c r="Z357" s="17">
        <f t="shared" si="161"/>
        <v>67</v>
      </c>
      <c r="AA357" s="17" t="str">
        <f t="shared" si="162"/>
        <v>LINE</v>
      </c>
      <c r="AB357" s="17" t="str">
        <f t="shared" si="163"/>
        <v>190.00667317504,1.40572071075439</v>
      </c>
      <c r="AC357" s="17" t="str">
        <f>IF(O357="","",P357&amp;","&amp;AB$287-Variabelen!B$43)</f>
        <v>190.00667317504,-16.0407652139664</v>
      </c>
      <c r="AD357" s="17"/>
      <c r="AE357" s="17"/>
      <c r="AF357" s="17"/>
      <c r="AG357" s="17"/>
      <c r="AH357" s="17"/>
      <c r="AI357" s="17" t="str">
        <f>IF(O357="","",P357-Variabelen!B$36&amp;","&amp;AB$287-Variabelen!B$43+Variabelen!B$36)</f>
        <v>189.92667317504,-15.9607652139664</v>
      </c>
      <c r="AJ357" s="154">
        <f t="shared" si="164"/>
        <v>190.01</v>
      </c>
      <c r="AK357" s="17"/>
      <c r="AL357" s="17"/>
      <c r="AM357" s="17"/>
      <c r="AN357" s="17"/>
      <c r="AO357" s="17"/>
      <c r="AP357" s="17" t="str">
        <f>IF(O357="","",P357-Variabelen!B$36&amp;","&amp;AB$287-Variabelen!B$42+Variabelen!B$36)</f>
        <v>189.92667317504,-13.7607652139664</v>
      </c>
      <c r="AQ357" s="154">
        <f t="shared" si="165"/>
        <v>191.36</v>
      </c>
      <c r="AR357" s="17"/>
      <c r="AS357" s="17"/>
      <c r="AT357" s="17"/>
      <c r="AU357" s="17"/>
      <c r="AV357" s="17" t="str">
        <f t="shared" si="166"/>
        <v>_BR</v>
      </c>
      <c r="AW357" s="17" t="str">
        <f>IF(O357="","",P357-Variabelen!B$36&amp;","&amp;AB$287-Variabelen!B$41+Variabelen!B$36)</f>
        <v>189.92667317504,-11.5607652139664</v>
      </c>
      <c r="AX357" s="17"/>
      <c r="AY357" s="17"/>
      <c r="AZ357" s="154">
        <f t="shared" si="167"/>
        <v>-8.43</v>
      </c>
      <c r="BA357" s="17"/>
      <c r="BB357" s="17"/>
      <c r="BC357" s="17"/>
      <c r="BD357" s="17"/>
      <c r="BE357" s="17" t="str">
        <f t="shared" si="168"/>
        <v>_BR</v>
      </c>
      <c r="BF357" s="17" t="str">
        <f>IF(O357="","",P357-Variabelen!B$36&amp;","&amp;AB$287-Variabelen!B$40+Variabelen!B$36)</f>
        <v>189.92667317504,-9.76076521396637</v>
      </c>
      <c r="BG357" s="17"/>
      <c r="BH357" s="17"/>
      <c r="BI357" s="154">
        <f t="shared" si="169"/>
        <v>-9.65</v>
      </c>
      <c r="BJ357" s="17"/>
    </row>
    <row r="358" spans="1:62" x14ac:dyDescent="0.25">
      <c r="A358" s="85">
        <f t="shared" si="170"/>
        <v>68</v>
      </c>
      <c r="B358" s="296">
        <f t="shared" si="171"/>
        <v>103922.91568264701</v>
      </c>
      <c r="C358" s="296">
        <f t="shared" si="172"/>
        <v>489282.30219411437</v>
      </c>
      <c r="D358" s="85">
        <f t="shared" si="130"/>
        <v>1</v>
      </c>
      <c r="E358" s="17">
        <f t="shared" si="173"/>
        <v>0.38768131205870304</v>
      </c>
      <c r="F358" s="17">
        <f t="shared" si="174"/>
        <v>-0.10805969184730202</v>
      </c>
      <c r="G358" s="17" t="str">
        <f t="shared" si="175"/>
        <v>103922.915682647,489282.302194114</v>
      </c>
      <c r="H358" s="16">
        <v>68</v>
      </c>
      <c r="I358" s="16">
        <f t="shared" si="176"/>
        <v>68</v>
      </c>
      <c r="J358" s="209">
        <f t="shared" si="177"/>
        <v>0.40245955911332426</v>
      </c>
      <c r="K358" s="209">
        <f t="shared" si="178"/>
        <v>26.964790460529393</v>
      </c>
      <c r="L358" s="692">
        <v>1.2589403390884399</v>
      </c>
      <c r="M358" s="17" t="str">
        <f t="shared" si="179"/>
        <v>26.9647904605294,1.25894033908844</v>
      </c>
      <c r="O358" s="85">
        <f t="shared" si="180"/>
        <v>68</v>
      </c>
      <c r="P358" s="85">
        <f t="shared" si="181"/>
        <v>193.00352592236777</v>
      </c>
      <c r="Q358" s="233">
        <f t="shared" si="182"/>
        <v>17.703298522093899</v>
      </c>
      <c r="R358" s="17">
        <f t="shared" si="183"/>
        <v>2.9968527473272957</v>
      </c>
      <c r="S358" s="235">
        <f t="shared" si="188"/>
        <v>194.35722271457209</v>
      </c>
      <c r="T358" s="17">
        <f t="shared" si="184"/>
        <v>3.0017729164581226</v>
      </c>
      <c r="U358" s="85">
        <f t="shared" si="185"/>
        <v>-9.275155872259802</v>
      </c>
      <c r="V358" s="17">
        <f t="shared" si="186"/>
        <v>0.16869238144160192</v>
      </c>
      <c r="W358" s="17">
        <f t="shared" si="159"/>
        <v>-8.2659210862261716</v>
      </c>
      <c r="X358" s="17">
        <f t="shared" si="187"/>
        <v>-9.5263281764132444</v>
      </c>
      <c r="Y358" s="85">
        <f t="shared" si="160"/>
        <v>3</v>
      </c>
      <c r="Z358" s="17">
        <f t="shared" si="161"/>
        <v>68</v>
      </c>
      <c r="AA358" s="17" t="str">
        <f t="shared" si="162"/>
        <v>LINE</v>
      </c>
      <c r="AB358" s="17" t="str">
        <f t="shared" si="163"/>
        <v>193.003525922368,1.40572071075439</v>
      </c>
      <c r="AC358" s="17" t="str">
        <f>IF(O358="","",P358&amp;","&amp;AB$287-Variabelen!B$43)</f>
        <v>193.003525922368,-16.0407652139664</v>
      </c>
      <c r="AD358" s="17"/>
      <c r="AE358" s="17"/>
      <c r="AF358" s="17"/>
      <c r="AG358" s="17"/>
      <c r="AH358" s="17"/>
      <c r="AI358" s="17" t="str">
        <f>IF(O358="","",P358-Variabelen!B$36&amp;","&amp;AB$287-Variabelen!B$43+Variabelen!B$36)</f>
        <v>192.923525922368,-15.9607652139664</v>
      </c>
      <c r="AJ358" s="154">
        <f t="shared" si="164"/>
        <v>193</v>
      </c>
      <c r="AK358" s="17"/>
      <c r="AL358" s="17"/>
      <c r="AM358" s="17"/>
      <c r="AN358" s="17"/>
      <c r="AO358" s="17"/>
      <c r="AP358" s="17" t="str">
        <f>IF(O358="","",P358-Variabelen!B$36&amp;","&amp;AB$287-Variabelen!B$42+Variabelen!B$36)</f>
        <v>192.923525922368,-13.7607652139664</v>
      </c>
      <c r="AQ358" s="154">
        <f t="shared" si="165"/>
        <v>194.36</v>
      </c>
      <c r="AR358" s="17"/>
      <c r="AS358" s="17"/>
      <c r="AT358" s="17"/>
      <c r="AU358" s="17"/>
      <c r="AV358" s="17" t="str">
        <f t="shared" si="166"/>
        <v>_BR</v>
      </c>
      <c r="AW358" s="17" t="str">
        <f>IF(O358="","",P358-Variabelen!B$36&amp;","&amp;AB$287-Variabelen!B$41+Variabelen!B$36)</f>
        <v>192.923525922368,-11.5607652139664</v>
      </c>
      <c r="AX358" s="17"/>
      <c r="AY358" s="17"/>
      <c r="AZ358" s="154">
        <f t="shared" si="167"/>
        <v>-8.27</v>
      </c>
      <c r="BA358" s="17"/>
      <c r="BB358" s="17"/>
      <c r="BC358" s="17"/>
      <c r="BD358" s="17"/>
      <c r="BE358" s="17" t="str">
        <f t="shared" si="168"/>
        <v>_BR</v>
      </c>
      <c r="BF358" s="17" t="str">
        <f>IF(O358="","",P358-Variabelen!B$36&amp;","&amp;AB$287-Variabelen!B$40+Variabelen!B$36)</f>
        <v>192.923525922368,-9.76076521396637</v>
      </c>
      <c r="BG358" s="17"/>
      <c r="BH358" s="17"/>
      <c r="BI358" s="154">
        <f t="shared" si="169"/>
        <v>-9.5299999999999994</v>
      </c>
      <c r="BJ358" s="17"/>
    </row>
    <row r="359" spans="1:62" x14ac:dyDescent="0.25">
      <c r="A359" s="85">
        <f t="shared" si="170"/>
        <v>69</v>
      </c>
      <c r="B359" s="296">
        <f t="shared" si="171"/>
        <v>103923.30336395909</v>
      </c>
      <c r="C359" s="296">
        <f t="shared" si="172"/>
        <v>489282.19413442258</v>
      </c>
      <c r="D359" s="85">
        <f t="shared" si="130"/>
        <v>1</v>
      </c>
      <c r="E359" s="17">
        <f t="shared" si="173"/>
        <v>0.38768131207325496</v>
      </c>
      <c r="F359" s="17">
        <f t="shared" si="174"/>
        <v>-0.10805969178909436</v>
      </c>
      <c r="G359" s="17" t="str">
        <f t="shared" si="175"/>
        <v>103923.303363959,489282.194134423</v>
      </c>
      <c r="H359" s="16">
        <v>69</v>
      </c>
      <c r="I359" s="16">
        <f t="shared" si="176"/>
        <v>69</v>
      </c>
      <c r="J359" s="209">
        <f t="shared" si="177"/>
        <v>0.40245955911171322</v>
      </c>
      <c r="K359" s="209">
        <f t="shared" si="178"/>
        <v>27.367250019641105</v>
      </c>
      <c r="L359" s="692">
        <v>1.253787517547607</v>
      </c>
      <c r="M359" s="17" t="str">
        <f t="shared" si="179"/>
        <v>27.3672500196411,1.25378751754761</v>
      </c>
      <c r="O359" s="85">
        <f t="shared" si="180"/>
        <v>69</v>
      </c>
      <c r="P359" s="85">
        <f t="shared" si="181"/>
        <v>196.00037866969507</v>
      </c>
      <c r="Q359" s="233">
        <f t="shared" si="182"/>
        <v>15.54735554029399</v>
      </c>
      <c r="R359" s="17">
        <f t="shared" si="183"/>
        <v>2.9968527473272957</v>
      </c>
      <c r="S359" s="235">
        <f t="shared" si="188"/>
        <v>197.3674869959859</v>
      </c>
      <c r="T359" s="17">
        <f t="shared" si="184"/>
        <v>3.0102642814138107</v>
      </c>
      <c r="U359" s="85">
        <f t="shared" si="185"/>
        <v>-8.9932063921032892</v>
      </c>
      <c r="V359" s="17">
        <f t="shared" si="186"/>
        <v>0.28194948015651278</v>
      </c>
      <c r="W359" s="17">
        <f t="shared" si="159"/>
        <v>-7.9839716060696588</v>
      </c>
      <c r="X359" s="17">
        <f t="shared" si="187"/>
        <v>-9.2708628280697809</v>
      </c>
      <c r="Y359" s="85">
        <f t="shared" si="160"/>
        <v>3</v>
      </c>
      <c r="Z359" s="17">
        <f t="shared" si="161"/>
        <v>69</v>
      </c>
      <c r="AA359" s="17" t="str">
        <f t="shared" si="162"/>
        <v>LINE</v>
      </c>
      <c r="AB359" s="17" t="str">
        <f t="shared" si="163"/>
        <v>196.000378669695,1.40572071075439</v>
      </c>
      <c r="AC359" s="17" t="str">
        <f>IF(O359="","",P359&amp;","&amp;AB$287-Variabelen!B$43)</f>
        <v>196.000378669695,-16.0407652139664</v>
      </c>
      <c r="AD359" s="17"/>
      <c r="AE359" s="17"/>
      <c r="AF359" s="17"/>
      <c r="AG359" s="17"/>
      <c r="AH359" s="17"/>
      <c r="AI359" s="17" t="str">
        <f>IF(O359="","",P359-Variabelen!B$36&amp;","&amp;AB$287-Variabelen!B$43+Variabelen!B$36)</f>
        <v>195.920378669695,-15.9607652139664</v>
      </c>
      <c r="AJ359" s="154">
        <f t="shared" si="164"/>
        <v>196</v>
      </c>
      <c r="AK359" s="17"/>
      <c r="AL359" s="17"/>
      <c r="AM359" s="17"/>
      <c r="AN359" s="17"/>
      <c r="AO359" s="17"/>
      <c r="AP359" s="17" t="str">
        <f>IF(O359="","",P359-Variabelen!B$36&amp;","&amp;AB$287-Variabelen!B$42+Variabelen!B$36)</f>
        <v>195.920378669695,-13.7607652139664</v>
      </c>
      <c r="AQ359" s="154">
        <f t="shared" si="165"/>
        <v>197.37</v>
      </c>
      <c r="AR359" s="17"/>
      <c r="AS359" s="17"/>
      <c r="AT359" s="17"/>
      <c r="AU359" s="17"/>
      <c r="AV359" s="17" t="str">
        <f t="shared" si="166"/>
        <v>_BR</v>
      </c>
      <c r="AW359" s="17" t="str">
        <f>IF(O359="","",P359-Variabelen!B$36&amp;","&amp;AB$287-Variabelen!B$41+Variabelen!B$36)</f>
        <v>195.920378669695,-11.5607652139664</v>
      </c>
      <c r="AX359" s="17"/>
      <c r="AY359" s="17"/>
      <c r="AZ359" s="154">
        <f t="shared" si="167"/>
        <v>-7.98</v>
      </c>
      <c r="BA359" s="17"/>
      <c r="BB359" s="17"/>
      <c r="BC359" s="17"/>
      <c r="BD359" s="17"/>
      <c r="BE359" s="17" t="str">
        <f t="shared" si="168"/>
        <v>_BR</v>
      </c>
      <c r="BF359" s="17" t="str">
        <f>IF(O359="","",P359-Variabelen!B$36&amp;","&amp;AB$287-Variabelen!B$40+Variabelen!B$36)</f>
        <v>195.920378669695,-9.76076521396637</v>
      </c>
      <c r="BG359" s="17"/>
      <c r="BH359" s="17"/>
      <c r="BI359" s="154">
        <f t="shared" si="169"/>
        <v>-9.27</v>
      </c>
      <c r="BJ359" s="17"/>
    </row>
    <row r="360" spans="1:62" x14ac:dyDescent="0.25">
      <c r="A360" s="85">
        <f t="shared" si="170"/>
        <v>70</v>
      </c>
      <c r="B360" s="296">
        <f t="shared" si="171"/>
        <v>103923.69104527116</v>
      </c>
      <c r="C360" s="296">
        <f t="shared" si="172"/>
        <v>489282.08607473079</v>
      </c>
      <c r="D360" s="85">
        <f t="shared" si="130"/>
        <v>1</v>
      </c>
      <c r="E360" s="17">
        <f t="shared" si="173"/>
        <v>0.38768131207325496</v>
      </c>
      <c r="F360" s="17">
        <f t="shared" si="174"/>
        <v>-0.10805969178909436</v>
      </c>
      <c r="G360" s="17" t="str">
        <f t="shared" si="175"/>
        <v>103923.691045271,489282.086074731</v>
      </c>
      <c r="H360" s="16">
        <v>70</v>
      </c>
      <c r="I360" s="16">
        <f t="shared" si="176"/>
        <v>70</v>
      </c>
      <c r="J360" s="209">
        <f t="shared" si="177"/>
        <v>0.40245955911171322</v>
      </c>
      <c r="K360" s="209">
        <f t="shared" si="178"/>
        <v>27.769709578752817</v>
      </c>
      <c r="L360" s="692">
        <v>1.255601048469543</v>
      </c>
      <c r="M360" s="17" t="str">
        <f t="shared" si="179"/>
        <v>27.7697095787528,1.25560104846954</v>
      </c>
      <c r="O360" s="85">
        <f t="shared" si="180"/>
        <v>70</v>
      </c>
      <c r="P360" s="85">
        <f t="shared" si="181"/>
        <v>198.99723141702236</v>
      </c>
      <c r="Q360" s="233">
        <f t="shared" si="182"/>
        <v>13.38219272284347</v>
      </c>
      <c r="R360" s="17">
        <f t="shared" si="183"/>
        <v>2.9968527473272957</v>
      </c>
      <c r="S360" s="235">
        <f t="shared" si="188"/>
        <v>200.39062459648738</v>
      </c>
      <c r="T360" s="17">
        <f t="shared" si="184"/>
        <v>3.0231376005014852</v>
      </c>
      <c r="U360" s="85">
        <f t="shared" si="185"/>
        <v>-8.5967886691576751</v>
      </c>
      <c r="V360" s="17">
        <f t="shared" si="186"/>
        <v>0.39641772294561406</v>
      </c>
      <c r="W360" s="17">
        <f t="shared" si="159"/>
        <v>-7.5875538831240448</v>
      </c>
      <c r="X360" s="17">
        <f t="shared" si="187"/>
        <v>-8.8470412736422333</v>
      </c>
      <c r="Y360" s="85">
        <f t="shared" si="160"/>
        <v>3</v>
      </c>
      <c r="Z360" s="17">
        <f t="shared" si="161"/>
        <v>70</v>
      </c>
      <c r="AA360" s="17" t="str">
        <f t="shared" si="162"/>
        <v>LINE</v>
      </c>
      <c r="AB360" s="17" t="str">
        <f t="shared" si="163"/>
        <v>198.997231417022,1.40572071075439</v>
      </c>
      <c r="AC360" s="17" t="str">
        <f>IF(O360="","",P360&amp;","&amp;AB$287-Variabelen!B$43)</f>
        <v>198.997231417022,-16.0407652139664</v>
      </c>
      <c r="AD360" s="17"/>
      <c r="AE360" s="17"/>
      <c r="AF360" s="17"/>
      <c r="AG360" s="17"/>
      <c r="AH360" s="17"/>
      <c r="AI360" s="17" t="str">
        <f>IF(O360="","",P360-Variabelen!B$36&amp;","&amp;AB$287-Variabelen!B$43+Variabelen!B$36)</f>
        <v>198.917231417022,-15.9607652139664</v>
      </c>
      <c r="AJ360" s="154">
        <f t="shared" si="164"/>
        <v>199</v>
      </c>
      <c r="AK360" s="17"/>
      <c r="AL360" s="17"/>
      <c r="AM360" s="17"/>
      <c r="AN360" s="17"/>
      <c r="AO360" s="17"/>
      <c r="AP360" s="17" t="str">
        <f>IF(O360="","",P360-Variabelen!B$36&amp;","&amp;AB$287-Variabelen!B$42+Variabelen!B$36)</f>
        <v>198.917231417022,-13.7607652139664</v>
      </c>
      <c r="AQ360" s="154">
        <f t="shared" si="165"/>
        <v>200.39</v>
      </c>
      <c r="AR360" s="17"/>
      <c r="AS360" s="17"/>
      <c r="AT360" s="17"/>
      <c r="AU360" s="17"/>
      <c r="AV360" s="17" t="str">
        <f t="shared" si="166"/>
        <v>_BR</v>
      </c>
      <c r="AW360" s="17" t="str">
        <f>IF(O360="","",P360-Variabelen!B$36&amp;","&amp;AB$287-Variabelen!B$41+Variabelen!B$36)</f>
        <v>198.917231417022,-11.5607652139664</v>
      </c>
      <c r="AX360" s="17"/>
      <c r="AY360" s="17"/>
      <c r="AZ360" s="154">
        <f t="shared" si="167"/>
        <v>-7.59</v>
      </c>
      <c r="BA360" s="17"/>
      <c r="BB360" s="17"/>
      <c r="BC360" s="17"/>
      <c r="BD360" s="17"/>
      <c r="BE360" s="17" t="str">
        <f t="shared" si="168"/>
        <v>_BR</v>
      </c>
      <c r="BF360" s="17" t="str">
        <f>IF(O360="","",P360-Variabelen!B$36&amp;","&amp;AB$287-Variabelen!B$40+Variabelen!B$36)</f>
        <v>198.917231417022,-9.76076521396637</v>
      </c>
      <c r="BG360" s="17"/>
      <c r="BH360" s="17"/>
      <c r="BI360" s="154">
        <f t="shared" si="169"/>
        <v>-8.85</v>
      </c>
      <c r="BJ360" s="17"/>
    </row>
    <row r="361" spans="1:62" x14ac:dyDescent="0.25">
      <c r="A361" s="85">
        <f t="shared" si="170"/>
        <v>71</v>
      </c>
      <c r="B361" s="296">
        <f t="shared" si="171"/>
        <v>103924.07872658323</v>
      </c>
      <c r="C361" s="296">
        <f t="shared" si="172"/>
        <v>489281.978015039</v>
      </c>
      <c r="D361" s="85">
        <f t="shared" ref="D361:D424" si="189">_xlfn.SINGLE(_xlfn.XLOOKUP(B361,B$273:B$284,A$273:A$284,D360))</f>
        <v>1</v>
      </c>
      <c r="E361" s="17">
        <f t="shared" si="173"/>
        <v>0.38768131207325496</v>
      </c>
      <c r="F361" s="17">
        <f t="shared" si="174"/>
        <v>-0.10805969178909436</v>
      </c>
      <c r="G361" s="17" t="str">
        <f t="shared" si="175"/>
        <v>103924.078726583,489281.978015039</v>
      </c>
      <c r="H361" s="16">
        <v>71</v>
      </c>
      <c r="I361" s="16">
        <f t="shared" si="176"/>
        <v>71</v>
      </c>
      <c r="J361" s="209">
        <f t="shared" si="177"/>
        <v>0.40245955911171322</v>
      </c>
      <c r="K361" s="209">
        <f t="shared" si="178"/>
        <v>28.172169137864529</v>
      </c>
      <c r="L361" s="692">
        <v>1.269952654838562</v>
      </c>
      <c r="M361" s="17" t="str">
        <f t="shared" si="179"/>
        <v>28.1721691378645,1.26995265483856</v>
      </c>
      <c r="O361" s="85">
        <f t="shared" si="180"/>
        <v>71</v>
      </c>
      <c r="P361" s="85">
        <f t="shared" si="181"/>
        <v>201.99408416434966</v>
      </c>
      <c r="Q361" s="233">
        <f t="shared" si="182"/>
        <v>11.204550666071698</v>
      </c>
      <c r="R361" s="17">
        <f t="shared" si="183"/>
        <v>2.9968527473272957</v>
      </c>
      <c r="S361" s="235">
        <f t="shared" si="188"/>
        <v>203.43118650213287</v>
      </c>
      <c r="T361" s="17">
        <f t="shared" si="184"/>
        <v>3.0405619056454896</v>
      </c>
      <c r="U361" s="85">
        <f t="shared" si="185"/>
        <v>-8.084170417908723</v>
      </c>
      <c r="V361" s="17">
        <f t="shared" si="186"/>
        <v>0.51261825124895211</v>
      </c>
      <c r="W361" s="17">
        <f t="shared" si="159"/>
        <v>-7.0749356318750927</v>
      </c>
      <c r="X361" s="17">
        <f t="shared" si="187"/>
        <v>-8.3071790505686351</v>
      </c>
      <c r="Y361" s="85">
        <f t="shared" si="160"/>
        <v>3</v>
      </c>
      <c r="Z361" s="17">
        <f t="shared" si="161"/>
        <v>71</v>
      </c>
      <c r="AA361" s="17" t="str">
        <f t="shared" si="162"/>
        <v>LINE</v>
      </c>
      <c r="AB361" s="17" t="str">
        <f t="shared" si="163"/>
        <v>201.99408416435,1.40572071075439</v>
      </c>
      <c r="AC361" s="17" t="str">
        <f>IF(O361="","",P361&amp;","&amp;AB$287-Variabelen!B$43)</f>
        <v>201.99408416435,-16.0407652139664</v>
      </c>
      <c r="AD361" s="17"/>
      <c r="AE361" s="17"/>
      <c r="AF361" s="17"/>
      <c r="AG361" s="17"/>
      <c r="AH361" s="17"/>
      <c r="AI361" s="17" t="str">
        <f>IF(O361="","",P361-Variabelen!B$36&amp;","&amp;AB$287-Variabelen!B$43+Variabelen!B$36)</f>
        <v>201.91408416435,-15.9607652139664</v>
      </c>
      <c r="AJ361" s="154">
        <f t="shared" si="164"/>
        <v>201.99</v>
      </c>
      <c r="AK361" s="17"/>
      <c r="AL361" s="17"/>
      <c r="AM361" s="17"/>
      <c r="AN361" s="17"/>
      <c r="AO361" s="17"/>
      <c r="AP361" s="17" t="str">
        <f>IF(O361="","",P361-Variabelen!B$36&amp;","&amp;AB$287-Variabelen!B$42+Variabelen!B$36)</f>
        <v>201.91408416435,-13.7607652139664</v>
      </c>
      <c r="AQ361" s="154">
        <f t="shared" si="165"/>
        <v>203.43</v>
      </c>
      <c r="AR361" s="17"/>
      <c r="AS361" s="17"/>
      <c r="AT361" s="17"/>
      <c r="AU361" s="17"/>
      <c r="AV361" s="17" t="str">
        <f t="shared" si="166"/>
        <v>_BR</v>
      </c>
      <c r="AW361" s="17" t="str">
        <f>IF(O361="","",P361-Variabelen!B$36&amp;","&amp;AB$287-Variabelen!B$41+Variabelen!B$36)</f>
        <v>201.91408416435,-11.5607652139664</v>
      </c>
      <c r="AX361" s="17"/>
      <c r="AY361" s="17"/>
      <c r="AZ361" s="154">
        <f t="shared" si="167"/>
        <v>-7.07</v>
      </c>
      <c r="BA361" s="17"/>
      <c r="BB361" s="17"/>
      <c r="BC361" s="17"/>
      <c r="BD361" s="17"/>
      <c r="BE361" s="17" t="str">
        <f t="shared" si="168"/>
        <v>_BR</v>
      </c>
      <c r="BF361" s="17" t="str">
        <f>IF(O361="","",P361-Variabelen!B$36&amp;","&amp;AB$287-Variabelen!B$40+Variabelen!B$36)</f>
        <v>201.91408416435,-9.76076521396637</v>
      </c>
      <c r="BG361" s="17"/>
      <c r="BH361" s="17"/>
      <c r="BI361" s="154">
        <f t="shared" si="169"/>
        <v>-8.31</v>
      </c>
      <c r="BJ361" s="17"/>
    </row>
    <row r="362" spans="1:62" x14ac:dyDescent="0.25">
      <c r="A362" s="85">
        <f t="shared" si="170"/>
        <v>72</v>
      </c>
      <c r="B362" s="296">
        <f t="shared" si="171"/>
        <v>103924.46640789529</v>
      </c>
      <c r="C362" s="296">
        <f t="shared" si="172"/>
        <v>489281.86995534715</v>
      </c>
      <c r="D362" s="85">
        <f t="shared" si="189"/>
        <v>1</v>
      </c>
      <c r="E362" s="17">
        <f t="shared" si="173"/>
        <v>0.38768131205870304</v>
      </c>
      <c r="F362" s="17">
        <f t="shared" si="174"/>
        <v>-0.10805969184730202</v>
      </c>
      <c r="G362" s="17" t="str">
        <f t="shared" si="175"/>
        <v>103924.466407895,489281.869955347</v>
      </c>
      <c r="H362" s="16">
        <v>72</v>
      </c>
      <c r="I362" s="16">
        <f t="shared" si="176"/>
        <v>72</v>
      </c>
      <c r="J362" s="209">
        <f t="shared" si="177"/>
        <v>0.40245955911332426</v>
      </c>
      <c r="K362" s="209">
        <f t="shared" si="178"/>
        <v>28.574628696977854</v>
      </c>
      <c r="L362" s="692">
        <v>1.272044897079468</v>
      </c>
      <c r="M362" s="17" t="str">
        <f t="shared" si="179"/>
        <v>28.5746286969779,1.27204489707947</v>
      </c>
      <c r="O362" s="85">
        <f t="shared" si="180"/>
        <v>72</v>
      </c>
      <c r="P362" s="85">
        <f t="shared" si="181"/>
        <v>204.99093691167695</v>
      </c>
      <c r="Q362" s="233">
        <f t="shared" si="182"/>
        <v>9.0110016773586281</v>
      </c>
      <c r="R362" s="17">
        <f t="shared" si="183"/>
        <v>2.9968527473272957</v>
      </c>
      <c r="S362" s="235">
        <f t="shared" si="188"/>
        <v>206.49395867467967</v>
      </c>
      <c r="T362" s="17">
        <f t="shared" si="184"/>
        <v>3.0627721725468007</v>
      </c>
      <c r="U362" s="85">
        <f t="shared" si="185"/>
        <v>-7.453059272809341</v>
      </c>
      <c r="V362" s="17">
        <f t="shared" si="186"/>
        <v>0.63111114509938204</v>
      </c>
      <c r="W362" s="17">
        <f t="shared" si="159"/>
        <v>-6.4438244867757106</v>
      </c>
      <c r="X362" s="17">
        <f t="shared" si="187"/>
        <v>-7.7227692175343776</v>
      </c>
      <c r="Y362" s="85">
        <f t="shared" si="160"/>
        <v>3</v>
      </c>
      <c r="Z362" s="17">
        <f t="shared" si="161"/>
        <v>72</v>
      </c>
      <c r="AA362" s="17" t="str">
        <f t="shared" si="162"/>
        <v>LINE</v>
      </c>
      <c r="AB362" s="17" t="str">
        <f t="shared" si="163"/>
        <v>204.990936911677,1.40572071075439</v>
      </c>
      <c r="AC362" s="17" t="str">
        <f>IF(O362="","",P362&amp;","&amp;AB$287-Variabelen!B$43)</f>
        <v>204.990936911677,-16.0407652139664</v>
      </c>
      <c r="AD362" s="17"/>
      <c r="AE362" s="17"/>
      <c r="AF362" s="17"/>
      <c r="AG362" s="17"/>
      <c r="AH362" s="17"/>
      <c r="AI362" s="17" t="str">
        <f>IF(O362="","",P362-Variabelen!B$36&amp;","&amp;AB$287-Variabelen!B$43+Variabelen!B$36)</f>
        <v>204.910936911677,-15.9607652139664</v>
      </c>
      <c r="AJ362" s="154">
        <f t="shared" si="164"/>
        <v>204.99</v>
      </c>
      <c r="AK362" s="17"/>
      <c r="AL362" s="17"/>
      <c r="AM362" s="17"/>
      <c r="AN362" s="17"/>
      <c r="AO362" s="17"/>
      <c r="AP362" s="17" t="str">
        <f>IF(O362="","",P362-Variabelen!B$36&amp;","&amp;AB$287-Variabelen!B$42+Variabelen!B$36)</f>
        <v>204.910936911677,-13.7607652139664</v>
      </c>
      <c r="AQ362" s="154">
        <f t="shared" si="165"/>
        <v>206.49</v>
      </c>
      <c r="AR362" s="17"/>
      <c r="AS362" s="17"/>
      <c r="AT362" s="17"/>
      <c r="AU362" s="17"/>
      <c r="AV362" s="17" t="str">
        <f t="shared" si="166"/>
        <v>_BR</v>
      </c>
      <c r="AW362" s="17" t="str">
        <f>IF(O362="","",P362-Variabelen!B$36&amp;","&amp;AB$287-Variabelen!B$41+Variabelen!B$36)</f>
        <v>204.910936911677,-11.5607652139664</v>
      </c>
      <c r="AX362" s="17"/>
      <c r="AY362" s="17"/>
      <c r="AZ362" s="154">
        <f t="shared" si="167"/>
        <v>-6.44</v>
      </c>
      <c r="BA362" s="17"/>
      <c r="BB362" s="17"/>
      <c r="BC362" s="17"/>
      <c r="BD362" s="17"/>
      <c r="BE362" s="17" t="str">
        <f t="shared" si="168"/>
        <v>_BR</v>
      </c>
      <c r="BF362" s="17" t="str">
        <f>IF(O362="","",P362-Variabelen!B$36&amp;","&amp;AB$287-Variabelen!B$40+Variabelen!B$36)</f>
        <v>204.910936911677,-9.76076521396637</v>
      </c>
      <c r="BG362" s="17"/>
      <c r="BH362" s="17"/>
      <c r="BI362" s="154">
        <f t="shared" si="169"/>
        <v>-7.72</v>
      </c>
      <c r="BJ362" s="17"/>
    </row>
    <row r="363" spans="1:62" x14ac:dyDescent="0.25">
      <c r="A363" s="85">
        <f t="shared" si="170"/>
        <v>73</v>
      </c>
      <c r="B363" s="296">
        <f t="shared" si="171"/>
        <v>103924.85408920737</v>
      </c>
      <c r="C363" s="296">
        <f t="shared" si="172"/>
        <v>489281.76189565536</v>
      </c>
      <c r="D363" s="85">
        <f t="shared" si="189"/>
        <v>1</v>
      </c>
      <c r="E363" s="17">
        <f t="shared" si="173"/>
        <v>0.38768131207325496</v>
      </c>
      <c r="F363" s="17">
        <f t="shared" si="174"/>
        <v>-0.10805969178909436</v>
      </c>
      <c r="G363" s="17" t="str">
        <f t="shared" si="175"/>
        <v>103924.854089207,489281.761895655</v>
      </c>
      <c r="H363" s="16">
        <v>73</v>
      </c>
      <c r="I363" s="16">
        <f t="shared" si="176"/>
        <v>73</v>
      </c>
      <c r="J363" s="209">
        <f t="shared" si="177"/>
        <v>0.40245955911171322</v>
      </c>
      <c r="K363" s="209">
        <f t="shared" si="178"/>
        <v>28.977088256089566</v>
      </c>
      <c r="L363" s="692">
        <v>1.265913605690002</v>
      </c>
      <c r="M363" s="17" t="str">
        <f t="shared" si="179"/>
        <v>28.9770882560896,1.26591360569</v>
      </c>
      <c r="O363" s="85">
        <f t="shared" si="180"/>
        <v>73</v>
      </c>
      <c r="P363" s="85">
        <f t="shared" si="181"/>
        <v>207.98778965900425</v>
      </c>
      <c r="Q363" s="233">
        <f t="shared" si="182"/>
        <v>6.7978960086474753</v>
      </c>
      <c r="R363" s="17">
        <f t="shared" si="183"/>
        <v>2.9968527473272957</v>
      </c>
      <c r="S363" s="235">
        <f t="shared" si="188"/>
        <v>209.58403712376452</v>
      </c>
      <c r="T363" s="17">
        <f t="shared" si="184"/>
        <v>3.0900784490848423</v>
      </c>
      <c r="U363" s="85">
        <f t="shared" si="185"/>
        <v>-6.7005492657338834</v>
      </c>
      <c r="V363" s="17">
        <f t="shared" si="186"/>
        <v>0.75251000707545757</v>
      </c>
      <c r="W363" s="17">
        <f t="shared" si="159"/>
        <v>-5.6913144797002531</v>
      </c>
      <c r="X363" s="17">
        <f t="shared" si="187"/>
        <v>-6.9705051392232633</v>
      </c>
      <c r="Y363" s="85">
        <f t="shared" si="160"/>
        <v>3</v>
      </c>
      <c r="Z363" s="17">
        <f t="shared" si="161"/>
        <v>73</v>
      </c>
      <c r="AA363" s="17" t="str">
        <f t="shared" si="162"/>
        <v>LINE</v>
      </c>
      <c r="AB363" s="17" t="str">
        <f t="shared" si="163"/>
        <v>207.987789659004,1.40572071075439</v>
      </c>
      <c r="AC363" s="17" t="str">
        <f>IF(O363="","",P363&amp;","&amp;AB$287-Variabelen!B$43)</f>
        <v>207.987789659004,-16.0407652139664</v>
      </c>
      <c r="AD363" s="17"/>
      <c r="AE363" s="17"/>
      <c r="AF363" s="17"/>
      <c r="AG363" s="17"/>
      <c r="AH363" s="17"/>
      <c r="AI363" s="17" t="str">
        <f>IF(O363="","",P363-Variabelen!B$36&amp;","&amp;AB$287-Variabelen!B$43+Variabelen!B$36)</f>
        <v>207.907789659004,-15.9607652139664</v>
      </c>
      <c r="AJ363" s="154">
        <f t="shared" si="164"/>
        <v>207.99</v>
      </c>
      <c r="AK363" s="17"/>
      <c r="AL363" s="17"/>
      <c r="AM363" s="17"/>
      <c r="AN363" s="17"/>
      <c r="AO363" s="17"/>
      <c r="AP363" s="17" t="str">
        <f>IF(O363="","",P363-Variabelen!B$36&amp;","&amp;AB$287-Variabelen!B$42+Variabelen!B$36)</f>
        <v>207.907789659004,-13.7607652139664</v>
      </c>
      <c r="AQ363" s="154">
        <f t="shared" si="165"/>
        <v>209.58</v>
      </c>
      <c r="AR363" s="17"/>
      <c r="AS363" s="17"/>
      <c r="AT363" s="17"/>
      <c r="AU363" s="17"/>
      <c r="AV363" s="17" t="str">
        <f t="shared" si="166"/>
        <v>_BR</v>
      </c>
      <c r="AW363" s="17" t="str">
        <f>IF(O363="","",P363-Variabelen!B$36&amp;","&amp;AB$287-Variabelen!B$41+Variabelen!B$36)</f>
        <v>207.907789659004,-11.5607652139664</v>
      </c>
      <c r="AX363" s="17"/>
      <c r="AY363" s="17"/>
      <c r="AZ363" s="154">
        <f t="shared" si="167"/>
        <v>-5.69</v>
      </c>
      <c r="BA363" s="17"/>
      <c r="BB363" s="17"/>
      <c r="BC363" s="17"/>
      <c r="BD363" s="17"/>
      <c r="BE363" s="17" t="str">
        <f t="shared" si="168"/>
        <v>_BR</v>
      </c>
      <c r="BF363" s="17" t="str">
        <f>IF(O363="","",P363-Variabelen!B$36&amp;","&amp;AB$287-Variabelen!B$40+Variabelen!B$36)</f>
        <v>207.907789659004,-9.76076521396637</v>
      </c>
      <c r="BG363" s="17"/>
      <c r="BH363" s="17"/>
      <c r="BI363" s="154">
        <f t="shared" si="169"/>
        <v>-6.97</v>
      </c>
      <c r="BJ363" s="17"/>
    </row>
    <row r="364" spans="1:62" x14ac:dyDescent="0.25">
      <c r="A364" s="85">
        <f t="shared" si="170"/>
        <v>74</v>
      </c>
      <c r="B364" s="296">
        <f t="shared" si="171"/>
        <v>103925.24177051944</v>
      </c>
      <c r="C364" s="296">
        <f t="shared" si="172"/>
        <v>489281.65383596357</v>
      </c>
      <c r="D364" s="85">
        <f t="shared" si="189"/>
        <v>1</v>
      </c>
      <c r="E364" s="17">
        <f t="shared" si="173"/>
        <v>0.38768131207325496</v>
      </c>
      <c r="F364" s="17">
        <f t="shared" si="174"/>
        <v>-0.10805969178909436</v>
      </c>
      <c r="G364" s="17" t="str">
        <f t="shared" si="175"/>
        <v>103925.241770519,489281.653835964</v>
      </c>
      <c r="H364" s="16">
        <v>74</v>
      </c>
      <c r="I364" s="16">
        <f t="shared" si="176"/>
        <v>74</v>
      </c>
      <c r="J364" s="209">
        <f t="shared" si="177"/>
        <v>0.40245955911171322</v>
      </c>
      <c r="K364" s="209">
        <f t="shared" si="178"/>
        <v>29.379547815201278</v>
      </c>
      <c r="L364" s="692">
        <v>1.268312811851501</v>
      </c>
      <c r="M364" s="17" t="str">
        <f t="shared" si="179"/>
        <v>29.3795478152013,1.2683128118515</v>
      </c>
      <c r="O364" s="85">
        <f t="shared" si="180"/>
        <v>74</v>
      </c>
      <c r="P364" s="85">
        <f t="shared" si="181"/>
        <v>210.98464240633155</v>
      </c>
      <c r="Q364" s="233">
        <f t="shared" si="182"/>
        <v>4.5612990185060838</v>
      </c>
      <c r="R364" s="17">
        <f t="shared" si="183"/>
        <v>2.9968527473272957</v>
      </c>
      <c r="S364" s="235">
        <f t="shared" si="188"/>
        <v>212.70691564521752</v>
      </c>
      <c r="T364" s="17">
        <f t="shared" si="184"/>
        <v>3.1228785214530035</v>
      </c>
      <c r="U364" s="85">
        <f t="shared" si="185"/>
        <v>-5.8230496710761628</v>
      </c>
      <c r="V364" s="17">
        <f t="shared" si="186"/>
        <v>0.87749959465772065</v>
      </c>
      <c r="W364" s="17">
        <f t="shared" si="159"/>
        <v>-4.8138148850425324</v>
      </c>
      <c r="X364" s="17">
        <f t="shared" si="187"/>
        <v>-6.1044552391990266</v>
      </c>
      <c r="Y364" s="85">
        <f t="shared" si="160"/>
        <v>3</v>
      </c>
      <c r="Z364" s="17">
        <f t="shared" si="161"/>
        <v>74</v>
      </c>
      <c r="AA364" s="17" t="str">
        <f t="shared" si="162"/>
        <v>LINE</v>
      </c>
      <c r="AB364" s="17" t="str">
        <f t="shared" si="163"/>
        <v>210.984642406332,1.40572071075439</v>
      </c>
      <c r="AC364" s="17" t="str">
        <f>IF(O364="","",P364&amp;","&amp;AB$287-Variabelen!B$43)</f>
        <v>210.984642406332,-16.0407652139664</v>
      </c>
      <c r="AD364" s="17"/>
      <c r="AE364" s="17"/>
      <c r="AF364" s="17"/>
      <c r="AG364" s="17"/>
      <c r="AH364" s="17"/>
      <c r="AI364" s="17" t="str">
        <f>IF(O364="","",P364-Variabelen!B$36&amp;","&amp;AB$287-Variabelen!B$43+Variabelen!B$36)</f>
        <v>210.904642406332,-15.9607652139664</v>
      </c>
      <c r="AJ364" s="154">
        <f t="shared" si="164"/>
        <v>210.98</v>
      </c>
      <c r="AK364" s="17"/>
      <c r="AL364" s="17"/>
      <c r="AM364" s="17"/>
      <c r="AN364" s="17"/>
      <c r="AO364" s="17"/>
      <c r="AP364" s="17" t="str">
        <f>IF(O364="","",P364-Variabelen!B$36&amp;","&amp;AB$287-Variabelen!B$42+Variabelen!B$36)</f>
        <v>210.904642406332,-13.7607652139664</v>
      </c>
      <c r="AQ364" s="154">
        <f t="shared" si="165"/>
        <v>212.71</v>
      </c>
      <c r="AR364" s="17"/>
      <c r="AS364" s="17"/>
      <c r="AT364" s="17"/>
      <c r="AU364" s="17"/>
      <c r="AV364" s="17" t="str">
        <f t="shared" si="166"/>
        <v>_BR</v>
      </c>
      <c r="AW364" s="17" t="str">
        <f>IF(O364="","",P364-Variabelen!B$36&amp;","&amp;AB$287-Variabelen!B$41+Variabelen!B$36)</f>
        <v>210.904642406332,-11.5607652139664</v>
      </c>
      <c r="AX364" s="17"/>
      <c r="AY364" s="17"/>
      <c r="AZ364" s="154">
        <f t="shared" si="167"/>
        <v>-4.8099999999999996</v>
      </c>
      <c r="BA364" s="17"/>
      <c r="BB364" s="17"/>
      <c r="BC364" s="17"/>
      <c r="BD364" s="17"/>
      <c r="BE364" s="17" t="str">
        <f t="shared" si="168"/>
        <v>_BR</v>
      </c>
      <c r="BF364" s="17" t="str">
        <f>IF(O364="","",P364-Variabelen!B$36&amp;","&amp;AB$287-Variabelen!B$40+Variabelen!B$36)</f>
        <v>210.904642406332,-9.76076521396637</v>
      </c>
      <c r="BG364" s="17"/>
      <c r="BH364" s="17"/>
      <c r="BI364" s="154">
        <f t="shared" si="169"/>
        <v>-6.1</v>
      </c>
      <c r="BJ364" s="17"/>
    </row>
    <row r="365" spans="1:62" x14ac:dyDescent="0.25">
      <c r="A365" s="85">
        <f t="shared" si="170"/>
        <v>75</v>
      </c>
      <c r="B365" s="296">
        <f t="shared" si="171"/>
        <v>103925.62945183151</v>
      </c>
      <c r="C365" s="296">
        <f t="shared" si="172"/>
        <v>489281.54577627179</v>
      </c>
      <c r="D365" s="85">
        <f t="shared" si="189"/>
        <v>1</v>
      </c>
      <c r="E365" s="17">
        <f t="shared" si="173"/>
        <v>0.38768131207325496</v>
      </c>
      <c r="F365" s="17">
        <f t="shared" si="174"/>
        <v>-0.10805969178909436</v>
      </c>
      <c r="G365" s="17" t="str">
        <f t="shared" si="175"/>
        <v>103925.629451832,489281.545776272</v>
      </c>
      <c r="H365" s="16">
        <v>75</v>
      </c>
      <c r="I365" s="16">
        <f t="shared" si="176"/>
        <v>75</v>
      </c>
      <c r="J365" s="209">
        <f t="shared" si="177"/>
        <v>0.40245955911171322</v>
      </c>
      <c r="K365" s="209">
        <f t="shared" si="178"/>
        <v>29.78200737431299</v>
      </c>
      <c r="L365" s="692">
        <v>1.267113924026489</v>
      </c>
      <c r="M365" s="17" t="str">
        <f t="shared" si="179"/>
        <v>29.782007374313,1.26711392402649</v>
      </c>
      <c r="O365" s="85">
        <f t="shared" si="180"/>
        <v>75</v>
      </c>
      <c r="P365" s="85">
        <f t="shared" si="181"/>
        <v>213.98149515365884</v>
      </c>
      <c r="Q365" s="233">
        <f t="shared" si="182"/>
        <v>2.2969159641404779</v>
      </c>
      <c r="R365" s="17">
        <f t="shared" si="183"/>
        <v>2.9968527473272957</v>
      </c>
      <c r="S365" s="235">
        <f t="shared" si="188"/>
        <v>215.86859083122116</v>
      </c>
      <c r="T365" s="17">
        <f t="shared" si="184"/>
        <v>3.1616751860036345</v>
      </c>
      <c r="U365" s="85">
        <f t="shared" si="185"/>
        <v>-4.8161919010632488</v>
      </c>
      <c r="V365" s="17">
        <f t="shared" si="186"/>
        <v>1.006857770012914</v>
      </c>
      <c r="W365" s="17">
        <f t="shared" si="159"/>
        <v>-3.8069571150296189</v>
      </c>
      <c r="X365" s="17">
        <f t="shared" si="187"/>
        <v>-5.0980682266705486</v>
      </c>
      <c r="Y365" s="85">
        <f t="shared" si="160"/>
        <v>3</v>
      </c>
      <c r="Z365" s="17">
        <f t="shared" si="161"/>
        <v>75</v>
      </c>
      <c r="AA365" s="17" t="str">
        <f t="shared" si="162"/>
        <v>LINE</v>
      </c>
      <c r="AB365" s="17" t="str">
        <f t="shared" si="163"/>
        <v>213.981495153659,1.40572071075439</v>
      </c>
      <c r="AC365" s="17" t="str">
        <f>IF(O365="","",P365&amp;","&amp;AB$287-Variabelen!B$43)</f>
        <v>213.981495153659,-16.0407652139664</v>
      </c>
      <c r="AD365" s="17"/>
      <c r="AE365" s="17"/>
      <c r="AF365" s="17"/>
      <c r="AG365" s="17"/>
      <c r="AH365" s="17"/>
      <c r="AI365" s="17" t="str">
        <f>IF(O365="","",P365-Variabelen!B$36&amp;","&amp;AB$287-Variabelen!B$43+Variabelen!B$36)</f>
        <v>213.901495153659,-15.9607652139664</v>
      </c>
      <c r="AJ365" s="154">
        <f t="shared" si="164"/>
        <v>213.98</v>
      </c>
      <c r="AK365" s="17"/>
      <c r="AL365" s="17"/>
      <c r="AM365" s="17"/>
      <c r="AN365" s="17"/>
      <c r="AO365" s="17"/>
      <c r="AP365" s="17" t="str">
        <f>IF(O365="","",P365-Variabelen!B$36&amp;","&amp;AB$287-Variabelen!B$42+Variabelen!B$36)</f>
        <v>213.901495153659,-13.7607652139664</v>
      </c>
      <c r="AQ365" s="154">
        <f t="shared" si="165"/>
        <v>215.87</v>
      </c>
      <c r="AR365" s="17"/>
      <c r="AS365" s="17"/>
      <c r="AT365" s="17"/>
      <c r="AU365" s="17"/>
      <c r="AV365" s="17" t="str">
        <f t="shared" si="166"/>
        <v>_BR</v>
      </c>
      <c r="AW365" s="17" t="str">
        <f>IF(O365="","",P365-Variabelen!B$36&amp;","&amp;AB$287-Variabelen!B$41+Variabelen!B$36)</f>
        <v>213.901495153659,-11.5607652139664</v>
      </c>
      <c r="AX365" s="17"/>
      <c r="AY365" s="17"/>
      <c r="AZ365" s="154">
        <f t="shared" si="167"/>
        <v>-3.81</v>
      </c>
      <c r="BA365" s="17"/>
      <c r="BB365" s="17"/>
      <c r="BC365" s="17"/>
      <c r="BD365" s="17"/>
      <c r="BE365" s="17" t="str">
        <f t="shared" si="168"/>
        <v>_BR</v>
      </c>
      <c r="BF365" s="17" t="str">
        <f>IF(O365="","",P365-Variabelen!B$36&amp;","&amp;AB$287-Variabelen!B$40+Variabelen!B$36)</f>
        <v>213.901495153659,-9.76076521396637</v>
      </c>
      <c r="BG365" s="17"/>
      <c r="BH365" s="17"/>
      <c r="BI365" s="154">
        <f t="shared" si="169"/>
        <v>-5.0999999999999996</v>
      </c>
      <c r="BJ365" s="17"/>
    </row>
    <row r="366" spans="1:62" x14ac:dyDescent="0.25">
      <c r="A366" s="85">
        <f t="shared" si="170"/>
        <v>76</v>
      </c>
      <c r="B366" s="296">
        <f t="shared" si="171"/>
        <v>103926.01713314357</v>
      </c>
      <c r="C366" s="296">
        <f t="shared" si="172"/>
        <v>489281.43771657994</v>
      </c>
      <c r="D366" s="85">
        <f t="shared" si="189"/>
        <v>1</v>
      </c>
      <c r="E366" s="17">
        <f t="shared" si="173"/>
        <v>0.38768131205870304</v>
      </c>
      <c r="F366" s="17">
        <f t="shared" si="174"/>
        <v>-0.10805969184730202</v>
      </c>
      <c r="G366" s="17" t="str">
        <f t="shared" si="175"/>
        <v>103926.017133144,489281.43771658</v>
      </c>
      <c r="H366" s="16">
        <v>76</v>
      </c>
      <c r="I366" s="16">
        <f t="shared" si="176"/>
        <v>76</v>
      </c>
      <c r="J366" s="209">
        <f t="shared" si="177"/>
        <v>0.40245955911332426</v>
      </c>
      <c r="K366" s="209">
        <f t="shared" si="178"/>
        <v>30.184466933426314</v>
      </c>
      <c r="L366" s="692">
        <v>1.259196281433105</v>
      </c>
      <c r="M366" s="17" t="str">
        <f t="shared" si="179"/>
        <v>30.1844669334263,1.25919628143311</v>
      </c>
      <c r="O366" s="85">
        <f t="shared" si="180"/>
        <v>76</v>
      </c>
      <c r="P366" s="85">
        <f t="shared" si="181"/>
        <v>216.97834790098614</v>
      </c>
      <c r="Q366" s="233">
        <f t="shared" si="182"/>
        <v>3.5527136788005009E-15</v>
      </c>
      <c r="R366" s="17">
        <f t="shared" si="183"/>
        <v>2.9968527473272957</v>
      </c>
      <c r="S366" s="235">
        <f t="shared" si="188"/>
        <v>219.07569052849087</v>
      </c>
      <c r="T366" s="17">
        <f t="shared" si="184"/>
        <v>3.2070996972697117</v>
      </c>
      <c r="U366" s="85">
        <f t="shared" si="185"/>
        <v>-3.6747083653429939</v>
      </c>
      <c r="V366" s="17">
        <f t="shared" si="186"/>
        <v>1.1414835357202548</v>
      </c>
      <c r="W366" s="17">
        <f t="shared" si="159"/>
        <v>-2.665473579309364</v>
      </c>
      <c r="X366" s="17">
        <f t="shared" si="187"/>
        <v>-3.9681218852023079</v>
      </c>
      <c r="Y366" s="85">
        <f t="shared" si="160"/>
        <v>4</v>
      </c>
      <c r="Z366" s="17">
        <f t="shared" si="161"/>
        <v>76</v>
      </c>
      <c r="AA366" s="17" t="str">
        <f t="shared" si="162"/>
        <v>LINE</v>
      </c>
      <c r="AB366" s="17" t="str">
        <f t="shared" si="163"/>
        <v>216.978347900986,1.40572071075439</v>
      </c>
      <c r="AC366" s="17" t="str">
        <f>IF(O366="","",P366&amp;","&amp;AB$287-Variabelen!B$43)</f>
        <v>216.978347900986,-16.0407652139664</v>
      </c>
      <c r="AD366" s="17"/>
      <c r="AE366" s="17"/>
      <c r="AF366" s="17"/>
      <c r="AG366" s="17"/>
      <c r="AH366" s="17"/>
      <c r="AI366" s="17" t="str">
        <f>IF(O366="","",P366-Variabelen!B$36&amp;","&amp;AB$287-Variabelen!B$43+Variabelen!B$36)</f>
        <v>216.898347900986,-15.9607652139664</v>
      </c>
      <c r="AJ366" s="154">
        <f t="shared" si="164"/>
        <v>216.98</v>
      </c>
      <c r="AK366" s="17"/>
      <c r="AL366" s="17"/>
      <c r="AM366" s="17"/>
      <c r="AN366" s="17"/>
      <c r="AO366" s="17"/>
      <c r="AP366" s="17" t="str">
        <f>IF(O366="","",P366-Variabelen!B$36&amp;","&amp;AB$287-Variabelen!B$42+Variabelen!B$36)</f>
        <v>216.898347900986,-13.7607652139664</v>
      </c>
      <c r="AQ366" s="154">
        <f t="shared" si="165"/>
        <v>219.08</v>
      </c>
      <c r="AR366" s="17"/>
      <c r="AS366" s="17"/>
      <c r="AT366" s="17"/>
      <c r="AU366" s="17"/>
      <c r="AV366" s="17" t="str">
        <f t="shared" si="166"/>
        <v>_BR</v>
      </c>
      <c r="AW366" s="17" t="str">
        <f>IF(O366="","",P366-Variabelen!B$36&amp;","&amp;AB$287-Variabelen!B$41+Variabelen!B$36)</f>
        <v>216.898347900986,-11.5607652139664</v>
      </c>
      <c r="AX366" s="17"/>
      <c r="AY366" s="17"/>
      <c r="AZ366" s="154">
        <f t="shared" si="167"/>
        <v>-2.67</v>
      </c>
      <c r="BA366" s="17"/>
      <c r="BB366" s="17"/>
      <c r="BC366" s="17"/>
      <c r="BD366" s="17"/>
      <c r="BE366" s="17" t="str">
        <f t="shared" si="168"/>
        <v>_BR</v>
      </c>
      <c r="BF366" s="17" t="str">
        <f>IF(O366="","",P366-Variabelen!B$36&amp;","&amp;AB$287-Variabelen!B$40+Variabelen!B$36)</f>
        <v>216.898347900986,-9.76076521396637</v>
      </c>
      <c r="BG366" s="17"/>
      <c r="BH366" s="17"/>
      <c r="BI366" s="154">
        <f t="shared" si="169"/>
        <v>-3.97</v>
      </c>
      <c r="BJ366" s="17"/>
    </row>
    <row r="367" spans="1:62" x14ac:dyDescent="0.25">
      <c r="A367" s="85">
        <f t="shared" si="170"/>
        <v>77</v>
      </c>
      <c r="B367" s="296">
        <f t="shared" si="171"/>
        <v>103926.40481445564</v>
      </c>
      <c r="C367" s="296">
        <f t="shared" si="172"/>
        <v>489281.32965688815</v>
      </c>
      <c r="D367" s="85">
        <f t="shared" si="189"/>
        <v>1</v>
      </c>
      <c r="E367" s="17">
        <f t="shared" si="173"/>
        <v>0.38768131207325496</v>
      </c>
      <c r="F367" s="17">
        <f t="shared" si="174"/>
        <v>-0.10805969178909436</v>
      </c>
      <c r="G367" s="17" t="str">
        <f t="shared" si="175"/>
        <v>103926.404814456,489281.329656888</v>
      </c>
      <c r="H367" s="16">
        <v>77</v>
      </c>
      <c r="I367" s="16">
        <f t="shared" si="176"/>
        <v>77</v>
      </c>
      <c r="J367" s="209">
        <f t="shared" si="177"/>
        <v>0.40245955911171322</v>
      </c>
      <c r="K367" s="209">
        <f t="shared" si="178"/>
        <v>30.586926492538026</v>
      </c>
      <c r="L367" s="692">
        <v>1.260359525680542</v>
      </c>
      <c r="M367" s="17" t="str">
        <f t="shared" si="179"/>
        <v>30.586926492538,1.26035952568054</v>
      </c>
      <c r="O367" s="85">
        <f t="shared" si="180"/>
        <v>77</v>
      </c>
      <c r="P367" s="85">
        <f t="shared" si="181"/>
        <v>220.22646222452116</v>
      </c>
      <c r="Q367" s="233" t="str">
        <f t="shared" si="182"/>
        <v/>
      </c>
      <c r="R367" s="17">
        <f t="shared" si="183"/>
        <v>3.2481143235350203</v>
      </c>
      <c r="S367" s="235">
        <f t="shared" si="188"/>
        <v>222.57889467461209</v>
      </c>
      <c r="T367" s="17">
        <f t="shared" si="184"/>
        <v>3.5032041461212202</v>
      </c>
      <c r="U367" s="85">
        <f t="shared" si="185"/>
        <v>-2.362384994124028</v>
      </c>
      <c r="V367" s="17">
        <f t="shared" si="186"/>
        <v>1.3123233712189659</v>
      </c>
      <c r="W367" s="17">
        <f t="shared" si="159"/>
        <v>-1.3531502080903981</v>
      </c>
      <c r="X367" s="17">
        <f t="shared" si="187"/>
        <v>-2.6283851457582452</v>
      </c>
      <c r="Y367" s="85">
        <f t="shared" si="160"/>
        <v>4</v>
      </c>
      <c r="Z367" s="17">
        <f t="shared" si="161"/>
        <v>77</v>
      </c>
      <c r="AA367" s="17" t="str">
        <f t="shared" si="162"/>
        <v>LINE</v>
      </c>
      <c r="AB367" s="17" t="str">
        <f t="shared" si="163"/>
        <v>220.226462224521,1.40572071075439</v>
      </c>
      <c r="AC367" s="17" t="str">
        <f>IF(O367="","",P367&amp;","&amp;AB$287-Variabelen!B$43)</f>
        <v>220.226462224521,-16.0407652139664</v>
      </c>
      <c r="AD367" s="17"/>
      <c r="AE367" s="17"/>
      <c r="AF367" s="17"/>
      <c r="AG367" s="17"/>
      <c r="AH367" s="17"/>
      <c r="AI367" s="17" t="str">
        <f>IF(O367="","",P367-Variabelen!B$36&amp;","&amp;AB$287-Variabelen!B$43+Variabelen!B$36)</f>
        <v>220.146462224521,-15.9607652139664</v>
      </c>
      <c r="AJ367" s="154">
        <f t="shared" si="164"/>
        <v>220.23</v>
      </c>
      <c r="AK367" s="17"/>
      <c r="AL367" s="17"/>
      <c r="AM367" s="17"/>
      <c r="AN367" s="17"/>
      <c r="AO367" s="17"/>
      <c r="AP367" s="17" t="str">
        <f>IF(O367="","",P367-Variabelen!B$36&amp;","&amp;AB$287-Variabelen!B$42+Variabelen!B$36)</f>
        <v>220.146462224521,-13.7607652139664</v>
      </c>
      <c r="AQ367" s="154">
        <f t="shared" si="165"/>
        <v>222.58</v>
      </c>
      <c r="AR367" s="17"/>
      <c r="AS367" s="17"/>
      <c r="AT367" s="17"/>
      <c r="AU367" s="17"/>
      <c r="AV367" s="17" t="str">
        <f t="shared" si="166"/>
        <v>_BR</v>
      </c>
      <c r="AW367" s="17" t="str">
        <f>IF(O367="","",P367-Variabelen!B$36&amp;","&amp;AB$287-Variabelen!B$41+Variabelen!B$36)</f>
        <v>220.146462224521,-11.5607652139664</v>
      </c>
      <c r="AX367" s="17"/>
      <c r="AY367" s="17"/>
      <c r="AZ367" s="154">
        <f t="shared" si="167"/>
        <v>-1.35</v>
      </c>
      <c r="BA367" s="17"/>
      <c r="BB367" s="17"/>
      <c r="BC367" s="17"/>
      <c r="BD367" s="17"/>
      <c r="BE367" s="17" t="str">
        <f t="shared" si="168"/>
        <v>_BR</v>
      </c>
      <c r="BF367" s="17" t="str">
        <f>IF(O367="","",P367-Variabelen!B$36&amp;","&amp;AB$287-Variabelen!B$40+Variabelen!B$36)</f>
        <v>220.146462224521,-9.76076521396637</v>
      </c>
      <c r="BG367" s="17"/>
      <c r="BH367" s="17"/>
      <c r="BI367" s="154">
        <f t="shared" si="169"/>
        <v>-2.63</v>
      </c>
      <c r="BJ367" s="17"/>
    </row>
    <row r="368" spans="1:62" x14ac:dyDescent="0.25">
      <c r="A368" s="85">
        <f t="shared" si="170"/>
        <v>78</v>
      </c>
      <c r="B368" s="296">
        <f t="shared" si="171"/>
        <v>103926.79249576772</v>
      </c>
      <c r="C368" s="296">
        <f t="shared" si="172"/>
        <v>489281.22159719636</v>
      </c>
      <c r="D368" s="85">
        <f t="shared" si="189"/>
        <v>1</v>
      </c>
      <c r="E368" s="17">
        <f t="shared" si="173"/>
        <v>0.38768131207325496</v>
      </c>
      <c r="F368" s="17">
        <f t="shared" si="174"/>
        <v>-0.10805969178909436</v>
      </c>
      <c r="G368" s="17" t="str">
        <f t="shared" si="175"/>
        <v>103926.792495768,489281.221597196</v>
      </c>
      <c r="H368" s="16">
        <v>78</v>
      </c>
      <c r="I368" s="16">
        <f t="shared" si="176"/>
        <v>78</v>
      </c>
      <c r="J368" s="209">
        <f t="shared" si="177"/>
        <v>0.40245955911171322</v>
      </c>
      <c r="K368" s="209">
        <f t="shared" si="178"/>
        <v>30.989386051649738</v>
      </c>
      <c r="L368" s="692">
        <v>1.2715133428573611</v>
      </c>
      <c r="M368" s="17" t="str">
        <f t="shared" si="179"/>
        <v>30.9893860516497,1.27151334285736</v>
      </c>
      <c r="O368" s="85">
        <f t="shared" si="180"/>
        <v>78</v>
      </c>
      <c r="P368" s="85">
        <f t="shared" si="181"/>
        <v>223.47457654805618</v>
      </c>
      <c r="Q368" s="233" t="str">
        <f t="shared" si="182"/>
        <v/>
      </c>
      <c r="R368" s="17">
        <f t="shared" si="183"/>
        <v>3.2481143235350203</v>
      </c>
      <c r="S368" s="235">
        <f t="shared" si="188"/>
        <v>226.08209882073328</v>
      </c>
      <c r="T368" s="17">
        <f t="shared" si="184"/>
        <v>3.5032041461211918</v>
      </c>
      <c r="U368" s="85">
        <f t="shared" si="185"/>
        <v>-1.0500616229050621</v>
      </c>
      <c r="V368" s="17">
        <f t="shared" si="186"/>
        <v>1.3123233712189659</v>
      </c>
      <c r="W368" s="17">
        <f t="shared" si="159"/>
        <v>-4.0826836871432182E-2</v>
      </c>
      <c r="X368" s="17">
        <f t="shared" si="187"/>
        <v>-1.3260589039795863</v>
      </c>
      <c r="Y368" s="85">
        <f t="shared" si="160"/>
        <v>4</v>
      </c>
      <c r="Z368" s="17">
        <f t="shared" si="161"/>
        <v>78</v>
      </c>
      <c r="AA368" s="17" t="str">
        <f t="shared" si="162"/>
        <v>LINE</v>
      </c>
      <c r="AB368" s="17" t="str">
        <f t="shared" si="163"/>
        <v>223.474576548056,1.40572071075439</v>
      </c>
      <c r="AC368" s="17" t="str">
        <f>IF(O368="","",P368&amp;","&amp;AB$287-Variabelen!B$43)</f>
        <v>223.474576548056,-16.0407652139664</v>
      </c>
      <c r="AD368" s="17"/>
      <c r="AE368" s="17"/>
      <c r="AF368" s="17"/>
      <c r="AG368" s="17"/>
      <c r="AH368" s="17"/>
      <c r="AI368" s="17" t="str">
        <f>IF(O368="","",P368-Variabelen!B$36&amp;","&amp;AB$287-Variabelen!B$43+Variabelen!B$36)</f>
        <v>223.394576548056,-15.9607652139664</v>
      </c>
      <c r="AJ368" s="154">
        <f t="shared" si="164"/>
        <v>223.47</v>
      </c>
      <c r="AK368" s="17"/>
      <c r="AL368" s="17"/>
      <c r="AM368" s="17"/>
      <c r="AN368" s="17"/>
      <c r="AO368" s="17"/>
      <c r="AP368" s="17" t="str">
        <f>IF(O368="","",P368-Variabelen!B$36&amp;","&amp;AB$287-Variabelen!B$42+Variabelen!B$36)</f>
        <v>223.394576548056,-13.7607652139664</v>
      </c>
      <c r="AQ368" s="154">
        <f t="shared" si="165"/>
        <v>226.08</v>
      </c>
      <c r="AR368" s="17"/>
      <c r="AS368" s="17"/>
      <c r="AT368" s="17"/>
      <c r="AU368" s="17"/>
      <c r="AV368" s="17" t="str">
        <f t="shared" si="166"/>
        <v>_BR</v>
      </c>
      <c r="AW368" s="17" t="str">
        <f>IF(O368="","",P368-Variabelen!B$36&amp;","&amp;AB$287-Variabelen!B$41+Variabelen!B$36)</f>
        <v>223.394576548056,-11.5607652139664</v>
      </c>
      <c r="AX368" s="17"/>
      <c r="AY368" s="17"/>
      <c r="AZ368" s="154">
        <f t="shared" si="167"/>
        <v>-0.04</v>
      </c>
      <c r="BA368" s="17"/>
      <c r="BB368" s="17"/>
      <c r="BC368" s="17"/>
      <c r="BD368" s="17"/>
      <c r="BE368" s="17" t="str">
        <f t="shared" si="168"/>
        <v>_BR</v>
      </c>
      <c r="BF368" s="17" t="str">
        <f>IF(O368="","",P368-Variabelen!B$36&amp;","&amp;AB$287-Variabelen!B$40+Variabelen!B$36)</f>
        <v>223.394576548056,-9.76076521396637</v>
      </c>
      <c r="BG368" s="17"/>
      <c r="BH368" s="17"/>
      <c r="BI368" s="154">
        <f t="shared" si="169"/>
        <v>-1.33</v>
      </c>
      <c r="BJ368" s="17"/>
    </row>
    <row r="369" spans="1:62" x14ac:dyDescent="0.25">
      <c r="A369" s="85">
        <f t="shared" si="170"/>
        <v>79</v>
      </c>
      <c r="B369" s="296">
        <f t="shared" si="171"/>
        <v>103927.18017707979</v>
      </c>
      <c r="C369" s="296">
        <f t="shared" si="172"/>
        <v>489281.11353750451</v>
      </c>
      <c r="D369" s="85">
        <f t="shared" si="189"/>
        <v>1</v>
      </c>
      <c r="E369" s="17">
        <f t="shared" si="173"/>
        <v>0.38768131207325496</v>
      </c>
      <c r="F369" s="17">
        <f t="shared" si="174"/>
        <v>-0.10805969184730202</v>
      </c>
      <c r="G369" s="17" t="str">
        <f t="shared" si="175"/>
        <v>103927.18017708,489281.113537505</v>
      </c>
      <c r="H369" s="16">
        <v>79</v>
      </c>
      <c r="I369" s="16">
        <f t="shared" si="176"/>
        <v>79</v>
      </c>
      <c r="J369" s="209">
        <f t="shared" si="177"/>
        <v>0.40245955912734188</v>
      </c>
      <c r="K369" s="209">
        <f t="shared" si="178"/>
        <v>31.391845610777079</v>
      </c>
      <c r="L369" s="692">
        <v>1.277105569839478</v>
      </c>
      <c r="M369" s="17" t="str">
        <f t="shared" si="179"/>
        <v>31.3918456107771,1.27710556983948</v>
      </c>
      <c r="O369" s="85">
        <f t="shared" si="180"/>
        <v>79</v>
      </c>
      <c r="P369" s="85">
        <f t="shared" si="181"/>
        <v>226.7226908715912</v>
      </c>
      <c r="Q369" s="233" t="str">
        <f t="shared" si="182"/>
        <v/>
      </c>
      <c r="R369" s="17">
        <f t="shared" si="183"/>
        <v>3.2481143235350203</v>
      </c>
      <c r="S369" s="235">
        <f t="shared" si="188"/>
        <v>229.5853029668545</v>
      </c>
      <c r="T369" s="17">
        <f t="shared" si="184"/>
        <v>3.5032041461212202</v>
      </c>
      <c r="U369" s="85">
        <f t="shared" si="185"/>
        <v>0.26226174831390381</v>
      </c>
      <c r="V369" s="17">
        <f t="shared" si="186"/>
        <v>1.3123233712189659</v>
      </c>
      <c r="W369" s="17">
        <f t="shared" si="159"/>
        <v>1.2714965343475337</v>
      </c>
      <c r="X369" s="17">
        <f t="shared" si="187"/>
        <v>-2.2204460492503131E-16</v>
      </c>
      <c r="Y369" s="85">
        <f t="shared" si="160"/>
        <v>5</v>
      </c>
      <c r="Z369" s="17">
        <f t="shared" si="161"/>
        <v>79</v>
      </c>
      <c r="AA369" s="17" t="str">
        <f t="shared" si="162"/>
        <v>LINE</v>
      </c>
      <c r="AB369" s="17" t="str">
        <f t="shared" si="163"/>
        <v>226.722690871591,1.40572071075439</v>
      </c>
      <c r="AC369" s="17" t="str">
        <f>IF(O369="","",P369&amp;","&amp;AB$287-Variabelen!B$43)</f>
        <v>226.722690871591,-16.0407652139664</v>
      </c>
      <c r="AD369" s="17"/>
      <c r="AE369" s="17"/>
      <c r="AF369" s="17"/>
      <c r="AG369" s="17"/>
      <c r="AH369" s="17"/>
      <c r="AI369" s="17" t="str">
        <f>IF(O369="","",P369-Variabelen!B$36&amp;","&amp;AB$287-Variabelen!B$43+Variabelen!B$36)</f>
        <v>226.642690871591,-15.9607652139664</v>
      </c>
      <c r="AJ369" s="154">
        <f t="shared" si="164"/>
        <v>226.72</v>
      </c>
      <c r="AK369" s="17"/>
      <c r="AL369" s="17"/>
      <c r="AM369" s="17"/>
      <c r="AN369" s="17"/>
      <c r="AO369" s="17"/>
      <c r="AP369" s="17" t="str">
        <f>IF(O369="","",P369-Variabelen!B$36&amp;","&amp;AB$287-Variabelen!B$42+Variabelen!B$36)</f>
        <v>226.642690871591,-13.7607652139664</v>
      </c>
      <c r="AQ369" s="154">
        <f t="shared" si="165"/>
        <v>229.59</v>
      </c>
      <c r="AR369" s="17"/>
      <c r="AS369" s="17"/>
      <c r="AT369" s="17"/>
      <c r="AU369" s="17"/>
      <c r="AV369" s="17" t="str">
        <f t="shared" si="166"/>
        <v>_BR</v>
      </c>
      <c r="AW369" s="17" t="str">
        <f>IF(O369="","",P369-Variabelen!B$36&amp;","&amp;AB$287-Variabelen!B$41+Variabelen!B$36)</f>
        <v>226.642690871591,-11.5607652139664</v>
      </c>
      <c r="AX369" s="17"/>
      <c r="AY369" s="17"/>
      <c r="AZ369" s="154">
        <f t="shared" si="167"/>
        <v>1.27</v>
      </c>
      <c r="BA369" s="17"/>
      <c r="BB369" s="17"/>
      <c r="BC369" s="17"/>
      <c r="BD369" s="17"/>
      <c r="BE369" s="17" t="str">
        <f t="shared" si="168"/>
        <v>_BR</v>
      </c>
      <c r="BF369" s="17" t="str">
        <f>IF(O369="","",P369-Variabelen!B$36&amp;","&amp;AB$287-Variabelen!B$40+Variabelen!B$36)</f>
        <v>226.642690871591,-9.76076521396637</v>
      </c>
      <c r="BG369" s="17"/>
      <c r="BH369" s="17"/>
      <c r="BI369" s="154">
        <f t="shared" si="169"/>
        <v>0</v>
      </c>
      <c r="BJ369" s="17"/>
    </row>
    <row r="370" spans="1:62" x14ac:dyDescent="0.25">
      <c r="A370" s="85">
        <f t="shared" si="170"/>
        <v>80</v>
      </c>
      <c r="B370" s="296">
        <f t="shared" si="171"/>
        <v>103927.56785839185</v>
      </c>
      <c r="C370" s="296">
        <f t="shared" si="172"/>
        <v>489281.00547781272</v>
      </c>
      <c r="D370" s="85">
        <f t="shared" si="189"/>
        <v>1</v>
      </c>
      <c r="E370" s="17">
        <f t="shared" si="173"/>
        <v>0.38768131205870304</v>
      </c>
      <c r="F370" s="17">
        <f t="shared" si="174"/>
        <v>-0.10805969178909436</v>
      </c>
      <c r="G370" s="17" t="str">
        <f t="shared" si="175"/>
        <v>103927.567858392,489281.005477813</v>
      </c>
      <c r="H370" s="16">
        <v>80</v>
      </c>
      <c r="I370" s="16">
        <f t="shared" si="176"/>
        <v>80</v>
      </c>
      <c r="J370" s="209">
        <f t="shared" si="177"/>
        <v>0.4024595590976956</v>
      </c>
      <c r="K370" s="209">
        <f t="shared" si="178"/>
        <v>31.794305169874775</v>
      </c>
      <c r="L370" s="692">
        <v>1.2647631168365481</v>
      </c>
      <c r="M370" s="17" t="str">
        <f t="shared" si="179"/>
        <v>31.7943051698748,1.26476311683655</v>
      </c>
      <c r="O370" s="85" t="str">
        <f t="shared" si="180"/>
        <v/>
      </c>
      <c r="P370" s="85" t="str">
        <f t="shared" si="181"/>
        <v>Formule bijwerken voor T6</v>
      </c>
      <c r="Q370" s="233" t="str">
        <f t="shared" si="182"/>
        <v/>
      </c>
      <c r="R370" s="17" t="str">
        <f t="shared" si="183"/>
        <v/>
      </c>
      <c r="S370" s="235" t="str">
        <f t="shared" si="188"/>
        <v>Formule bijwerken voor T6</v>
      </c>
      <c r="T370" s="17" t="str">
        <f t="shared" si="184"/>
        <v/>
      </c>
      <c r="U370" s="85" t="str">
        <f t="shared" si="185"/>
        <v>Formule bijwerken voor  T6</v>
      </c>
      <c r="V370" s="17" t="str">
        <f t="shared" si="186"/>
        <v/>
      </c>
      <c r="W370" s="17" t="str">
        <f t="shared" si="159"/>
        <v/>
      </c>
      <c r="X370" s="17" t="str">
        <f t="shared" si="187"/>
        <v/>
      </c>
      <c r="Y370" s="85" t="str">
        <f t="shared" si="160"/>
        <v/>
      </c>
      <c r="Z370" s="17" t="str">
        <f t="shared" si="161"/>
        <v/>
      </c>
      <c r="AA370" s="17" t="str">
        <f t="shared" si="162"/>
        <v/>
      </c>
      <c r="AB370" s="17" t="str">
        <f t="shared" si="163"/>
        <v/>
      </c>
      <c r="AC370" s="17" t="str">
        <f>IF(O370="","",P370&amp;","&amp;AB$287-Variabelen!B$43)</f>
        <v/>
      </c>
      <c r="AD370" s="17"/>
      <c r="AE370" s="17"/>
      <c r="AF370" s="17"/>
      <c r="AG370" s="17"/>
      <c r="AH370" s="17"/>
      <c r="AI370" s="17" t="str">
        <f>IF(O370="","",P370-Variabelen!B$36&amp;","&amp;AB$287-Variabelen!B$43+Variabelen!B$36)</f>
        <v/>
      </c>
      <c r="AJ370" s="154" t="str">
        <f t="shared" si="164"/>
        <v/>
      </c>
      <c r="AK370" s="17"/>
      <c r="AL370" s="17"/>
      <c r="AM370" s="17"/>
      <c r="AN370" s="17"/>
      <c r="AO370" s="17"/>
      <c r="AP370" s="17" t="str">
        <f>IF(O370="","",P370-Variabelen!B$36&amp;","&amp;AB$287-Variabelen!B$42+Variabelen!B$36)</f>
        <v/>
      </c>
      <c r="AQ370" s="154" t="str">
        <f t="shared" si="165"/>
        <v/>
      </c>
      <c r="AR370" s="17"/>
      <c r="AS370" s="17"/>
      <c r="AT370" s="17"/>
      <c r="AU370" s="17"/>
      <c r="AV370" s="17" t="str">
        <f t="shared" si="166"/>
        <v/>
      </c>
      <c r="AW370" s="17" t="str">
        <f>IF(O370="","",P370-Variabelen!B$36&amp;","&amp;AB$287-Variabelen!B$41+Variabelen!B$36)</f>
        <v/>
      </c>
      <c r="AX370" s="17"/>
      <c r="AY370" s="17"/>
      <c r="AZ370" s="154" t="str">
        <f t="shared" si="167"/>
        <v/>
      </c>
      <c r="BA370" s="17"/>
      <c r="BB370" s="17"/>
      <c r="BC370" s="17"/>
      <c r="BD370" s="17"/>
      <c r="BE370" s="17" t="str">
        <f t="shared" si="168"/>
        <v/>
      </c>
      <c r="BF370" s="17" t="str">
        <f>IF(O370="","",P370-Variabelen!B$36&amp;","&amp;AB$287-Variabelen!B$40+Variabelen!B$36)</f>
        <v/>
      </c>
      <c r="BG370" s="17"/>
      <c r="BH370" s="17"/>
      <c r="BI370" s="154" t="str">
        <f t="shared" si="169"/>
        <v/>
      </c>
      <c r="BJ370" s="17"/>
    </row>
    <row r="371" spans="1:62" x14ac:dyDescent="0.25">
      <c r="A371" s="85">
        <f t="shared" si="170"/>
        <v>81</v>
      </c>
      <c r="B371" s="296">
        <f t="shared" si="171"/>
        <v>103927.95553970392</v>
      </c>
      <c r="C371" s="296">
        <f t="shared" si="172"/>
        <v>489280.89741812093</v>
      </c>
      <c r="D371" s="85">
        <f t="shared" si="189"/>
        <v>1</v>
      </c>
      <c r="E371" s="17">
        <f t="shared" si="173"/>
        <v>0.38768131207325496</v>
      </c>
      <c r="F371" s="17">
        <f t="shared" si="174"/>
        <v>-0.10805969178909436</v>
      </c>
      <c r="G371" s="17" t="str">
        <f t="shared" si="175"/>
        <v>103927.955539704,489280.897418121</v>
      </c>
      <c r="H371" s="16">
        <v>81</v>
      </c>
      <c r="I371" s="16">
        <f t="shared" si="176"/>
        <v>81</v>
      </c>
      <c r="J371" s="209">
        <f t="shared" si="177"/>
        <v>0.40245955911171322</v>
      </c>
      <c r="K371" s="209">
        <f t="shared" si="178"/>
        <v>32.196764728986487</v>
      </c>
      <c r="L371" s="692">
        <v>1.257336378097534</v>
      </c>
      <c r="M371" s="17" t="str">
        <f t="shared" si="179"/>
        <v>32.1967647289865,1.25733637809753</v>
      </c>
      <c r="O371" s="85" t="str">
        <f t="shared" si="180"/>
        <v/>
      </c>
      <c r="P371" s="85" t="str">
        <f t="shared" si="181"/>
        <v>Formule bijwerken voor T6</v>
      </c>
      <c r="Q371" s="233" t="str">
        <f t="shared" si="182"/>
        <v/>
      </c>
      <c r="R371" s="17" t="str">
        <f t="shared" si="183"/>
        <v/>
      </c>
      <c r="S371" s="235" t="str">
        <f t="shared" si="188"/>
        <v>Formule bijwerken voor T6</v>
      </c>
      <c r="T371" s="17" t="str">
        <f t="shared" si="184"/>
        <v/>
      </c>
      <c r="U371" s="85" t="str">
        <f t="shared" si="185"/>
        <v>Formule bijwerken voor  T6</v>
      </c>
      <c r="V371" s="17" t="str">
        <f t="shared" si="186"/>
        <v/>
      </c>
      <c r="W371" s="17" t="str">
        <f t="shared" si="159"/>
        <v/>
      </c>
      <c r="X371" s="17" t="str">
        <f t="shared" si="187"/>
        <v/>
      </c>
      <c r="Y371" s="85" t="str">
        <f t="shared" si="160"/>
        <v/>
      </c>
      <c r="Z371" s="17" t="str">
        <f t="shared" si="161"/>
        <v/>
      </c>
      <c r="AA371" s="17" t="str">
        <f t="shared" si="162"/>
        <v/>
      </c>
      <c r="AB371" s="17" t="str">
        <f t="shared" si="163"/>
        <v/>
      </c>
      <c r="AC371" s="17" t="str">
        <f>IF(O371="","",P371&amp;","&amp;AB$287-Variabelen!B$43)</f>
        <v/>
      </c>
      <c r="AD371" s="17"/>
      <c r="AE371" s="17"/>
      <c r="AF371" s="17"/>
      <c r="AG371" s="17"/>
      <c r="AH371" s="17"/>
      <c r="AI371" s="17" t="str">
        <f>IF(O371="","",P371-Variabelen!B$36&amp;","&amp;AB$287-Variabelen!B$43+Variabelen!B$36)</f>
        <v/>
      </c>
      <c r="AJ371" s="154" t="str">
        <f t="shared" si="164"/>
        <v/>
      </c>
      <c r="AK371" s="17"/>
      <c r="AL371" s="17"/>
      <c r="AM371" s="17"/>
      <c r="AN371" s="17"/>
      <c r="AO371" s="17"/>
      <c r="AP371" s="17" t="str">
        <f>IF(O371="","",P371-Variabelen!B$36&amp;","&amp;AB$287-Variabelen!B$42+Variabelen!B$36)</f>
        <v/>
      </c>
      <c r="AQ371" s="154" t="str">
        <f t="shared" si="165"/>
        <v/>
      </c>
      <c r="AR371" s="17"/>
      <c r="AS371" s="17"/>
      <c r="AT371" s="17"/>
      <c r="AU371" s="17"/>
      <c r="AV371" s="17" t="str">
        <f t="shared" si="166"/>
        <v/>
      </c>
      <c r="AW371" s="17" t="str">
        <f>IF(O371="","",P371-Variabelen!B$36&amp;","&amp;AB$287-Variabelen!B$41+Variabelen!B$36)</f>
        <v/>
      </c>
      <c r="AX371" s="17"/>
      <c r="AY371" s="17"/>
      <c r="AZ371" s="154" t="str">
        <f t="shared" si="167"/>
        <v/>
      </c>
      <c r="BA371" s="17"/>
      <c r="BB371" s="17"/>
      <c r="BC371" s="17"/>
      <c r="BD371" s="17"/>
      <c r="BE371" s="17" t="str">
        <f t="shared" si="168"/>
        <v/>
      </c>
      <c r="BF371" s="17" t="str">
        <f>IF(O371="","",P371-Variabelen!B$36&amp;","&amp;AB$287-Variabelen!B$40+Variabelen!B$36)</f>
        <v/>
      </c>
      <c r="BG371" s="17"/>
      <c r="BH371" s="17"/>
      <c r="BI371" s="154" t="str">
        <f t="shared" si="169"/>
        <v/>
      </c>
      <c r="BJ371" s="17"/>
    </row>
    <row r="372" spans="1:62" x14ac:dyDescent="0.25">
      <c r="A372" s="85">
        <f t="shared" si="170"/>
        <v>82</v>
      </c>
      <c r="B372" s="296">
        <f t="shared" si="171"/>
        <v>103928.343221016</v>
      </c>
      <c r="C372" s="296">
        <f t="shared" si="172"/>
        <v>489280.78935842915</v>
      </c>
      <c r="D372" s="85">
        <f t="shared" si="189"/>
        <v>1</v>
      </c>
      <c r="E372" s="17">
        <f t="shared" si="173"/>
        <v>0.38768131207325496</v>
      </c>
      <c r="F372" s="17">
        <f t="shared" si="174"/>
        <v>-0.10805969178909436</v>
      </c>
      <c r="G372" s="17" t="str">
        <f t="shared" si="175"/>
        <v>103928.343221016,489280.789358429</v>
      </c>
      <c r="H372" s="16">
        <v>82</v>
      </c>
      <c r="I372" s="16">
        <f t="shared" si="176"/>
        <v>82</v>
      </c>
      <c r="J372" s="209">
        <f t="shared" si="177"/>
        <v>0.40245955911171322</v>
      </c>
      <c r="K372" s="209">
        <f t="shared" si="178"/>
        <v>32.599224288098199</v>
      </c>
      <c r="L372" s="692">
        <v>1.2414824962615969</v>
      </c>
      <c r="M372" s="17" t="str">
        <f t="shared" si="179"/>
        <v>32.5992242880982,1.2414824962616</v>
      </c>
      <c r="O372" s="85" t="str">
        <f t="shared" si="180"/>
        <v/>
      </c>
      <c r="P372" s="85" t="str">
        <f t="shared" si="181"/>
        <v>Formule bijwerken voor T6</v>
      </c>
      <c r="Q372" s="233" t="str">
        <f t="shared" si="182"/>
        <v/>
      </c>
      <c r="R372" s="17" t="str">
        <f t="shared" si="183"/>
        <v/>
      </c>
      <c r="S372" s="235" t="str">
        <f t="shared" si="188"/>
        <v>Formule bijwerken voor T6</v>
      </c>
      <c r="T372" s="17" t="str">
        <f t="shared" si="184"/>
        <v/>
      </c>
      <c r="U372" s="85" t="str">
        <f t="shared" si="185"/>
        <v>Formule bijwerken voor  T6</v>
      </c>
      <c r="V372" s="17" t="str">
        <f t="shared" si="186"/>
        <v/>
      </c>
      <c r="W372" s="17" t="str">
        <f t="shared" si="159"/>
        <v/>
      </c>
      <c r="X372" s="17" t="str">
        <f t="shared" si="187"/>
        <v/>
      </c>
      <c r="Y372" s="85" t="str">
        <f t="shared" si="160"/>
        <v/>
      </c>
      <c r="Z372" s="17" t="str">
        <f t="shared" si="161"/>
        <v/>
      </c>
      <c r="AA372" s="17" t="str">
        <f t="shared" si="162"/>
        <v/>
      </c>
      <c r="AB372" s="17" t="str">
        <f t="shared" si="163"/>
        <v/>
      </c>
      <c r="AC372" s="17" t="str">
        <f>IF(O372="","",P372&amp;","&amp;AB$287-Variabelen!B$43)</f>
        <v/>
      </c>
      <c r="AD372" s="17"/>
      <c r="AE372" s="17"/>
      <c r="AF372" s="17"/>
      <c r="AG372" s="17"/>
      <c r="AH372" s="17"/>
      <c r="AI372" s="17" t="str">
        <f>IF(O372="","",P372-Variabelen!B$36&amp;","&amp;AB$287-Variabelen!B$43+Variabelen!B$36)</f>
        <v/>
      </c>
      <c r="AJ372" s="154" t="str">
        <f t="shared" si="164"/>
        <v/>
      </c>
      <c r="AK372" s="17"/>
      <c r="AL372" s="17"/>
      <c r="AM372" s="17"/>
      <c r="AN372" s="17"/>
      <c r="AO372" s="17"/>
      <c r="AP372" s="17" t="str">
        <f>IF(O372="","",P372-Variabelen!B$36&amp;","&amp;AB$287-Variabelen!B$42+Variabelen!B$36)</f>
        <v/>
      </c>
      <c r="AQ372" s="154" t="str">
        <f t="shared" si="165"/>
        <v/>
      </c>
      <c r="AR372" s="17"/>
      <c r="AS372" s="17"/>
      <c r="AT372" s="17"/>
      <c r="AU372" s="17"/>
      <c r="AV372" s="17" t="str">
        <f t="shared" si="166"/>
        <v/>
      </c>
      <c r="AW372" s="17" t="str">
        <f>IF(O372="","",P372-Variabelen!B$36&amp;","&amp;AB$287-Variabelen!B$41+Variabelen!B$36)</f>
        <v/>
      </c>
      <c r="AX372" s="17"/>
      <c r="AY372" s="17"/>
      <c r="AZ372" s="154" t="str">
        <f t="shared" si="167"/>
        <v/>
      </c>
      <c r="BA372" s="17"/>
      <c r="BB372" s="17"/>
      <c r="BC372" s="17"/>
      <c r="BD372" s="17"/>
      <c r="BE372" s="17" t="str">
        <f t="shared" si="168"/>
        <v/>
      </c>
      <c r="BF372" s="17" t="str">
        <f>IF(O372="","",P372-Variabelen!B$36&amp;","&amp;AB$287-Variabelen!B$40+Variabelen!B$36)</f>
        <v/>
      </c>
      <c r="BG372" s="17"/>
      <c r="BH372" s="17"/>
      <c r="BI372" s="154" t="str">
        <f t="shared" si="169"/>
        <v/>
      </c>
      <c r="BJ372" s="17"/>
    </row>
    <row r="373" spans="1:62" x14ac:dyDescent="0.25">
      <c r="A373" s="85">
        <f t="shared" si="170"/>
        <v>83</v>
      </c>
      <c r="B373" s="296">
        <f t="shared" si="171"/>
        <v>103928.73090232807</v>
      </c>
      <c r="C373" s="296">
        <f t="shared" si="172"/>
        <v>489280.6812987373</v>
      </c>
      <c r="D373" s="85">
        <f t="shared" si="189"/>
        <v>1</v>
      </c>
      <c r="E373" s="17">
        <f t="shared" si="173"/>
        <v>0.38768131207325496</v>
      </c>
      <c r="F373" s="17">
        <f t="shared" si="174"/>
        <v>-0.10805969184730202</v>
      </c>
      <c r="G373" s="17" t="str">
        <f t="shared" si="175"/>
        <v>103928.730902328,489280.681298737</v>
      </c>
      <c r="H373" s="16">
        <v>83</v>
      </c>
      <c r="I373" s="16">
        <f t="shared" si="176"/>
        <v>83</v>
      </c>
      <c r="J373" s="209">
        <f t="shared" si="177"/>
        <v>0.40245955912734188</v>
      </c>
      <c r="K373" s="209">
        <f t="shared" si="178"/>
        <v>33.001683847225543</v>
      </c>
      <c r="L373" s="692">
        <v>1.2272018194198611</v>
      </c>
      <c r="M373" s="17" t="str">
        <f t="shared" si="179"/>
        <v>33.0016838472255,1.22720181941986</v>
      </c>
      <c r="O373" s="85" t="str">
        <f t="shared" si="180"/>
        <v/>
      </c>
      <c r="P373" s="85" t="str">
        <f t="shared" si="181"/>
        <v>Formule bijwerken voor T6</v>
      </c>
      <c r="Q373" s="233" t="str">
        <f t="shared" si="182"/>
        <v/>
      </c>
      <c r="R373" s="17" t="str">
        <f t="shared" si="183"/>
        <v/>
      </c>
      <c r="S373" s="235" t="str">
        <f t="shared" si="188"/>
        <v>Formule bijwerken voor T6</v>
      </c>
      <c r="T373" s="17" t="str">
        <f t="shared" si="184"/>
        <v/>
      </c>
      <c r="U373" s="85" t="str">
        <f t="shared" si="185"/>
        <v>Formule bijwerken voor  T6</v>
      </c>
      <c r="V373" s="17" t="str">
        <f t="shared" si="186"/>
        <v/>
      </c>
      <c r="W373" s="17" t="str">
        <f t="shared" si="159"/>
        <v/>
      </c>
      <c r="X373" s="17" t="str">
        <f t="shared" si="187"/>
        <v/>
      </c>
      <c r="Y373" s="85" t="str">
        <f t="shared" si="160"/>
        <v/>
      </c>
      <c r="Z373" s="17" t="str">
        <f t="shared" si="161"/>
        <v/>
      </c>
      <c r="AA373" s="17" t="str">
        <f t="shared" si="162"/>
        <v/>
      </c>
      <c r="AB373" s="17" t="str">
        <f t="shared" si="163"/>
        <v/>
      </c>
      <c r="AC373" s="17" t="str">
        <f>IF(O373="","",P373&amp;","&amp;AB$287-Variabelen!B$43)</f>
        <v/>
      </c>
      <c r="AD373" s="17"/>
      <c r="AE373" s="17"/>
      <c r="AF373" s="17"/>
      <c r="AG373" s="17"/>
      <c r="AH373" s="17"/>
      <c r="AI373" s="17" t="str">
        <f>IF(O373="","",P373-Variabelen!B$36&amp;","&amp;AB$287-Variabelen!B$43+Variabelen!B$36)</f>
        <v/>
      </c>
      <c r="AJ373" s="154" t="str">
        <f t="shared" si="164"/>
        <v/>
      </c>
      <c r="AK373" s="17"/>
      <c r="AL373" s="17"/>
      <c r="AM373" s="17"/>
      <c r="AN373" s="17"/>
      <c r="AO373" s="17"/>
      <c r="AP373" s="17" t="str">
        <f>IF(O373="","",P373-Variabelen!B$36&amp;","&amp;AB$287-Variabelen!B$42+Variabelen!B$36)</f>
        <v/>
      </c>
      <c r="AQ373" s="154" t="str">
        <f t="shared" si="165"/>
        <v/>
      </c>
      <c r="AR373" s="17"/>
      <c r="AS373" s="17"/>
      <c r="AT373" s="17"/>
      <c r="AU373" s="17"/>
      <c r="AV373" s="17" t="str">
        <f t="shared" si="166"/>
        <v/>
      </c>
      <c r="AW373" s="17" t="str">
        <f>IF(O373="","",P373-Variabelen!B$36&amp;","&amp;AB$287-Variabelen!B$41+Variabelen!B$36)</f>
        <v/>
      </c>
      <c r="AX373" s="17"/>
      <c r="AY373" s="17"/>
      <c r="AZ373" s="154" t="str">
        <f t="shared" si="167"/>
        <v/>
      </c>
      <c r="BA373" s="17"/>
      <c r="BB373" s="17"/>
      <c r="BC373" s="17"/>
      <c r="BD373" s="17"/>
      <c r="BE373" s="17" t="str">
        <f t="shared" si="168"/>
        <v/>
      </c>
      <c r="BF373" s="17" t="str">
        <f>IF(O373="","",P373-Variabelen!B$36&amp;","&amp;AB$287-Variabelen!B$40+Variabelen!B$36)</f>
        <v/>
      </c>
      <c r="BG373" s="17"/>
      <c r="BH373" s="17"/>
      <c r="BI373" s="154" t="str">
        <f t="shared" si="169"/>
        <v/>
      </c>
      <c r="BJ373" s="17"/>
    </row>
    <row r="374" spans="1:62" x14ac:dyDescent="0.25">
      <c r="A374" s="85">
        <f t="shared" si="170"/>
        <v>84</v>
      </c>
      <c r="B374" s="296">
        <f t="shared" si="171"/>
        <v>103929.11858364013</v>
      </c>
      <c r="C374" s="296">
        <f t="shared" si="172"/>
        <v>489280.57323904551</v>
      </c>
      <c r="D374" s="85">
        <f t="shared" si="189"/>
        <v>1</v>
      </c>
      <c r="E374" s="17">
        <f t="shared" si="173"/>
        <v>0.38768131205870304</v>
      </c>
      <c r="F374" s="17">
        <f t="shared" si="174"/>
        <v>-0.10805969178909436</v>
      </c>
      <c r="G374" s="17" t="str">
        <f t="shared" si="175"/>
        <v>103929.11858364,489280.573239046</v>
      </c>
      <c r="H374" s="16">
        <v>84</v>
      </c>
      <c r="I374" s="16">
        <f t="shared" si="176"/>
        <v>84</v>
      </c>
      <c r="J374" s="209">
        <f t="shared" si="177"/>
        <v>0.4024595590976956</v>
      </c>
      <c r="K374" s="209">
        <f t="shared" si="178"/>
        <v>33.404143406323236</v>
      </c>
      <c r="L374" s="692">
        <v>1.2165646553039551</v>
      </c>
      <c r="M374" s="17" t="str">
        <f t="shared" si="179"/>
        <v>33.4041434063232,1.21656465530396</v>
      </c>
      <c r="O374" s="85" t="str">
        <f t="shared" si="180"/>
        <v/>
      </c>
      <c r="P374" s="85" t="str">
        <f t="shared" si="181"/>
        <v>Formule bijwerken voor T6</v>
      </c>
      <c r="Q374" s="233" t="str">
        <f t="shared" si="182"/>
        <v/>
      </c>
      <c r="R374" s="17" t="str">
        <f t="shared" si="183"/>
        <v/>
      </c>
      <c r="S374" s="235" t="str">
        <f t="shared" si="188"/>
        <v>Formule bijwerken voor T6</v>
      </c>
      <c r="T374" s="17" t="str">
        <f t="shared" si="184"/>
        <v/>
      </c>
      <c r="U374" s="85" t="str">
        <f t="shared" si="185"/>
        <v>Formule bijwerken voor  T6</v>
      </c>
      <c r="V374" s="17" t="str">
        <f t="shared" si="186"/>
        <v/>
      </c>
      <c r="W374" s="17" t="str">
        <f t="shared" si="159"/>
        <v/>
      </c>
      <c r="X374" s="17" t="str">
        <f t="shared" si="187"/>
        <v/>
      </c>
      <c r="Y374" s="85" t="str">
        <f t="shared" si="160"/>
        <v/>
      </c>
      <c r="Z374" s="17" t="str">
        <f t="shared" si="161"/>
        <v/>
      </c>
      <c r="AA374" s="17" t="str">
        <f t="shared" si="162"/>
        <v/>
      </c>
      <c r="AB374" s="17" t="str">
        <f t="shared" si="163"/>
        <v/>
      </c>
      <c r="AC374" s="17" t="str">
        <f>IF(O374="","",P374&amp;","&amp;AB$287-Variabelen!B$43)</f>
        <v/>
      </c>
      <c r="AD374" s="17"/>
      <c r="AE374" s="17"/>
      <c r="AF374" s="17"/>
      <c r="AG374" s="17"/>
      <c r="AH374" s="17"/>
      <c r="AI374" s="17" t="str">
        <f>IF(O374="","",P374-Variabelen!B$36&amp;","&amp;AB$287-Variabelen!B$43+Variabelen!B$36)</f>
        <v/>
      </c>
      <c r="AJ374" s="154" t="str">
        <f t="shared" si="164"/>
        <v/>
      </c>
      <c r="AK374" s="17"/>
      <c r="AL374" s="17"/>
      <c r="AM374" s="17"/>
      <c r="AN374" s="17"/>
      <c r="AO374" s="17"/>
      <c r="AP374" s="17" t="str">
        <f>IF(O374="","",P374-Variabelen!B$36&amp;","&amp;AB$287-Variabelen!B$42+Variabelen!B$36)</f>
        <v/>
      </c>
      <c r="AQ374" s="154" t="str">
        <f t="shared" si="165"/>
        <v/>
      </c>
      <c r="AR374" s="17"/>
      <c r="AS374" s="17"/>
      <c r="AT374" s="17"/>
      <c r="AU374" s="17"/>
      <c r="AV374" s="17" t="str">
        <f t="shared" si="166"/>
        <v/>
      </c>
      <c r="AW374" s="17" t="str">
        <f>IF(O374="","",P374-Variabelen!B$36&amp;","&amp;AB$287-Variabelen!B$41+Variabelen!B$36)</f>
        <v/>
      </c>
      <c r="AX374" s="17"/>
      <c r="AY374" s="17"/>
      <c r="AZ374" s="154" t="str">
        <f t="shared" si="167"/>
        <v/>
      </c>
      <c r="BA374" s="17"/>
      <c r="BB374" s="17"/>
      <c r="BC374" s="17"/>
      <c r="BD374" s="17"/>
      <c r="BE374" s="17" t="str">
        <f t="shared" si="168"/>
        <v/>
      </c>
      <c r="BF374" s="17" t="str">
        <f>IF(O374="","",P374-Variabelen!B$36&amp;","&amp;AB$287-Variabelen!B$40+Variabelen!B$36)</f>
        <v/>
      </c>
      <c r="BG374" s="17"/>
      <c r="BH374" s="17"/>
      <c r="BI374" s="154" t="str">
        <f t="shared" si="169"/>
        <v/>
      </c>
      <c r="BJ374" s="17"/>
    </row>
    <row r="375" spans="1:62" x14ac:dyDescent="0.25">
      <c r="A375" s="85">
        <f t="shared" si="170"/>
        <v>85</v>
      </c>
      <c r="B375" s="296">
        <f t="shared" si="171"/>
        <v>103929.5062649522</v>
      </c>
      <c r="C375" s="296">
        <f t="shared" si="172"/>
        <v>489280.46517935372</v>
      </c>
      <c r="D375" s="85">
        <f t="shared" si="189"/>
        <v>1</v>
      </c>
      <c r="E375" s="17">
        <f t="shared" si="173"/>
        <v>0.38768131207325496</v>
      </c>
      <c r="F375" s="17">
        <f t="shared" si="174"/>
        <v>-0.10805969178909436</v>
      </c>
      <c r="G375" s="17" t="str">
        <f t="shared" si="175"/>
        <v>103929.506264952,489280.465179354</v>
      </c>
      <c r="H375" s="16">
        <v>85</v>
      </c>
      <c r="I375" s="16">
        <f t="shared" si="176"/>
        <v>85</v>
      </c>
      <c r="J375" s="209">
        <f t="shared" si="177"/>
        <v>0.40245955911171322</v>
      </c>
      <c r="K375" s="209">
        <f t="shared" si="178"/>
        <v>33.806602965434948</v>
      </c>
      <c r="L375" s="692">
        <v>1.220691919326782</v>
      </c>
      <c r="M375" s="17" t="str">
        <f t="shared" si="179"/>
        <v>33.8066029654349,1.22069191932678</v>
      </c>
      <c r="O375" s="85" t="str">
        <f t="shared" si="180"/>
        <v/>
      </c>
      <c r="P375" s="85" t="str">
        <f t="shared" si="181"/>
        <v>Formule bijwerken voor T6</v>
      </c>
      <c r="Q375" s="233" t="str">
        <f t="shared" si="182"/>
        <v/>
      </c>
      <c r="R375" s="17" t="str">
        <f t="shared" si="183"/>
        <v/>
      </c>
      <c r="S375" s="235" t="str">
        <f t="shared" si="188"/>
        <v>Formule bijwerken voor T6</v>
      </c>
      <c r="T375" s="17" t="str">
        <f t="shared" si="184"/>
        <v/>
      </c>
      <c r="U375" s="85" t="str">
        <f t="shared" si="185"/>
        <v>Formule bijwerken voor  T6</v>
      </c>
      <c r="V375" s="17" t="str">
        <f t="shared" si="186"/>
        <v/>
      </c>
      <c r="W375" s="17" t="str">
        <f t="shared" si="159"/>
        <v/>
      </c>
      <c r="X375" s="17" t="str">
        <f t="shared" si="187"/>
        <v/>
      </c>
      <c r="Y375" s="85" t="str">
        <f t="shared" si="160"/>
        <v/>
      </c>
      <c r="Z375" s="17" t="str">
        <f t="shared" si="161"/>
        <v/>
      </c>
      <c r="AA375" s="17" t="str">
        <f t="shared" si="162"/>
        <v/>
      </c>
      <c r="AB375" s="17" t="str">
        <f t="shared" si="163"/>
        <v/>
      </c>
      <c r="AC375" s="17" t="str">
        <f>IF(O375="","",P375&amp;","&amp;AB$287-Variabelen!B$43)</f>
        <v/>
      </c>
      <c r="AD375" s="17"/>
      <c r="AE375" s="17"/>
      <c r="AF375" s="17"/>
      <c r="AG375" s="17"/>
      <c r="AH375" s="17"/>
      <c r="AI375" s="17" t="str">
        <f>IF(O375="","",P375-Variabelen!B$36&amp;","&amp;AB$287-Variabelen!B$43+Variabelen!B$36)</f>
        <v/>
      </c>
      <c r="AJ375" s="154" t="str">
        <f t="shared" si="164"/>
        <v/>
      </c>
      <c r="AK375" s="17"/>
      <c r="AL375" s="17"/>
      <c r="AM375" s="17"/>
      <c r="AN375" s="17"/>
      <c r="AO375" s="17"/>
      <c r="AP375" s="17" t="str">
        <f>IF(O375="","",P375-Variabelen!B$36&amp;","&amp;AB$287-Variabelen!B$42+Variabelen!B$36)</f>
        <v/>
      </c>
      <c r="AQ375" s="154" t="str">
        <f t="shared" si="165"/>
        <v/>
      </c>
      <c r="AR375" s="17"/>
      <c r="AS375" s="17"/>
      <c r="AT375" s="17"/>
      <c r="AU375" s="17"/>
      <c r="AV375" s="17" t="str">
        <f t="shared" si="166"/>
        <v/>
      </c>
      <c r="AW375" s="17" t="str">
        <f>IF(O375="","",P375-Variabelen!B$36&amp;","&amp;AB$287-Variabelen!B$41+Variabelen!B$36)</f>
        <v/>
      </c>
      <c r="AX375" s="17"/>
      <c r="AY375" s="17"/>
      <c r="AZ375" s="154" t="str">
        <f t="shared" si="167"/>
        <v/>
      </c>
      <c r="BA375" s="17"/>
      <c r="BB375" s="17"/>
      <c r="BC375" s="17"/>
      <c r="BD375" s="17"/>
      <c r="BE375" s="17" t="str">
        <f t="shared" si="168"/>
        <v/>
      </c>
      <c r="BF375" s="17" t="str">
        <f>IF(O375="","",P375-Variabelen!B$36&amp;","&amp;AB$287-Variabelen!B$40+Variabelen!B$36)</f>
        <v/>
      </c>
      <c r="BG375" s="17"/>
      <c r="BH375" s="17"/>
      <c r="BI375" s="154" t="str">
        <f t="shared" si="169"/>
        <v/>
      </c>
      <c r="BJ375" s="17"/>
    </row>
    <row r="376" spans="1:62" x14ac:dyDescent="0.25">
      <c r="A376" s="85">
        <f t="shared" si="170"/>
        <v>86</v>
      </c>
      <c r="B376" s="296">
        <f t="shared" si="171"/>
        <v>103929.89394626427</v>
      </c>
      <c r="C376" s="296">
        <f t="shared" si="172"/>
        <v>489280.35711966187</v>
      </c>
      <c r="D376" s="85">
        <f t="shared" si="189"/>
        <v>1</v>
      </c>
      <c r="E376" s="17">
        <f t="shared" si="173"/>
        <v>0.38768131207325496</v>
      </c>
      <c r="F376" s="17">
        <f t="shared" si="174"/>
        <v>-0.10805969184730202</v>
      </c>
      <c r="G376" s="17" t="str">
        <f t="shared" si="175"/>
        <v>103929.893946264,489280.357119662</v>
      </c>
      <c r="H376" s="16">
        <v>86</v>
      </c>
      <c r="I376" s="16">
        <f t="shared" si="176"/>
        <v>86</v>
      </c>
      <c r="J376" s="209">
        <f t="shared" si="177"/>
        <v>0.40245955912734188</v>
      </c>
      <c r="K376" s="209">
        <f t="shared" si="178"/>
        <v>34.209062524562292</v>
      </c>
      <c r="L376" s="692">
        <v>1.20220959186554</v>
      </c>
      <c r="M376" s="17" t="str">
        <f t="shared" si="179"/>
        <v>34.2090625245623,1.20220959186554</v>
      </c>
      <c r="O376" s="85" t="str">
        <f t="shared" si="180"/>
        <v/>
      </c>
      <c r="P376" s="85" t="str">
        <f t="shared" si="181"/>
        <v>Formule bijwerken voor T6</v>
      </c>
      <c r="Q376" s="233" t="str">
        <f t="shared" si="182"/>
        <v/>
      </c>
      <c r="R376" s="17" t="str">
        <f t="shared" si="183"/>
        <v/>
      </c>
      <c r="S376" s="235" t="str">
        <f t="shared" si="188"/>
        <v>Formule bijwerken voor T6</v>
      </c>
      <c r="T376" s="17" t="str">
        <f t="shared" si="184"/>
        <v/>
      </c>
      <c r="U376" s="85" t="str">
        <f t="shared" si="185"/>
        <v>Formule bijwerken voor  T6</v>
      </c>
      <c r="V376" s="17" t="str">
        <f t="shared" si="186"/>
        <v/>
      </c>
      <c r="W376" s="17" t="str">
        <f t="shared" si="159"/>
        <v/>
      </c>
      <c r="X376" s="17" t="str">
        <f t="shared" si="187"/>
        <v/>
      </c>
      <c r="Y376" s="85" t="str">
        <f t="shared" si="160"/>
        <v/>
      </c>
      <c r="Z376" s="17" t="str">
        <f t="shared" si="161"/>
        <v/>
      </c>
      <c r="AA376" s="17" t="str">
        <f t="shared" si="162"/>
        <v/>
      </c>
      <c r="AB376" s="17" t="str">
        <f t="shared" si="163"/>
        <v/>
      </c>
      <c r="AC376" s="17" t="str">
        <f>IF(O376="","",P376&amp;","&amp;AB$287-Variabelen!B$43)</f>
        <v/>
      </c>
      <c r="AD376" s="17"/>
      <c r="AE376" s="17"/>
      <c r="AF376" s="17"/>
      <c r="AG376" s="17"/>
      <c r="AH376" s="17"/>
      <c r="AI376" s="17" t="str">
        <f>IF(O376="","",P376-Variabelen!B$36&amp;","&amp;AB$287-Variabelen!B$43+Variabelen!B$36)</f>
        <v/>
      </c>
      <c r="AJ376" s="154" t="str">
        <f t="shared" si="164"/>
        <v/>
      </c>
      <c r="AK376" s="17"/>
      <c r="AL376" s="17"/>
      <c r="AM376" s="17"/>
      <c r="AN376" s="17"/>
      <c r="AO376" s="17"/>
      <c r="AP376" s="17" t="str">
        <f>IF(O376="","",P376-Variabelen!B$36&amp;","&amp;AB$287-Variabelen!B$42+Variabelen!B$36)</f>
        <v/>
      </c>
      <c r="AQ376" s="154" t="str">
        <f t="shared" si="165"/>
        <v/>
      </c>
      <c r="AR376" s="17"/>
      <c r="AS376" s="17"/>
      <c r="AT376" s="17"/>
      <c r="AU376" s="17"/>
      <c r="AV376" s="17" t="str">
        <f t="shared" si="166"/>
        <v/>
      </c>
      <c r="AW376" s="17" t="str">
        <f>IF(O376="","",P376-Variabelen!B$36&amp;","&amp;AB$287-Variabelen!B$41+Variabelen!B$36)</f>
        <v/>
      </c>
      <c r="AX376" s="17"/>
      <c r="AY376" s="17"/>
      <c r="AZ376" s="154" t="str">
        <f t="shared" si="167"/>
        <v/>
      </c>
      <c r="BA376" s="17"/>
      <c r="BB376" s="17"/>
      <c r="BC376" s="17"/>
      <c r="BD376" s="17"/>
      <c r="BE376" s="17" t="str">
        <f t="shared" si="168"/>
        <v/>
      </c>
      <c r="BF376" s="17" t="str">
        <f>IF(O376="","",P376-Variabelen!B$36&amp;","&amp;AB$287-Variabelen!B$40+Variabelen!B$36)</f>
        <v/>
      </c>
      <c r="BG376" s="17"/>
      <c r="BH376" s="17"/>
      <c r="BI376" s="154" t="str">
        <f t="shared" si="169"/>
        <v/>
      </c>
      <c r="BJ376" s="17"/>
    </row>
    <row r="377" spans="1:62" x14ac:dyDescent="0.25">
      <c r="A377" s="85">
        <f t="shared" si="170"/>
        <v>87</v>
      </c>
      <c r="B377" s="296">
        <f t="shared" si="171"/>
        <v>103930.28162757635</v>
      </c>
      <c r="C377" s="296">
        <f t="shared" si="172"/>
        <v>489280.24905997008</v>
      </c>
      <c r="D377" s="85">
        <f t="shared" si="189"/>
        <v>1</v>
      </c>
      <c r="E377" s="17">
        <f t="shared" si="173"/>
        <v>0.38768131207325496</v>
      </c>
      <c r="F377" s="17">
        <f t="shared" si="174"/>
        <v>-0.10805969178909436</v>
      </c>
      <c r="G377" s="17" t="str">
        <f t="shared" si="175"/>
        <v>103930.281627576,489280.24905997</v>
      </c>
      <c r="H377" s="16">
        <v>87</v>
      </c>
      <c r="I377" s="16">
        <f t="shared" si="176"/>
        <v>87</v>
      </c>
      <c r="J377" s="209">
        <f t="shared" si="177"/>
        <v>0.40245955911171322</v>
      </c>
      <c r="K377" s="209">
        <f t="shared" si="178"/>
        <v>34.611522083674004</v>
      </c>
      <c r="L377" s="692">
        <v>1.190981388092041</v>
      </c>
      <c r="M377" s="17" t="str">
        <f t="shared" si="179"/>
        <v>34.611522083674,1.19098138809204</v>
      </c>
      <c r="O377" s="85" t="str">
        <f t="shared" si="180"/>
        <v/>
      </c>
      <c r="P377" s="85" t="str">
        <f t="shared" si="181"/>
        <v>Formule bijwerken voor T6</v>
      </c>
      <c r="Q377" s="233" t="str">
        <f t="shared" si="182"/>
        <v/>
      </c>
      <c r="R377" s="17" t="str">
        <f t="shared" si="183"/>
        <v/>
      </c>
      <c r="S377" s="235" t="str">
        <f t="shared" si="188"/>
        <v>Formule bijwerken voor T6</v>
      </c>
      <c r="T377" s="17" t="str">
        <f t="shared" si="184"/>
        <v/>
      </c>
      <c r="U377" s="85" t="str">
        <f t="shared" si="185"/>
        <v>Formule bijwerken voor  T6</v>
      </c>
      <c r="V377" s="17" t="str">
        <f t="shared" si="186"/>
        <v/>
      </c>
      <c r="W377" s="17" t="str">
        <f t="shared" si="159"/>
        <v/>
      </c>
      <c r="X377" s="17" t="str">
        <f t="shared" si="187"/>
        <v/>
      </c>
      <c r="Y377" s="85" t="str">
        <f t="shared" si="160"/>
        <v/>
      </c>
      <c r="Z377" s="17" t="str">
        <f t="shared" si="161"/>
        <v/>
      </c>
      <c r="AA377" s="17" t="str">
        <f t="shared" si="162"/>
        <v/>
      </c>
      <c r="AB377" s="17" t="str">
        <f t="shared" si="163"/>
        <v/>
      </c>
      <c r="AC377" s="17" t="str">
        <f>IF(O377="","",P377&amp;","&amp;AB$287-Variabelen!B$43)</f>
        <v/>
      </c>
      <c r="AD377" s="17"/>
      <c r="AE377" s="17"/>
      <c r="AF377" s="17"/>
      <c r="AG377" s="17"/>
      <c r="AH377" s="17"/>
      <c r="AI377" s="17" t="str">
        <f>IF(O377="","",P377-Variabelen!B$36&amp;","&amp;AB$287-Variabelen!B$43+Variabelen!B$36)</f>
        <v/>
      </c>
      <c r="AJ377" s="154" t="str">
        <f t="shared" si="164"/>
        <v/>
      </c>
      <c r="AK377" s="17"/>
      <c r="AL377" s="17"/>
      <c r="AM377" s="17"/>
      <c r="AN377" s="17"/>
      <c r="AO377" s="17"/>
      <c r="AP377" s="17" t="str">
        <f>IF(O377="","",P377-Variabelen!B$36&amp;","&amp;AB$287-Variabelen!B$42+Variabelen!B$36)</f>
        <v/>
      </c>
      <c r="AQ377" s="154" t="str">
        <f t="shared" si="165"/>
        <v/>
      </c>
      <c r="AR377" s="17"/>
      <c r="AS377" s="17"/>
      <c r="AT377" s="17"/>
      <c r="AU377" s="17"/>
      <c r="AV377" s="17" t="str">
        <f t="shared" si="166"/>
        <v/>
      </c>
      <c r="AW377" s="17" t="str">
        <f>IF(O377="","",P377-Variabelen!B$36&amp;","&amp;AB$287-Variabelen!B$41+Variabelen!B$36)</f>
        <v/>
      </c>
      <c r="AX377" s="17"/>
      <c r="AY377" s="17"/>
      <c r="AZ377" s="154" t="str">
        <f t="shared" si="167"/>
        <v/>
      </c>
      <c r="BA377" s="17"/>
      <c r="BB377" s="17"/>
      <c r="BC377" s="17"/>
      <c r="BD377" s="17"/>
      <c r="BE377" s="17" t="str">
        <f t="shared" si="168"/>
        <v/>
      </c>
      <c r="BF377" s="17" t="str">
        <f>IF(O377="","",P377-Variabelen!B$36&amp;","&amp;AB$287-Variabelen!B$40+Variabelen!B$36)</f>
        <v/>
      </c>
      <c r="BG377" s="17"/>
      <c r="BH377" s="17"/>
      <c r="BI377" s="154" t="str">
        <f t="shared" si="169"/>
        <v/>
      </c>
      <c r="BJ377" s="17"/>
    </row>
    <row r="378" spans="1:62" x14ac:dyDescent="0.25">
      <c r="A378" s="85">
        <f t="shared" si="170"/>
        <v>88</v>
      </c>
      <c r="B378" s="296">
        <f t="shared" si="171"/>
        <v>103930.66930888841</v>
      </c>
      <c r="C378" s="296">
        <f t="shared" si="172"/>
        <v>489280.14100027829</v>
      </c>
      <c r="D378" s="85">
        <f t="shared" si="189"/>
        <v>1</v>
      </c>
      <c r="E378" s="17">
        <f t="shared" si="173"/>
        <v>0.38768131205870304</v>
      </c>
      <c r="F378" s="17">
        <f t="shared" si="174"/>
        <v>-0.10805969178909436</v>
      </c>
      <c r="G378" s="17" t="str">
        <f t="shared" si="175"/>
        <v>103930.669308888,489280.141000278</v>
      </c>
      <c r="H378" s="16">
        <v>88</v>
      </c>
      <c r="I378" s="16">
        <f t="shared" si="176"/>
        <v>88</v>
      </c>
      <c r="J378" s="209">
        <f t="shared" si="177"/>
        <v>0.4024595590976956</v>
      </c>
      <c r="K378" s="209">
        <f t="shared" si="178"/>
        <v>35.013981642771697</v>
      </c>
      <c r="L378" s="692">
        <v>1.189725518226624</v>
      </c>
      <c r="M378" s="17" t="str">
        <f t="shared" si="179"/>
        <v>35.0139816427717,1.18972551822662</v>
      </c>
      <c r="O378" s="85" t="str">
        <f t="shared" si="180"/>
        <v/>
      </c>
      <c r="P378" s="85" t="str">
        <f t="shared" si="181"/>
        <v>Formule bijwerken voor T6</v>
      </c>
      <c r="Q378" s="233" t="str">
        <f t="shared" si="182"/>
        <v/>
      </c>
      <c r="R378" s="17" t="str">
        <f t="shared" si="183"/>
        <v/>
      </c>
      <c r="S378" s="235" t="str">
        <f t="shared" si="188"/>
        <v>Formule bijwerken voor T6</v>
      </c>
      <c r="T378" s="17" t="str">
        <f t="shared" si="184"/>
        <v/>
      </c>
      <c r="U378" s="85" t="str">
        <f t="shared" si="185"/>
        <v>Formule bijwerken voor  T6</v>
      </c>
      <c r="V378" s="17" t="str">
        <f t="shared" si="186"/>
        <v/>
      </c>
      <c r="W378" s="17" t="str">
        <f t="shared" si="159"/>
        <v/>
      </c>
      <c r="X378" s="17" t="str">
        <f t="shared" si="187"/>
        <v/>
      </c>
      <c r="Y378" s="85" t="str">
        <f t="shared" si="160"/>
        <v/>
      </c>
      <c r="Z378" s="17" t="str">
        <f t="shared" si="161"/>
        <v/>
      </c>
      <c r="AA378" s="17" t="str">
        <f t="shared" si="162"/>
        <v/>
      </c>
      <c r="AB378" s="17" t="str">
        <f t="shared" si="163"/>
        <v/>
      </c>
      <c r="AC378" s="17" t="str">
        <f>IF(O378="","",P378&amp;","&amp;AB$287-Variabelen!B$43)</f>
        <v/>
      </c>
      <c r="AD378" s="17"/>
      <c r="AE378" s="17"/>
      <c r="AF378" s="17"/>
      <c r="AG378" s="17"/>
      <c r="AH378" s="17"/>
      <c r="AI378" s="17" t="str">
        <f>IF(O378="","",P378-Variabelen!B$36&amp;","&amp;AB$287-Variabelen!B$43+Variabelen!B$36)</f>
        <v/>
      </c>
      <c r="AJ378" s="154" t="str">
        <f t="shared" si="164"/>
        <v/>
      </c>
      <c r="AK378" s="17"/>
      <c r="AL378" s="17"/>
      <c r="AM378" s="17"/>
      <c r="AN378" s="17"/>
      <c r="AO378" s="17"/>
      <c r="AP378" s="17" t="str">
        <f>IF(O378="","",P378-Variabelen!B$36&amp;","&amp;AB$287-Variabelen!B$42+Variabelen!B$36)</f>
        <v/>
      </c>
      <c r="AQ378" s="154" t="str">
        <f t="shared" si="165"/>
        <v/>
      </c>
      <c r="AR378" s="17"/>
      <c r="AS378" s="17"/>
      <c r="AT378" s="17"/>
      <c r="AU378" s="17"/>
      <c r="AV378" s="17" t="str">
        <f t="shared" si="166"/>
        <v/>
      </c>
      <c r="AW378" s="17" t="str">
        <f>IF(O378="","",P378-Variabelen!B$36&amp;","&amp;AB$287-Variabelen!B$41+Variabelen!B$36)</f>
        <v/>
      </c>
      <c r="AX378" s="17"/>
      <c r="AY378" s="17"/>
      <c r="AZ378" s="154" t="str">
        <f t="shared" si="167"/>
        <v/>
      </c>
      <c r="BA378" s="17"/>
      <c r="BB378" s="17"/>
      <c r="BC378" s="17"/>
      <c r="BD378" s="17"/>
      <c r="BE378" s="17" t="str">
        <f t="shared" si="168"/>
        <v/>
      </c>
      <c r="BF378" s="17" t="str">
        <f>IF(O378="","",P378-Variabelen!B$36&amp;","&amp;AB$287-Variabelen!B$40+Variabelen!B$36)</f>
        <v/>
      </c>
      <c r="BG378" s="17"/>
      <c r="BH378" s="17"/>
      <c r="BI378" s="154" t="str">
        <f t="shared" si="169"/>
        <v/>
      </c>
      <c r="BJ378" s="17"/>
    </row>
    <row r="379" spans="1:62" x14ac:dyDescent="0.25">
      <c r="A379" s="85">
        <f t="shared" si="170"/>
        <v>89</v>
      </c>
      <c r="B379" s="296">
        <f t="shared" si="171"/>
        <v>103931.05699020048</v>
      </c>
      <c r="C379" s="296">
        <f t="shared" si="172"/>
        <v>489280.0329405865</v>
      </c>
      <c r="D379" s="85">
        <f t="shared" si="189"/>
        <v>1</v>
      </c>
      <c r="E379" s="17">
        <f t="shared" si="173"/>
        <v>0.38768131207325496</v>
      </c>
      <c r="F379" s="17">
        <f t="shared" si="174"/>
        <v>-0.10805969178909436</v>
      </c>
      <c r="G379" s="17" t="str">
        <f t="shared" si="175"/>
        <v>103931.0569902,489280.032940587</v>
      </c>
      <c r="H379" s="16">
        <v>89</v>
      </c>
      <c r="I379" s="16">
        <f t="shared" si="176"/>
        <v>89</v>
      </c>
      <c r="J379" s="209">
        <f t="shared" si="177"/>
        <v>0.40245955911171322</v>
      </c>
      <c r="K379" s="209">
        <f t="shared" si="178"/>
        <v>35.416441201883408</v>
      </c>
      <c r="L379" s="692">
        <v>1.198638319969177</v>
      </c>
      <c r="M379" s="17" t="str">
        <f t="shared" si="179"/>
        <v>35.4164412018834,1.19863831996918</v>
      </c>
      <c r="O379" s="85" t="str">
        <f t="shared" si="180"/>
        <v/>
      </c>
      <c r="P379" s="85" t="str">
        <f t="shared" si="181"/>
        <v>Formule bijwerken voor T6</v>
      </c>
      <c r="Q379" s="233" t="str">
        <f t="shared" si="182"/>
        <v/>
      </c>
      <c r="R379" s="17" t="str">
        <f t="shared" si="183"/>
        <v/>
      </c>
      <c r="S379" s="235" t="str">
        <f t="shared" si="188"/>
        <v>Formule bijwerken voor T6</v>
      </c>
      <c r="T379" s="17" t="str">
        <f t="shared" si="184"/>
        <v/>
      </c>
      <c r="U379" s="85" t="str">
        <f t="shared" si="185"/>
        <v>Formule bijwerken voor  T6</v>
      </c>
      <c r="V379" s="17" t="str">
        <f t="shared" si="186"/>
        <v/>
      </c>
      <c r="W379" s="17" t="str">
        <f t="shared" si="159"/>
        <v/>
      </c>
      <c r="X379" s="17" t="str">
        <f t="shared" si="187"/>
        <v/>
      </c>
      <c r="Y379" s="85" t="str">
        <f t="shared" si="160"/>
        <v/>
      </c>
      <c r="Z379" s="17" t="str">
        <f t="shared" si="161"/>
        <v/>
      </c>
      <c r="AA379" s="17" t="str">
        <f t="shared" si="162"/>
        <v/>
      </c>
      <c r="AB379" s="17" t="str">
        <f t="shared" si="163"/>
        <v/>
      </c>
      <c r="AC379" s="17" t="str">
        <f>IF(O379="","",P379&amp;","&amp;AB$287-Variabelen!B$43)</f>
        <v/>
      </c>
      <c r="AD379" s="17"/>
      <c r="AE379" s="17"/>
      <c r="AF379" s="17"/>
      <c r="AG379" s="17"/>
      <c r="AH379" s="17"/>
      <c r="AI379" s="17" t="str">
        <f>IF(O379="","",P379-Variabelen!B$36&amp;","&amp;AB$287-Variabelen!B$43+Variabelen!B$36)</f>
        <v/>
      </c>
      <c r="AJ379" s="154" t="str">
        <f t="shared" si="164"/>
        <v/>
      </c>
      <c r="AK379" s="17"/>
      <c r="AL379" s="17"/>
      <c r="AM379" s="17"/>
      <c r="AN379" s="17"/>
      <c r="AO379" s="17"/>
      <c r="AP379" s="17" t="str">
        <f>IF(O379="","",P379-Variabelen!B$36&amp;","&amp;AB$287-Variabelen!B$42+Variabelen!B$36)</f>
        <v/>
      </c>
      <c r="AQ379" s="154" t="str">
        <f t="shared" si="165"/>
        <v/>
      </c>
      <c r="AR379" s="17"/>
      <c r="AS379" s="17"/>
      <c r="AT379" s="17"/>
      <c r="AU379" s="17"/>
      <c r="AV379" s="17" t="str">
        <f t="shared" si="166"/>
        <v/>
      </c>
      <c r="AW379" s="17" t="str">
        <f>IF(O379="","",P379-Variabelen!B$36&amp;","&amp;AB$287-Variabelen!B$41+Variabelen!B$36)</f>
        <v/>
      </c>
      <c r="AX379" s="17"/>
      <c r="AY379" s="17"/>
      <c r="AZ379" s="154" t="str">
        <f t="shared" si="167"/>
        <v/>
      </c>
      <c r="BA379" s="17"/>
      <c r="BB379" s="17"/>
      <c r="BC379" s="17"/>
      <c r="BD379" s="17"/>
      <c r="BE379" s="17" t="str">
        <f t="shared" si="168"/>
        <v/>
      </c>
      <c r="BF379" s="17" t="str">
        <f>IF(O379="","",P379-Variabelen!B$36&amp;","&amp;AB$287-Variabelen!B$40+Variabelen!B$36)</f>
        <v/>
      </c>
      <c r="BG379" s="17"/>
      <c r="BH379" s="17"/>
      <c r="BI379" s="154" t="str">
        <f t="shared" si="169"/>
        <v/>
      </c>
      <c r="BJ379" s="17"/>
    </row>
    <row r="380" spans="1:62" x14ac:dyDescent="0.25">
      <c r="A380" s="85">
        <f t="shared" si="170"/>
        <v>90</v>
      </c>
      <c r="B380" s="296">
        <f t="shared" si="171"/>
        <v>103931.44467151255</v>
      </c>
      <c r="C380" s="296">
        <f t="shared" si="172"/>
        <v>489279.92488089466</v>
      </c>
      <c r="D380" s="85">
        <f t="shared" si="189"/>
        <v>1</v>
      </c>
      <c r="E380" s="17">
        <f t="shared" si="173"/>
        <v>0.38768131207325496</v>
      </c>
      <c r="F380" s="17">
        <f t="shared" si="174"/>
        <v>-0.10805969184730202</v>
      </c>
      <c r="G380" s="17" t="str">
        <f t="shared" si="175"/>
        <v>103931.444671513,489279.924880895</v>
      </c>
      <c r="H380" s="16">
        <v>90</v>
      </c>
      <c r="I380" s="16">
        <f t="shared" si="176"/>
        <v>90</v>
      </c>
      <c r="J380" s="209">
        <f t="shared" si="177"/>
        <v>0.40245955912734188</v>
      </c>
      <c r="K380" s="209">
        <f t="shared" si="178"/>
        <v>35.818900761010752</v>
      </c>
      <c r="L380" s="692">
        <v>1.1834197044372561</v>
      </c>
      <c r="M380" s="17" t="str">
        <f t="shared" si="179"/>
        <v>35.8189007610108,1.18341970443726</v>
      </c>
      <c r="O380" s="85" t="str">
        <f t="shared" si="180"/>
        <v/>
      </c>
      <c r="P380" s="85" t="str">
        <f t="shared" si="181"/>
        <v>Formule bijwerken voor T6</v>
      </c>
      <c r="Q380" s="233" t="str">
        <f t="shared" si="182"/>
        <v/>
      </c>
      <c r="R380" s="17" t="str">
        <f t="shared" si="183"/>
        <v/>
      </c>
      <c r="S380" s="235" t="str">
        <f t="shared" si="188"/>
        <v>Formule bijwerken voor T6</v>
      </c>
      <c r="T380" s="17" t="str">
        <f t="shared" si="184"/>
        <v/>
      </c>
      <c r="U380" s="85" t="str">
        <f t="shared" si="185"/>
        <v>Formule bijwerken voor  T6</v>
      </c>
      <c r="V380" s="17" t="str">
        <f t="shared" si="186"/>
        <v/>
      </c>
      <c r="W380" s="17" t="str">
        <f t="shared" si="159"/>
        <v/>
      </c>
      <c r="X380" s="17" t="str">
        <f t="shared" si="187"/>
        <v/>
      </c>
      <c r="Y380" s="85" t="str">
        <f t="shared" si="160"/>
        <v/>
      </c>
      <c r="Z380" s="17" t="str">
        <f t="shared" si="161"/>
        <v/>
      </c>
      <c r="AA380" s="17" t="str">
        <f t="shared" si="162"/>
        <v/>
      </c>
      <c r="AB380" s="17" t="str">
        <f t="shared" si="163"/>
        <v/>
      </c>
      <c r="AC380" s="17" t="str">
        <f>IF(O380="","",P380&amp;","&amp;AB$287-Variabelen!B$43)</f>
        <v/>
      </c>
      <c r="AD380" s="17"/>
      <c r="AE380" s="17"/>
      <c r="AF380" s="17"/>
      <c r="AG380" s="17"/>
      <c r="AH380" s="17"/>
      <c r="AI380" s="17" t="str">
        <f>IF(O380="","",P380-Variabelen!B$36&amp;","&amp;AB$287-Variabelen!B$43+Variabelen!B$36)</f>
        <v/>
      </c>
      <c r="AJ380" s="154" t="str">
        <f t="shared" si="164"/>
        <v/>
      </c>
      <c r="AK380" s="17"/>
      <c r="AL380" s="17"/>
      <c r="AM380" s="17"/>
      <c r="AN380" s="17"/>
      <c r="AO380" s="17"/>
      <c r="AP380" s="17" t="str">
        <f>IF(O380="","",P380-Variabelen!B$36&amp;","&amp;AB$287-Variabelen!B$42+Variabelen!B$36)</f>
        <v/>
      </c>
      <c r="AQ380" s="154" t="str">
        <f t="shared" si="165"/>
        <v/>
      </c>
      <c r="AR380" s="17"/>
      <c r="AS380" s="17"/>
      <c r="AT380" s="17"/>
      <c r="AU380" s="17"/>
      <c r="AV380" s="17" t="str">
        <f t="shared" si="166"/>
        <v/>
      </c>
      <c r="AW380" s="17" t="str">
        <f>IF(O380="","",P380-Variabelen!B$36&amp;","&amp;AB$287-Variabelen!B$41+Variabelen!B$36)</f>
        <v/>
      </c>
      <c r="AX380" s="17"/>
      <c r="AY380" s="17"/>
      <c r="AZ380" s="154" t="str">
        <f t="shared" si="167"/>
        <v/>
      </c>
      <c r="BA380" s="17"/>
      <c r="BB380" s="17"/>
      <c r="BC380" s="17"/>
      <c r="BD380" s="17"/>
      <c r="BE380" s="17" t="str">
        <f t="shared" si="168"/>
        <v/>
      </c>
      <c r="BF380" s="17" t="str">
        <f>IF(O380="","",P380-Variabelen!B$36&amp;","&amp;AB$287-Variabelen!B$40+Variabelen!B$36)</f>
        <v/>
      </c>
      <c r="BG380" s="17"/>
      <c r="BH380" s="17"/>
      <c r="BI380" s="154" t="str">
        <f t="shared" si="169"/>
        <v/>
      </c>
      <c r="BJ380" s="17"/>
    </row>
    <row r="381" spans="1:62" x14ac:dyDescent="0.25">
      <c r="A381" s="85">
        <f t="shared" si="170"/>
        <v>91</v>
      </c>
      <c r="B381" s="296">
        <f t="shared" si="171"/>
        <v>103931.83235282461</v>
      </c>
      <c r="C381" s="296">
        <f t="shared" si="172"/>
        <v>489279.81682120287</v>
      </c>
      <c r="D381" s="85">
        <f t="shared" si="189"/>
        <v>1</v>
      </c>
      <c r="E381" s="17">
        <f t="shared" si="173"/>
        <v>0.38768131205870304</v>
      </c>
      <c r="F381" s="17">
        <f t="shared" si="174"/>
        <v>-0.10805969178909436</v>
      </c>
      <c r="G381" s="17" t="str">
        <f t="shared" si="175"/>
        <v>103931.832352825,489279.816821203</v>
      </c>
      <c r="H381" s="16">
        <v>91</v>
      </c>
      <c r="I381" s="16">
        <f t="shared" si="176"/>
        <v>91</v>
      </c>
      <c r="J381" s="209">
        <f t="shared" si="177"/>
        <v>0.4024595590976956</v>
      </c>
      <c r="K381" s="209">
        <f t="shared" si="178"/>
        <v>36.221360320108445</v>
      </c>
      <c r="L381" s="692">
        <v>1.168379664421082</v>
      </c>
      <c r="M381" s="17" t="str">
        <f t="shared" si="179"/>
        <v>36.2213603201084,1.16837966442108</v>
      </c>
      <c r="O381" s="85" t="str">
        <f t="shared" si="180"/>
        <v/>
      </c>
      <c r="P381" s="85" t="str">
        <f t="shared" si="181"/>
        <v>Formule bijwerken voor T6</v>
      </c>
      <c r="Q381" s="233" t="str">
        <f t="shared" si="182"/>
        <v/>
      </c>
      <c r="R381" s="17" t="str">
        <f t="shared" si="183"/>
        <v/>
      </c>
      <c r="S381" s="235" t="str">
        <f t="shared" si="188"/>
        <v>Formule bijwerken voor T6</v>
      </c>
      <c r="T381" s="17" t="str">
        <f t="shared" si="184"/>
        <v/>
      </c>
      <c r="U381" s="85" t="str">
        <f t="shared" si="185"/>
        <v>Formule bijwerken voor  T6</v>
      </c>
      <c r="V381" s="17" t="str">
        <f t="shared" si="186"/>
        <v/>
      </c>
      <c r="W381" s="17" t="str">
        <f t="shared" si="159"/>
        <v/>
      </c>
      <c r="X381" s="17" t="str">
        <f t="shared" si="187"/>
        <v/>
      </c>
      <c r="Y381" s="85" t="str">
        <f t="shared" si="160"/>
        <v/>
      </c>
      <c r="Z381" s="17" t="str">
        <f t="shared" si="161"/>
        <v/>
      </c>
      <c r="AA381" s="17" t="str">
        <f t="shared" si="162"/>
        <v/>
      </c>
      <c r="AB381" s="17" t="str">
        <f t="shared" si="163"/>
        <v/>
      </c>
      <c r="AC381" s="17" t="str">
        <f>IF(O381="","",P381&amp;","&amp;AB$287-Variabelen!B$43)</f>
        <v/>
      </c>
      <c r="AD381" s="17"/>
      <c r="AE381" s="17"/>
      <c r="AF381" s="17"/>
      <c r="AG381" s="17"/>
      <c r="AH381" s="17"/>
      <c r="AI381" s="17" t="str">
        <f>IF(O381="","",P381-Variabelen!B$36&amp;","&amp;AB$287-Variabelen!B$43+Variabelen!B$36)</f>
        <v/>
      </c>
      <c r="AJ381" s="154" t="str">
        <f t="shared" si="164"/>
        <v/>
      </c>
      <c r="AK381" s="17"/>
      <c r="AL381" s="17"/>
      <c r="AM381" s="17"/>
      <c r="AN381" s="17"/>
      <c r="AO381" s="17"/>
      <c r="AP381" s="17" t="str">
        <f>IF(O381="","",P381-Variabelen!B$36&amp;","&amp;AB$287-Variabelen!B$42+Variabelen!B$36)</f>
        <v/>
      </c>
      <c r="AQ381" s="154" t="str">
        <f t="shared" si="165"/>
        <v/>
      </c>
      <c r="AR381" s="17"/>
      <c r="AS381" s="17"/>
      <c r="AT381" s="17"/>
      <c r="AU381" s="17"/>
      <c r="AV381" s="17" t="str">
        <f t="shared" si="166"/>
        <v/>
      </c>
      <c r="AW381" s="17" t="str">
        <f>IF(O381="","",P381-Variabelen!B$36&amp;","&amp;AB$287-Variabelen!B$41+Variabelen!B$36)</f>
        <v/>
      </c>
      <c r="AX381" s="17"/>
      <c r="AY381" s="17"/>
      <c r="AZ381" s="154" t="str">
        <f t="shared" si="167"/>
        <v/>
      </c>
      <c r="BA381" s="17"/>
      <c r="BB381" s="17"/>
      <c r="BC381" s="17"/>
      <c r="BD381" s="17"/>
      <c r="BE381" s="17" t="str">
        <f t="shared" si="168"/>
        <v/>
      </c>
      <c r="BF381" s="17" t="str">
        <f>IF(O381="","",P381-Variabelen!B$36&amp;","&amp;AB$287-Variabelen!B$40+Variabelen!B$36)</f>
        <v/>
      </c>
      <c r="BG381" s="17"/>
      <c r="BH381" s="17"/>
      <c r="BI381" s="154" t="str">
        <f t="shared" si="169"/>
        <v/>
      </c>
      <c r="BJ381" s="17"/>
    </row>
    <row r="382" spans="1:62" x14ac:dyDescent="0.25">
      <c r="A382" s="85">
        <f t="shared" si="170"/>
        <v>92</v>
      </c>
      <c r="B382" s="296">
        <f t="shared" si="171"/>
        <v>103932.22003413668</v>
      </c>
      <c r="C382" s="296">
        <f t="shared" si="172"/>
        <v>489279.70876151108</v>
      </c>
      <c r="D382" s="85">
        <f t="shared" si="189"/>
        <v>1</v>
      </c>
      <c r="E382" s="17">
        <f t="shared" si="173"/>
        <v>0.38768131207325496</v>
      </c>
      <c r="F382" s="17">
        <f t="shared" si="174"/>
        <v>-0.10805969178909436</v>
      </c>
      <c r="G382" s="17" t="str">
        <f t="shared" si="175"/>
        <v>103932.220034137,489279.708761511</v>
      </c>
      <c r="H382" s="16">
        <v>92</v>
      </c>
      <c r="I382" s="16">
        <f t="shared" si="176"/>
        <v>92</v>
      </c>
      <c r="J382" s="209">
        <f t="shared" si="177"/>
        <v>0.40245955911171322</v>
      </c>
      <c r="K382" s="209">
        <f t="shared" si="178"/>
        <v>36.623819879220157</v>
      </c>
      <c r="L382" s="692">
        <v>1.1586910486221309</v>
      </c>
      <c r="M382" s="17" t="str">
        <f t="shared" si="179"/>
        <v>36.6238198792202,1.15869104862213</v>
      </c>
      <c r="O382" s="85" t="str">
        <f t="shared" si="180"/>
        <v/>
      </c>
      <c r="P382" s="85" t="str">
        <f t="shared" si="181"/>
        <v>Formule bijwerken voor T6</v>
      </c>
      <c r="Q382" s="233" t="str">
        <f t="shared" si="182"/>
        <v/>
      </c>
      <c r="R382" s="17" t="str">
        <f t="shared" si="183"/>
        <v/>
      </c>
      <c r="S382" s="235" t="str">
        <f t="shared" si="188"/>
        <v>Formule bijwerken voor T6</v>
      </c>
      <c r="T382" s="17" t="str">
        <f t="shared" si="184"/>
        <v/>
      </c>
      <c r="U382" s="85" t="str">
        <f t="shared" si="185"/>
        <v>Formule bijwerken voor  T6</v>
      </c>
      <c r="V382" s="17" t="str">
        <f t="shared" si="186"/>
        <v/>
      </c>
      <c r="W382" s="17" t="str">
        <f t="shared" si="159"/>
        <v/>
      </c>
      <c r="X382" s="17" t="str">
        <f t="shared" si="187"/>
        <v/>
      </c>
      <c r="Y382" s="85" t="str">
        <f t="shared" si="160"/>
        <v/>
      </c>
      <c r="Z382" s="17" t="str">
        <f t="shared" si="161"/>
        <v/>
      </c>
      <c r="AA382" s="17" t="str">
        <f t="shared" si="162"/>
        <v/>
      </c>
      <c r="AB382" s="17" t="str">
        <f t="shared" si="163"/>
        <v/>
      </c>
      <c r="AC382" s="17" t="str">
        <f>IF(O382="","",P382&amp;","&amp;AB$287-Variabelen!B$43)</f>
        <v/>
      </c>
      <c r="AD382" s="17"/>
      <c r="AE382" s="17"/>
      <c r="AF382" s="17"/>
      <c r="AG382" s="17"/>
      <c r="AH382" s="17"/>
      <c r="AI382" s="17" t="str">
        <f>IF(O382="","",P382-Variabelen!B$36&amp;","&amp;AB$287-Variabelen!B$43+Variabelen!B$36)</f>
        <v/>
      </c>
      <c r="AJ382" s="154" t="str">
        <f t="shared" si="164"/>
        <v/>
      </c>
      <c r="AK382" s="17"/>
      <c r="AL382" s="17"/>
      <c r="AM382" s="17"/>
      <c r="AN382" s="17"/>
      <c r="AO382" s="17"/>
      <c r="AP382" s="17" t="str">
        <f>IF(O382="","",P382-Variabelen!B$36&amp;","&amp;AB$287-Variabelen!B$42+Variabelen!B$36)</f>
        <v/>
      </c>
      <c r="AQ382" s="154" t="str">
        <f t="shared" si="165"/>
        <v/>
      </c>
      <c r="AR382" s="17"/>
      <c r="AS382" s="17"/>
      <c r="AT382" s="17"/>
      <c r="AU382" s="17"/>
      <c r="AV382" s="17" t="str">
        <f t="shared" si="166"/>
        <v/>
      </c>
      <c r="AW382" s="17" t="str">
        <f>IF(O382="","",P382-Variabelen!B$36&amp;","&amp;AB$287-Variabelen!B$41+Variabelen!B$36)</f>
        <v/>
      </c>
      <c r="AX382" s="17"/>
      <c r="AY382" s="17"/>
      <c r="AZ382" s="154" t="str">
        <f t="shared" si="167"/>
        <v/>
      </c>
      <c r="BA382" s="17"/>
      <c r="BB382" s="17"/>
      <c r="BC382" s="17"/>
      <c r="BD382" s="17"/>
      <c r="BE382" s="17" t="str">
        <f t="shared" si="168"/>
        <v/>
      </c>
      <c r="BF382" s="17" t="str">
        <f>IF(O382="","",P382-Variabelen!B$36&amp;","&amp;AB$287-Variabelen!B$40+Variabelen!B$36)</f>
        <v/>
      </c>
      <c r="BG382" s="17"/>
      <c r="BH382" s="17"/>
      <c r="BI382" s="154" t="str">
        <f t="shared" si="169"/>
        <v/>
      </c>
      <c r="BJ382" s="17"/>
    </row>
    <row r="383" spans="1:62" x14ac:dyDescent="0.25">
      <c r="A383" s="85">
        <f t="shared" si="170"/>
        <v>93</v>
      </c>
      <c r="B383" s="296">
        <f t="shared" si="171"/>
        <v>103932.60771544876</v>
      </c>
      <c r="C383" s="296">
        <f t="shared" si="172"/>
        <v>489279.60070181929</v>
      </c>
      <c r="D383" s="85">
        <f t="shared" si="189"/>
        <v>1</v>
      </c>
      <c r="E383" s="17">
        <f t="shared" si="173"/>
        <v>0.38768131207325496</v>
      </c>
      <c r="F383" s="17">
        <f t="shared" si="174"/>
        <v>-0.10805969178909436</v>
      </c>
      <c r="G383" s="17" t="str">
        <f t="shared" si="175"/>
        <v>103932.607715449,489279.600701819</v>
      </c>
      <c r="H383" s="16">
        <v>93</v>
      </c>
      <c r="I383" s="16">
        <f t="shared" si="176"/>
        <v>93</v>
      </c>
      <c r="J383" s="209">
        <f t="shared" si="177"/>
        <v>0.40245955911171322</v>
      </c>
      <c r="K383" s="209">
        <f t="shared" si="178"/>
        <v>37.026279438331869</v>
      </c>
      <c r="L383" s="692">
        <v>1.1673340797424321</v>
      </c>
      <c r="M383" s="17" t="str">
        <f t="shared" si="179"/>
        <v>37.0262794383319,1.16733407974243</v>
      </c>
      <c r="O383" s="85" t="str">
        <f t="shared" si="180"/>
        <v/>
      </c>
      <c r="P383" s="85" t="str">
        <f t="shared" si="181"/>
        <v>Formule bijwerken voor T6</v>
      </c>
      <c r="Q383" s="233" t="str">
        <f t="shared" si="182"/>
        <v/>
      </c>
      <c r="R383" s="17" t="str">
        <f t="shared" si="183"/>
        <v/>
      </c>
      <c r="S383" s="235" t="str">
        <f t="shared" si="188"/>
        <v>Formule bijwerken voor T6</v>
      </c>
      <c r="T383" s="17" t="str">
        <f t="shared" si="184"/>
        <v/>
      </c>
      <c r="U383" s="85" t="str">
        <f t="shared" si="185"/>
        <v>Formule bijwerken voor  T6</v>
      </c>
      <c r="V383" s="17" t="str">
        <f t="shared" si="186"/>
        <v/>
      </c>
      <c r="W383" s="17" t="str">
        <f t="shared" si="159"/>
        <v/>
      </c>
      <c r="X383" s="17" t="str">
        <f t="shared" si="187"/>
        <v/>
      </c>
      <c r="Y383" s="85" t="str">
        <f t="shared" si="160"/>
        <v/>
      </c>
      <c r="Z383" s="17" t="str">
        <f t="shared" si="161"/>
        <v/>
      </c>
      <c r="AA383" s="17" t="str">
        <f t="shared" si="162"/>
        <v/>
      </c>
      <c r="AB383" s="17" t="str">
        <f t="shared" si="163"/>
        <v/>
      </c>
      <c r="AC383" s="17" t="str">
        <f>IF(O383="","",P383&amp;","&amp;AB$287-Variabelen!B$43)</f>
        <v/>
      </c>
      <c r="AD383" s="17"/>
      <c r="AE383" s="17"/>
      <c r="AF383" s="17"/>
      <c r="AG383" s="17"/>
      <c r="AH383" s="17"/>
      <c r="AI383" s="17" t="str">
        <f>IF(O383="","",P383-Variabelen!B$36&amp;","&amp;AB$287-Variabelen!B$43+Variabelen!B$36)</f>
        <v/>
      </c>
      <c r="AJ383" s="154" t="str">
        <f t="shared" si="164"/>
        <v/>
      </c>
      <c r="AK383" s="17"/>
      <c r="AL383" s="17"/>
      <c r="AM383" s="17"/>
      <c r="AN383" s="17"/>
      <c r="AO383" s="17"/>
      <c r="AP383" s="17" t="str">
        <f>IF(O383="","",P383-Variabelen!B$36&amp;","&amp;AB$287-Variabelen!B$42+Variabelen!B$36)</f>
        <v/>
      </c>
      <c r="AQ383" s="154" t="str">
        <f t="shared" si="165"/>
        <v/>
      </c>
      <c r="AR383" s="17"/>
      <c r="AS383" s="17"/>
      <c r="AT383" s="17"/>
      <c r="AU383" s="17"/>
      <c r="AV383" s="17" t="str">
        <f t="shared" si="166"/>
        <v/>
      </c>
      <c r="AW383" s="17" t="str">
        <f>IF(O383="","",P383-Variabelen!B$36&amp;","&amp;AB$287-Variabelen!B$41+Variabelen!B$36)</f>
        <v/>
      </c>
      <c r="AX383" s="17"/>
      <c r="AY383" s="17"/>
      <c r="AZ383" s="154" t="str">
        <f t="shared" si="167"/>
        <v/>
      </c>
      <c r="BA383" s="17"/>
      <c r="BB383" s="17"/>
      <c r="BC383" s="17"/>
      <c r="BD383" s="17"/>
      <c r="BE383" s="17" t="str">
        <f t="shared" si="168"/>
        <v/>
      </c>
      <c r="BF383" s="17" t="str">
        <f>IF(O383="","",P383-Variabelen!B$36&amp;","&amp;AB$287-Variabelen!B$40+Variabelen!B$36)</f>
        <v/>
      </c>
      <c r="BG383" s="17"/>
      <c r="BH383" s="17"/>
      <c r="BI383" s="154" t="str">
        <f t="shared" si="169"/>
        <v/>
      </c>
      <c r="BJ383" s="17"/>
    </row>
    <row r="384" spans="1:62" x14ac:dyDescent="0.25">
      <c r="A384" s="85">
        <f t="shared" si="170"/>
        <v>94</v>
      </c>
      <c r="B384" s="296">
        <f t="shared" si="171"/>
        <v>103932.99539676083</v>
      </c>
      <c r="C384" s="296">
        <f t="shared" si="172"/>
        <v>489279.49264212744</v>
      </c>
      <c r="D384" s="85">
        <f t="shared" si="189"/>
        <v>1</v>
      </c>
      <c r="E384" s="17">
        <f t="shared" si="173"/>
        <v>0.38768131207325496</v>
      </c>
      <c r="F384" s="17">
        <f t="shared" si="174"/>
        <v>-0.10805969184730202</v>
      </c>
      <c r="G384" s="17" t="str">
        <f t="shared" si="175"/>
        <v>103932.995396761,489279.492642127</v>
      </c>
      <c r="H384" s="16">
        <v>94</v>
      </c>
      <c r="I384" s="16">
        <f t="shared" si="176"/>
        <v>94</v>
      </c>
      <c r="J384" s="209">
        <f t="shared" si="177"/>
        <v>0.40245955912734188</v>
      </c>
      <c r="K384" s="209">
        <f t="shared" si="178"/>
        <v>37.428738997459213</v>
      </c>
      <c r="L384" s="692">
        <v>1.164597868919373</v>
      </c>
      <c r="M384" s="17" t="str">
        <f t="shared" si="179"/>
        <v>37.4287389974592,1.16459786891937</v>
      </c>
      <c r="O384" s="85" t="str">
        <f t="shared" si="180"/>
        <v/>
      </c>
      <c r="P384" s="85" t="str">
        <f t="shared" si="181"/>
        <v>Formule bijwerken voor T6</v>
      </c>
      <c r="Q384" s="233" t="str">
        <f t="shared" si="182"/>
        <v/>
      </c>
      <c r="R384" s="17" t="str">
        <f t="shared" si="183"/>
        <v/>
      </c>
      <c r="S384" s="235" t="str">
        <f t="shared" si="188"/>
        <v>Formule bijwerken voor T6</v>
      </c>
      <c r="T384" s="17" t="str">
        <f t="shared" si="184"/>
        <v/>
      </c>
      <c r="U384" s="85" t="str">
        <f t="shared" si="185"/>
        <v>Formule bijwerken voor  T6</v>
      </c>
      <c r="V384" s="17" t="str">
        <f t="shared" si="186"/>
        <v/>
      </c>
      <c r="W384" s="17" t="str">
        <f t="shared" si="159"/>
        <v/>
      </c>
      <c r="X384" s="17" t="str">
        <f t="shared" si="187"/>
        <v/>
      </c>
      <c r="Y384" s="85" t="str">
        <f t="shared" si="160"/>
        <v/>
      </c>
      <c r="Z384" s="17" t="str">
        <f t="shared" si="161"/>
        <v/>
      </c>
      <c r="AA384" s="17" t="str">
        <f t="shared" si="162"/>
        <v/>
      </c>
      <c r="AB384" s="17" t="str">
        <f t="shared" si="163"/>
        <v/>
      </c>
      <c r="AC384" s="17" t="str">
        <f>IF(O384="","",P384&amp;","&amp;AB$287-Variabelen!B$43)</f>
        <v/>
      </c>
      <c r="AD384" s="17"/>
      <c r="AE384" s="17"/>
      <c r="AF384" s="17"/>
      <c r="AG384" s="17"/>
      <c r="AH384" s="17"/>
      <c r="AI384" s="17" t="str">
        <f>IF(O384="","",P384-Variabelen!B$36&amp;","&amp;AB$287-Variabelen!B$43+Variabelen!B$36)</f>
        <v/>
      </c>
      <c r="AJ384" s="154" t="str">
        <f t="shared" si="164"/>
        <v/>
      </c>
      <c r="AK384" s="17"/>
      <c r="AL384" s="17"/>
      <c r="AM384" s="17"/>
      <c r="AN384" s="17"/>
      <c r="AO384" s="17"/>
      <c r="AP384" s="17" t="str">
        <f>IF(O384="","",P384-Variabelen!B$36&amp;","&amp;AB$287-Variabelen!B$42+Variabelen!B$36)</f>
        <v/>
      </c>
      <c r="AQ384" s="154" t="str">
        <f t="shared" si="165"/>
        <v/>
      </c>
      <c r="AR384" s="17"/>
      <c r="AS384" s="17"/>
      <c r="AT384" s="17"/>
      <c r="AU384" s="17"/>
      <c r="AV384" s="17" t="str">
        <f t="shared" si="166"/>
        <v/>
      </c>
      <c r="AW384" s="17" t="str">
        <f>IF(O384="","",P384-Variabelen!B$36&amp;","&amp;AB$287-Variabelen!B$41+Variabelen!B$36)</f>
        <v/>
      </c>
      <c r="AX384" s="17"/>
      <c r="AY384" s="17"/>
      <c r="AZ384" s="154" t="str">
        <f t="shared" si="167"/>
        <v/>
      </c>
      <c r="BA384" s="17"/>
      <c r="BB384" s="17"/>
      <c r="BC384" s="17"/>
      <c r="BD384" s="17"/>
      <c r="BE384" s="17" t="str">
        <f t="shared" si="168"/>
        <v/>
      </c>
      <c r="BF384" s="17" t="str">
        <f>IF(O384="","",P384-Variabelen!B$36&amp;","&amp;AB$287-Variabelen!B$40+Variabelen!B$36)</f>
        <v/>
      </c>
      <c r="BG384" s="17"/>
      <c r="BH384" s="17"/>
      <c r="BI384" s="154" t="str">
        <f t="shared" si="169"/>
        <v/>
      </c>
      <c r="BJ384" s="17"/>
    </row>
    <row r="385" spans="1:62" x14ac:dyDescent="0.25">
      <c r="A385" s="85">
        <f t="shared" si="170"/>
        <v>95</v>
      </c>
      <c r="B385" s="296">
        <f t="shared" si="171"/>
        <v>103933.38307807289</v>
      </c>
      <c r="C385" s="296">
        <f t="shared" si="172"/>
        <v>489279.38458243565</v>
      </c>
      <c r="D385" s="85">
        <f t="shared" si="189"/>
        <v>1</v>
      </c>
      <c r="E385" s="17">
        <f t="shared" si="173"/>
        <v>0.38768131205870304</v>
      </c>
      <c r="F385" s="17">
        <f t="shared" si="174"/>
        <v>-0.10805969178909436</v>
      </c>
      <c r="G385" s="17" t="str">
        <f t="shared" si="175"/>
        <v>103933.383078073,489279.384582436</v>
      </c>
      <c r="H385" s="16">
        <v>95</v>
      </c>
      <c r="I385" s="16">
        <f t="shared" si="176"/>
        <v>95</v>
      </c>
      <c r="J385" s="209">
        <f t="shared" si="177"/>
        <v>0.4024595590976956</v>
      </c>
      <c r="K385" s="209">
        <f t="shared" si="178"/>
        <v>37.831198556556906</v>
      </c>
      <c r="L385" s="692">
        <v>1.166137099266052</v>
      </c>
      <c r="M385" s="17" t="str">
        <f t="shared" si="179"/>
        <v>37.8311985565569,1.16613709926605</v>
      </c>
      <c r="O385" s="85" t="str">
        <f t="shared" si="180"/>
        <v/>
      </c>
      <c r="P385" s="85" t="str">
        <f t="shared" si="181"/>
        <v>Formule bijwerken voor T6</v>
      </c>
      <c r="Q385" s="233" t="str">
        <f t="shared" si="182"/>
        <v/>
      </c>
      <c r="R385" s="17" t="str">
        <f t="shared" si="183"/>
        <v/>
      </c>
      <c r="S385" s="235" t="str">
        <f t="shared" si="188"/>
        <v>Formule bijwerken voor T6</v>
      </c>
      <c r="T385" s="17" t="str">
        <f t="shared" si="184"/>
        <v/>
      </c>
      <c r="U385" s="85" t="str">
        <f t="shared" si="185"/>
        <v>Formule bijwerken voor  T6</v>
      </c>
      <c r="V385" s="17" t="str">
        <f t="shared" si="186"/>
        <v/>
      </c>
      <c r="W385" s="17" t="str">
        <f t="shared" si="159"/>
        <v/>
      </c>
      <c r="X385" s="17" t="str">
        <f t="shared" si="187"/>
        <v/>
      </c>
      <c r="Y385" s="85" t="str">
        <f t="shared" si="160"/>
        <v/>
      </c>
      <c r="Z385" s="17" t="str">
        <f t="shared" si="161"/>
        <v/>
      </c>
      <c r="AA385" s="17" t="str">
        <f t="shared" si="162"/>
        <v/>
      </c>
      <c r="AB385" s="17" t="str">
        <f t="shared" si="163"/>
        <v/>
      </c>
      <c r="AC385" s="17" t="str">
        <f>IF(O385="","",P385&amp;","&amp;AB$287-Variabelen!B$43)</f>
        <v/>
      </c>
      <c r="AD385" s="17"/>
      <c r="AE385" s="17"/>
      <c r="AF385" s="17"/>
      <c r="AG385" s="17"/>
      <c r="AH385" s="17"/>
      <c r="AI385" s="17" t="str">
        <f>IF(O385="","",P385-Variabelen!B$36&amp;","&amp;AB$287-Variabelen!B$43+Variabelen!B$36)</f>
        <v/>
      </c>
      <c r="AJ385" s="154" t="str">
        <f t="shared" si="164"/>
        <v/>
      </c>
      <c r="AK385" s="17"/>
      <c r="AL385" s="17"/>
      <c r="AM385" s="17"/>
      <c r="AN385" s="17"/>
      <c r="AO385" s="17"/>
      <c r="AP385" s="17" t="str">
        <f>IF(O385="","",P385-Variabelen!B$36&amp;","&amp;AB$287-Variabelen!B$42+Variabelen!B$36)</f>
        <v/>
      </c>
      <c r="AQ385" s="154" t="str">
        <f t="shared" si="165"/>
        <v/>
      </c>
      <c r="AR385" s="17"/>
      <c r="AS385" s="17"/>
      <c r="AT385" s="17"/>
      <c r="AU385" s="17"/>
      <c r="AV385" s="17" t="str">
        <f t="shared" si="166"/>
        <v/>
      </c>
      <c r="AW385" s="17" t="str">
        <f>IF(O385="","",P385-Variabelen!B$36&amp;","&amp;AB$287-Variabelen!B$41+Variabelen!B$36)</f>
        <v/>
      </c>
      <c r="AX385" s="17"/>
      <c r="AY385" s="17"/>
      <c r="AZ385" s="154" t="str">
        <f t="shared" si="167"/>
        <v/>
      </c>
      <c r="BA385" s="17"/>
      <c r="BB385" s="17"/>
      <c r="BC385" s="17"/>
      <c r="BD385" s="17"/>
      <c r="BE385" s="17" t="str">
        <f t="shared" si="168"/>
        <v/>
      </c>
      <c r="BF385" s="17" t="str">
        <f>IF(O385="","",P385-Variabelen!B$36&amp;","&amp;AB$287-Variabelen!B$40+Variabelen!B$36)</f>
        <v/>
      </c>
      <c r="BG385" s="17"/>
      <c r="BH385" s="17"/>
      <c r="BI385" s="154" t="str">
        <f t="shared" si="169"/>
        <v/>
      </c>
      <c r="BJ385" s="17"/>
    </row>
    <row r="386" spans="1:62" x14ac:dyDescent="0.25">
      <c r="A386" s="85">
        <f t="shared" si="170"/>
        <v>96</v>
      </c>
      <c r="B386" s="296">
        <f t="shared" si="171"/>
        <v>103933.77075938496</v>
      </c>
      <c r="C386" s="296">
        <f t="shared" si="172"/>
        <v>489279.27652274386</v>
      </c>
      <c r="D386" s="85">
        <f t="shared" si="189"/>
        <v>1</v>
      </c>
      <c r="E386" s="17">
        <f t="shared" si="173"/>
        <v>0.38768131207325496</v>
      </c>
      <c r="F386" s="17">
        <f t="shared" si="174"/>
        <v>-0.10805969178909436</v>
      </c>
      <c r="G386" s="17" t="str">
        <f t="shared" si="175"/>
        <v>103933.770759385,489279.276522744</v>
      </c>
      <c r="H386" s="16">
        <v>96</v>
      </c>
      <c r="I386" s="16">
        <f t="shared" si="176"/>
        <v>96</v>
      </c>
      <c r="J386" s="209">
        <f t="shared" si="177"/>
        <v>0.40245955911171322</v>
      </c>
      <c r="K386" s="209">
        <f t="shared" si="178"/>
        <v>38.233658115668618</v>
      </c>
      <c r="L386" s="692">
        <v>1.160919070243835</v>
      </c>
      <c r="M386" s="17" t="str">
        <f t="shared" si="179"/>
        <v>38.2336581156686,1.16091907024384</v>
      </c>
      <c r="O386" s="85" t="str">
        <f t="shared" si="180"/>
        <v/>
      </c>
      <c r="P386" s="85" t="str">
        <f t="shared" si="181"/>
        <v>Formule bijwerken voor T6</v>
      </c>
      <c r="Q386" s="233" t="str">
        <f t="shared" si="182"/>
        <v/>
      </c>
      <c r="R386" s="17" t="str">
        <f t="shared" si="183"/>
        <v/>
      </c>
      <c r="S386" s="235" t="str">
        <f t="shared" si="188"/>
        <v>Formule bijwerken voor T6</v>
      </c>
      <c r="T386" s="17" t="str">
        <f t="shared" si="184"/>
        <v/>
      </c>
      <c r="U386" s="85" t="str">
        <f t="shared" si="185"/>
        <v>Formule bijwerken voor  T6</v>
      </c>
      <c r="V386" s="17" t="str">
        <f t="shared" si="186"/>
        <v/>
      </c>
      <c r="W386" s="17" t="str">
        <f t="shared" si="159"/>
        <v/>
      </c>
      <c r="X386" s="17" t="str">
        <f t="shared" si="187"/>
        <v/>
      </c>
      <c r="Y386" s="85" t="str">
        <f t="shared" si="160"/>
        <v/>
      </c>
      <c r="Z386" s="17" t="str">
        <f t="shared" si="161"/>
        <v/>
      </c>
      <c r="AA386" s="17" t="str">
        <f t="shared" si="162"/>
        <v/>
      </c>
      <c r="AB386" s="17" t="str">
        <f t="shared" si="163"/>
        <v/>
      </c>
      <c r="AC386" s="17" t="str">
        <f>IF(O386="","",P386&amp;","&amp;AB$287-Variabelen!B$43)</f>
        <v/>
      </c>
      <c r="AD386" s="17"/>
      <c r="AE386" s="17"/>
      <c r="AF386" s="17"/>
      <c r="AG386" s="17"/>
      <c r="AH386" s="17"/>
      <c r="AI386" s="17" t="str">
        <f>IF(O386="","",P386-Variabelen!B$36&amp;","&amp;AB$287-Variabelen!B$43+Variabelen!B$36)</f>
        <v/>
      </c>
      <c r="AJ386" s="154" t="str">
        <f t="shared" si="164"/>
        <v/>
      </c>
      <c r="AK386" s="17"/>
      <c r="AL386" s="17"/>
      <c r="AM386" s="17"/>
      <c r="AN386" s="17"/>
      <c r="AO386" s="17"/>
      <c r="AP386" s="17" t="str">
        <f>IF(O386="","",P386-Variabelen!B$36&amp;","&amp;AB$287-Variabelen!B$42+Variabelen!B$36)</f>
        <v/>
      </c>
      <c r="AQ386" s="154" t="str">
        <f t="shared" si="165"/>
        <v/>
      </c>
      <c r="AR386" s="17"/>
      <c r="AS386" s="17"/>
      <c r="AT386" s="17"/>
      <c r="AU386" s="17"/>
      <c r="AV386" s="17" t="str">
        <f t="shared" si="166"/>
        <v/>
      </c>
      <c r="AW386" s="17" t="str">
        <f>IF(O386="","",P386-Variabelen!B$36&amp;","&amp;AB$287-Variabelen!B$41+Variabelen!B$36)</f>
        <v/>
      </c>
      <c r="AX386" s="17"/>
      <c r="AY386" s="17"/>
      <c r="AZ386" s="154" t="str">
        <f t="shared" si="167"/>
        <v/>
      </c>
      <c r="BA386" s="17"/>
      <c r="BB386" s="17"/>
      <c r="BC386" s="17"/>
      <c r="BD386" s="17"/>
      <c r="BE386" s="17" t="str">
        <f t="shared" si="168"/>
        <v/>
      </c>
      <c r="BF386" s="17" t="str">
        <f>IF(O386="","",P386-Variabelen!B$36&amp;","&amp;AB$287-Variabelen!B$40+Variabelen!B$36)</f>
        <v/>
      </c>
      <c r="BG386" s="17"/>
      <c r="BH386" s="17"/>
      <c r="BI386" s="154" t="str">
        <f t="shared" si="169"/>
        <v/>
      </c>
      <c r="BJ386" s="17"/>
    </row>
    <row r="387" spans="1:62" x14ac:dyDescent="0.25">
      <c r="A387" s="85">
        <f t="shared" si="170"/>
        <v>97</v>
      </c>
      <c r="B387" s="296">
        <f t="shared" si="171"/>
        <v>103934.15844069704</v>
      </c>
      <c r="C387" s="296">
        <f t="shared" si="172"/>
        <v>489279.16846305202</v>
      </c>
      <c r="D387" s="85">
        <f t="shared" si="189"/>
        <v>1</v>
      </c>
      <c r="E387" s="17">
        <f t="shared" si="173"/>
        <v>0.38768131207325496</v>
      </c>
      <c r="F387" s="17">
        <f t="shared" si="174"/>
        <v>-0.10805969184730202</v>
      </c>
      <c r="G387" s="17" t="str">
        <f t="shared" si="175"/>
        <v>103934.158440697,489279.168463052</v>
      </c>
      <c r="H387" s="16">
        <v>97</v>
      </c>
      <c r="I387" s="16">
        <f t="shared" si="176"/>
        <v>97</v>
      </c>
      <c r="J387" s="209">
        <f t="shared" si="177"/>
        <v>0.40245955912734188</v>
      </c>
      <c r="K387" s="209">
        <f t="shared" si="178"/>
        <v>38.636117674795962</v>
      </c>
      <c r="L387" s="692">
        <v>1.156857490539551</v>
      </c>
      <c r="M387" s="17" t="str">
        <f t="shared" si="179"/>
        <v>38.636117674796,1.15685749053955</v>
      </c>
      <c r="O387" s="85" t="str">
        <f t="shared" si="180"/>
        <v/>
      </c>
      <c r="P387" s="85" t="str">
        <f t="shared" si="181"/>
        <v>Formule bijwerken voor T6</v>
      </c>
      <c r="Q387" s="233" t="str">
        <f t="shared" si="182"/>
        <v/>
      </c>
      <c r="R387" s="17" t="str">
        <f t="shared" si="183"/>
        <v/>
      </c>
      <c r="S387" s="235" t="str">
        <f t="shared" si="188"/>
        <v>Formule bijwerken voor T6</v>
      </c>
      <c r="T387" s="17" t="str">
        <f t="shared" si="184"/>
        <v/>
      </c>
      <c r="U387" s="85" t="str">
        <f t="shared" si="185"/>
        <v>Formule bijwerken voor  T6</v>
      </c>
      <c r="V387" s="17" t="str">
        <f t="shared" si="186"/>
        <v/>
      </c>
      <c r="W387" s="17" t="str">
        <f t="shared" ref="W387:W418" si="190">IF(O387="","",U387+G$49)</f>
        <v/>
      </c>
      <c r="X387" s="17" t="str">
        <f t="shared" si="187"/>
        <v/>
      </c>
      <c r="Y387" s="85" t="str">
        <f t="shared" ref="Y387:Y418" si="191">_xlfn.SINGLE(IF(O387="","",_xlfn.XLOOKUP(P387,P$273:P$284,O$273:O$284,Y386)))</f>
        <v/>
      </c>
      <c r="Z387" s="17" t="str">
        <f t="shared" ref="Z387:Z418" si="192">IF(O387="","",O387)</f>
        <v/>
      </c>
      <c r="AA387" s="17" t="str">
        <f t="shared" ref="AA387:AA418" si="193">IF(O387="","","LINE")</f>
        <v/>
      </c>
      <c r="AB387" s="17" t="str">
        <f t="shared" ref="AB387:AB418" si="194">IF(O387="","",P387&amp;","&amp;AB$286)</f>
        <v/>
      </c>
      <c r="AC387" s="17" t="str">
        <f>IF(O387="","",P387&amp;","&amp;AB$287-Variabelen!B$43)</f>
        <v/>
      </c>
      <c r="AD387" s="17"/>
      <c r="AE387" s="17"/>
      <c r="AF387" s="17"/>
      <c r="AG387" s="17"/>
      <c r="AH387" s="17"/>
      <c r="AI387" s="17" t="str">
        <f>IF(O387="","",P387-Variabelen!B$36&amp;","&amp;AB$287-Variabelen!B$43+Variabelen!B$36)</f>
        <v/>
      </c>
      <c r="AJ387" s="154" t="str">
        <f t="shared" ref="AJ387:AJ418" si="195">IF(O387="","",ROUND(P387,2))</f>
        <v/>
      </c>
      <c r="AK387" s="17"/>
      <c r="AL387" s="17"/>
      <c r="AM387" s="17"/>
      <c r="AN387" s="17"/>
      <c r="AO387" s="17"/>
      <c r="AP387" s="17" t="str">
        <f>IF(O387="","",P387-Variabelen!B$36&amp;","&amp;AB$287-Variabelen!B$42+Variabelen!B$36)</f>
        <v/>
      </c>
      <c r="AQ387" s="154" t="str">
        <f t="shared" ref="AQ387:AQ418" si="196">IF(O387="","",ROUND(S387,2))</f>
        <v/>
      </c>
      <c r="AR387" s="17"/>
      <c r="AS387" s="17"/>
      <c r="AT387" s="17"/>
      <c r="AU387" s="17"/>
      <c r="AV387" s="17" t="str">
        <f t="shared" ref="AV387:AV418" si="197">IF(O387="","","_BR")</f>
        <v/>
      </c>
      <c r="AW387" s="17" t="str">
        <f>IF(O387="","",P387-Variabelen!B$36&amp;","&amp;AB$287-Variabelen!B$41+Variabelen!B$36)</f>
        <v/>
      </c>
      <c r="AX387" s="17"/>
      <c r="AY387" s="17"/>
      <c r="AZ387" s="154" t="str">
        <f t="shared" ref="AZ387:AZ418" si="198">IF(O387="","",ROUND(W387,2))</f>
        <v/>
      </c>
      <c r="BA387" s="17"/>
      <c r="BB387" s="17"/>
      <c r="BC387" s="17"/>
      <c r="BD387" s="17"/>
      <c r="BE387" s="17" t="str">
        <f t="shared" ref="BE387:BE418" si="199">IF(O387="","","_BR")</f>
        <v/>
      </c>
      <c r="BF387" s="17" t="str">
        <f>IF(O387="","",P387-Variabelen!B$36&amp;","&amp;AB$287-Variabelen!B$40+Variabelen!B$36)</f>
        <v/>
      </c>
      <c r="BG387" s="17"/>
      <c r="BH387" s="17"/>
      <c r="BI387" s="154" t="str">
        <f t="shared" ref="BI387:BI418" si="200">IF(O387="","",ROUND(X387,2))</f>
        <v/>
      </c>
      <c r="BJ387" s="17"/>
    </row>
    <row r="388" spans="1:62" x14ac:dyDescent="0.25">
      <c r="A388" s="85">
        <f t="shared" si="170"/>
        <v>98</v>
      </c>
      <c r="B388" s="296">
        <f t="shared" si="171"/>
        <v>103934.54612200911</v>
      </c>
      <c r="C388" s="296">
        <f t="shared" si="172"/>
        <v>489279.06040336023</v>
      </c>
      <c r="D388" s="85">
        <f t="shared" si="189"/>
        <v>1</v>
      </c>
      <c r="E388" s="17">
        <f t="shared" si="173"/>
        <v>0.38768131207325496</v>
      </c>
      <c r="F388" s="17">
        <f t="shared" si="174"/>
        <v>-0.10805969178909436</v>
      </c>
      <c r="G388" s="17" t="str">
        <f t="shared" si="175"/>
        <v>103934.546122009,489279.06040336</v>
      </c>
      <c r="H388" s="16">
        <v>98</v>
      </c>
      <c r="I388" s="16">
        <f t="shared" si="176"/>
        <v>98</v>
      </c>
      <c r="J388" s="209">
        <f t="shared" si="177"/>
        <v>0.40245955911171322</v>
      </c>
      <c r="K388" s="209">
        <f t="shared" si="178"/>
        <v>39.038577233907674</v>
      </c>
      <c r="L388" s="692">
        <v>1.158979177474976</v>
      </c>
      <c r="M388" s="17" t="str">
        <f t="shared" si="179"/>
        <v>39.0385772339077,1.15897917747498</v>
      </c>
      <c r="O388" s="85" t="str">
        <f t="shared" ref="O388:O419" si="201">IF(O387&lt;W$269,O387+1,"")</f>
        <v/>
      </c>
      <c r="P388" s="85" t="str">
        <f t="shared" ref="P388:P419" si="202">IF(O387&lt;=Q$270,P$273+(O387*R$274/Q$269),IF(O387&lt;=R$270,P$274+((O387-Q$270)*R$275/R$269),IF(O387&lt;=S$270,P$275+((O387-R$270)*R$276/S$269),IF(O387&lt;=T$270,P$276+((O387-S$270)*R$277/T$269),IF(O387&lt;=U$270,P$277+((O387-T$270)*R$278/U$269),"Formule bijwerken voor T6")))))</f>
        <v>Formule bijwerken voor T6</v>
      </c>
      <c r="Q388" s="233" t="str">
        <f t="shared" ref="Q388:Q419" si="203">IF(AND(O387&gt;=Q$270,O387&lt;R$270+1),Z$265-DEGREES(ASIN((R$275-(((O387-Q$270)/R$269)*R$275))/Z$266)),IF(AND(O387&gt;=S$270,O387&lt;T$270+1),Z$270-DEGREES(ASIN((((O387-S$270)/T$269)*R$277)/Z$269)),""))</f>
        <v/>
      </c>
      <c r="R388" s="17" t="str">
        <f t="shared" ref="R388:R419" si="204">IF(O388="","",P388-P387)</f>
        <v/>
      </c>
      <c r="S388" s="235" t="str">
        <f t="shared" si="188"/>
        <v>Formule bijwerken voor T6</v>
      </c>
      <c r="T388" s="17" t="str">
        <f t="shared" ref="T388:T419" si="205">IF(O388="","",S388-S387)</f>
        <v/>
      </c>
      <c r="U388" s="85" t="str">
        <f t="shared" ref="U388:U419" si="206">IF(O387&lt;=Q$270,U$273+(O387*V$274/Q$269),IF(O387&lt;=R$270,U$274-Z$266*((COS(RADIANS(Z$265-Q388)))-(COS(RADIANS(Z$265)))),IF(O387&lt;=S$270,U$275+((O387-R$270)*V$276/S$269),IF(O387&lt;=T$270,U$276+Z$269-(Z$269*(COS(RADIANS(Z$270-Q388)))),IF(O387&lt;=U$270,U$277+((O387-T$270)*V$278/U$269),"Formule bijwerken voor  T6")))))</f>
        <v>Formule bijwerken voor  T6</v>
      </c>
      <c r="V388" s="17" t="str">
        <f t="shared" ref="V388:V419" si="207">IF(O388="","",U388-U387)</f>
        <v/>
      </c>
      <c r="W388" s="17" t="str">
        <f t="shared" si="190"/>
        <v/>
      </c>
      <c r="X388" s="17" t="str">
        <f t="shared" ref="X388:X419" si="208">IF(O388="","",W388-VLOOKUP(P388,K$290:L$1291,2,TRUE))</f>
        <v/>
      </c>
      <c r="Y388" s="85" t="str">
        <f t="shared" si="191"/>
        <v/>
      </c>
      <c r="Z388" s="17" t="str">
        <f t="shared" si="192"/>
        <v/>
      </c>
      <c r="AA388" s="17" t="str">
        <f t="shared" si="193"/>
        <v/>
      </c>
      <c r="AB388" s="17" t="str">
        <f t="shared" si="194"/>
        <v/>
      </c>
      <c r="AC388" s="17" t="str">
        <f>IF(O388="","",P388&amp;","&amp;AB$287-Variabelen!B$43)</f>
        <v/>
      </c>
      <c r="AD388" s="17"/>
      <c r="AE388" s="17"/>
      <c r="AF388" s="17"/>
      <c r="AG388" s="17"/>
      <c r="AH388" s="17"/>
      <c r="AI388" s="17" t="str">
        <f>IF(O388="","",P388-Variabelen!B$36&amp;","&amp;AB$287-Variabelen!B$43+Variabelen!B$36)</f>
        <v/>
      </c>
      <c r="AJ388" s="154" t="str">
        <f t="shared" si="195"/>
        <v/>
      </c>
      <c r="AK388" s="17"/>
      <c r="AL388" s="17"/>
      <c r="AM388" s="17"/>
      <c r="AN388" s="17"/>
      <c r="AO388" s="17"/>
      <c r="AP388" s="17" t="str">
        <f>IF(O388="","",P388-Variabelen!B$36&amp;","&amp;AB$287-Variabelen!B$42+Variabelen!B$36)</f>
        <v/>
      </c>
      <c r="AQ388" s="154" t="str">
        <f t="shared" si="196"/>
        <v/>
      </c>
      <c r="AR388" s="17"/>
      <c r="AS388" s="17"/>
      <c r="AT388" s="17"/>
      <c r="AU388" s="17"/>
      <c r="AV388" s="17" t="str">
        <f t="shared" si="197"/>
        <v/>
      </c>
      <c r="AW388" s="17" t="str">
        <f>IF(O388="","",P388-Variabelen!B$36&amp;","&amp;AB$287-Variabelen!B$41+Variabelen!B$36)</f>
        <v/>
      </c>
      <c r="AX388" s="17"/>
      <c r="AY388" s="17"/>
      <c r="AZ388" s="154" t="str">
        <f t="shared" si="198"/>
        <v/>
      </c>
      <c r="BA388" s="17"/>
      <c r="BB388" s="17"/>
      <c r="BC388" s="17"/>
      <c r="BD388" s="17"/>
      <c r="BE388" s="17" t="str">
        <f t="shared" si="199"/>
        <v/>
      </c>
      <c r="BF388" s="17" t="str">
        <f>IF(O388="","",P388-Variabelen!B$36&amp;","&amp;AB$287-Variabelen!B$40+Variabelen!B$36)</f>
        <v/>
      </c>
      <c r="BG388" s="17"/>
      <c r="BH388" s="17"/>
      <c r="BI388" s="154" t="str">
        <f t="shared" si="200"/>
        <v/>
      </c>
      <c r="BJ388" s="17"/>
    </row>
    <row r="389" spans="1:62" x14ac:dyDescent="0.25">
      <c r="A389" s="85">
        <f t="shared" si="170"/>
        <v>99</v>
      </c>
      <c r="B389" s="296">
        <f t="shared" si="171"/>
        <v>103934.93380332117</v>
      </c>
      <c r="C389" s="296">
        <f t="shared" si="172"/>
        <v>489278.95234366844</v>
      </c>
      <c r="D389" s="85">
        <f t="shared" si="189"/>
        <v>1</v>
      </c>
      <c r="E389" s="17">
        <f t="shared" si="173"/>
        <v>0.38768131205870304</v>
      </c>
      <c r="F389" s="17">
        <f t="shared" si="174"/>
        <v>-0.10805969178909436</v>
      </c>
      <c r="G389" s="17" t="str">
        <f t="shared" si="175"/>
        <v>103934.933803321,489278.952343668</v>
      </c>
      <c r="H389" s="16">
        <v>99</v>
      </c>
      <c r="I389" s="16">
        <f t="shared" si="176"/>
        <v>99</v>
      </c>
      <c r="J389" s="209">
        <f t="shared" si="177"/>
        <v>0.4024595590976956</v>
      </c>
      <c r="K389" s="209">
        <f t="shared" si="178"/>
        <v>39.441036793005367</v>
      </c>
      <c r="L389" s="692">
        <v>1.1428664922714229</v>
      </c>
      <c r="M389" s="17" t="str">
        <f t="shared" si="179"/>
        <v>39.4410367930054,1.14286649227142</v>
      </c>
      <c r="O389" s="85" t="str">
        <f t="shared" si="201"/>
        <v/>
      </c>
      <c r="P389" s="85" t="str">
        <f t="shared" si="202"/>
        <v>Formule bijwerken voor T6</v>
      </c>
      <c r="Q389" s="233" t="str">
        <f t="shared" si="203"/>
        <v/>
      </c>
      <c r="R389" s="17" t="str">
        <f t="shared" si="204"/>
        <v/>
      </c>
      <c r="S389" s="235" t="str">
        <f t="shared" ref="S389:S420" si="209">IF(O388&lt;=Q$270,S$273+(O388*T$274/Q$269),IF(O388&lt;=R$270,S$274+(Z$265-DEGREES(ASIN((R$275*(R$269-(O388-Q$270))/R$269)/Z$266)))*2*Z$266*PI()/360,IF(O388&lt;=S$270,S$275+((O388-R$270)*T$276/S$269),IF(O388&lt;=T$270,S$276+(DEGREES(ASIN(((O388-S$270)*(P$277-P$276)/T$269)/Z$269)))*2*Z$269*PI()/360,IF(O388&lt;=U$270,S$277+((O388-T$270)*T$278/U$269),"Formule bijwerken voor T6")))))</f>
        <v>Formule bijwerken voor T6</v>
      </c>
      <c r="T389" s="17" t="str">
        <f t="shared" si="205"/>
        <v/>
      </c>
      <c r="U389" s="85" t="str">
        <f t="shared" si="206"/>
        <v>Formule bijwerken voor  T6</v>
      </c>
      <c r="V389" s="17" t="str">
        <f t="shared" si="207"/>
        <v/>
      </c>
      <c r="W389" s="17" t="str">
        <f t="shared" si="190"/>
        <v/>
      </c>
      <c r="X389" s="17" t="str">
        <f t="shared" si="208"/>
        <v/>
      </c>
      <c r="Y389" s="85" t="str">
        <f t="shared" si="191"/>
        <v/>
      </c>
      <c r="Z389" s="17" t="str">
        <f t="shared" si="192"/>
        <v/>
      </c>
      <c r="AA389" s="17" t="str">
        <f t="shared" si="193"/>
        <v/>
      </c>
      <c r="AB389" s="17" t="str">
        <f t="shared" si="194"/>
        <v/>
      </c>
      <c r="AC389" s="17" t="str">
        <f>IF(O389="","",P389&amp;","&amp;AB$287-Variabelen!B$43)</f>
        <v/>
      </c>
      <c r="AD389" s="17"/>
      <c r="AE389" s="17"/>
      <c r="AF389" s="17"/>
      <c r="AG389" s="17"/>
      <c r="AH389" s="17"/>
      <c r="AI389" s="17" t="str">
        <f>IF(O389="","",P389-Variabelen!B$36&amp;","&amp;AB$287-Variabelen!B$43+Variabelen!B$36)</f>
        <v/>
      </c>
      <c r="AJ389" s="154" t="str">
        <f t="shared" si="195"/>
        <v/>
      </c>
      <c r="AK389" s="17"/>
      <c r="AL389" s="17"/>
      <c r="AM389" s="17"/>
      <c r="AN389" s="17"/>
      <c r="AO389" s="17"/>
      <c r="AP389" s="17" t="str">
        <f>IF(O389="","",P389-Variabelen!B$36&amp;","&amp;AB$287-Variabelen!B$42+Variabelen!B$36)</f>
        <v/>
      </c>
      <c r="AQ389" s="154" t="str">
        <f t="shared" si="196"/>
        <v/>
      </c>
      <c r="AR389" s="17"/>
      <c r="AS389" s="17"/>
      <c r="AT389" s="17"/>
      <c r="AU389" s="17"/>
      <c r="AV389" s="17" t="str">
        <f t="shared" si="197"/>
        <v/>
      </c>
      <c r="AW389" s="17" t="str">
        <f>IF(O389="","",P389-Variabelen!B$36&amp;","&amp;AB$287-Variabelen!B$41+Variabelen!B$36)</f>
        <v/>
      </c>
      <c r="AX389" s="17"/>
      <c r="AY389" s="17"/>
      <c r="AZ389" s="154" t="str">
        <f t="shared" si="198"/>
        <v/>
      </c>
      <c r="BA389" s="17"/>
      <c r="BB389" s="17"/>
      <c r="BC389" s="17"/>
      <c r="BD389" s="17"/>
      <c r="BE389" s="17" t="str">
        <f t="shared" si="199"/>
        <v/>
      </c>
      <c r="BF389" s="17" t="str">
        <f>IF(O389="","",P389-Variabelen!B$36&amp;","&amp;AB$287-Variabelen!B$40+Variabelen!B$36)</f>
        <v/>
      </c>
      <c r="BG389" s="17"/>
      <c r="BH389" s="17"/>
      <c r="BI389" s="154" t="str">
        <f t="shared" si="200"/>
        <v/>
      </c>
      <c r="BJ389" s="17"/>
    </row>
    <row r="390" spans="1:62" x14ac:dyDescent="0.25">
      <c r="A390" s="85">
        <f t="shared" si="170"/>
        <v>100</v>
      </c>
      <c r="B390" s="296">
        <f t="shared" si="171"/>
        <v>103935.32148463324</v>
      </c>
      <c r="C390" s="296">
        <f t="shared" si="172"/>
        <v>489278.84428397665</v>
      </c>
      <c r="D390" s="85">
        <f t="shared" si="189"/>
        <v>1</v>
      </c>
      <c r="E390" s="17">
        <f t="shared" si="173"/>
        <v>0.38768131207325496</v>
      </c>
      <c r="F390" s="17">
        <f t="shared" si="174"/>
        <v>-0.10805969178909436</v>
      </c>
      <c r="G390" s="17" t="str">
        <f t="shared" si="175"/>
        <v>103935.321484633,489278.844283977</v>
      </c>
      <c r="H390" s="16">
        <v>100</v>
      </c>
      <c r="I390" s="16">
        <f t="shared" si="176"/>
        <v>100</v>
      </c>
      <c r="J390" s="209">
        <f t="shared" si="177"/>
        <v>0.40245955911171322</v>
      </c>
      <c r="K390" s="209">
        <f t="shared" si="178"/>
        <v>39.843496352117079</v>
      </c>
      <c r="L390" s="692">
        <v>1.1459052562713621</v>
      </c>
      <c r="M390" s="17" t="str">
        <f t="shared" si="179"/>
        <v>39.8434963521171,1.14590525627136</v>
      </c>
      <c r="O390" s="85" t="str">
        <f t="shared" si="201"/>
        <v/>
      </c>
      <c r="P390" s="85" t="str">
        <f t="shared" si="202"/>
        <v>Formule bijwerken voor T6</v>
      </c>
      <c r="Q390" s="233" t="str">
        <f t="shared" si="203"/>
        <v/>
      </c>
      <c r="R390" s="17" t="str">
        <f t="shared" si="204"/>
        <v/>
      </c>
      <c r="S390" s="235" t="str">
        <f t="shared" si="209"/>
        <v>Formule bijwerken voor T6</v>
      </c>
      <c r="T390" s="17" t="str">
        <f t="shared" si="205"/>
        <v/>
      </c>
      <c r="U390" s="85" t="str">
        <f t="shared" si="206"/>
        <v>Formule bijwerken voor  T6</v>
      </c>
      <c r="V390" s="17" t="str">
        <f t="shared" si="207"/>
        <v/>
      </c>
      <c r="W390" s="17" t="str">
        <f t="shared" si="190"/>
        <v/>
      </c>
      <c r="X390" s="17" t="str">
        <f t="shared" si="208"/>
        <v/>
      </c>
      <c r="Y390" s="85" t="str">
        <f t="shared" si="191"/>
        <v/>
      </c>
      <c r="Z390" s="17" t="str">
        <f t="shared" si="192"/>
        <v/>
      </c>
      <c r="AA390" s="17" t="str">
        <f t="shared" si="193"/>
        <v/>
      </c>
      <c r="AB390" s="17" t="str">
        <f t="shared" si="194"/>
        <v/>
      </c>
      <c r="AC390" s="17" t="str">
        <f>IF(O390="","",P390&amp;","&amp;AB$287-Variabelen!B$43)</f>
        <v/>
      </c>
      <c r="AD390" s="17"/>
      <c r="AE390" s="17"/>
      <c r="AF390" s="17"/>
      <c r="AG390" s="17"/>
      <c r="AH390" s="17"/>
      <c r="AI390" s="17" t="str">
        <f>IF(O390="","",P390-Variabelen!B$36&amp;","&amp;AB$287-Variabelen!B$43+Variabelen!B$36)</f>
        <v/>
      </c>
      <c r="AJ390" s="154" t="str">
        <f t="shared" si="195"/>
        <v/>
      </c>
      <c r="AK390" s="17"/>
      <c r="AL390" s="17"/>
      <c r="AM390" s="17"/>
      <c r="AN390" s="17"/>
      <c r="AO390" s="17"/>
      <c r="AP390" s="17" t="str">
        <f>IF(O390="","",P390-Variabelen!B$36&amp;","&amp;AB$287-Variabelen!B$42+Variabelen!B$36)</f>
        <v/>
      </c>
      <c r="AQ390" s="154" t="str">
        <f t="shared" si="196"/>
        <v/>
      </c>
      <c r="AR390" s="17"/>
      <c r="AS390" s="17"/>
      <c r="AT390" s="17"/>
      <c r="AU390" s="17"/>
      <c r="AV390" s="17" t="str">
        <f t="shared" si="197"/>
        <v/>
      </c>
      <c r="AW390" s="17" t="str">
        <f>IF(O390="","",P390-Variabelen!B$36&amp;","&amp;AB$287-Variabelen!B$41+Variabelen!B$36)</f>
        <v/>
      </c>
      <c r="AX390" s="17"/>
      <c r="AY390" s="17"/>
      <c r="AZ390" s="154" t="str">
        <f t="shared" si="198"/>
        <v/>
      </c>
      <c r="BA390" s="17"/>
      <c r="BB390" s="17"/>
      <c r="BC390" s="17"/>
      <c r="BD390" s="17"/>
      <c r="BE390" s="17" t="str">
        <f t="shared" si="199"/>
        <v/>
      </c>
      <c r="BF390" s="17" t="str">
        <f>IF(O390="","",P390-Variabelen!B$36&amp;","&amp;AB$287-Variabelen!B$40+Variabelen!B$36)</f>
        <v/>
      </c>
      <c r="BG390" s="17"/>
      <c r="BH390" s="17"/>
      <c r="BI390" s="154" t="str">
        <f t="shared" si="200"/>
        <v/>
      </c>
      <c r="BJ390" s="17"/>
    </row>
    <row r="391" spans="1:62" x14ac:dyDescent="0.25">
      <c r="A391" s="85">
        <f t="shared" si="170"/>
        <v>101</v>
      </c>
      <c r="B391" s="296">
        <f t="shared" si="171"/>
        <v>103935.70916594531</v>
      </c>
      <c r="C391" s="296">
        <f t="shared" si="172"/>
        <v>489278.7362242848</v>
      </c>
      <c r="D391" s="85">
        <f t="shared" si="189"/>
        <v>1</v>
      </c>
      <c r="E391" s="17">
        <f t="shared" si="173"/>
        <v>0.38768131207325496</v>
      </c>
      <c r="F391" s="17">
        <f t="shared" si="174"/>
        <v>-0.10805969184730202</v>
      </c>
      <c r="G391" s="17" t="str">
        <f t="shared" si="175"/>
        <v>103935.709165945,489278.736224285</v>
      </c>
      <c r="H391" s="16">
        <v>101</v>
      </c>
      <c r="I391" s="16">
        <f t="shared" si="176"/>
        <v>101</v>
      </c>
      <c r="J391" s="209">
        <f t="shared" si="177"/>
        <v>0.40245955912734188</v>
      </c>
      <c r="K391" s="209">
        <f t="shared" si="178"/>
        <v>40.245955911244423</v>
      </c>
      <c r="L391" s="692">
        <v>1.1551333665847781</v>
      </c>
      <c r="M391" s="17" t="str">
        <f t="shared" si="179"/>
        <v>40.2459559112444,1.15513336658478</v>
      </c>
      <c r="O391" s="85" t="str">
        <f t="shared" si="201"/>
        <v/>
      </c>
      <c r="P391" s="85" t="str">
        <f t="shared" si="202"/>
        <v>Formule bijwerken voor T6</v>
      </c>
      <c r="Q391" s="233" t="str">
        <f t="shared" si="203"/>
        <v/>
      </c>
      <c r="R391" s="17" t="str">
        <f t="shared" si="204"/>
        <v/>
      </c>
      <c r="S391" s="235" t="str">
        <f t="shared" si="209"/>
        <v>Formule bijwerken voor T6</v>
      </c>
      <c r="T391" s="17" t="str">
        <f t="shared" si="205"/>
        <v/>
      </c>
      <c r="U391" s="85" t="str">
        <f t="shared" si="206"/>
        <v>Formule bijwerken voor  T6</v>
      </c>
      <c r="V391" s="17" t="str">
        <f t="shared" si="207"/>
        <v/>
      </c>
      <c r="W391" s="17" t="str">
        <f t="shared" si="190"/>
        <v/>
      </c>
      <c r="X391" s="17" t="str">
        <f t="shared" si="208"/>
        <v/>
      </c>
      <c r="Y391" s="85" t="str">
        <f t="shared" si="191"/>
        <v/>
      </c>
      <c r="Z391" s="17" t="str">
        <f t="shared" si="192"/>
        <v/>
      </c>
      <c r="AA391" s="17" t="str">
        <f t="shared" si="193"/>
        <v/>
      </c>
      <c r="AB391" s="17" t="str">
        <f t="shared" si="194"/>
        <v/>
      </c>
      <c r="AC391" s="17" t="str">
        <f>IF(O391="","",P391&amp;","&amp;AB$287-Variabelen!B$43)</f>
        <v/>
      </c>
      <c r="AD391" s="17"/>
      <c r="AE391" s="17"/>
      <c r="AF391" s="17"/>
      <c r="AG391" s="17"/>
      <c r="AH391" s="17"/>
      <c r="AI391" s="17" t="str">
        <f>IF(O391="","",P391-Variabelen!B$36&amp;","&amp;AB$287-Variabelen!B$43+Variabelen!B$36)</f>
        <v/>
      </c>
      <c r="AJ391" s="154" t="str">
        <f t="shared" si="195"/>
        <v/>
      </c>
      <c r="AK391" s="17"/>
      <c r="AL391" s="17"/>
      <c r="AM391" s="17"/>
      <c r="AN391" s="17"/>
      <c r="AO391" s="17"/>
      <c r="AP391" s="17" t="str">
        <f>IF(O391="","",P391-Variabelen!B$36&amp;","&amp;AB$287-Variabelen!B$42+Variabelen!B$36)</f>
        <v/>
      </c>
      <c r="AQ391" s="154" t="str">
        <f t="shared" si="196"/>
        <v/>
      </c>
      <c r="AR391" s="17"/>
      <c r="AS391" s="17"/>
      <c r="AT391" s="17"/>
      <c r="AU391" s="17"/>
      <c r="AV391" s="17" t="str">
        <f t="shared" si="197"/>
        <v/>
      </c>
      <c r="AW391" s="17" t="str">
        <f>IF(O391="","",P391-Variabelen!B$36&amp;","&amp;AB$287-Variabelen!B$41+Variabelen!B$36)</f>
        <v/>
      </c>
      <c r="AX391" s="17"/>
      <c r="AY391" s="17"/>
      <c r="AZ391" s="154" t="str">
        <f t="shared" si="198"/>
        <v/>
      </c>
      <c r="BA391" s="17"/>
      <c r="BB391" s="17"/>
      <c r="BC391" s="17"/>
      <c r="BD391" s="17"/>
      <c r="BE391" s="17" t="str">
        <f t="shared" si="199"/>
        <v/>
      </c>
      <c r="BF391" s="17" t="str">
        <f>IF(O391="","",P391-Variabelen!B$36&amp;","&amp;AB$287-Variabelen!B$40+Variabelen!B$36)</f>
        <v/>
      </c>
      <c r="BG391" s="17"/>
      <c r="BH391" s="17"/>
      <c r="BI391" s="154" t="str">
        <f t="shared" si="200"/>
        <v/>
      </c>
      <c r="BJ391" s="17"/>
    </row>
    <row r="392" spans="1:62" x14ac:dyDescent="0.25">
      <c r="A392" s="85">
        <f t="shared" si="170"/>
        <v>102</v>
      </c>
      <c r="B392" s="296">
        <f t="shared" si="171"/>
        <v>103936.09684725739</v>
      </c>
      <c r="C392" s="296">
        <f t="shared" si="172"/>
        <v>489278.62816459301</v>
      </c>
      <c r="D392" s="85">
        <f t="shared" si="189"/>
        <v>1</v>
      </c>
      <c r="E392" s="17">
        <f t="shared" si="173"/>
        <v>0.38768131207325496</v>
      </c>
      <c r="F392" s="17">
        <f t="shared" si="174"/>
        <v>-0.10805969178909436</v>
      </c>
      <c r="G392" s="17" t="str">
        <f t="shared" si="175"/>
        <v>103936.096847257,489278.628164593</v>
      </c>
      <c r="H392" s="16">
        <v>102</v>
      </c>
      <c r="I392" s="16">
        <f t="shared" si="176"/>
        <v>102</v>
      </c>
      <c r="J392" s="209">
        <f t="shared" si="177"/>
        <v>0.40245955911171322</v>
      </c>
      <c r="K392" s="209">
        <f t="shared" si="178"/>
        <v>40.648415470356134</v>
      </c>
      <c r="L392" s="692">
        <v>1.159965991973877</v>
      </c>
      <c r="M392" s="17" t="str">
        <f t="shared" si="179"/>
        <v>40.6484154703561,1.15996599197388</v>
      </c>
      <c r="O392" s="85" t="str">
        <f t="shared" si="201"/>
        <v/>
      </c>
      <c r="P392" s="85" t="str">
        <f t="shared" si="202"/>
        <v>Formule bijwerken voor T6</v>
      </c>
      <c r="Q392" s="233" t="str">
        <f t="shared" si="203"/>
        <v/>
      </c>
      <c r="R392" s="17" t="str">
        <f t="shared" si="204"/>
        <v/>
      </c>
      <c r="S392" s="235" t="str">
        <f t="shared" si="209"/>
        <v>Formule bijwerken voor T6</v>
      </c>
      <c r="T392" s="17" t="str">
        <f t="shared" si="205"/>
        <v/>
      </c>
      <c r="U392" s="85" t="str">
        <f t="shared" si="206"/>
        <v>Formule bijwerken voor  T6</v>
      </c>
      <c r="V392" s="17" t="str">
        <f t="shared" si="207"/>
        <v/>
      </c>
      <c r="W392" s="17" t="str">
        <f t="shared" si="190"/>
        <v/>
      </c>
      <c r="X392" s="17" t="str">
        <f t="shared" si="208"/>
        <v/>
      </c>
      <c r="Y392" s="85" t="str">
        <f t="shared" si="191"/>
        <v/>
      </c>
      <c r="Z392" s="17" t="str">
        <f t="shared" si="192"/>
        <v/>
      </c>
      <c r="AA392" s="17" t="str">
        <f t="shared" si="193"/>
        <v/>
      </c>
      <c r="AB392" s="17" t="str">
        <f t="shared" si="194"/>
        <v/>
      </c>
      <c r="AC392" s="17" t="str">
        <f>IF(O392="","",P392&amp;","&amp;AB$287-Variabelen!B$43)</f>
        <v/>
      </c>
      <c r="AD392" s="17"/>
      <c r="AE392" s="17"/>
      <c r="AF392" s="17"/>
      <c r="AG392" s="17"/>
      <c r="AH392" s="17"/>
      <c r="AI392" s="17" t="str">
        <f>IF(O392="","",P392-Variabelen!B$36&amp;","&amp;AB$287-Variabelen!B$43+Variabelen!B$36)</f>
        <v/>
      </c>
      <c r="AJ392" s="154" t="str">
        <f t="shared" si="195"/>
        <v/>
      </c>
      <c r="AK392" s="17"/>
      <c r="AL392" s="17"/>
      <c r="AM392" s="17"/>
      <c r="AN392" s="17"/>
      <c r="AO392" s="17"/>
      <c r="AP392" s="17" t="str">
        <f>IF(O392="","",P392-Variabelen!B$36&amp;","&amp;AB$287-Variabelen!B$42+Variabelen!B$36)</f>
        <v/>
      </c>
      <c r="AQ392" s="154" t="str">
        <f t="shared" si="196"/>
        <v/>
      </c>
      <c r="AR392" s="17"/>
      <c r="AS392" s="17"/>
      <c r="AT392" s="17"/>
      <c r="AU392" s="17"/>
      <c r="AV392" s="17" t="str">
        <f t="shared" si="197"/>
        <v/>
      </c>
      <c r="AW392" s="17" t="str">
        <f>IF(O392="","",P392-Variabelen!B$36&amp;","&amp;AB$287-Variabelen!B$41+Variabelen!B$36)</f>
        <v/>
      </c>
      <c r="AX392" s="17"/>
      <c r="AY392" s="17"/>
      <c r="AZ392" s="154" t="str">
        <f t="shared" si="198"/>
        <v/>
      </c>
      <c r="BA392" s="17"/>
      <c r="BB392" s="17"/>
      <c r="BC392" s="17"/>
      <c r="BD392" s="17"/>
      <c r="BE392" s="17" t="str">
        <f t="shared" si="199"/>
        <v/>
      </c>
      <c r="BF392" s="17" t="str">
        <f>IF(O392="","",P392-Variabelen!B$36&amp;","&amp;AB$287-Variabelen!B$40+Variabelen!B$36)</f>
        <v/>
      </c>
      <c r="BG392" s="17"/>
      <c r="BH392" s="17"/>
      <c r="BI392" s="154" t="str">
        <f t="shared" si="200"/>
        <v/>
      </c>
      <c r="BJ392" s="17"/>
    </row>
    <row r="393" spans="1:62" x14ac:dyDescent="0.25">
      <c r="A393" s="85">
        <f t="shared" si="170"/>
        <v>103</v>
      </c>
      <c r="B393" s="296">
        <f t="shared" si="171"/>
        <v>103936.48452856945</v>
      </c>
      <c r="C393" s="296">
        <f t="shared" si="172"/>
        <v>489278.52010490122</v>
      </c>
      <c r="D393" s="85">
        <f t="shared" si="189"/>
        <v>1</v>
      </c>
      <c r="E393" s="17">
        <f t="shared" si="173"/>
        <v>0.38768131205870304</v>
      </c>
      <c r="F393" s="17">
        <f t="shared" si="174"/>
        <v>-0.10805969178909436</v>
      </c>
      <c r="G393" s="17" t="str">
        <f t="shared" si="175"/>
        <v>103936.484528569,489278.520104901</v>
      </c>
      <c r="H393" s="16">
        <v>103</v>
      </c>
      <c r="I393" s="16">
        <f t="shared" si="176"/>
        <v>103</v>
      </c>
      <c r="J393" s="209">
        <f t="shared" si="177"/>
        <v>0.4024595590976956</v>
      </c>
      <c r="K393" s="209">
        <f t="shared" si="178"/>
        <v>41.050875029453827</v>
      </c>
      <c r="L393" s="692">
        <v>1.161537289619446</v>
      </c>
      <c r="M393" s="17" t="str">
        <f t="shared" si="179"/>
        <v>41.0508750294538,1.16153728961945</v>
      </c>
      <c r="O393" s="85" t="str">
        <f t="shared" si="201"/>
        <v/>
      </c>
      <c r="P393" s="85" t="str">
        <f t="shared" si="202"/>
        <v>Formule bijwerken voor T6</v>
      </c>
      <c r="Q393" s="233" t="str">
        <f t="shared" si="203"/>
        <v/>
      </c>
      <c r="R393" s="17" t="str">
        <f t="shared" si="204"/>
        <v/>
      </c>
      <c r="S393" s="235" t="str">
        <f t="shared" si="209"/>
        <v>Formule bijwerken voor T6</v>
      </c>
      <c r="T393" s="17" t="str">
        <f t="shared" si="205"/>
        <v/>
      </c>
      <c r="U393" s="85" t="str">
        <f t="shared" si="206"/>
        <v>Formule bijwerken voor  T6</v>
      </c>
      <c r="V393" s="17" t="str">
        <f t="shared" si="207"/>
        <v/>
      </c>
      <c r="W393" s="17" t="str">
        <f t="shared" si="190"/>
        <v/>
      </c>
      <c r="X393" s="17" t="str">
        <f t="shared" si="208"/>
        <v/>
      </c>
      <c r="Y393" s="85" t="str">
        <f t="shared" si="191"/>
        <v/>
      </c>
      <c r="Z393" s="17" t="str">
        <f t="shared" si="192"/>
        <v/>
      </c>
      <c r="AA393" s="17" t="str">
        <f t="shared" si="193"/>
        <v/>
      </c>
      <c r="AB393" s="17" t="str">
        <f t="shared" si="194"/>
        <v/>
      </c>
      <c r="AC393" s="17" t="str">
        <f>IF(O393="","",P393&amp;","&amp;AB$287-Variabelen!B$43)</f>
        <v/>
      </c>
      <c r="AD393" s="17"/>
      <c r="AE393" s="17"/>
      <c r="AF393" s="17"/>
      <c r="AG393" s="17"/>
      <c r="AH393" s="17"/>
      <c r="AI393" s="17" t="str">
        <f>IF(O393="","",P393-Variabelen!B$36&amp;","&amp;AB$287-Variabelen!B$43+Variabelen!B$36)</f>
        <v/>
      </c>
      <c r="AJ393" s="154" t="str">
        <f t="shared" si="195"/>
        <v/>
      </c>
      <c r="AK393" s="17"/>
      <c r="AL393" s="17"/>
      <c r="AM393" s="17"/>
      <c r="AN393" s="17"/>
      <c r="AO393" s="17"/>
      <c r="AP393" s="17" t="str">
        <f>IF(O393="","",P393-Variabelen!B$36&amp;","&amp;AB$287-Variabelen!B$42+Variabelen!B$36)</f>
        <v/>
      </c>
      <c r="AQ393" s="154" t="str">
        <f t="shared" si="196"/>
        <v/>
      </c>
      <c r="AR393" s="17"/>
      <c r="AS393" s="17"/>
      <c r="AT393" s="17"/>
      <c r="AU393" s="17"/>
      <c r="AV393" s="17" t="str">
        <f t="shared" si="197"/>
        <v/>
      </c>
      <c r="AW393" s="17" t="str">
        <f>IF(O393="","",P393-Variabelen!B$36&amp;","&amp;AB$287-Variabelen!B$41+Variabelen!B$36)</f>
        <v/>
      </c>
      <c r="AX393" s="17"/>
      <c r="AY393" s="17"/>
      <c r="AZ393" s="154" t="str">
        <f t="shared" si="198"/>
        <v/>
      </c>
      <c r="BA393" s="17"/>
      <c r="BB393" s="17"/>
      <c r="BC393" s="17"/>
      <c r="BD393" s="17"/>
      <c r="BE393" s="17" t="str">
        <f t="shared" si="199"/>
        <v/>
      </c>
      <c r="BF393" s="17" t="str">
        <f>IF(O393="","",P393-Variabelen!B$36&amp;","&amp;AB$287-Variabelen!B$40+Variabelen!B$36)</f>
        <v/>
      </c>
      <c r="BG393" s="17"/>
      <c r="BH393" s="17"/>
      <c r="BI393" s="154" t="str">
        <f t="shared" si="200"/>
        <v/>
      </c>
      <c r="BJ393" s="17"/>
    </row>
    <row r="394" spans="1:62" x14ac:dyDescent="0.25">
      <c r="A394" s="85">
        <f t="shared" si="170"/>
        <v>104</v>
      </c>
      <c r="B394" s="296">
        <f t="shared" si="171"/>
        <v>103936.87220988152</v>
      </c>
      <c r="C394" s="296">
        <f t="shared" si="172"/>
        <v>489278.41204520938</v>
      </c>
      <c r="D394" s="85">
        <f t="shared" si="189"/>
        <v>1</v>
      </c>
      <c r="E394" s="17">
        <f t="shared" si="173"/>
        <v>0.38768131207325496</v>
      </c>
      <c r="F394" s="17">
        <f t="shared" si="174"/>
        <v>-0.10805969184730202</v>
      </c>
      <c r="G394" s="17" t="str">
        <f t="shared" si="175"/>
        <v>103936.872209882,489278.412045209</v>
      </c>
      <c r="H394" s="16">
        <v>104</v>
      </c>
      <c r="I394" s="16">
        <f t="shared" si="176"/>
        <v>104</v>
      </c>
      <c r="J394" s="209">
        <f t="shared" si="177"/>
        <v>0.40245955912734188</v>
      </c>
      <c r="K394" s="209">
        <f t="shared" si="178"/>
        <v>41.453334588581171</v>
      </c>
      <c r="L394" s="692">
        <v>1.1422355175018311</v>
      </c>
      <c r="M394" s="17" t="str">
        <f t="shared" si="179"/>
        <v>41.4533345885812,1.14223551750183</v>
      </c>
      <c r="O394" s="85" t="str">
        <f t="shared" si="201"/>
        <v/>
      </c>
      <c r="P394" s="85" t="str">
        <f t="shared" si="202"/>
        <v>Formule bijwerken voor T6</v>
      </c>
      <c r="Q394" s="233" t="str">
        <f t="shared" si="203"/>
        <v/>
      </c>
      <c r="R394" s="17" t="str">
        <f t="shared" si="204"/>
        <v/>
      </c>
      <c r="S394" s="235" t="str">
        <f t="shared" si="209"/>
        <v>Formule bijwerken voor T6</v>
      </c>
      <c r="T394" s="17" t="str">
        <f t="shared" si="205"/>
        <v/>
      </c>
      <c r="U394" s="85" t="str">
        <f t="shared" si="206"/>
        <v>Formule bijwerken voor  T6</v>
      </c>
      <c r="V394" s="17" t="str">
        <f t="shared" si="207"/>
        <v/>
      </c>
      <c r="W394" s="17" t="str">
        <f t="shared" si="190"/>
        <v/>
      </c>
      <c r="X394" s="17" t="str">
        <f t="shared" si="208"/>
        <v/>
      </c>
      <c r="Y394" s="85" t="str">
        <f t="shared" si="191"/>
        <v/>
      </c>
      <c r="Z394" s="17" t="str">
        <f t="shared" si="192"/>
        <v/>
      </c>
      <c r="AA394" s="17" t="str">
        <f t="shared" si="193"/>
        <v/>
      </c>
      <c r="AB394" s="17" t="str">
        <f t="shared" si="194"/>
        <v/>
      </c>
      <c r="AC394" s="17" t="str">
        <f>IF(O394="","",P394&amp;","&amp;AB$287-Variabelen!B$43)</f>
        <v/>
      </c>
      <c r="AD394" s="17"/>
      <c r="AE394" s="17"/>
      <c r="AF394" s="17"/>
      <c r="AG394" s="17"/>
      <c r="AH394" s="17"/>
      <c r="AI394" s="17" t="str">
        <f>IF(O394="","",P394-Variabelen!B$36&amp;","&amp;AB$287-Variabelen!B$43+Variabelen!B$36)</f>
        <v/>
      </c>
      <c r="AJ394" s="154" t="str">
        <f t="shared" si="195"/>
        <v/>
      </c>
      <c r="AK394" s="17"/>
      <c r="AL394" s="17"/>
      <c r="AM394" s="17"/>
      <c r="AN394" s="17"/>
      <c r="AO394" s="17"/>
      <c r="AP394" s="17" t="str">
        <f>IF(O394="","",P394-Variabelen!B$36&amp;","&amp;AB$287-Variabelen!B$42+Variabelen!B$36)</f>
        <v/>
      </c>
      <c r="AQ394" s="154" t="str">
        <f t="shared" si="196"/>
        <v/>
      </c>
      <c r="AR394" s="17"/>
      <c r="AS394" s="17"/>
      <c r="AT394" s="17"/>
      <c r="AU394" s="17"/>
      <c r="AV394" s="17" t="str">
        <f t="shared" si="197"/>
        <v/>
      </c>
      <c r="AW394" s="17" t="str">
        <f>IF(O394="","",P394-Variabelen!B$36&amp;","&amp;AB$287-Variabelen!B$41+Variabelen!B$36)</f>
        <v/>
      </c>
      <c r="AX394" s="17"/>
      <c r="AY394" s="17"/>
      <c r="AZ394" s="154" t="str">
        <f t="shared" si="198"/>
        <v/>
      </c>
      <c r="BA394" s="17"/>
      <c r="BB394" s="17"/>
      <c r="BC394" s="17"/>
      <c r="BD394" s="17"/>
      <c r="BE394" s="17" t="str">
        <f t="shared" si="199"/>
        <v/>
      </c>
      <c r="BF394" s="17" t="str">
        <f>IF(O394="","",P394-Variabelen!B$36&amp;","&amp;AB$287-Variabelen!B$40+Variabelen!B$36)</f>
        <v/>
      </c>
      <c r="BG394" s="17"/>
      <c r="BH394" s="17"/>
      <c r="BI394" s="154" t="str">
        <f t="shared" si="200"/>
        <v/>
      </c>
      <c r="BJ394" s="17"/>
    </row>
    <row r="395" spans="1:62" x14ac:dyDescent="0.25">
      <c r="A395" s="85">
        <f t="shared" si="170"/>
        <v>105</v>
      </c>
      <c r="B395" s="296">
        <f t="shared" si="171"/>
        <v>103937.25989119359</v>
      </c>
      <c r="C395" s="296">
        <f t="shared" si="172"/>
        <v>489278.30398551759</v>
      </c>
      <c r="D395" s="85">
        <f t="shared" si="189"/>
        <v>1</v>
      </c>
      <c r="E395" s="17">
        <f t="shared" si="173"/>
        <v>0.38768131207325496</v>
      </c>
      <c r="F395" s="17">
        <f t="shared" si="174"/>
        <v>-0.10805969178909436</v>
      </c>
      <c r="G395" s="17" t="str">
        <f t="shared" si="175"/>
        <v>103937.259891194,489278.303985518</v>
      </c>
      <c r="H395" s="16">
        <v>105</v>
      </c>
      <c r="I395" s="16">
        <f t="shared" si="176"/>
        <v>105</v>
      </c>
      <c r="J395" s="209">
        <f t="shared" si="177"/>
        <v>0.40245955911171322</v>
      </c>
      <c r="K395" s="209">
        <f t="shared" si="178"/>
        <v>41.855794147692883</v>
      </c>
      <c r="L395" s="692">
        <v>1.150291442871094</v>
      </c>
      <c r="M395" s="17" t="str">
        <f t="shared" si="179"/>
        <v>41.8557941476929,1.15029144287109</v>
      </c>
      <c r="O395" s="85" t="str">
        <f t="shared" si="201"/>
        <v/>
      </c>
      <c r="P395" s="85" t="str">
        <f t="shared" si="202"/>
        <v>Formule bijwerken voor T6</v>
      </c>
      <c r="Q395" s="233" t="str">
        <f t="shared" si="203"/>
        <v/>
      </c>
      <c r="R395" s="17" t="str">
        <f t="shared" si="204"/>
        <v/>
      </c>
      <c r="S395" s="235" t="str">
        <f t="shared" si="209"/>
        <v>Formule bijwerken voor T6</v>
      </c>
      <c r="T395" s="17" t="str">
        <f t="shared" si="205"/>
        <v/>
      </c>
      <c r="U395" s="85" t="str">
        <f t="shared" si="206"/>
        <v>Formule bijwerken voor  T6</v>
      </c>
      <c r="V395" s="17" t="str">
        <f t="shared" si="207"/>
        <v/>
      </c>
      <c r="W395" s="17" t="str">
        <f t="shared" si="190"/>
        <v/>
      </c>
      <c r="X395" s="17" t="str">
        <f t="shared" si="208"/>
        <v/>
      </c>
      <c r="Y395" s="85" t="str">
        <f t="shared" si="191"/>
        <v/>
      </c>
      <c r="Z395" s="17" t="str">
        <f t="shared" si="192"/>
        <v/>
      </c>
      <c r="AA395" s="17" t="str">
        <f t="shared" si="193"/>
        <v/>
      </c>
      <c r="AB395" s="17" t="str">
        <f t="shared" si="194"/>
        <v/>
      </c>
      <c r="AC395" s="17" t="str">
        <f>IF(O395="","",P395&amp;","&amp;AB$287-Variabelen!B$43)</f>
        <v/>
      </c>
      <c r="AD395" s="17"/>
      <c r="AE395" s="17"/>
      <c r="AF395" s="17"/>
      <c r="AG395" s="17"/>
      <c r="AH395" s="17"/>
      <c r="AI395" s="17" t="str">
        <f>IF(O395="","",P395-Variabelen!B$36&amp;","&amp;AB$287-Variabelen!B$43+Variabelen!B$36)</f>
        <v/>
      </c>
      <c r="AJ395" s="154" t="str">
        <f t="shared" si="195"/>
        <v/>
      </c>
      <c r="AK395" s="17"/>
      <c r="AL395" s="17"/>
      <c r="AM395" s="17"/>
      <c r="AN395" s="17"/>
      <c r="AO395" s="17"/>
      <c r="AP395" s="17" t="str">
        <f>IF(O395="","",P395-Variabelen!B$36&amp;","&amp;AB$287-Variabelen!B$42+Variabelen!B$36)</f>
        <v/>
      </c>
      <c r="AQ395" s="154" t="str">
        <f t="shared" si="196"/>
        <v/>
      </c>
      <c r="AR395" s="17"/>
      <c r="AS395" s="17"/>
      <c r="AT395" s="17"/>
      <c r="AU395" s="17"/>
      <c r="AV395" s="17" t="str">
        <f t="shared" si="197"/>
        <v/>
      </c>
      <c r="AW395" s="17" t="str">
        <f>IF(O395="","",P395-Variabelen!B$36&amp;","&amp;AB$287-Variabelen!B$41+Variabelen!B$36)</f>
        <v/>
      </c>
      <c r="AX395" s="17"/>
      <c r="AY395" s="17"/>
      <c r="AZ395" s="154" t="str">
        <f t="shared" si="198"/>
        <v/>
      </c>
      <c r="BA395" s="17"/>
      <c r="BB395" s="17"/>
      <c r="BC395" s="17"/>
      <c r="BD395" s="17"/>
      <c r="BE395" s="17" t="str">
        <f t="shared" si="199"/>
        <v/>
      </c>
      <c r="BF395" s="17" t="str">
        <f>IF(O395="","",P395-Variabelen!B$36&amp;","&amp;AB$287-Variabelen!B$40+Variabelen!B$36)</f>
        <v/>
      </c>
      <c r="BG395" s="17"/>
      <c r="BH395" s="17"/>
      <c r="BI395" s="154" t="str">
        <f t="shared" si="200"/>
        <v/>
      </c>
      <c r="BJ395" s="17"/>
    </row>
    <row r="396" spans="1:62" x14ac:dyDescent="0.25">
      <c r="A396" s="85">
        <f t="shared" si="170"/>
        <v>106</v>
      </c>
      <c r="B396" s="296">
        <f t="shared" si="171"/>
        <v>103937.64757250567</v>
      </c>
      <c r="C396" s="296">
        <f t="shared" si="172"/>
        <v>489278.1959258258</v>
      </c>
      <c r="D396" s="85">
        <f t="shared" si="189"/>
        <v>1</v>
      </c>
      <c r="E396" s="17">
        <f t="shared" si="173"/>
        <v>0.38768131207325496</v>
      </c>
      <c r="F396" s="17">
        <f t="shared" si="174"/>
        <v>-0.10805969178909436</v>
      </c>
      <c r="G396" s="17" t="str">
        <f t="shared" si="175"/>
        <v>103937.647572506,489278.195925826</v>
      </c>
      <c r="H396" s="16">
        <v>106</v>
      </c>
      <c r="I396" s="16">
        <f t="shared" si="176"/>
        <v>106</v>
      </c>
      <c r="J396" s="209">
        <f t="shared" si="177"/>
        <v>0.40245955911171322</v>
      </c>
      <c r="K396" s="209">
        <f t="shared" si="178"/>
        <v>42.258253706804595</v>
      </c>
      <c r="L396" s="692">
        <v>1.1618384122848511</v>
      </c>
      <c r="M396" s="17" t="str">
        <f t="shared" si="179"/>
        <v>42.2582537068046,1.16183841228485</v>
      </c>
      <c r="O396" s="85" t="str">
        <f t="shared" si="201"/>
        <v/>
      </c>
      <c r="P396" s="85" t="str">
        <f t="shared" si="202"/>
        <v>Formule bijwerken voor T6</v>
      </c>
      <c r="Q396" s="233" t="str">
        <f t="shared" si="203"/>
        <v/>
      </c>
      <c r="R396" s="17" t="str">
        <f t="shared" si="204"/>
        <v/>
      </c>
      <c r="S396" s="235" t="str">
        <f t="shared" si="209"/>
        <v>Formule bijwerken voor T6</v>
      </c>
      <c r="T396" s="17" t="str">
        <f t="shared" si="205"/>
        <v/>
      </c>
      <c r="U396" s="85" t="str">
        <f t="shared" si="206"/>
        <v>Formule bijwerken voor  T6</v>
      </c>
      <c r="V396" s="17" t="str">
        <f t="shared" si="207"/>
        <v/>
      </c>
      <c r="W396" s="17" t="str">
        <f t="shared" si="190"/>
        <v/>
      </c>
      <c r="X396" s="17" t="str">
        <f t="shared" si="208"/>
        <v/>
      </c>
      <c r="Y396" s="85" t="str">
        <f t="shared" si="191"/>
        <v/>
      </c>
      <c r="Z396" s="17" t="str">
        <f t="shared" si="192"/>
        <v/>
      </c>
      <c r="AA396" s="17" t="str">
        <f t="shared" si="193"/>
        <v/>
      </c>
      <c r="AB396" s="17" t="str">
        <f t="shared" si="194"/>
        <v/>
      </c>
      <c r="AC396" s="17" t="str">
        <f>IF(O396="","",P396&amp;","&amp;AB$287-Variabelen!B$43)</f>
        <v/>
      </c>
      <c r="AD396" s="17"/>
      <c r="AE396" s="17"/>
      <c r="AF396" s="17"/>
      <c r="AG396" s="17"/>
      <c r="AH396" s="17"/>
      <c r="AI396" s="17" t="str">
        <f>IF(O396="","",P396-Variabelen!B$36&amp;","&amp;AB$287-Variabelen!B$43+Variabelen!B$36)</f>
        <v/>
      </c>
      <c r="AJ396" s="154" t="str">
        <f t="shared" si="195"/>
        <v/>
      </c>
      <c r="AK396" s="17"/>
      <c r="AL396" s="17"/>
      <c r="AM396" s="17"/>
      <c r="AN396" s="17"/>
      <c r="AO396" s="17"/>
      <c r="AP396" s="17" t="str">
        <f>IF(O396="","",P396-Variabelen!B$36&amp;","&amp;AB$287-Variabelen!B$42+Variabelen!B$36)</f>
        <v/>
      </c>
      <c r="AQ396" s="154" t="str">
        <f t="shared" si="196"/>
        <v/>
      </c>
      <c r="AR396" s="17"/>
      <c r="AS396" s="17"/>
      <c r="AT396" s="17"/>
      <c r="AU396" s="17"/>
      <c r="AV396" s="17" t="str">
        <f t="shared" si="197"/>
        <v/>
      </c>
      <c r="AW396" s="17" t="str">
        <f>IF(O396="","",P396-Variabelen!B$36&amp;","&amp;AB$287-Variabelen!B$41+Variabelen!B$36)</f>
        <v/>
      </c>
      <c r="AX396" s="17"/>
      <c r="AY396" s="17"/>
      <c r="AZ396" s="154" t="str">
        <f t="shared" si="198"/>
        <v/>
      </c>
      <c r="BA396" s="17"/>
      <c r="BB396" s="17"/>
      <c r="BC396" s="17"/>
      <c r="BD396" s="17"/>
      <c r="BE396" s="17" t="str">
        <f t="shared" si="199"/>
        <v/>
      </c>
      <c r="BF396" s="17" t="str">
        <f>IF(O396="","",P396-Variabelen!B$36&amp;","&amp;AB$287-Variabelen!B$40+Variabelen!B$36)</f>
        <v/>
      </c>
      <c r="BG396" s="17"/>
      <c r="BH396" s="17"/>
      <c r="BI396" s="154" t="str">
        <f t="shared" si="200"/>
        <v/>
      </c>
      <c r="BJ396" s="17"/>
    </row>
    <row r="397" spans="1:62" x14ac:dyDescent="0.25">
      <c r="A397" s="85">
        <f t="shared" si="170"/>
        <v>107</v>
      </c>
      <c r="B397" s="296">
        <f t="shared" si="171"/>
        <v>103938.03525381772</v>
      </c>
      <c r="C397" s="296">
        <f t="shared" si="172"/>
        <v>489278.08786613401</v>
      </c>
      <c r="D397" s="85">
        <f t="shared" si="189"/>
        <v>1</v>
      </c>
      <c r="E397" s="17">
        <f t="shared" si="173"/>
        <v>0.38768131205870304</v>
      </c>
      <c r="F397" s="17">
        <f t="shared" si="174"/>
        <v>-0.10805969178909436</v>
      </c>
      <c r="G397" s="17" t="str">
        <f t="shared" si="175"/>
        <v>103938.035253818,489278.087866134</v>
      </c>
      <c r="H397" s="16">
        <v>107</v>
      </c>
      <c r="I397" s="16">
        <f t="shared" si="176"/>
        <v>107</v>
      </c>
      <c r="J397" s="209">
        <f t="shared" si="177"/>
        <v>0.4024595590976956</v>
      </c>
      <c r="K397" s="209">
        <f t="shared" si="178"/>
        <v>42.660713265902288</v>
      </c>
      <c r="L397" s="692">
        <v>1.170697808265686</v>
      </c>
      <c r="M397" s="17" t="str">
        <f t="shared" si="179"/>
        <v>42.6607132659023,1.17069780826569</v>
      </c>
      <c r="O397" s="85" t="str">
        <f t="shared" si="201"/>
        <v/>
      </c>
      <c r="P397" s="85" t="str">
        <f t="shared" si="202"/>
        <v>Formule bijwerken voor T6</v>
      </c>
      <c r="Q397" s="233" t="str">
        <f t="shared" si="203"/>
        <v/>
      </c>
      <c r="R397" s="17" t="str">
        <f t="shared" si="204"/>
        <v/>
      </c>
      <c r="S397" s="235" t="str">
        <f t="shared" si="209"/>
        <v>Formule bijwerken voor T6</v>
      </c>
      <c r="T397" s="17" t="str">
        <f t="shared" si="205"/>
        <v/>
      </c>
      <c r="U397" s="85" t="str">
        <f t="shared" si="206"/>
        <v>Formule bijwerken voor  T6</v>
      </c>
      <c r="V397" s="17" t="str">
        <f t="shared" si="207"/>
        <v/>
      </c>
      <c r="W397" s="17" t="str">
        <f t="shared" si="190"/>
        <v/>
      </c>
      <c r="X397" s="17" t="str">
        <f t="shared" si="208"/>
        <v/>
      </c>
      <c r="Y397" s="85" t="str">
        <f t="shared" si="191"/>
        <v/>
      </c>
      <c r="Z397" s="17" t="str">
        <f t="shared" si="192"/>
        <v/>
      </c>
      <c r="AA397" s="17" t="str">
        <f t="shared" si="193"/>
        <v/>
      </c>
      <c r="AB397" s="17" t="str">
        <f t="shared" si="194"/>
        <v/>
      </c>
      <c r="AC397" s="17" t="str">
        <f>IF(O397="","",P397&amp;","&amp;AB$287-Variabelen!B$43)</f>
        <v/>
      </c>
      <c r="AD397" s="17"/>
      <c r="AE397" s="17"/>
      <c r="AF397" s="17"/>
      <c r="AG397" s="17"/>
      <c r="AH397" s="17"/>
      <c r="AI397" s="17" t="str">
        <f>IF(O397="","",P397-Variabelen!B$36&amp;","&amp;AB$287-Variabelen!B$43+Variabelen!B$36)</f>
        <v/>
      </c>
      <c r="AJ397" s="154" t="str">
        <f t="shared" si="195"/>
        <v/>
      </c>
      <c r="AK397" s="17"/>
      <c r="AL397" s="17"/>
      <c r="AM397" s="17"/>
      <c r="AN397" s="17"/>
      <c r="AO397" s="17"/>
      <c r="AP397" s="17" t="str">
        <f>IF(O397="","",P397-Variabelen!B$36&amp;","&amp;AB$287-Variabelen!B$42+Variabelen!B$36)</f>
        <v/>
      </c>
      <c r="AQ397" s="154" t="str">
        <f t="shared" si="196"/>
        <v/>
      </c>
      <c r="AR397" s="17"/>
      <c r="AS397" s="17"/>
      <c r="AT397" s="17"/>
      <c r="AU397" s="17"/>
      <c r="AV397" s="17" t="str">
        <f t="shared" si="197"/>
        <v/>
      </c>
      <c r="AW397" s="17" t="str">
        <f>IF(O397="","",P397-Variabelen!B$36&amp;","&amp;AB$287-Variabelen!B$41+Variabelen!B$36)</f>
        <v/>
      </c>
      <c r="AX397" s="17"/>
      <c r="AY397" s="17"/>
      <c r="AZ397" s="154" t="str">
        <f t="shared" si="198"/>
        <v/>
      </c>
      <c r="BA397" s="17"/>
      <c r="BB397" s="17"/>
      <c r="BC397" s="17"/>
      <c r="BD397" s="17"/>
      <c r="BE397" s="17" t="str">
        <f t="shared" si="199"/>
        <v/>
      </c>
      <c r="BF397" s="17" t="str">
        <f>IF(O397="","",P397-Variabelen!B$36&amp;","&amp;AB$287-Variabelen!B$40+Variabelen!B$36)</f>
        <v/>
      </c>
      <c r="BG397" s="17"/>
      <c r="BH397" s="17"/>
      <c r="BI397" s="154" t="str">
        <f t="shared" si="200"/>
        <v/>
      </c>
      <c r="BJ397" s="17"/>
    </row>
    <row r="398" spans="1:62" x14ac:dyDescent="0.25">
      <c r="A398" s="85">
        <f t="shared" si="170"/>
        <v>108</v>
      </c>
      <c r="B398" s="296">
        <f t="shared" si="171"/>
        <v>103938.4229351298</v>
      </c>
      <c r="C398" s="296">
        <f t="shared" si="172"/>
        <v>489277.97980644216</v>
      </c>
      <c r="D398" s="85">
        <f t="shared" si="189"/>
        <v>1</v>
      </c>
      <c r="E398" s="17">
        <f t="shared" si="173"/>
        <v>0.38768131207325496</v>
      </c>
      <c r="F398" s="17">
        <f t="shared" si="174"/>
        <v>-0.10805969184730202</v>
      </c>
      <c r="G398" s="17" t="str">
        <f t="shared" si="175"/>
        <v>103938.42293513,489277.979806442</v>
      </c>
      <c r="H398" s="16">
        <v>108</v>
      </c>
      <c r="I398" s="16">
        <f t="shared" si="176"/>
        <v>108</v>
      </c>
      <c r="J398" s="209">
        <f t="shared" si="177"/>
        <v>0.40245955912734188</v>
      </c>
      <c r="K398" s="209">
        <f t="shared" si="178"/>
        <v>43.063172825029632</v>
      </c>
      <c r="L398" s="692">
        <v>1.165324330329895</v>
      </c>
      <c r="M398" s="17" t="str">
        <f t="shared" si="179"/>
        <v>43.0631728250296,1.1653243303299</v>
      </c>
      <c r="O398" s="85" t="str">
        <f t="shared" si="201"/>
        <v/>
      </c>
      <c r="P398" s="85" t="str">
        <f t="shared" si="202"/>
        <v>Formule bijwerken voor T6</v>
      </c>
      <c r="Q398" s="233" t="str">
        <f t="shared" si="203"/>
        <v/>
      </c>
      <c r="R398" s="17" t="str">
        <f t="shared" si="204"/>
        <v/>
      </c>
      <c r="S398" s="235" t="str">
        <f t="shared" si="209"/>
        <v>Formule bijwerken voor T6</v>
      </c>
      <c r="T398" s="17" t="str">
        <f t="shared" si="205"/>
        <v/>
      </c>
      <c r="U398" s="85" t="str">
        <f t="shared" si="206"/>
        <v>Formule bijwerken voor  T6</v>
      </c>
      <c r="V398" s="17" t="str">
        <f t="shared" si="207"/>
        <v/>
      </c>
      <c r="W398" s="17" t="str">
        <f t="shared" si="190"/>
        <v/>
      </c>
      <c r="X398" s="17" t="str">
        <f t="shared" si="208"/>
        <v/>
      </c>
      <c r="Y398" s="85" t="str">
        <f t="shared" si="191"/>
        <v/>
      </c>
      <c r="Z398" s="17" t="str">
        <f t="shared" si="192"/>
        <v/>
      </c>
      <c r="AA398" s="17" t="str">
        <f t="shared" si="193"/>
        <v/>
      </c>
      <c r="AB398" s="17" t="str">
        <f t="shared" si="194"/>
        <v/>
      </c>
      <c r="AC398" s="17" t="str">
        <f>IF(O398="","",P398&amp;","&amp;AB$287-Variabelen!B$43)</f>
        <v/>
      </c>
      <c r="AD398" s="17"/>
      <c r="AE398" s="17"/>
      <c r="AF398" s="17"/>
      <c r="AG398" s="17"/>
      <c r="AH398" s="17"/>
      <c r="AI398" s="17" t="str">
        <f>IF(O398="","",P398-Variabelen!B$36&amp;","&amp;AB$287-Variabelen!B$43+Variabelen!B$36)</f>
        <v/>
      </c>
      <c r="AJ398" s="154" t="str">
        <f t="shared" si="195"/>
        <v/>
      </c>
      <c r="AK398" s="17"/>
      <c r="AL398" s="17"/>
      <c r="AM398" s="17"/>
      <c r="AN398" s="17"/>
      <c r="AO398" s="17"/>
      <c r="AP398" s="17" t="str">
        <f>IF(O398="","",P398-Variabelen!B$36&amp;","&amp;AB$287-Variabelen!B$42+Variabelen!B$36)</f>
        <v/>
      </c>
      <c r="AQ398" s="154" t="str">
        <f t="shared" si="196"/>
        <v/>
      </c>
      <c r="AR398" s="17"/>
      <c r="AS398" s="17"/>
      <c r="AT398" s="17"/>
      <c r="AU398" s="17"/>
      <c r="AV398" s="17" t="str">
        <f t="shared" si="197"/>
        <v/>
      </c>
      <c r="AW398" s="17" t="str">
        <f>IF(O398="","",P398-Variabelen!B$36&amp;","&amp;AB$287-Variabelen!B$41+Variabelen!B$36)</f>
        <v/>
      </c>
      <c r="AX398" s="17"/>
      <c r="AY398" s="17"/>
      <c r="AZ398" s="154" t="str">
        <f t="shared" si="198"/>
        <v/>
      </c>
      <c r="BA398" s="17"/>
      <c r="BB398" s="17"/>
      <c r="BC398" s="17"/>
      <c r="BD398" s="17"/>
      <c r="BE398" s="17" t="str">
        <f t="shared" si="199"/>
        <v/>
      </c>
      <c r="BF398" s="17" t="str">
        <f>IF(O398="","",P398-Variabelen!B$36&amp;","&amp;AB$287-Variabelen!B$40+Variabelen!B$36)</f>
        <v/>
      </c>
      <c r="BG398" s="17"/>
      <c r="BH398" s="17"/>
      <c r="BI398" s="154" t="str">
        <f t="shared" si="200"/>
        <v/>
      </c>
      <c r="BJ398" s="17"/>
    </row>
    <row r="399" spans="1:62" x14ac:dyDescent="0.25">
      <c r="A399" s="85">
        <f t="shared" si="170"/>
        <v>109</v>
      </c>
      <c r="B399" s="296">
        <f t="shared" si="171"/>
        <v>103938.81061644187</v>
      </c>
      <c r="C399" s="296">
        <f t="shared" si="172"/>
        <v>489277.87174675037</v>
      </c>
      <c r="D399" s="85">
        <f t="shared" si="189"/>
        <v>1</v>
      </c>
      <c r="E399" s="17">
        <f t="shared" si="173"/>
        <v>0.38768131207325496</v>
      </c>
      <c r="F399" s="17">
        <f t="shared" si="174"/>
        <v>-0.10805969178909436</v>
      </c>
      <c r="G399" s="17" t="str">
        <f t="shared" si="175"/>
        <v>103938.810616442,489277.87174675</v>
      </c>
      <c r="H399" s="16">
        <v>109</v>
      </c>
      <c r="I399" s="16">
        <f t="shared" si="176"/>
        <v>109</v>
      </c>
      <c r="J399" s="209">
        <f t="shared" si="177"/>
        <v>0.40245955911171322</v>
      </c>
      <c r="K399" s="209">
        <f t="shared" si="178"/>
        <v>43.465632384141344</v>
      </c>
      <c r="L399" s="692">
        <v>1.1853927373886111</v>
      </c>
      <c r="M399" s="17" t="str">
        <f t="shared" si="179"/>
        <v>43.4656323841413,1.18539273738861</v>
      </c>
      <c r="O399" s="85" t="str">
        <f t="shared" si="201"/>
        <v/>
      </c>
      <c r="P399" s="85" t="str">
        <f t="shared" si="202"/>
        <v>Formule bijwerken voor T6</v>
      </c>
      <c r="Q399" s="233" t="str">
        <f t="shared" si="203"/>
        <v/>
      </c>
      <c r="R399" s="17" t="str">
        <f t="shared" si="204"/>
        <v/>
      </c>
      <c r="S399" s="235" t="str">
        <f t="shared" si="209"/>
        <v>Formule bijwerken voor T6</v>
      </c>
      <c r="T399" s="17" t="str">
        <f t="shared" si="205"/>
        <v/>
      </c>
      <c r="U399" s="85" t="str">
        <f t="shared" si="206"/>
        <v>Formule bijwerken voor  T6</v>
      </c>
      <c r="V399" s="17" t="str">
        <f t="shared" si="207"/>
        <v/>
      </c>
      <c r="W399" s="17" t="str">
        <f t="shared" si="190"/>
        <v/>
      </c>
      <c r="X399" s="17" t="str">
        <f t="shared" si="208"/>
        <v/>
      </c>
      <c r="Y399" s="85" t="str">
        <f t="shared" si="191"/>
        <v/>
      </c>
      <c r="Z399" s="17" t="str">
        <f t="shared" si="192"/>
        <v/>
      </c>
      <c r="AA399" s="17" t="str">
        <f t="shared" si="193"/>
        <v/>
      </c>
      <c r="AB399" s="17" t="str">
        <f t="shared" si="194"/>
        <v/>
      </c>
      <c r="AC399" s="17" t="str">
        <f>IF(O399="","",P399&amp;","&amp;AB$287-Variabelen!B$43)</f>
        <v/>
      </c>
      <c r="AD399" s="17"/>
      <c r="AE399" s="17"/>
      <c r="AF399" s="17"/>
      <c r="AG399" s="17"/>
      <c r="AH399" s="17"/>
      <c r="AI399" s="17" t="str">
        <f>IF(O399="","",P399-Variabelen!B$36&amp;","&amp;AB$287-Variabelen!B$43+Variabelen!B$36)</f>
        <v/>
      </c>
      <c r="AJ399" s="154" t="str">
        <f t="shared" si="195"/>
        <v/>
      </c>
      <c r="AK399" s="17"/>
      <c r="AL399" s="17"/>
      <c r="AM399" s="17"/>
      <c r="AN399" s="17"/>
      <c r="AO399" s="17"/>
      <c r="AP399" s="17" t="str">
        <f>IF(O399="","",P399-Variabelen!B$36&amp;","&amp;AB$287-Variabelen!B$42+Variabelen!B$36)</f>
        <v/>
      </c>
      <c r="AQ399" s="154" t="str">
        <f t="shared" si="196"/>
        <v/>
      </c>
      <c r="AR399" s="17"/>
      <c r="AS399" s="17"/>
      <c r="AT399" s="17"/>
      <c r="AU399" s="17"/>
      <c r="AV399" s="17" t="str">
        <f t="shared" si="197"/>
        <v/>
      </c>
      <c r="AW399" s="17" t="str">
        <f>IF(O399="","",P399-Variabelen!B$36&amp;","&amp;AB$287-Variabelen!B$41+Variabelen!B$36)</f>
        <v/>
      </c>
      <c r="AX399" s="17"/>
      <c r="AY399" s="17"/>
      <c r="AZ399" s="154" t="str">
        <f t="shared" si="198"/>
        <v/>
      </c>
      <c r="BA399" s="17"/>
      <c r="BB399" s="17"/>
      <c r="BC399" s="17"/>
      <c r="BD399" s="17"/>
      <c r="BE399" s="17" t="str">
        <f t="shared" si="199"/>
        <v/>
      </c>
      <c r="BF399" s="17" t="str">
        <f>IF(O399="","",P399-Variabelen!B$36&amp;","&amp;AB$287-Variabelen!B$40+Variabelen!B$36)</f>
        <v/>
      </c>
      <c r="BG399" s="17"/>
      <c r="BH399" s="17"/>
      <c r="BI399" s="154" t="str">
        <f t="shared" si="200"/>
        <v/>
      </c>
      <c r="BJ399" s="17"/>
    </row>
    <row r="400" spans="1:62" x14ac:dyDescent="0.25">
      <c r="A400" s="85">
        <f t="shared" si="170"/>
        <v>110</v>
      </c>
      <c r="B400" s="296">
        <f t="shared" si="171"/>
        <v>103939.19829775393</v>
      </c>
      <c r="C400" s="296">
        <f t="shared" si="172"/>
        <v>489277.76368705858</v>
      </c>
      <c r="D400" s="85">
        <f t="shared" si="189"/>
        <v>1</v>
      </c>
      <c r="E400" s="17">
        <f t="shared" si="173"/>
        <v>0.38768131205870304</v>
      </c>
      <c r="F400" s="17">
        <f t="shared" si="174"/>
        <v>-0.10805969178909436</v>
      </c>
      <c r="G400" s="17" t="str">
        <f t="shared" si="175"/>
        <v>103939.198297754,489277.763687059</v>
      </c>
      <c r="H400" s="16">
        <v>110</v>
      </c>
      <c r="I400" s="16">
        <f t="shared" si="176"/>
        <v>110</v>
      </c>
      <c r="J400" s="209">
        <f t="shared" si="177"/>
        <v>0.4024595590976956</v>
      </c>
      <c r="K400" s="209">
        <f t="shared" si="178"/>
        <v>43.868091943239037</v>
      </c>
      <c r="L400" s="692">
        <v>1.1865546703338621</v>
      </c>
      <c r="M400" s="17" t="str">
        <f t="shared" si="179"/>
        <v>43.868091943239,1.18655467033386</v>
      </c>
      <c r="O400" s="85" t="str">
        <f t="shared" si="201"/>
        <v/>
      </c>
      <c r="P400" s="85" t="str">
        <f t="shared" si="202"/>
        <v>Formule bijwerken voor T6</v>
      </c>
      <c r="Q400" s="233" t="str">
        <f t="shared" si="203"/>
        <v/>
      </c>
      <c r="R400" s="17" t="str">
        <f t="shared" si="204"/>
        <v/>
      </c>
      <c r="S400" s="235" t="str">
        <f t="shared" si="209"/>
        <v>Formule bijwerken voor T6</v>
      </c>
      <c r="T400" s="17" t="str">
        <f t="shared" si="205"/>
        <v/>
      </c>
      <c r="U400" s="85" t="str">
        <f t="shared" si="206"/>
        <v>Formule bijwerken voor  T6</v>
      </c>
      <c r="V400" s="17" t="str">
        <f t="shared" si="207"/>
        <v/>
      </c>
      <c r="W400" s="17" t="str">
        <f t="shared" si="190"/>
        <v/>
      </c>
      <c r="X400" s="17" t="str">
        <f t="shared" si="208"/>
        <v/>
      </c>
      <c r="Y400" s="85" t="str">
        <f t="shared" si="191"/>
        <v/>
      </c>
      <c r="Z400" s="17" t="str">
        <f t="shared" si="192"/>
        <v/>
      </c>
      <c r="AA400" s="17" t="str">
        <f t="shared" si="193"/>
        <v/>
      </c>
      <c r="AB400" s="17" t="str">
        <f t="shared" si="194"/>
        <v/>
      </c>
      <c r="AC400" s="17" t="str">
        <f>IF(O400="","",P400&amp;","&amp;AB$287-Variabelen!B$43)</f>
        <v/>
      </c>
      <c r="AD400" s="17"/>
      <c r="AE400" s="17"/>
      <c r="AF400" s="17"/>
      <c r="AG400" s="17"/>
      <c r="AH400" s="17"/>
      <c r="AI400" s="17" t="str">
        <f>IF(O400="","",P400-Variabelen!B$36&amp;","&amp;AB$287-Variabelen!B$43+Variabelen!B$36)</f>
        <v/>
      </c>
      <c r="AJ400" s="154" t="str">
        <f t="shared" si="195"/>
        <v/>
      </c>
      <c r="AK400" s="17"/>
      <c r="AL400" s="17"/>
      <c r="AM400" s="17"/>
      <c r="AN400" s="17"/>
      <c r="AO400" s="17"/>
      <c r="AP400" s="17" t="str">
        <f>IF(O400="","",P400-Variabelen!B$36&amp;","&amp;AB$287-Variabelen!B$42+Variabelen!B$36)</f>
        <v/>
      </c>
      <c r="AQ400" s="154" t="str">
        <f t="shared" si="196"/>
        <v/>
      </c>
      <c r="AR400" s="17"/>
      <c r="AS400" s="17"/>
      <c r="AT400" s="17"/>
      <c r="AU400" s="17"/>
      <c r="AV400" s="17" t="str">
        <f t="shared" si="197"/>
        <v/>
      </c>
      <c r="AW400" s="17" t="str">
        <f>IF(O400="","",P400-Variabelen!B$36&amp;","&amp;AB$287-Variabelen!B$41+Variabelen!B$36)</f>
        <v/>
      </c>
      <c r="AX400" s="17"/>
      <c r="AY400" s="17"/>
      <c r="AZ400" s="154" t="str">
        <f t="shared" si="198"/>
        <v/>
      </c>
      <c r="BA400" s="17"/>
      <c r="BB400" s="17"/>
      <c r="BC400" s="17"/>
      <c r="BD400" s="17"/>
      <c r="BE400" s="17" t="str">
        <f t="shared" si="199"/>
        <v/>
      </c>
      <c r="BF400" s="17" t="str">
        <f>IF(O400="","",P400-Variabelen!B$36&amp;","&amp;AB$287-Variabelen!B$40+Variabelen!B$36)</f>
        <v/>
      </c>
      <c r="BG400" s="17"/>
      <c r="BH400" s="17"/>
      <c r="BI400" s="154" t="str">
        <f t="shared" si="200"/>
        <v/>
      </c>
      <c r="BJ400" s="17"/>
    </row>
    <row r="401" spans="1:62" x14ac:dyDescent="0.25">
      <c r="A401" s="85">
        <f t="shared" si="170"/>
        <v>111</v>
      </c>
      <c r="B401" s="296">
        <f t="shared" si="171"/>
        <v>103939.585979066</v>
      </c>
      <c r="C401" s="296">
        <f t="shared" si="172"/>
        <v>489277.6556273668</v>
      </c>
      <c r="D401" s="85">
        <f t="shared" si="189"/>
        <v>1</v>
      </c>
      <c r="E401" s="17">
        <f t="shared" si="173"/>
        <v>0.38768131207325496</v>
      </c>
      <c r="F401" s="17">
        <f t="shared" si="174"/>
        <v>-0.10805969178909436</v>
      </c>
      <c r="G401" s="17" t="str">
        <f t="shared" si="175"/>
        <v>103939.585979066,489277.655627367</v>
      </c>
      <c r="H401" s="16">
        <v>111</v>
      </c>
      <c r="I401" s="16">
        <f t="shared" si="176"/>
        <v>111</v>
      </c>
      <c r="J401" s="209">
        <f t="shared" si="177"/>
        <v>0.40245955911171322</v>
      </c>
      <c r="K401" s="209">
        <f t="shared" si="178"/>
        <v>44.270551502350749</v>
      </c>
      <c r="L401" s="692">
        <v>1.172879099845886</v>
      </c>
      <c r="M401" s="17" t="str">
        <f t="shared" si="179"/>
        <v>44.2705515023507,1.17287909984589</v>
      </c>
      <c r="O401" s="85" t="str">
        <f t="shared" si="201"/>
        <v/>
      </c>
      <c r="P401" s="85" t="str">
        <f t="shared" si="202"/>
        <v>Formule bijwerken voor T6</v>
      </c>
      <c r="Q401" s="233" t="str">
        <f t="shared" si="203"/>
        <v/>
      </c>
      <c r="R401" s="17" t="str">
        <f t="shared" si="204"/>
        <v/>
      </c>
      <c r="S401" s="235" t="str">
        <f t="shared" si="209"/>
        <v>Formule bijwerken voor T6</v>
      </c>
      <c r="T401" s="17" t="str">
        <f t="shared" si="205"/>
        <v/>
      </c>
      <c r="U401" s="85" t="str">
        <f t="shared" si="206"/>
        <v>Formule bijwerken voor  T6</v>
      </c>
      <c r="V401" s="17" t="str">
        <f t="shared" si="207"/>
        <v/>
      </c>
      <c r="W401" s="17" t="str">
        <f t="shared" si="190"/>
        <v/>
      </c>
      <c r="X401" s="17" t="str">
        <f t="shared" si="208"/>
        <v/>
      </c>
      <c r="Y401" s="85" t="str">
        <f t="shared" si="191"/>
        <v/>
      </c>
      <c r="Z401" s="17" t="str">
        <f t="shared" si="192"/>
        <v/>
      </c>
      <c r="AA401" s="17" t="str">
        <f t="shared" si="193"/>
        <v/>
      </c>
      <c r="AB401" s="17" t="str">
        <f t="shared" si="194"/>
        <v/>
      </c>
      <c r="AC401" s="17" t="str">
        <f>IF(O401="","",P401&amp;","&amp;AB$287-Variabelen!B$43)</f>
        <v/>
      </c>
      <c r="AD401" s="17"/>
      <c r="AE401" s="17"/>
      <c r="AF401" s="17"/>
      <c r="AG401" s="17"/>
      <c r="AH401" s="17"/>
      <c r="AI401" s="17" t="str">
        <f>IF(O401="","",P401-Variabelen!B$36&amp;","&amp;AB$287-Variabelen!B$43+Variabelen!B$36)</f>
        <v/>
      </c>
      <c r="AJ401" s="154" t="str">
        <f t="shared" si="195"/>
        <v/>
      </c>
      <c r="AK401" s="17"/>
      <c r="AL401" s="17"/>
      <c r="AM401" s="17"/>
      <c r="AN401" s="17"/>
      <c r="AO401" s="17"/>
      <c r="AP401" s="17" t="str">
        <f>IF(O401="","",P401-Variabelen!B$36&amp;","&amp;AB$287-Variabelen!B$42+Variabelen!B$36)</f>
        <v/>
      </c>
      <c r="AQ401" s="154" t="str">
        <f t="shared" si="196"/>
        <v/>
      </c>
      <c r="AR401" s="17"/>
      <c r="AS401" s="17"/>
      <c r="AT401" s="17"/>
      <c r="AU401" s="17"/>
      <c r="AV401" s="17" t="str">
        <f t="shared" si="197"/>
        <v/>
      </c>
      <c r="AW401" s="17" t="str">
        <f>IF(O401="","",P401-Variabelen!B$36&amp;","&amp;AB$287-Variabelen!B$41+Variabelen!B$36)</f>
        <v/>
      </c>
      <c r="AX401" s="17"/>
      <c r="AY401" s="17"/>
      <c r="AZ401" s="154" t="str">
        <f t="shared" si="198"/>
        <v/>
      </c>
      <c r="BA401" s="17"/>
      <c r="BB401" s="17"/>
      <c r="BC401" s="17"/>
      <c r="BD401" s="17"/>
      <c r="BE401" s="17" t="str">
        <f t="shared" si="199"/>
        <v/>
      </c>
      <c r="BF401" s="17" t="str">
        <f>IF(O401="","",P401-Variabelen!B$36&amp;","&amp;AB$287-Variabelen!B$40+Variabelen!B$36)</f>
        <v/>
      </c>
      <c r="BG401" s="17"/>
      <c r="BH401" s="17"/>
      <c r="BI401" s="154" t="str">
        <f t="shared" si="200"/>
        <v/>
      </c>
      <c r="BJ401" s="17"/>
    </row>
    <row r="402" spans="1:62" x14ac:dyDescent="0.25">
      <c r="A402" s="85">
        <f t="shared" si="170"/>
        <v>112</v>
      </c>
      <c r="B402" s="296">
        <f t="shared" si="171"/>
        <v>103939.97366037808</v>
      </c>
      <c r="C402" s="296">
        <f t="shared" si="172"/>
        <v>489277.54756767495</v>
      </c>
      <c r="D402" s="85">
        <f t="shared" si="189"/>
        <v>1</v>
      </c>
      <c r="E402" s="17">
        <f t="shared" si="173"/>
        <v>0.38768131207325496</v>
      </c>
      <c r="F402" s="17">
        <f t="shared" si="174"/>
        <v>-0.10805969184730202</v>
      </c>
      <c r="G402" s="17" t="str">
        <f t="shared" si="175"/>
        <v>103939.973660378,489277.547567675</v>
      </c>
      <c r="H402" s="16">
        <v>112</v>
      </c>
      <c r="I402" s="16">
        <f t="shared" si="176"/>
        <v>112</v>
      </c>
      <c r="J402" s="209">
        <f t="shared" si="177"/>
        <v>0.40245955912734188</v>
      </c>
      <c r="K402" s="209">
        <f t="shared" si="178"/>
        <v>44.673011061478093</v>
      </c>
      <c r="L402" s="692">
        <v>1.176937460899353</v>
      </c>
      <c r="M402" s="17" t="str">
        <f t="shared" si="179"/>
        <v>44.6730110614781,1.17693746089935</v>
      </c>
      <c r="O402" s="85" t="str">
        <f t="shared" si="201"/>
        <v/>
      </c>
      <c r="P402" s="85" t="str">
        <f t="shared" si="202"/>
        <v>Formule bijwerken voor T6</v>
      </c>
      <c r="Q402" s="233" t="str">
        <f t="shared" si="203"/>
        <v/>
      </c>
      <c r="R402" s="17" t="str">
        <f t="shared" si="204"/>
        <v/>
      </c>
      <c r="S402" s="235" t="str">
        <f t="shared" si="209"/>
        <v>Formule bijwerken voor T6</v>
      </c>
      <c r="T402" s="17" t="str">
        <f t="shared" si="205"/>
        <v/>
      </c>
      <c r="U402" s="85" t="str">
        <f t="shared" si="206"/>
        <v>Formule bijwerken voor  T6</v>
      </c>
      <c r="V402" s="17" t="str">
        <f t="shared" si="207"/>
        <v/>
      </c>
      <c r="W402" s="17" t="str">
        <f t="shared" si="190"/>
        <v/>
      </c>
      <c r="X402" s="17" t="str">
        <f t="shared" si="208"/>
        <v/>
      </c>
      <c r="Y402" s="85" t="str">
        <f t="shared" si="191"/>
        <v/>
      </c>
      <c r="Z402" s="17" t="str">
        <f t="shared" si="192"/>
        <v/>
      </c>
      <c r="AA402" s="17" t="str">
        <f t="shared" si="193"/>
        <v/>
      </c>
      <c r="AB402" s="17" t="str">
        <f t="shared" si="194"/>
        <v/>
      </c>
      <c r="AC402" s="17" t="str">
        <f>IF(O402="","",P402&amp;","&amp;AB$287-Variabelen!B$43)</f>
        <v/>
      </c>
      <c r="AD402" s="17"/>
      <c r="AE402" s="17"/>
      <c r="AF402" s="17"/>
      <c r="AG402" s="17"/>
      <c r="AH402" s="17"/>
      <c r="AI402" s="17" t="str">
        <f>IF(O402="","",P402-Variabelen!B$36&amp;","&amp;AB$287-Variabelen!B$43+Variabelen!B$36)</f>
        <v/>
      </c>
      <c r="AJ402" s="154" t="str">
        <f t="shared" si="195"/>
        <v/>
      </c>
      <c r="AK402" s="17"/>
      <c r="AL402" s="17"/>
      <c r="AM402" s="17"/>
      <c r="AN402" s="17"/>
      <c r="AO402" s="17"/>
      <c r="AP402" s="17" t="str">
        <f>IF(O402="","",P402-Variabelen!B$36&amp;","&amp;AB$287-Variabelen!B$42+Variabelen!B$36)</f>
        <v/>
      </c>
      <c r="AQ402" s="154" t="str">
        <f t="shared" si="196"/>
        <v/>
      </c>
      <c r="AR402" s="17"/>
      <c r="AS402" s="17"/>
      <c r="AT402" s="17"/>
      <c r="AU402" s="17"/>
      <c r="AV402" s="17" t="str">
        <f t="shared" si="197"/>
        <v/>
      </c>
      <c r="AW402" s="17" t="str">
        <f>IF(O402="","",P402-Variabelen!B$36&amp;","&amp;AB$287-Variabelen!B$41+Variabelen!B$36)</f>
        <v/>
      </c>
      <c r="AX402" s="17"/>
      <c r="AY402" s="17"/>
      <c r="AZ402" s="154" t="str">
        <f t="shared" si="198"/>
        <v/>
      </c>
      <c r="BA402" s="17"/>
      <c r="BB402" s="17"/>
      <c r="BC402" s="17"/>
      <c r="BD402" s="17"/>
      <c r="BE402" s="17" t="str">
        <f t="shared" si="199"/>
        <v/>
      </c>
      <c r="BF402" s="17" t="str">
        <f>IF(O402="","",P402-Variabelen!B$36&amp;","&amp;AB$287-Variabelen!B$40+Variabelen!B$36)</f>
        <v/>
      </c>
      <c r="BG402" s="17"/>
      <c r="BH402" s="17"/>
      <c r="BI402" s="154" t="str">
        <f t="shared" si="200"/>
        <v/>
      </c>
      <c r="BJ402" s="17"/>
    </row>
    <row r="403" spans="1:62" x14ac:dyDescent="0.25">
      <c r="A403" s="85">
        <f t="shared" si="170"/>
        <v>113</v>
      </c>
      <c r="B403" s="296">
        <f t="shared" si="171"/>
        <v>103940.36134169015</v>
      </c>
      <c r="C403" s="296">
        <f t="shared" si="172"/>
        <v>489277.43950798316</v>
      </c>
      <c r="D403" s="85">
        <f t="shared" si="189"/>
        <v>1</v>
      </c>
      <c r="E403" s="17">
        <f t="shared" si="173"/>
        <v>0.38768131207325496</v>
      </c>
      <c r="F403" s="17">
        <f t="shared" si="174"/>
        <v>-0.10805969178909436</v>
      </c>
      <c r="G403" s="17" t="str">
        <f t="shared" si="175"/>
        <v>103940.36134169,489277.439507983</v>
      </c>
      <c r="H403" s="16">
        <v>113</v>
      </c>
      <c r="I403" s="16">
        <f t="shared" si="176"/>
        <v>113</v>
      </c>
      <c r="J403" s="209">
        <f t="shared" si="177"/>
        <v>0.40245955911171322</v>
      </c>
      <c r="K403" s="209">
        <f t="shared" si="178"/>
        <v>45.075470620589805</v>
      </c>
      <c r="L403" s="692">
        <v>1.175119876861572</v>
      </c>
      <c r="M403" s="17" t="str">
        <f t="shared" si="179"/>
        <v>45.0754706205898,1.17511987686157</v>
      </c>
      <c r="O403" s="85" t="str">
        <f t="shared" si="201"/>
        <v/>
      </c>
      <c r="P403" s="85" t="str">
        <f t="shared" si="202"/>
        <v>Formule bijwerken voor T6</v>
      </c>
      <c r="Q403" s="233" t="str">
        <f t="shared" si="203"/>
        <v/>
      </c>
      <c r="R403" s="17" t="str">
        <f t="shared" si="204"/>
        <v/>
      </c>
      <c r="S403" s="235" t="str">
        <f t="shared" si="209"/>
        <v>Formule bijwerken voor T6</v>
      </c>
      <c r="T403" s="17" t="str">
        <f t="shared" si="205"/>
        <v/>
      </c>
      <c r="U403" s="85" t="str">
        <f t="shared" si="206"/>
        <v>Formule bijwerken voor  T6</v>
      </c>
      <c r="V403" s="17" t="str">
        <f t="shared" si="207"/>
        <v/>
      </c>
      <c r="W403" s="17" t="str">
        <f t="shared" si="190"/>
        <v/>
      </c>
      <c r="X403" s="17" t="str">
        <f t="shared" si="208"/>
        <v/>
      </c>
      <c r="Y403" s="85" t="str">
        <f t="shared" si="191"/>
        <v/>
      </c>
      <c r="Z403" s="17" t="str">
        <f t="shared" si="192"/>
        <v/>
      </c>
      <c r="AA403" s="17" t="str">
        <f t="shared" si="193"/>
        <v/>
      </c>
      <c r="AB403" s="17" t="str">
        <f t="shared" si="194"/>
        <v/>
      </c>
      <c r="AC403" s="17" t="str">
        <f>IF(O403="","",P403&amp;","&amp;AB$287-Variabelen!B$43)</f>
        <v/>
      </c>
      <c r="AD403" s="17"/>
      <c r="AE403" s="17"/>
      <c r="AF403" s="17"/>
      <c r="AG403" s="17"/>
      <c r="AH403" s="17"/>
      <c r="AI403" s="17" t="str">
        <f>IF(O403="","",P403-Variabelen!B$36&amp;","&amp;AB$287-Variabelen!B$43+Variabelen!B$36)</f>
        <v/>
      </c>
      <c r="AJ403" s="154" t="str">
        <f t="shared" si="195"/>
        <v/>
      </c>
      <c r="AK403" s="17"/>
      <c r="AL403" s="17"/>
      <c r="AM403" s="17"/>
      <c r="AN403" s="17"/>
      <c r="AO403" s="17"/>
      <c r="AP403" s="17" t="str">
        <f>IF(O403="","",P403-Variabelen!B$36&amp;","&amp;AB$287-Variabelen!B$42+Variabelen!B$36)</f>
        <v/>
      </c>
      <c r="AQ403" s="154" t="str">
        <f t="shared" si="196"/>
        <v/>
      </c>
      <c r="AR403" s="17"/>
      <c r="AS403" s="17"/>
      <c r="AT403" s="17"/>
      <c r="AU403" s="17"/>
      <c r="AV403" s="17" t="str">
        <f t="shared" si="197"/>
        <v/>
      </c>
      <c r="AW403" s="17" t="str">
        <f>IF(O403="","",P403-Variabelen!B$36&amp;","&amp;AB$287-Variabelen!B$41+Variabelen!B$36)</f>
        <v/>
      </c>
      <c r="AX403" s="17"/>
      <c r="AY403" s="17"/>
      <c r="AZ403" s="154" t="str">
        <f t="shared" si="198"/>
        <v/>
      </c>
      <c r="BA403" s="17"/>
      <c r="BB403" s="17"/>
      <c r="BC403" s="17"/>
      <c r="BD403" s="17"/>
      <c r="BE403" s="17" t="str">
        <f t="shared" si="199"/>
        <v/>
      </c>
      <c r="BF403" s="17" t="str">
        <f>IF(O403="","",P403-Variabelen!B$36&amp;","&amp;AB$287-Variabelen!B$40+Variabelen!B$36)</f>
        <v/>
      </c>
      <c r="BG403" s="17"/>
      <c r="BH403" s="17"/>
      <c r="BI403" s="154" t="str">
        <f t="shared" si="200"/>
        <v/>
      </c>
      <c r="BJ403" s="17"/>
    </row>
    <row r="404" spans="1:62" x14ac:dyDescent="0.25">
      <c r="A404" s="85">
        <f t="shared" si="170"/>
        <v>114</v>
      </c>
      <c r="B404" s="296">
        <f t="shared" si="171"/>
        <v>103940.74902300221</v>
      </c>
      <c r="C404" s="296">
        <f t="shared" si="172"/>
        <v>489277.33144829137</v>
      </c>
      <c r="D404" s="85">
        <f t="shared" si="189"/>
        <v>1</v>
      </c>
      <c r="E404" s="17">
        <f t="shared" si="173"/>
        <v>0.38768131205870304</v>
      </c>
      <c r="F404" s="17">
        <f t="shared" si="174"/>
        <v>-0.10805969178909436</v>
      </c>
      <c r="G404" s="17" t="str">
        <f t="shared" si="175"/>
        <v>103940.749023002,489277.331448291</v>
      </c>
      <c r="H404" s="16">
        <v>114</v>
      </c>
      <c r="I404" s="16">
        <f t="shared" si="176"/>
        <v>114</v>
      </c>
      <c r="J404" s="209">
        <f t="shared" si="177"/>
        <v>0.4024595590976956</v>
      </c>
      <c r="K404" s="209">
        <f t="shared" si="178"/>
        <v>45.477930179687498</v>
      </c>
      <c r="L404" s="692">
        <v>1.180353999137878</v>
      </c>
      <c r="M404" s="17" t="str">
        <f t="shared" si="179"/>
        <v>45.4779301796875,1.18035399913788</v>
      </c>
      <c r="O404" s="85" t="str">
        <f t="shared" si="201"/>
        <v/>
      </c>
      <c r="P404" s="85" t="str">
        <f t="shared" si="202"/>
        <v>Formule bijwerken voor T6</v>
      </c>
      <c r="Q404" s="233" t="str">
        <f t="shared" si="203"/>
        <v/>
      </c>
      <c r="R404" s="17" t="str">
        <f t="shared" si="204"/>
        <v/>
      </c>
      <c r="S404" s="235" t="str">
        <f t="shared" si="209"/>
        <v>Formule bijwerken voor T6</v>
      </c>
      <c r="T404" s="17" t="str">
        <f t="shared" si="205"/>
        <v/>
      </c>
      <c r="U404" s="85" t="str">
        <f t="shared" si="206"/>
        <v>Formule bijwerken voor  T6</v>
      </c>
      <c r="V404" s="17" t="str">
        <f t="shared" si="207"/>
        <v/>
      </c>
      <c r="W404" s="17" t="str">
        <f t="shared" si="190"/>
        <v/>
      </c>
      <c r="X404" s="17" t="str">
        <f t="shared" si="208"/>
        <v/>
      </c>
      <c r="Y404" s="85" t="str">
        <f t="shared" si="191"/>
        <v/>
      </c>
      <c r="Z404" s="17" t="str">
        <f t="shared" si="192"/>
        <v/>
      </c>
      <c r="AA404" s="17" t="str">
        <f t="shared" si="193"/>
        <v/>
      </c>
      <c r="AB404" s="17" t="str">
        <f t="shared" si="194"/>
        <v/>
      </c>
      <c r="AC404" s="17" t="str">
        <f>IF(O404="","",P404&amp;","&amp;AB$287-Variabelen!B$43)</f>
        <v/>
      </c>
      <c r="AD404" s="17"/>
      <c r="AE404" s="17"/>
      <c r="AF404" s="17"/>
      <c r="AG404" s="17"/>
      <c r="AH404" s="17"/>
      <c r="AI404" s="17" t="str">
        <f>IF(O404="","",P404-Variabelen!B$36&amp;","&amp;AB$287-Variabelen!B$43+Variabelen!B$36)</f>
        <v/>
      </c>
      <c r="AJ404" s="154" t="str">
        <f t="shared" si="195"/>
        <v/>
      </c>
      <c r="AK404" s="17"/>
      <c r="AL404" s="17"/>
      <c r="AM404" s="17"/>
      <c r="AN404" s="17"/>
      <c r="AO404" s="17"/>
      <c r="AP404" s="17" t="str">
        <f>IF(O404="","",P404-Variabelen!B$36&amp;","&amp;AB$287-Variabelen!B$42+Variabelen!B$36)</f>
        <v/>
      </c>
      <c r="AQ404" s="154" t="str">
        <f t="shared" si="196"/>
        <v/>
      </c>
      <c r="AR404" s="17"/>
      <c r="AS404" s="17"/>
      <c r="AT404" s="17"/>
      <c r="AU404" s="17"/>
      <c r="AV404" s="17" t="str">
        <f t="shared" si="197"/>
        <v/>
      </c>
      <c r="AW404" s="17" t="str">
        <f>IF(O404="","",P404-Variabelen!B$36&amp;","&amp;AB$287-Variabelen!B$41+Variabelen!B$36)</f>
        <v/>
      </c>
      <c r="AX404" s="17"/>
      <c r="AY404" s="17"/>
      <c r="AZ404" s="154" t="str">
        <f t="shared" si="198"/>
        <v/>
      </c>
      <c r="BA404" s="17"/>
      <c r="BB404" s="17"/>
      <c r="BC404" s="17"/>
      <c r="BD404" s="17"/>
      <c r="BE404" s="17" t="str">
        <f t="shared" si="199"/>
        <v/>
      </c>
      <c r="BF404" s="17" t="str">
        <f>IF(O404="","",P404-Variabelen!B$36&amp;","&amp;AB$287-Variabelen!B$40+Variabelen!B$36)</f>
        <v/>
      </c>
      <c r="BG404" s="17"/>
      <c r="BH404" s="17"/>
      <c r="BI404" s="154" t="str">
        <f t="shared" si="200"/>
        <v/>
      </c>
      <c r="BJ404" s="17"/>
    </row>
    <row r="405" spans="1:62" x14ac:dyDescent="0.25">
      <c r="A405" s="85">
        <f t="shared" si="170"/>
        <v>115</v>
      </c>
      <c r="B405" s="296">
        <f t="shared" si="171"/>
        <v>103941.13670431428</v>
      </c>
      <c r="C405" s="296">
        <f t="shared" si="172"/>
        <v>489277.22338859952</v>
      </c>
      <c r="D405" s="85">
        <f t="shared" si="189"/>
        <v>1</v>
      </c>
      <c r="E405" s="17">
        <f t="shared" si="173"/>
        <v>0.38768131207325496</v>
      </c>
      <c r="F405" s="17">
        <f t="shared" si="174"/>
        <v>-0.10805969184730202</v>
      </c>
      <c r="G405" s="17" t="str">
        <f t="shared" si="175"/>
        <v>103941.136704314,489277.2233886</v>
      </c>
      <c r="H405" s="16">
        <v>115</v>
      </c>
      <c r="I405" s="16">
        <f t="shared" si="176"/>
        <v>115</v>
      </c>
      <c r="J405" s="209">
        <f t="shared" si="177"/>
        <v>0.40245955912734188</v>
      </c>
      <c r="K405" s="209">
        <f t="shared" si="178"/>
        <v>45.880389738814841</v>
      </c>
      <c r="L405" s="692">
        <v>1.187938928604126</v>
      </c>
      <c r="M405" s="17" t="str">
        <f t="shared" si="179"/>
        <v>45.8803897388148,1.18793892860413</v>
      </c>
      <c r="O405" s="85" t="str">
        <f t="shared" si="201"/>
        <v/>
      </c>
      <c r="P405" s="85" t="str">
        <f t="shared" si="202"/>
        <v>Formule bijwerken voor T6</v>
      </c>
      <c r="Q405" s="233" t="str">
        <f t="shared" si="203"/>
        <v/>
      </c>
      <c r="R405" s="17" t="str">
        <f t="shared" si="204"/>
        <v/>
      </c>
      <c r="S405" s="235" t="str">
        <f t="shared" si="209"/>
        <v>Formule bijwerken voor T6</v>
      </c>
      <c r="T405" s="17" t="str">
        <f t="shared" si="205"/>
        <v/>
      </c>
      <c r="U405" s="85" t="str">
        <f t="shared" si="206"/>
        <v>Formule bijwerken voor  T6</v>
      </c>
      <c r="V405" s="17" t="str">
        <f t="shared" si="207"/>
        <v/>
      </c>
      <c r="W405" s="17" t="str">
        <f t="shared" si="190"/>
        <v/>
      </c>
      <c r="X405" s="17" t="str">
        <f t="shared" si="208"/>
        <v/>
      </c>
      <c r="Y405" s="85" t="str">
        <f t="shared" si="191"/>
        <v/>
      </c>
      <c r="Z405" s="17" t="str">
        <f t="shared" si="192"/>
        <v/>
      </c>
      <c r="AA405" s="17" t="str">
        <f t="shared" si="193"/>
        <v/>
      </c>
      <c r="AB405" s="17" t="str">
        <f t="shared" si="194"/>
        <v/>
      </c>
      <c r="AC405" s="17" t="str">
        <f>IF(O405="","",P405&amp;","&amp;AB$287-Variabelen!B$43)</f>
        <v/>
      </c>
      <c r="AD405" s="17"/>
      <c r="AE405" s="17"/>
      <c r="AF405" s="17"/>
      <c r="AG405" s="17"/>
      <c r="AH405" s="17"/>
      <c r="AI405" s="17" t="str">
        <f>IF(O405="","",P405-Variabelen!B$36&amp;","&amp;AB$287-Variabelen!B$43+Variabelen!B$36)</f>
        <v/>
      </c>
      <c r="AJ405" s="154" t="str">
        <f t="shared" si="195"/>
        <v/>
      </c>
      <c r="AK405" s="17"/>
      <c r="AL405" s="17"/>
      <c r="AM405" s="17"/>
      <c r="AN405" s="17"/>
      <c r="AO405" s="17"/>
      <c r="AP405" s="17" t="str">
        <f>IF(O405="","",P405-Variabelen!B$36&amp;","&amp;AB$287-Variabelen!B$42+Variabelen!B$36)</f>
        <v/>
      </c>
      <c r="AQ405" s="154" t="str">
        <f t="shared" si="196"/>
        <v/>
      </c>
      <c r="AR405" s="17"/>
      <c r="AS405" s="17"/>
      <c r="AT405" s="17"/>
      <c r="AU405" s="17"/>
      <c r="AV405" s="17" t="str">
        <f t="shared" si="197"/>
        <v/>
      </c>
      <c r="AW405" s="17" t="str">
        <f>IF(O405="","",P405-Variabelen!B$36&amp;","&amp;AB$287-Variabelen!B$41+Variabelen!B$36)</f>
        <v/>
      </c>
      <c r="AX405" s="17"/>
      <c r="AY405" s="17"/>
      <c r="AZ405" s="154" t="str">
        <f t="shared" si="198"/>
        <v/>
      </c>
      <c r="BA405" s="17"/>
      <c r="BB405" s="17"/>
      <c r="BC405" s="17"/>
      <c r="BD405" s="17"/>
      <c r="BE405" s="17" t="str">
        <f t="shared" si="199"/>
        <v/>
      </c>
      <c r="BF405" s="17" t="str">
        <f>IF(O405="","",P405-Variabelen!B$36&amp;","&amp;AB$287-Variabelen!B$40+Variabelen!B$36)</f>
        <v/>
      </c>
      <c r="BG405" s="17"/>
      <c r="BH405" s="17"/>
      <c r="BI405" s="154" t="str">
        <f t="shared" si="200"/>
        <v/>
      </c>
      <c r="BJ405" s="17"/>
    </row>
    <row r="406" spans="1:62" x14ac:dyDescent="0.25">
      <c r="A406" s="85">
        <f t="shared" si="170"/>
        <v>116</v>
      </c>
      <c r="B406" s="296">
        <f t="shared" si="171"/>
        <v>103941.52438562636</v>
      </c>
      <c r="C406" s="296">
        <f t="shared" si="172"/>
        <v>489277.11532890773</v>
      </c>
      <c r="D406" s="85">
        <f t="shared" si="189"/>
        <v>1</v>
      </c>
      <c r="E406" s="17">
        <f t="shared" si="173"/>
        <v>0.38768131207325496</v>
      </c>
      <c r="F406" s="17">
        <f t="shared" si="174"/>
        <v>-0.10805969178909436</v>
      </c>
      <c r="G406" s="17" t="str">
        <f t="shared" si="175"/>
        <v>103941.524385626,489277.115328908</v>
      </c>
      <c r="H406" s="16">
        <v>116</v>
      </c>
      <c r="I406" s="16">
        <f t="shared" si="176"/>
        <v>116</v>
      </c>
      <c r="J406" s="209">
        <f t="shared" si="177"/>
        <v>0.40245955911171322</v>
      </c>
      <c r="K406" s="209">
        <f t="shared" si="178"/>
        <v>46.282849297926553</v>
      </c>
      <c r="L406" s="692">
        <v>1.1932575702667241</v>
      </c>
      <c r="M406" s="17" t="str">
        <f t="shared" si="179"/>
        <v>46.2828492979266,1.19325757026672</v>
      </c>
      <c r="O406" s="85" t="str">
        <f t="shared" si="201"/>
        <v/>
      </c>
      <c r="P406" s="85" t="str">
        <f t="shared" si="202"/>
        <v>Formule bijwerken voor T6</v>
      </c>
      <c r="Q406" s="233" t="str">
        <f t="shared" si="203"/>
        <v/>
      </c>
      <c r="R406" s="17" t="str">
        <f t="shared" si="204"/>
        <v/>
      </c>
      <c r="S406" s="235" t="str">
        <f t="shared" si="209"/>
        <v>Formule bijwerken voor T6</v>
      </c>
      <c r="T406" s="17" t="str">
        <f t="shared" si="205"/>
        <v/>
      </c>
      <c r="U406" s="85" t="str">
        <f t="shared" si="206"/>
        <v>Formule bijwerken voor  T6</v>
      </c>
      <c r="V406" s="17" t="str">
        <f t="shared" si="207"/>
        <v/>
      </c>
      <c r="W406" s="17" t="str">
        <f t="shared" si="190"/>
        <v/>
      </c>
      <c r="X406" s="17" t="str">
        <f t="shared" si="208"/>
        <v/>
      </c>
      <c r="Y406" s="85" t="str">
        <f t="shared" si="191"/>
        <v/>
      </c>
      <c r="Z406" s="17" t="str">
        <f t="shared" si="192"/>
        <v/>
      </c>
      <c r="AA406" s="17" t="str">
        <f t="shared" si="193"/>
        <v/>
      </c>
      <c r="AB406" s="17" t="str">
        <f t="shared" si="194"/>
        <v/>
      </c>
      <c r="AC406" s="17" t="str">
        <f>IF(O406="","",P406&amp;","&amp;AB$287-Variabelen!B$43)</f>
        <v/>
      </c>
      <c r="AD406" s="17"/>
      <c r="AE406" s="17"/>
      <c r="AF406" s="17"/>
      <c r="AG406" s="17"/>
      <c r="AH406" s="17"/>
      <c r="AI406" s="17" t="str">
        <f>IF(O406="","",P406-Variabelen!B$36&amp;","&amp;AB$287-Variabelen!B$43+Variabelen!B$36)</f>
        <v/>
      </c>
      <c r="AJ406" s="154" t="str">
        <f t="shared" si="195"/>
        <v/>
      </c>
      <c r="AK406" s="17"/>
      <c r="AL406" s="17"/>
      <c r="AM406" s="17"/>
      <c r="AN406" s="17"/>
      <c r="AO406" s="17"/>
      <c r="AP406" s="17" t="str">
        <f>IF(O406="","",P406-Variabelen!B$36&amp;","&amp;AB$287-Variabelen!B$42+Variabelen!B$36)</f>
        <v/>
      </c>
      <c r="AQ406" s="154" t="str">
        <f t="shared" si="196"/>
        <v/>
      </c>
      <c r="AR406" s="17"/>
      <c r="AS406" s="17"/>
      <c r="AT406" s="17"/>
      <c r="AU406" s="17"/>
      <c r="AV406" s="17" t="str">
        <f t="shared" si="197"/>
        <v/>
      </c>
      <c r="AW406" s="17" t="str">
        <f>IF(O406="","",P406-Variabelen!B$36&amp;","&amp;AB$287-Variabelen!B$41+Variabelen!B$36)</f>
        <v/>
      </c>
      <c r="AX406" s="17"/>
      <c r="AY406" s="17"/>
      <c r="AZ406" s="154" t="str">
        <f t="shared" si="198"/>
        <v/>
      </c>
      <c r="BA406" s="17"/>
      <c r="BB406" s="17"/>
      <c r="BC406" s="17"/>
      <c r="BD406" s="17"/>
      <c r="BE406" s="17" t="str">
        <f t="shared" si="199"/>
        <v/>
      </c>
      <c r="BF406" s="17" t="str">
        <f>IF(O406="","",P406-Variabelen!B$36&amp;","&amp;AB$287-Variabelen!B$40+Variabelen!B$36)</f>
        <v/>
      </c>
      <c r="BG406" s="17"/>
      <c r="BH406" s="17"/>
      <c r="BI406" s="154" t="str">
        <f t="shared" si="200"/>
        <v/>
      </c>
      <c r="BJ406" s="17"/>
    </row>
    <row r="407" spans="1:62" x14ac:dyDescent="0.25">
      <c r="A407" s="85">
        <f t="shared" si="170"/>
        <v>117</v>
      </c>
      <c r="B407" s="296">
        <f t="shared" si="171"/>
        <v>103941.91206693843</v>
      </c>
      <c r="C407" s="296">
        <f t="shared" si="172"/>
        <v>489277.00726921594</v>
      </c>
      <c r="D407" s="85">
        <f t="shared" si="189"/>
        <v>1</v>
      </c>
      <c r="E407" s="17">
        <f t="shared" si="173"/>
        <v>0.38768131207325496</v>
      </c>
      <c r="F407" s="17">
        <f t="shared" si="174"/>
        <v>-0.10805969178909436</v>
      </c>
      <c r="G407" s="17" t="str">
        <f t="shared" si="175"/>
        <v>103941.912066938,489277.007269216</v>
      </c>
      <c r="H407" s="16">
        <v>117</v>
      </c>
      <c r="I407" s="16">
        <f t="shared" si="176"/>
        <v>117</v>
      </c>
      <c r="J407" s="209">
        <f t="shared" si="177"/>
        <v>0.40245955911171322</v>
      </c>
      <c r="K407" s="209">
        <f t="shared" si="178"/>
        <v>46.685308857038265</v>
      </c>
      <c r="L407" s="692">
        <v>1.189334988594055</v>
      </c>
      <c r="M407" s="17" t="str">
        <f t="shared" si="179"/>
        <v>46.6853088570383,1.18933498859405</v>
      </c>
      <c r="O407" s="85" t="str">
        <f t="shared" si="201"/>
        <v/>
      </c>
      <c r="P407" s="85" t="str">
        <f t="shared" si="202"/>
        <v>Formule bijwerken voor T6</v>
      </c>
      <c r="Q407" s="233" t="str">
        <f t="shared" si="203"/>
        <v/>
      </c>
      <c r="R407" s="17" t="str">
        <f t="shared" si="204"/>
        <v/>
      </c>
      <c r="S407" s="235" t="str">
        <f t="shared" si="209"/>
        <v>Formule bijwerken voor T6</v>
      </c>
      <c r="T407" s="17" t="str">
        <f t="shared" si="205"/>
        <v/>
      </c>
      <c r="U407" s="85" t="str">
        <f t="shared" si="206"/>
        <v>Formule bijwerken voor  T6</v>
      </c>
      <c r="V407" s="17" t="str">
        <f t="shared" si="207"/>
        <v/>
      </c>
      <c r="W407" s="17" t="str">
        <f t="shared" si="190"/>
        <v/>
      </c>
      <c r="X407" s="17" t="str">
        <f t="shared" si="208"/>
        <v/>
      </c>
      <c r="Y407" s="85" t="str">
        <f t="shared" si="191"/>
        <v/>
      </c>
      <c r="Z407" s="17" t="str">
        <f t="shared" si="192"/>
        <v/>
      </c>
      <c r="AA407" s="17" t="str">
        <f t="shared" si="193"/>
        <v/>
      </c>
      <c r="AB407" s="17" t="str">
        <f t="shared" si="194"/>
        <v/>
      </c>
      <c r="AC407" s="17" t="str">
        <f>IF(O407="","",P407&amp;","&amp;AB$287-Variabelen!B$43)</f>
        <v/>
      </c>
      <c r="AD407" s="17"/>
      <c r="AE407" s="17"/>
      <c r="AF407" s="17"/>
      <c r="AG407" s="17"/>
      <c r="AH407" s="17"/>
      <c r="AI407" s="17" t="str">
        <f>IF(O407="","",P407-Variabelen!B$36&amp;","&amp;AB$287-Variabelen!B$43+Variabelen!B$36)</f>
        <v/>
      </c>
      <c r="AJ407" s="154" t="str">
        <f t="shared" si="195"/>
        <v/>
      </c>
      <c r="AK407" s="17"/>
      <c r="AL407" s="17"/>
      <c r="AM407" s="17"/>
      <c r="AN407" s="17"/>
      <c r="AO407" s="17"/>
      <c r="AP407" s="17" t="str">
        <f>IF(O407="","",P407-Variabelen!B$36&amp;","&amp;AB$287-Variabelen!B$42+Variabelen!B$36)</f>
        <v/>
      </c>
      <c r="AQ407" s="154" t="str">
        <f t="shared" si="196"/>
        <v/>
      </c>
      <c r="AR407" s="17"/>
      <c r="AS407" s="17"/>
      <c r="AT407" s="17"/>
      <c r="AU407" s="17"/>
      <c r="AV407" s="17" t="str">
        <f t="shared" si="197"/>
        <v/>
      </c>
      <c r="AW407" s="17" t="str">
        <f>IF(O407="","",P407-Variabelen!B$36&amp;","&amp;AB$287-Variabelen!B$41+Variabelen!B$36)</f>
        <v/>
      </c>
      <c r="AX407" s="17"/>
      <c r="AY407" s="17"/>
      <c r="AZ407" s="154" t="str">
        <f t="shared" si="198"/>
        <v/>
      </c>
      <c r="BA407" s="17"/>
      <c r="BB407" s="17"/>
      <c r="BC407" s="17"/>
      <c r="BD407" s="17"/>
      <c r="BE407" s="17" t="str">
        <f t="shared" si="199"/>
        <v/>
      </c>
      <c r="BF407" s="17" t="str">
        <f>IF(O407="","",P407-Variabelen!B$36&amp;","&amp;AB$287-Variabelen!B$40+Variabelen!B$36)</f>
        <v/>
      </c>
      <c r="BG407" s="17"/>
      <c r="BH407" s="17"/>
      <c r="BI407" s="154" t="str">
        <f t="shared" si="200"/>
        <v/>
      </c>
      <c r="BJ407" s="17"/>
    </row>
    <row r="408" spans="1:62" x14ac:dyDescent="0.25">
      <c r="A408" s="85">
        <f t="shared" si="170"/>
        <v>118</v>
      </c>
      <c r="B408" s="296">
        <f t="shared" si="171"/>
        <v>103942.29974825049</v>
      </c>
      <c r="C408" s="296">
        <f t="shared" si="172"/>
        <v>489276.89920952416</v>
      </c>
      <c r="D408" s="85">
        <f t="shared" si="189"/>
        <v>1</v>
      </c>
      <c r="E408" s="17">
        <f t="shared" si="173"/>
        <v>0.38768131205870304</v>
      </c>
      <c r="F408" s="17">
        <f t="shared" si="174"/>
        <v>-0.10805969178909436</v>
      </c>
      <c r="G408" s="17" t="str">
        <f t="shared" si="175"/>
        <v>103942.29974825,489276.899209524</v>
      </c>
      <c r="H408" s="16">
        <v>118</v>
      </c>
      <c r="I408" s="16">
        <f t="shared" si="176"/>
        <v>118</v>
      </c>
      <c r="J408" s="209">
        <f t="shared" si="177"/>
        <v>0.4024595590976956</v>
      </c>
      <c r="K408" s="209">
        <f t="shared" si="178"/>
        <v>47.087768416135958</v>
      </c>
      <c r="L408" s="692">
        <v>1.1949359178543091</v>
      </c>
      <c r="M408" s="17" t="str">
        <f t="shared" si="179"/>
        <v>47.087768416136,1.19493591785431</v>
      </c>
      <c r="O408" s="85" t="str">
        <f t="shared" si="201"/>
        <v/>
      </c>
      <c r="P408" s="85" t="str">
        <f t="shared" si="202"/>
        <v>Formule bijwerken voor T6</v>
      </c>
      <c r="Q408" s="233" t="str">
        <f t="shared" si="203"/>
        <v/>
      </c>
      <c r="R408" s="17" t="str">
        <f t="shared" si="204"/>
        <v/>
      </c>
      <c r="S408" s="235" t="str">
        <f t="shared" si="209"/>
        <v>Formule bijwerken voor T6</v>
      </c>
      <c r="T408" s="17" t="str">
        <f t="shared" si="205"/>
        <v/>
      </c>
      <c r="U408" s="85" t="str">
        <f t="shared" si="206"/>
        <v>Formule bijwerken voor  T6</v>
      </c>
      <c r="V408" s="17" t="str">
        <f t="shared" si="207"/>
        <v/>
      </c>
      <c r="W408" s="17" t="str">
        <f t="shared" si="190"/>
        <v/>
      </c>
      <c r="X408" s="17" t="str">
        <f t="shared" si="208"/>
        <v/>
      </c>
      <c r="Y408" s="85" t="str">
        <f t="shared" si="191"/>
        <v/>
      </c>
      <c r="Z408" s="17" t="str">
        <f t="shared" si="192"/>
        <v/>
      </c>
      <c r="AA408" s="17" t="str">
        <f t="shared" si="193"/>
        <v/>
      </c>
      <c r="AB408" s="17" t="str">
        <f t="shared" si="194"/>
        <v/>
      </c>
      <c r="AC408" s="17" t="str">
        <f>IF(O408="","",P408&amp;","&amp;AB$287-Variabelen!B$43)</f>
        <v/>
      </c>
      <c r="AD408" s="17"/>
      <c r="AE408" s="17"/>
      <c r="AF408" s="17"/>
      <c r="AG408" s="17"/>
      <c r="AH408" s="17"/>
      <c r="AI408" s="17" t="str">
        <f>IF(O408="","",P408-Variabelen!B$36&amp;","&amp;AB$287-Variabelen!B$43+Variabelen!B$36)</f>
        <v/>
      </c>
      <c r="AJ408" s="154" t="str">
        <f t="shared" si="195"/>
        <v/>
      </c>
      <c r="AK408" s="17"/>
      <c r="AL408" s="17"/>
      <c r="AM408" s="17"/>
      <c r="AN408" s="17"/>
      <c r="AO408" s="17"/>
      <c r="AP408" s="17" t="str">
        <f>IF(O408="","",P408-Variabelen!B$36&amp;","&amp;AB$287-Variabelen!B$42+Variabelen!B$36)</f>
        <v/>
      </c>
      <c r="AQ408" s="154" t="str">
        <f t="shared" si="196"/>
        <v/>
      </c>
      <c r="AR408" s="17"/>
      <c r="AS408" s="17"/>
      <c r="AT408" s="17"/>
      <c r="AU408" s="17"/>
      <c r="AV408" s="17" t="str">
        <f t="shared" si="197"/>
        <v/>
      </c>
      <c r="AW408" s="17" t="str">
        <f>IF(O408="","",P408-Variabelen!B$36&amp;","&amp;AB$287-Variabelen!B$41+Variabelen!B$36)</f>
        <v/>
      </c>
      <c r="AX408" s="17"/>
      <c r="AY408" s="17"/>
      <c r="AZ408" s="154" t="str">
        <f t="shared" si="198"/>
        <v/>
      </c>
      <c r="BA408" s="17"/>
      <c r="BB408" s="17"/>
      <c r="BC408" s="17"/>
      <c r="BD408" s="17"/>
      <c r="BE408" s="17" t="str">
        <f t="shared" si="199"/>
        <v/>
      </c>
      <c r="BF408" s="17" t="str">
        <f>IF(O408="","",P408-Variabelen!B$36&amp;","&amp;AB$287-Variabelen!B$40+Variabelen!B$36)</f>
        <v/>
      </c>
      <c r="BG408" s="17"/>
      <c r="BH408" s="17"/>
      <c r="BI408" s="154" t="str">
        <f t="shared" si="200"/>
        <v/>
      </c>
      <c r="BJ408" s="17"/>
    </row>
    <row r="409" spans="1:62" x14ac:dyDescent="0.25">
      <c r="A409" s="85">
        <f t="shared" si="170"/>
        <v>119</v>
      </c>
      <c r="B409" s="296">
        <f t="shared" si="171"/>
        <v>103942.68742956256</v>
      </c>
      <c r="C409" s="296">
        <f t="shared" si="172"/>
        <v>489276.79114983231</v>
      </c>
      <c r="D409" s="85">
        <f t="shared" si="189"/>
        <v>1</v>
      </c>
      <c r="E409" s="17">
        <f t="shared" si="173"/>
        <v>0.38768131207325496</v>
      </c>
      <c r="F409" s="17">
        <f t="shared" si="174"/>
        <v>-0.10805969184730202</v>
      </c>
      <c r="G409" s="17" t="str">
        <f t="shared" si="175"/>
        <v>103942.687429563,489276.791149832</v>
      </c>
      <c r="H409" s="16">
        <v>119</v>
      </c>
      <c r="I409" s="16">
        <f t="shared" si="176"/>
        <v>119</v>
      </c>
      <c r="J409" s="209">
        <f t="shared" si="177"/>
        <v>0.40245955912734188</v>
      </c>
      <c r="K409" s="209">
        <f t="shared" si="178"/>
        <v>47.490227975263302</v>
      </c>
      <c r="L409" s="692">
        <v>1.192815780639648</v>
      </c>
      <c r="M409" s="17" t="str">
        <f t="shared" si="179"/>
        <v>47.4902279752633,1.19281578063965</v>
      </c>
      <c r="O409" s="85" t="str">
        <f t="shared" si="201"/>
        <v/>
      </c>
      <c r="P409" s="85" t="str">
        <f t="shared" si="202"/>
        <v>Formule bijwerken voor T6</v>
      </c>
      <c r="Q409" s="233" t="str">
        <f t="shared" si="203"/>
        <v/>
      </c>
      <c r="R409" s="17" t="str">
        <f t="shared" si="204"/>
        <v/>
      </c>
      <c r="S409" s="235" t="str">
        <f t="shared" si="209"/>
        <v>Formule bijwerken voor T6</v>
      </c>
      <c r="T409" s="17" t="str">
        <f t="shared" si="205"/>
        <v/>
      </c>
      <c r="U409" s="85" t="str">
        <f t="shared" si="206"/>
        <v>Formule bijwerken voor  T6</v>
      </c>
      <c r="V409" s="17" t="str">
        <f t="shared" si="207"/>
        <v/>
      </c>
      <c r="W409" s="17" t="str">
        <f t="shared" si="190"/>
        <v/>
      </c>
      <c r="X409" s="17" t="str">
        <f t="shared" si="208"/>
        <v/>
      </c>
      <c r="Y409" s="85" t="str">
        <f t="shared" si="191"/>
        <v/>
      </c>
      <c r="Z409" s="17" t="str">
        <f t="shared" si="192"/>
        <v/>
      </c>
      <c r="AA409" s="17" t="str">
        <f t="shared" si="193"/>
        <v/>
      </c>
      <c r="AB409" s="17" t="str">
        <f t="shared" si="194"/>
        <v/>
      </c>
      <c r="AC409" s="17" t="str">
        <f>IF(O409="","",P409&amp;","&amp;AB$287-Variabelen!B$43)</f>
        <v/>
      </c>
      <c r="AD409" s="17"/>
      <c r="AE409" s="17"/>
      <c r="AF409" s="17"/>
      <c r="AG409" s="17"/>
      <c r="AH409" s="17"/>
      <c r="AI409" s="17" t="str">
        <f>IF(O409="","",P409-Variabelen!B$36&amp;","&amp;AB$287-Variabelen!B$43+Variabelen!B$36)</f>
        <v/>
      </c>
      <c r="AJ409" s="154" t="str">
        <f t="shared" si="195"/>
        <v/>
      </c>
      <c r="AK409" s="17"/>
      <c r="AL409" s="17"/>
      <c r="AM409" s="17"/>
      <c r="AN409" s="17"/>
      <c r="AO409" s="17"/>
      <c r="AP409" s="17" t="str">
        <f>IF(O409="","",P409-Variabelen!B$36&amp;","&amp;AB$287-Variabelen!B$42+Variabelen!B$36)</f>
        <v/>
      </c>
      <c r="AQ409" s="154" t="str">
        <f t="shared" si="196"/>
        <v/>
      </c>
      <c r="AR409" s="17"/>
      <c r="AS409" s="17"/>
      <c r="AT409" s="17"/>
      <c r="AU409" s="17"/>
      <c r="AV409" s="17" t="str">
        <f t="shared" si="197"/>
        <v/>
      </c>
      <c r="AW409" s="17" t="str">
        <f>IF(O409="","",P409-Variabelen!B$36&amp;","&amp;AB$287-Variabelen!B$41+Variabelen!B$36)</f>
        <v/>
      </c>
      <c r="AX409" s="17"/>
      <c r="AY409" s="17"/>
      <c r="AZ409" s="154" t="str">
        <f t="shared" si="198"/>
        <v/>
      </c>
      <c r="BA409" s="17"/>
      <c r="BB409" s="17"/>
      <c r="BC409" s="17"/>
      <c r="BD409" s="17"/>
      <c r="BE409" s="17" t="str">
        <f t="shared" si="199"/>
        <v/>
      </c>
      <c r="BF409" s="17" t="str">
        <f>IF(O409="","",P409-Variabelen!B$36&amp;","&amp;AB$287-Variabelen!B$40+Variabelen!B$36)</f>
        <v/>
      </c>
      <c r="BG409" s="17"/>
      <c r="BH409" s="17"/>
      <c r="BI409" s="154" t="str">
        <f t="shared" si="200"/>
        <v/>
      </c>
      <c r="BJ409" s="17"/>
    </row>
    <row r="410" spans="1:62" x14ac:dyDescent="0.25">
      <c r="A410" s="85">
        <f t="shared" si="170"/>
        <v>120</v>
      </c>
      <c r="B410" s="296">
        <f t="shared" si="171"/>
        <v>103943.07511087463</v>
      </c>
      <c r="C410" s="296">
        <f t="shared" si="172"/>
        <v>489276.68309014052</v>
      </c>
      <c r="D410" s="85">
        <f t="shared" si="189"/>
        <v>1</v>
      </c>
      <c r="E410" s="17">
        <f t="shared" si="173"/>
        <v>0.38768131207325496</v>
      </c>
      <c r="F410" s="17">
        <f t="shared" si="174"/>
        <v>-0.10805969178909436</v>
      </c>
      <c r="G410" s="17" t="str">
        <f t="shared" si="175"/>
        <v>103943.075110875,489276.683090141</v>
      </c>
      <c r="H410" s="16">
        <v>120</v>
      </c>
      <c r="I410" s="16">
        <f t="shared" si="176"/>
        <v>120</v>
      </c>
      <c r="J410" s="209">
        <f t="shared" si="177"/>
        <v>0.40245955911171322</v>
      </c>
      <c r="K410" s="209">
        <f t="shared" si="178"/>
        <v>47.892687534375014</v>
      </c>
      <c r="L410" s="692">
        <v>1.192806720733643</v>
      </c>
      <c r="M410" s="17" t="str">
        <f t="shared" si="179"/>
        <v>47.892687534375,1.19280672073364</v>
      </c>
      <c r="O410" s="85" t="str">
        <f t="shared" si="201"/>
        <v/>
      </c>
      <c r="P410" s="85" t="str">
        <f t="shared" si="202"/>
        <v>Formule bijwerken voor T6</v>
      </c>
      <c r="Q410" s="233" t="str">
        <f t="shared" si="203"/>
        <v/>
      </c>
      <c r="R410" s="17" t="str">
        <f t="shared" si="204"/>
        <v/>
      </c>
      <c r="S410" s="235" t="str">
        <f t="shared" si="209"/>
        <v>Formule bijwerken voor T6</v>
      </c>
      <c r="T410" s="17" t="str">
        <f t="shared" si="205"/>
        <v/>
      </c>
      <c r="U410" s="85" t="str">
        <f t="shared" si="206"/>
        <v>Formule bijwerken voor  T6</v>
      </c>
      <c r="V410" s="17" t="str">
        <f t="shared" si="207"/>
        <v/>
      </c>
      <c r="W410" s="17" t="str">
        <f t="shared" si="190"/>
        <v/>
      </c>
      <c r="X410" s="17" t="str">
        <f t="shared" si="208"/>
        <v/>
      </c>
      <c r="Y410" s="85" t="str">
        <f t="shared" si="191"/>
        <v/>
      </c>
      <c r="Z410" s="17" t="str">
        <f t="shared" si="192"/>
        <v/>
      </c>
      <c r="AA410" s="17" t="str">
        <f t="shared" si="193"/>
        <v/>
      </c>
      <c r="AB410" s="17" t="str">
        <f t="shared" si="194"/>
        <v/>
      </c>
      <c r="AC410" s="17" t="str">
        <f>IF(O410="","",P410&amp;","&amp;AB$287-Variabelen!B$43)</f>
        <v/>
      </c>
      <c r="AD410" s="17"/>
      <c r="AE410" s="17"/>
      <c r="AF410" s="17"/>
      <c r="AG410" s="17"/>
      <c r="AH410" s="17"/>
      <c r="AI410" s="17" t="str">
        <f>IF(O410="","",P410-Variabelen!B$36&amp;","&amp;AB$287-Variabelen!B$43+Variabelen!B$36)</f>
        <v/>
      </c>
      <c r="AJ410" s="154" t="str">
        <f t="shared" si="195"/>
        <v/>
      </c>
      <c r="AK410" s="17"/>
      <c r="AL410" s="17"/>
      <c r="AM410" s="17"/>
      <c r="AN410" s="17"/>
      <c r="AO410" s="17"/>
      <c r="AP410" s="17" t="str">
        <f>IF(O410="","",P410-Variabelen!B$36&amp;","&amp;AB$287-Variabelen!B$42+Variabelen!B$36)</f>
        <v/>
      </c>
      <c r="AQ410" s="154" t="str">
        <f t="shared" si="196"/>
        <v/>
      </c>
      <c r="AR410" s="17"/>
      <c r="AS410" s="17"/>
      <c r="AT410" s="17"/>
      <c r="AU410" s="17"/>
      <c r="AV410" s="17" t="str">
        <f t="shared" si="197"/>
        <v/>
      </c>
      <c r="AW410" s="17" t="str">
        <f>IF(O410="","",P410-Variabelen!B$36&amp;","&amp;AB$287-Variabelen!B$41+Variabelen!B$36)</f>
        <v/>
      </c>
      <c r="AX410" s="17"/>
      <c r="AY410" s="17"/>
      <c r="AZ410" s="154" t="str">
        <f t="shared" si="198"/>
        <v/>
      </c>
      <c r="BA410" s="17"/>
      <c r="BB410" s="17"/>
      <c r="BC410" s="17"/>
      <c r="BD410" s="17"/>
      <c r="BE410" s="17" t="str">
        <f t="shared" si="199"/>
        <v/>
      </c>
      <c r="BF410" s="17" t="str">
        <f>IF(O410="","",P410-Variabelen!B$36&amp;","&amp;AB$287-Variabelen!B$40+Variabelen!B$36)</f>
        <v/>
      </c>
      <c r="BG410" s="17"/>
      <c r="BH410" s="17"/>
      <c r="BI410" s="154" t="str">
        <f t="shared" si="200"/>
        <v/>
      </c>
      <c r="BJ410" s="17"/>
    </row>
    <row r="411" spans="1:62" x14ac:dyDescent="0.25">
      <c r="A411" s="85">
        <f t="shared" si="170"/>
        <v>121</v>
      </c>
      <c r="B411" s="296">
        <f t="shared" si="171"/>
        <v>103943.46279218671</v>
      </c>
      <c r="C411" s="296">
        <f t="shared" si="172"/>
        <v>489276.57503044873</v>
      </c>
      <c r="D411" s="85">
        <f t="shared" si="189"/>
        <v>1</v>
      </c>
      <c r="E411" s="17">
        <f t="shared" si="173"/>
        <v>0.38768131207325496</v>
      </c>
      <c r="F411" s="17">
        <f t="shared" si="174"/>
        <v>-0.10805969178909436</v>
      </c>
      <c r="G411" s="17" t="str">
        <f t="shared" si="175"/>
        <v>103943.462792187,489276.575030449</v>
      </c>
      <c r="H411" s="16">
        <v>121</v>
      </c>
      <c r="I411" s="16">
        <f t="shared" si="176"/>
        <v>121</v>
      </c>
      <c r="J411" s="209">
        <f t="shared" si="177"/>
        <v>0.40245955911171322</v>
      </c>
      <c r="K411" s="209">
        <f t="shared" si="178"/>
        <v>48.295147093486726</v>
      </c>
      <c r="L411" s="692">
        <v>1.2175296545028691</v>
      </c>
      <c r="M411" s="17" t="str">
        <f t="shared" si="179"/>
        <v>48.2951470934867,1.21752965450287</v>
      </c>
      <c r="O411" s="85" t="str">
        <f t="shared" si="201"/>
        <v/>
      </c>
      <c r="P411" s="85" t="str">
        <f t="shared" si="202"/>
        <v>Formule bijwerken voor T6</v>
      </c>
      <c r="Q411" s="233" t="str">
        <f t="shared" si="203"/>
        <v/>
      </c>
      <c r="R411" s="17" t="str">
        <f t="shared" si="204"/>
        <v/>
      </c>
      <c r="S411" s="235" t="str">
        <f t="shared" si="209"/>
        <v>Formule bijwerken voor T6</v>
      </c>
      <c r="T411" s="17" t="str">
        <f t="shared" si="205"/>
        <v/>
      </c>
      <c r="U411" s="85" t="str">
        <f t="shared" si="206"/>
        <v>Formule bijwerken voor  T6</v>
      </c>
      <c r="V411" s="17" t="str">
        <f t="shared" si="207"/>
        <v/>
      </c>
      <c r="W411" s="17" t="str">
        <f t="shared" si="190"/>
        <v/>
      </c>
      <c r="X411" s="17" t="str">
        <f t="shared" si="208"/>
        <v/>
      </c>
      <c r="Y411" s="85" t="str">
        <f t="shared" si="191"/>
        <v/>
      </c>
      <c r="Z411" s="17" t="str">
        <f t="shared" si="192"/>
        <v/>
      </c>
      <c r="AA411" s="17" t="str">
        <f t="shared" si="193"/>
        <v/>
      </c>
      <c r="AB411" s="17" t="str">
        <f t="shared" si="194"/>
        <v/>
      </c>
      <c r="AC411" s="17" t="str">
        <f>IF(O411="","",P411&amp;","&amp;AB$287-Variabelen!B$43)</f>
        <v/>
      </c>
      <c r="AD411" s="17"/>
      <c r="AE411" s="17"/>
      <c r="AF411" s="17"/>
      <c r="AG411" s="17"/>
      <c r="AH411" s="17"/>
      <c r="AI411" s="17" t="str">
        <f>IF(O411="","",P411-Variabelen!B$36&amp;","&amp;AB$287-Variabelen!B$43+Variabelen!B$36)</f>
        <v/>
      </c>
      <c r="AJ411" s="154" t="str">
        <f t="shared" si="195"/>
        <v/>
      </c>
      <c r="AK411" s="17"/>
      <c r="AL411" s="17"/>
      <c r="AM411" s="17"/>
      <c r="AN411" s="17"/>
      <c r="AO411" s="17"/>
      <c r="AP411" s="17" t="str">
        <f>IF(O411="","",P411-Variabelen!B$36&amp;","&amp;AB$287-Variabelen!B$42+Variabelen!B$36)</f>
        <v/>
      </c>
      <c r="AQ411" s="154" t="str">
        <f t="shared" si="196"/>
        <v/>
      </c>
      <c r="AR411" s="17"/>
      <c r="AS411" s="17"/>
      <c r="AT411" s="17"/>
      <c r="AU411" s="17"/>
      <c r="AV411" s="17" t="str">
        <f t="shared" si="197"/>
        <v/>
      </c>
      <c r="AW411" s="17" t="str">
        <f>IF(O411="","",P411-Variabelen!B$36&amp;","&amp;AB$287-Variabelen!B$41+Variabelen!B$36)</f>
        <v/>
      </c>
      <c r="AX411" s="17"/>
      <c r="AY411" s="17"/>
      <c r="AZ411" s="154" t="str">
        <f t="shared" si="198"/>
        <v/>
      </c>
      <c r="BA411" s="17"/>
      <c r="BB411" s="17"/>
      <c r="BC411" s="17"/>
      <c r="BD411" s="17"/>
      <c r="BE411" s="17" t="str">
        <f t="shared" si="199"/>
        <v/>
      </c>
      <c r="BF411" s="17" t="str">
        <f>IF(O411="","",P411-Variabelen!B$36&amp;","&amp;AB$287-Variabelen!B$40+Variabelen!B$36)</f>
        <v/>
      </c>
      <c r="BG411" s="17"/>
      <c r="BH411" s="17"/>
      <c r="BI411" s="154" t="str">
        <f t="shared" si="200"/>
        <v/>
      </c>
      <c r="BJ411" s="17"/>
    </row>
    <row r="412" spans="1:62" x14ac:dyDescent="0.25">
      <c r="A412" s="85">
        <f t="shared" si="170"/>
        <v>122</v>
      </c>
      <c r="B412" s="296">
        <f t="shared" si="171"/>
        <v>103943.85047349877</v>
      </c>
      <c r="C412" s="296">
        <f t="shared" si="172"/>
        <v>489276.46697075688</v>
      </c>
      <c r="D412" s="85">
        <f t="shared" si="189"/>
        <v>1</v>
      </c>
      <c r="E412" s="17">
        <f t="shared" si="173"/>
        <v>0.38768131205870304</v>
      </c>
      <c r="F412" s="17">
        <f t="shared" si="174"/>
        <v>-0.10805969184730202</v>
      </c>
      <c r="G412" s="17" t="str">
        <f t="shared" si="175"/>
        <v>103943.850473499,489276.466970757</v>
      </c>
      <c r="H412" s="16">
        <v>122</v>
      </c>
      <c r="I412" s="16">
        <f t="shared" si="176"/>
        <v>122</v>
      </c>
      <c r="J412" s="209">
        <f t="shared" si="177"/>
        <v>0.40245955911332426</v>
      </c>
      <c r="K412" s="209">
        <f t="shared" si="178"/>
        <v>48.697606652600051</v>
      </c>
      <c r="L412" s="692">
        <v>1.214713573455811</v>
      </c>
      <c r="M412" s="17" t="str">
        <f t="shared" si="179"/>
        <v>48.6976066526001,1.21471357345581</v>
      </c>
      <c r="O412" s="85" t="str">
        <f t="shared" si="201"/>
        <v/>
      </c>
      <c r="P412" s="85" t="str">
        <f t="shared" si="202"/>
        <v>Formule bijwerken voor T6</v>
      </c>
      <c r="Q412" s="233" t="str">
        <f t="shared" si="203"/>
        <v/>
      </c>
      <c r="R412" s="17" t="str">
        <f t="shared" si="204"/>
        <v/>
      </c>
      <c r="S412" s="235" t="str">
        <f t="shared" si="209"/>
        <v>Formule bijwerken voor T6</v>
      </c>
      <c r="T412" s="17" t="str">
        <f t="shared" si="205"/>
        <v/>
      </c>
      <c r="U412" s="85" t="str">
        <f t="shared" si="206"/>
        <v>Formule bijwerken voor  T6</v>
      </c>
      <c r="V412" s="17" t="str">
        <f t="shared" si="207"/>
        <v/>
      </c>
      <c r="W412" s="17" t="str">
        <f t="shared" si="190"/>
        <v/>
      </c>
      <c r="X412" s="17" t="str">
        <f t="shared" si="208"/>
        <v/>
      </c>
      <c r="Y412" s="85" t="str">
        <f t="shared" si="191"/>
        <v/>
      </c>
      <c r="Z412" s="17" t="str">
        <f t="shared" si="192"/>
        <v/>
      </c>
      <c r="AA412" s="17" t="str">
        <f t="shared" si="193"/>
        <v/>
      </c>
      <c r="AB412" s="17" t="str">
        <f t="shared" si="194"/>
        <v/>
      </c>
      <c r="AC412" s="17" t="str">
        <f>IF(O412="","",P412&amp;","&amp;AB$287-Variabelen!B$43)</f>
        <v/>
      </c>
      <c r="AD412" s="17"/>
      <c r="AE412" s="17"/>
      <c r="AF412" s="17"/>
      <c r="AG412" s="17"/>
      <c r="AH412" s="17"/>
      <c r="AI412" s="17" t="str">
        <f>IF(O412="","",P412-Variabelen!B$36&amp;","&amp;AB$287-Variabelen!B$43+Variabelen!B$36)</f>
        <v/>
      </c>
      <c r="AJ412" s="154" t="str">
        <f t="shared" si="195"/>
        <v/>
      </c>
      <c r="AK412" s="17"/>
      <c r="AL412" s="17"/>
      <c r="AM412" s="17"/>
      <c r="AN412" s="17"/>
      <c r="AO412" s="17"/>
      <c r="AP412" s="17" t="str">
        <f>IF(O412="","",P412-Variabelen!B$36&amp;","&amp;AB$287-Variabelen!B$42+Variabelen!B$36)</f>
        <v/>
      </c>
      <c r="AQ412" s="154" t="str">
        <f t="shared" si="196"/>
        <v/>
      </c>
      <c r="AR412" s="17"/>
      <c r="AS412" s="17"/>
      <c r="AT412" s="17"/>
      <c r="AU412" s="17"/>
      <c r="AV412" s="17" t="str">
        <f t="shared" si="197"/>
        <v/>
      </c>
      <c r="AW412" s="17" t="str">
        <f>IF(O412="","",P412-Variabelen!B$36&amp;","&amp;AB$287-Variabelen!B$41+Variabelen!B$36)</f>
        <v/>
      </c>
      <c r="AX412" s="17"/>
      <c r="AY412" s="17"/>
      <c r="AZ412" s="154" t="str">
        <f t="shared" si="198"/>
        <v/>
      </c>
      <c r="BA412" s="17"/>
      <c r="BB412" s="17"/>
      <c r="BC412" s="17"/>
      <c r="BD412" s="17"/>
      <c r="BE412" s="17" t="str">
        <f t="shared" si="199"/>
        <v/>
      </c>
      <c r="BF412" s="17" t="str">
        <f>IF(O412="","",P412-Variabelen!B$36&amp;","&amp;AB$287-Variabelen!B$40+Variabelen!B$36)</f>
        <v/>
      </c>
      <c r="BG412" s="17"/>
      <c r="BH412" s="17"/>
      <c r="BI412" s="154" t="str">
        <f t="shared" si="200"/>
        <v/>
      </c>
      <c r="BJ412" s="17"/>
    </row>
    <row r="413" spans="1:62" x14ac:dyDescent="0.25">
      <c r="A413" s="85">
        <f t="shared" si="170"/>
        <v>123</v>
      </c>
      <c r="B413" s="296">
        <f t="shared" si="171"/>
        <v>103944.23815481084</v>
      </c>
      <c r="C413" s="296">
        <f t="shared" si="172"/>
        <v>489276.35891106509</v>
      </c>
      <c r="D413" s="85">
        <f t="shared" si="189"/>
        <v>1</v>
      </c>
      <c r="E413" s="17">
        <f t="shared" si="173"/>
        <v>0.38768131207325496</v>
      </c>
      <c r="F413" s="17">
        <f t="shared" si="174"/>
        <v>-0.10805969178909436</v>
      </c>
      <c r="G413" s="17" t="str">
        <f t="shared" si="175"/>
        <v>103944.238154811,489276.358911065</v>
      </c>
      <c r="H413" s="16">
        <v>123</v>
      </c>
      <c r="I413" s="16">
        <f t="shared" si="176"/>
        <v>123</v>
      </c>
      <c r="J413" s="209">
        <f t="shared" si="177"/>
        <v>0.40245955911171322</v>
      </c>
      <c r="K413" s="209">
        <f t="shared" si="178"/>
        <v>49.100066211711763</v>
      </c>
      <c r="L413" s="692">
        <v>1.202745318412781</v>
      </c>
      <c r="M413" s="17" t="str">
        <f t="shared" si="179"/>
        <v>49.1000662117118,1.20274531841278</v>
      </c>
      <c r="O413" s="85" t="str">
        <f t="shared" si="201"/>
        <v/>
      </c>
      <c r="P413" s="85" t="str">
        <f t="shared" si="202"/>
        <v>Formule bijwerken voor T6</v>
      </c>
      <c r="Q413" s="233" t="str">
        <f t="shared" si="203"/>
        <v/>
      </c>
      <c r="R413" s="17" t="str">
        <f t="shared" si="204"/>
        <v/>
      </c>
      <c r="S413" s="235" t="str">
        <f t="shared" si="209"/>
        <v>Formule bijwerken voor T6</v>
      </c>
      <c r="T413" s="17" t="str">
        <f t="shared" si="205"/>
        <v/>
      </c>
      <c r="U413" s="85" t="str">
        <f t="shared" si="206"/>
        <v>Formule bijwerken voor  T6</v>
      </c>
      <c r="V413" s="17" t="str">
        <f t="shared" si="207"/>
        <v/>
      </c>
      <c r="W413" s="17" t="str">
        <f t="shared" si="190"/>
        <v/>
      </c>
      <c r="X413" s="17" t="str">
        <f t="shared" si="208"/>
        <v/>
      </c>
      <c r="Y413" s="85" t="str">
        <f t="shared" si="191"/>
        <v/>
      </c>
      <c r="Z413" s="17" t="str">
        <f t="shared" si="192"/>
        <v/>
      </c>
      <c r="AA413" s="17" t="str">
        <f t="shared" si="193"/>
        <v/>
      </c>
      <c r="AB413" s="17" t="str">
        <f t="shared" si="194"/>
        <v/>
      </c>
      <c r="AC413" s="17" t="str">
        <f>IF(O413="","",P413&amp;","&amp;AB$287-Variabelen!B$43)</f>
        <v/>
      </c>
      <c r="AD413" s="17"/>
      <c r="AE413" s="17"/>
      <c r="AF413" s="17"/>
      <c r="AG413" s="17"/>
      <c r="AH413" s="17"/>
      <c r="AI413" s="17" t="str">
        <f>IF(O413="","",P413-Variabelen!B$36&amp;","&amp;AB$287-Variabelen!B$43+Variabelen!B$36)</f>
        <v/>
      </c>
      <c r="AJ413" s="154" t="str">
        <f t="shared" si="195"/>
        <v/>
      </c>
      <c r="AK413" s="17"/>
      <c r="AL413" s="17"/>
      <c r="AM413" s="17"/>
      <c r="AN413" s="17"/>
      <c r="AO413" s="17"/>
      <c r="AP413" s="17" t="str">
        <f>IF(O413="","",P413-Variabelen!B$36&amp;","&amp;AB$287-Variabelen!B$42+Variabelen!B$36)</f>
        <v/>
      </c>
      <c r="AQ413" s="154" t="str">
        <f t="shared" si="196"/>
        <v/>
      </c>
      <c r="AR413" s="17"/>
      <c r="AS413" s="17"/>
      <c r="AT413" s="17"/>
      <c r="AU413" s="17"/>
      <c r="AV413" s="17" t="str">
        <f t="shared" si="197"/>
        <v/>
      </c>
      <c r="AW413" s="17" t="str">
        <f>IF(O413="","",P413-Variabelen!B$36&amp;","&amp;AB$287-Variabelen!B$41+Variabelen!B$36)</f>
        <v/>
      </c>
      <c r="AX413" s="17"/>
      <c r="AY413" s="17"/>
      <c r="AZ413" s="154" t="str">
        <f t="shared" si="198"/>
        <v/>
      </c>
      <c r="BA413" s="17"/>
      <c r="BB413" s="17"/>
      <c r="BC413" s="17"/>
      <c r="BD413" s="17"/>
      <c r="BE413" s="17" t="str">
        <f t="shared" si="199"/>
        <v/>
      </c>
      <c r="BF413" s="17" t="str">
        <f>IF(O413="","",P413-Variabelen!B$36&amp;","&amp;AB$287-Variabelen!B$40+Variabelen!B$36)</f>
        <v/>
      </c>
      <c r="BG413" s="17"/>
      <c r="BH413" s="17"/>
      <c r="BI413" s="154" t="str">
        <f t="shared" si="200"/>
        <v/>
      </c>
      <c r="BJ413" s="17"/>
    </row>
    <row r="414" spans="1:62" x14ac:dyDescent="0.25">
      <c r="A414" s="85">
        <f t="shared" si="170"/>
        <v>124</v>
      </c>
      <c r="B414" s="296">
        <f t="shared" si="171"/>
        <v>103944.62583612291</v>
      </c>
      <c r="C414" s="296">
        <f t="shared" si="172"/>
        <v>489276.2508513733</v>
      </c>
      <c r="D414" s="85">
        <f t="shared" si="189"/>
        <v>1</v>
      </c>
      <c r="E414" s="17">
        <f t="shared" si="173"/>
        <v>0.38768131207325496</v>
      </c>
      <c r="F414" s="17">
        <f t="shared" si="174"/>
        <v>-0.10805969178909436</v>
      </c>
      <c r="G414" s="17" t="str">
        <f t="shared" si="175"/>
        <v>103944.625836123,489276.250851373</v>
      </c>
      <c r="H414" s="16">
        <v>124</v>
      </c>
      <c r="I414" s="16">
        <f t="shared" si="176"/>
        <v>124</v>
      </c>
      <c r="J414" s="209">
        <f t="shared" si="177"/>
        <v>0.40245955911171322</v>
      </c>
      <c r="K414" s="209">
        <f t="shared" si="178"/>
        <v>49.502525770823475</v>
      </c>
      <c r="L414" s="692">
        <v>1.1975241899490361</v>
      </c>
      <c r="M414" s="17" t="str">
        <f t="shared" si="179"/>
        <v>49.5025257708235,1.19752418994904</v>
      </c>
      <c r="O414" s="85" t="str">
        <f t="shared" si="201"/>
        <v/>
      </c>
      <c r="P414" s="85" t="str">
        <f t="shared" si="202"/>
        <v>Formule bijwerken voor T6</v>
      </c>
      <c r="Q414" s="233" t="str">
        <f t="shared" si="203"/>
        <v/>
      </c>
      <c r="R414" s="17" t="str">
        <f t="shared" si="204"/>
        <v/>
      </c>
      <c r="S414" s="235" t="str">
        <f t="shared" si="209"/>
        <v>Formule bijwerken voor T6</v>
      </c>
      <c r="T414" s="17" t="str">
        <f t="shared" si="205"/>
        <v/>
      </c>
      <c r="U414" s="85" t="str">
        <f t="shared" si="206"/>
        <v>Formule bijwerken voor  T6</v>
      </c>
      <c r="V414" s="17" t="str">
        <f t="shared" si="207"/>
        <v/>
      </c>
      <c r="W414" s="17" t="str">
        <f t="shared" si="190"/>
        <v/>
      </c>
      <c r="X414" s="17" t="str">
        <f t="shared" si="208"/>
        <v/>
      </c>
      <c r="Y414" s="85" t="str">
        <f t="shared" si="191"/>
        <v/>
      </c>
      <c r="Z414" s="17" t="str">
        <f t="shared" si="192"/>
        <v/>
      </c>
      <c r="AA414" s="17" t="str">
        <f t="shared" si="193"/>
        <v/>
      </c>
      <c r="AB414" s="17" t="str">
        <f t="shared" si="194"/>
        <v/>
      </c>
      <c r="AC414" s="17" t="str">
        <f>IF(O414="","",P414&amp;","&amp;AB$287-Variabelen!B$43)</f>
        <v/>
      </c>
      <c r="AD414" s="17"/>
      <c r="AE414" s="17"/>
      <c r="AF414" s="17"/>
      <c r="AG414" s="17"/>
      <c r="AH414" s="17"/>
      <c r="AI414" s="17" t="str">
        <f>IF(O414="","",P414-Variabelen!B$36&amp;","&amp;AB$287-Variabelen!B$43+Variabelen!B$36)</f>
        <v/>
      </c>
      <c r="AJ414" s="154" t="str">
        <f t="shared" si="195"/>
        <v/>
      </c>
      <c r="AK414" s="17"/>
      <c r="AL414" s="17"/>
      <c r="AM414" s="17"/>
      <c r="AN414" s="17"/>
      <c r="AO414" s="17"/>
      <c r="AP414" s="17" t="str">
        <f>IF(O414="","",P414-Variabelen!B$36&amp;","&amp;AB$287-Variabelen!B$42+Variabelen!B$36)</f>
        <v/>
      </c>
      <c r="AQ414" s="154" t="str">
        <f t="shared" si="196"/>
        <v/>
      </c>
      <c r="AR414" s="17"/>
      <c r="AS414" s="17"/>
      <c r="AT414" s="17"/>
      <c r="AU414" s="17"/>
      <c r="AV414" s="17" t="str">
        <f t="shared" si="197"/>
        <v/>
      </c>
      <c r="AW414" s="17" t="str">
        <f>IF(O414="","",P414-Variabelen!B$36&amp;","&amp;AB$287-Variabelen!B$41+Variabelen!B$36)</f>
        <v/>
      </c>
      <c r="AX414" s="17"/>
      <c r="AY414" s="17"/>
      <c r="AZ414" s="154" t="str">
        <f t="shared" si="198"/>
        <v/>
      </c>
      <c r="BA414" s="17"/>
      <c r="BB414" s="17"/>
      <c r="BC414" s="17"/>
      <c r="BD414" s="17"/>
      <c r="BE414" s="17" t="str">
        <f t="shared" si="199"/>
        <v/>
      </c>
      <c r="BF414" s="17" t="str">
        <f>IF(O414="","",P414-Variabelen!B$36&amp;","&amp;AB$287-Variabelen!B$40+Variabelen!B$36)</f>
        <v/>
      </c>
      <c r="BG414" s="17"/>
      <c r="BH414" s="17"/>
      <c r="BI414" s="154" t="str">
        <f t="shared" si="200"/>
        <v/>
      </c>
      <c r="BJ414" s="17"/>
    </row>
    <row r="415" spans="1:62" x14ac:dyDescent="0.25">
      <c r="A415" s="85">
        <f t="shared" si="170"/>
        <v>125</v>
      </c>
      <c r="B415" s="296">
        <f t="shared" si="171"/>
        <v>103945.01351743499</v>
      </c>
      <c r="C415" s="296">
        <f t="shared" si="172"/>
        <v>489276.14279168152</v>
      </c>
      <c r="D415" s="85">
        <f t="shared" si="189"/>
        <v>1</v>
      </c>
      <c r="E415" s="17">
        <f t="shared" si="173"/>
        <v>0.38768131207325496</v>
      </c>
      <c r="F415" s="17">
        <f t="shared" si="174"/>
        <v>-0.10805969178909436</v>
      </c>
      <c r="G415" s="17" t="str">
        <f t="shared" si="175"/>
        <v>103945.013517435,489276.142791682</v>
      </c>
      <c r="H415" s="16">
        <v>125</v>
      </c>
      <c r="I415" s="16">
        <f t="shared" si="176"/>
        <v>125</v>
      </c>
      <c r="J415" s="209">
        <f t="shared" si="177"/>
        <v>0.40245955911171322</v>
      </c>
      <c r="K415" s="209">
        <f t="shared" si="178"/>
        <v>49.904985329935187</v>
      </c>
      <c r="L415" s="692">
        <v>1.200793385505676</v>
      </c>
      <c r="M415" s="17" t="str">
        <f t="shared" si="179"/>
        <v>49.9049853299352,1.20079338550568</v>
      </c>
      <c r="O415" s="85" t="str">
        <f t="shared" si="201"/>
        <v/>
      </c>
      <c r="P415" s="85" t="str">
        <f t="shared" si="202"/>
        <v>Formule bijwerken voor T6</v>
      </c>
      <c r="Q415" s="233" t="str">
        <f t="shared" si="203"/>
        <v/>
      </c>
      <c r="R415" s="17" t="str">
        <f t="shared" si="204"/>
        <v/>
      </c>
      <c r="S415" s="235" t="str">
        <f t="shared" si="209"/>
        <v>Formule bijwerken voor T6</v>
      </c>
      <c r="T415" s="17" t="str">
        <f t="shared" si="205"/>
        <v/>
      </c>
      <c r="U415" s="85" t="str">
        <f t="shared" si="206"/>
        <v>Formule bijwerken voor  T6</v>
      </c>
      <c r="V415" s="17" t="str">
        <f t="shared" si="207"/>
        <v/>
      </c>
      <c r="W415" s="17" t="str">
        <f t="shared" si="190"/>
        <v/>
      </c>
      <c r="X415" s="17" t="str">
        <f t="shared" si="208"/>
        <v/>
      </c>
      <c r="Y415" s="85" t="str">
        <f t="shared" si="191"/>
        <v/>
      </c>
      <c r="Z415" s="17" t="str">
        <f t="shared" si="192"/>
        <v/>
      </c>
      <c r="AA415" s="17" t="str">
        <f t="shared" si="193"/>
        <v/>
      </c>
      <c r="AB415" s="17" t="str">
        <f t="shared" si="194"/>
        <v/>
      </c>
      <c r="AC415" s="17" t="str">
        <f>IF(O415="","",P415&amp;","&amp;AB$287-Variabelen!B$43)</f>
        <v/>
      </c>
      <c r="AD415" s="17"/>
      <c r="AE415" s="17"/>
      <c r="AF415" s="17"/>
      <c r="AG415" s="17"/>
      <c r="AH415" s="17"/>
      <c r="AI415" s="17" t="str">
        <f>IF(O415="","",P415-Variabelen!B$36&amp;","&amp;AB$287-Variabelen!B$43+Variabelen!B$36)</f>
        <v/>
      </c>
      <c r="AJ415" s="154" t="str">
        <f t="shared" si="195"/>
        <v/>
      </c>
      <c r="AK415" s="17"/>
      <c r="AL415" s="17"/>
      <c r="AM415" s="17"/>
      <c r="AN415" s="17"/>
      <c r="AO415" s="17"/>
      <c r="AP415" s="17" t="str">
        <f>IF(O415="","",P415-Variabelen!B$36&amp;","&amp;AB$287-Variabelen!B$42+Variabelen!B$36)</f>
        <v/>
      </c>
      <c r="AQ415" s="154" t="str">
        <f t="shared" si="196"/>
        <v/>
      </c>
      <c r="AR415" s="17"/>
      <c r="AS415" s="17"/>
      <c r="AT415" s="17"/>
      <c r="AU415" s="17"/>
      <c r="AV415" s="17" t="str">
        <f t="shared" si="197"/>
        <v/>
      </c>
      <c r="AW415" s="17" t="str">
        <f>IF(O415="","",P415-Variabelen!B$36&amp;","&amp;AB$287-Variabelen!B$41+Variabelen!B$36)</f>
        <v/>
      </c>
      <c r="AX415" s="17"/>
      <c r="AY415" s="17"/>
      <c r="AZ415" s="154" t="str">
        <f t="shared" si="198"/>
        <v/>
      </c>
      <c r="BA415" s="17"/>
      <c r="BB415" s="17"/>
      <c r="BC415" s="17"/>
      <c r="BD415" s="17"/>
      <c r="BE415" s="17" t="str">
        <f t="shared" si="199"/>
        <v/>
      </c>
      <c r="BF415" s="17" t="str">
        <f>IF(O415="","",P415-Variabelen!B$36&amp;","&amp;AB$287-Variabelen!B$40+Variabelen!B$36)</f>
        <v/>
      </c>
      <c r="BG415" s="17"/>
      <c r="BH415" s="17"/>
      <c r="BI415" s="154" t="str">
        <f t="shared" si="200"/>
        <v/>
      </c>
      <c r="BJ415" s="17"/>
    </row>
    <row r="416" spans="1:62" x14ac:dyDescent="0.25">
      <c r="A416" s="85">
        <f t="shared" si="170"/>
        <v>126</v>
      </c>
      <c r="B416" s="296">
        <f t="shared" si="171"/>
        <v>103945.40119874704</v>
      </c>
      <c r="C416" s="296">
        <f t="shared" si="172"/>
        <v>489276.03473198967</v>
      </c>
      <c r="D416" s="85">
        <f t="shared" si="189"/>
        <v>1</v>
      </c>
      <c r="E416" s="17">
        <f t="shared" si="173"/>
        <v>0.38768131205870304</v>
      </c>
      <c r="F416" s="17">
        <f t="shared" si="174"/>
        <v>-0.10805969184730202</v>
      </c>
      <c r="G416" s="17" t="str">
        <f t="shared" si="175"/>
        <v>103945.401198747,489276.03473199</v>
      </c>
      <c r="H416" s="16">
        <v>126</v>
      </c>
      <c r="I416" s="16">
        <f t="shared" si="176"/>
        <v>126</v>
      </c>
      <c r="J416" s="209">
        <f t="shared" si="177"/>
        <v>0.40245955911332426</v>
      </c>
      <c r="K416" s="209">
        <f t="shared" si="178"/>
        <v>50.307444889048512</v>
      </c>
      <c r="L416" s="692">
        <v>1.2012926340103149</v>
      </c>
      <c r="M416" s="17" t="str">
        <f t="shared" si="179"/>
        <v>50.3074448890485,1.20129263401031</v>
      </c>
      <c r="O416" s="85" t="str">
        <f t="shared" si="201"/>
        <v/>
      </c>
      <c r="P416" s="85" t="str">
        <f t="shared" si="202"/>
        <v>Formule bijwerken voor T6</v>
      </c>
      <c r="Q416" s="233" t="str">
        <f t="shared" si="203"/>
        <v/>
      </c>
      <c r="R416" s="17" t="str">
        <f t="shared" si="204"/>
        <v/>
      </c>
      <c r="S416" s="235" t="str">
        <f t="shared" si="209"/>
        <v>Formule bijwerken voor T6</v>
      </c>
      <c r="T416" s="17" t="str">
        <f t="shared" si="205"/>
        <v/>
      </c>
      <c r="U416" s="85" t="str">
        <f t="shared" si="206"/>
        <v>Formule bijwerken voor  T6</v>
      </c>
      <c r="V416" s="17" t="str">
        <f t="shared" si="207"/>
        <v/>
      </c>
      <c r="W416" s="17" t="str">
        <f t="shared" si="190"/>
        <v/>
      </c>
      <c r="X416" s="17" t="str">
        <f t="shared" si="208"/>
        <v/>
      </c>
      <c r="Y416" s="85" t="str">
        <f t="shared" si="191"/>
        <v/>
      </c>
      <c r="Z416" s="17" t="str">
        <f t="shared" si="192"/>
        <v/>
      </c>
      <c r="AA416" s="17" t="str">
        <f t="shared" si="193"/>
        <v/>
      </c>
      <c r="AB416" s="17" t="str">
        <f t="shared" si="194"/>
        <v/>
      </c>
      <c r="AC416" s="17" t="str">
        <f>IF(O416="","",P416&amp;","&amp;AB$287-Variabelen!B$43)</f>
        <v/>
      </c>
      <c r="AD416" s="17"/>
      <c r="AE416" s="17"/>
      <c r="AF416" s="17"/>
      <c r="AG416" s="17"/>
      <c r="AH416" s="17"/>
      <c r="AI416" s="17" t="str">
        <f>IF(O416="","",P416-Variabelen!B$36&amp;","&amp;AB$287-Variabelen!B$43+Variabelen!B$36)</f>
        <v/>
      </c>
      <c r="AJ416" s="154" t="str">
        <f t="shared" si="195"/>
        <v/>
      </c>
      <c r="AK416" s="17"/>
      <c r="AL416" s="17"/>
      <c r="AM416" s="17"/>
      <c r="AN416" s="17"/>
      <c r="AO416" s="17"/>
      <c r="AP416" s="17" t="str">
        <f>IF(O416="","",P416-Variabelen!B$36&amp;","&amp;AB$287-Variabelen!B$42+Variabelen!B$36)</f>
        <v/>
      </c>
      <c r="AQ416" s="154" t="str">
        <f t="shared" si="196"/>
        <v/>
      </c>
      <c r="AR416" s="17"/>
      <c r="AS416" s="17"/>
      <c r="AT416" s="17"/>
      <c r="AU416" s="17"/>
      <c r="AV416" s="17" t="str">
        <f t="shared" si="197"/>
        <v/>
      </c>
      <c r="AW416" s="17" t="str">
        <f>IF(O416="","",P416-Variabelen!B$36&amp;","&amp;AB$287-Variabelen!B$41+Variabelen!B$36)</f>
        <v/>
      </c>
      <c r="AX416" s="17"/>
      <c r="AY416" s="17"/>
      <c r="AZ416" s="154" t="str">
        <f t="shared" si="198"/>
        <v/>
      </c>
      <c r="BA416" s="17"/>
      <c r="BB416" s="17"/>
      <c r="BC416" s="17"/>
      <c r="BD416" s="17"/>
      <c r="BE416" s="17" t="str">
        <f t="shared" si="199"/>
        <v/>
      </c>
      <c r="BF416" s="17" t="str">
        <f>IF(O416="","",P416-Variabelen!B$36&amp;","&amp;AB$287-Variabelen!B$40+Variabelen!B$36)</f>
        <v/>
      </c>
      <c r="BG416" s="17"/>
      <c r="BH416" s="17"/>
      <c r="BI416" s="154" t="str">
        <f t="shared" si="200"/>
        <v/>
      </c>
      <c r="BJ416" s="17"/>
    </row>
    <row r="417" spans="1:62" x14ac:dyDescent="0.25">
      <c r="A417" s="85">
        <f t="shared" si="170"/>
        <v>127</v>
      </c>
      <c r="B417" s="296">
        <f t="shared" si="171"/>
        <v>103945.78888005912</v>
      </c>
      <c r="C417" s="296">
        <f t="shared" si="172"/>
        <v>489275.92667229788</v>
      </c>
      <c r="D417" s="85">
        <f t="shared" si="189"/>
        <v>1</v>
      </c>
      <c r="E417" s="17">
        <f t="shared" si="173"/>
        <v>0.38768131207325496</v>
      </c>
      <c r="F417" s="17">
        <f t="shared" si="174"/>
        <v>-0.10805969178909436</v>
      </c>
      <c r="G417" s="17" t="str">
        <f t="shared" si="175"/>
        <v>103945.788880059,489275.926672298</v>
      </c>
      <c r="H417" s="16">
        <v>127</v>
      </c>
      <c r="I417" s="16">
        <f t="shared" si="176"/>
        <v>127</v>
      </c>
      <c r="J417" s="209">
        <f t="shared" si="177"/>
        <v>0.40245955911171322</v>
      </c>
      <c r="K417" s="209">
        <f t="shared" si="178"/>
        <v>50.709904448160223</v>
      </c>
      <c r="L417" s="692">
        <v>1.208160400390625</v>
      </c>
      <c r="M417" s="17" t="str">
        <f t="shared" si="179"/>
        <v>50.7099044481602,1.20816040039062</v>
      </c>
      <c r="O417" s="85" t="str">
        <f t="shared" si="201"/>
        <v/>
      </c>
      <c r="P417" s="85" t="str">
        <f t="shared" si="202"/>
        <v>Formule bijwerken voor T6</v>
      </c>
      <c r="Q417" s="233" t="str">
        <f t="shared" si="203"/>
        <v/>
      </c>
      <c r="R417" s="17" t="str">
        <f t="shared" si="204"/>
        <v/>
      </c>
      <c r="S417" s="235" t="str">
        <f t="shared" si="209"/>
        <v>Formule bijwerken voor T6</v>
      </c>
      <c r="T417" s="17" t="str">
        <f t="shared" si="205"/>
        <v/>
      </c>
      <c r="U417" s="85" t="str">
        <f t="shared" si="206"/>
        <v>Formule bijwerken voor  T6</v>
      </c>
      <c r="V417" s="17" t="str">
        <f t="shared" si="207"/>
        <v/>
      </c>
      <c r="W417" s="17" t="str">
        <f t="shared" si="190"/>
        <v/>
      </c>
      <c r="X417" s="17" t="str">
        <f t="shared" si="208"/>
        <v/>
      </c>
      <c r="Y417" s="85" t="str">
        <f t="shared" si="191"/>
        <v/>
      </c>
      <c r="Z417" s="17" t="str">
        <f t="shared" si="192"/>
        <v/>
      </c>
      <c r="AA417" s="17" t="str">
        <f t="shared" si="193"/>
        <v/>
      </c>
      <c r="AB417" s="17" t="str">
        <f t="shared" si="194"/>
        <v/>
      </c>
      <c r="AC417" s="17" t="str">
        <f>IF(O417="","",P417&amp;","&amp;AB$287-Variabelen!B$43)</f>
        <v/>
      </c>
      <c r="AD417" s="17"/>
      <c r="AE417" s="17"/>
      <c r="AF417" s="17"/>
      <c r="AG417" s="17"/>
      <c r="AH417" s="17"/>
      <c r="AI417" s="17" t="str">
        <f>IF(O417="","",P417-Variabelen!B$36&amp;","&amp;AB$287-Variabelen!B$43+Variabelen!B$36)</f>
        <v/>
      </c>
      <c r="AJ417" s="154" t="str">
        <f t="shared" si="195"/>
        <v/>
      </c>
      <c r="AK417" s="17"/>
      <c r="AL417" s="17"/>
      <c r="AM417" s="17"/>
      <c r="AN417" s="17"/>
      <c r="AO417" s="17"/>
      <c r="AP417" s="17" t="str">
        <f>IF(O417="","",P417-Variabelen!B$36&amp;","&amp;AB$287-Variabelen!B$42+Variabelen!B$36)</f>
        <v/>
      </c>
      <c r="AQ417" s="154" t="str">
        <f t="shared" si="196"/>
        <v/>
      </c>
      <c r="AR417" s="17"/>
      <c r="AS417" s="17"/>
      <c r="AT417" s="17"/>
      <c r="AU417" s="17"/>
      <c r="AV417" s="17" t="str">
        <f t="shared" si="197"/>
        <v/>
      </c>
      <c r="AW417" s="17" t="str">
        <f>IF(O417="","",P417-Variabelen!B$36&amp;","&amp;AB$287-Variabelen!B$41+Variabelen!B$36)</f>
        <v/>
      </c>
      <c r="AX417" s="17"/>
      <c r="AY417" s="17"/>
      <c r="AZ417" s="154" t="str">
        <f t="shared" si="198"/>
        <v/>
      </c>
      <c r="BA417" s="17"/>
      <c r="BB417" s="17"/>
      <c r="BC417" s="17"/>
      <c r="BD417" s="17"/>
      <c r="BE417" s="17" t="str">
        <f t="shared" si="199"/>
        <v/>
      </c>
      <c r="BF417" s="17" t="str">
        <f>IF(O417="","",P417-Variabelen!B$36&amp;","&amp;AB$287-Variabelen!B$40+Variabelen!B$36)</f>
        <v/>
      </c>
      <c r="BG417" s="17"/>
      <c r="BH417" s="17"/>
      <c r="BI417" s="154" t="str">
        <f t="shared" si="200"/>
        <v/>
      </c>
      <c r="BJ417" s="17"/>
    </row>
    <row r="418" spans="1:62" x14ac:dyDescent="0.25">
      <c r="A418" s="85">
        <f t="shared" si="170"/>
        <v>128</v>
      </c>
      <c r="B418" s="296">
        <f t="shared" si="171"/>
        <v>103946.17656137119</v>
      </c>
      <c r="C418" s="296">
        <f t="shared" si="172"/>
        <v>489275.81861260609</v>
      </c>
      <c r="D418" s="85">
        <f t="shared" si="189"/>
        <v>1</v>
      </c>
      <c r="E418" s="17">
        <f t="shared" si="173"/>
        <v>0.38768131207325496</v>
      </c>
      <c r="F418" s="17">
        <f t="shared" si="174"/>
        <v>-0.10805969178909436</v>
      </c>
      <c r="G418" s="17" t="str">
        <f t="shared" si="175"/>
        <v>103946.176561371,489275.818612606</v>
      </c>
      <c r="H418" s="16">
        <v>128</v>
      </c>
      <c r="I418" s="16">
        <f t="shared" si="176"/>
        <v>128</v>
      </c>
      <c r="J418" s="209">
        <f t="shared" si="177"/>
        <v>0.40245955911171322</v>
      </c>
      <c r="K418" s="209">
        <f t="shared" si="178"/>
        <v>51.112364007271935</v>
      </c>
      <c r="L418" s="692">
        <v>1.2061376571655269</v>
      </c>
      <c r="M418" s="17" t="str">
        <f t="shared" si="179"/>
        <v>51.1123640072719,1.20613765716553</v>
      </c>
      <c r="O418" s="85" t="str">
        <f t="shared" si="201"/>
        <v/>
      </c>
      <c r="P418" s="85" t="str">
        <f t="shared" si="202"/>
        <v>Formule bijwerken voor T6</v>
      </c>
      <c r="Q418" s="233" t="str">
        <f t="shared" si="203"/>
        <v/>
      </c>
      <c r="R418" s="17" t="str">
        <f t="shared" si="204"/>
        <v/>
      </c>
      <c r="S418" s="235" t="str">
        <f t="shared" si="209"/>
        <v>Formule bijwerken voor T6</v>
      </c>
      <c r="T418" s="17" t="str">
        <f t="shared" si="205"/>
        <v/>
      </c>
      <c r="U418" s="85" t="str">
        <f t="shared" si="206"/>
        <v>Formule bijwerken voor  T6</v>
      </c>
      <c r="V418" s="17" t="str">
        <f t="shared" si="207"/>
        <v/>
      </c>
      <c r="W418" s="17" t="str">
        <f t="shared" si="190"/>
        <v/>
      </c>
      <c r="X418" s="17" t="str">
        <f t="shared" si="208"/>
        <v/>
      </c>
      <c r="Y418" s="85" t="str">
        <f t="shared" si="191"/>
        <v/>
      </c>
      <c r="Z418" s="17" t="str">
        <f t="shared" si="192"/>
        <v/>
      </c>
      <c r="AA418" s="17" t="str">
        <f t="shared" si="193"/>
        <v/>
      </c>
      <c r="AB418" s="17" t="str">
        <f t="shared" si="194"/>
        <v/>
      </c>
      <c r="AC418" s="17" t="str">
        <f>IF(O418="","",P418&amp;","&amp;AB$287-Variabelen!B$43)</f>
        <v/>
      </c>
      <c r="AD418" s="17"/>
      <c r="AE418" s="17"/>
      <c r="AF418" s="17"/>
      <c r="AG418" s="17"/>
      <c r="AH418" s="17"/>
      <c r="AI418" s="17" t="str">
        <f>IF(O418="","",P418-Variabelen!B$36&amp;","&amp;AB$287-Variabelen!B$43+Variabelen!B$36)</f>
        <v/>
      </c>
      <c r="AJ418" s="154" t="str">
        <f t="shared" si="195"/>
        <v/>
      </c>
      <c r="AK418" s="17"/>
      <c r="AL418" s="17"/>
      <c r="AM418" s="17"/>
      <c r="AN418" s="17"/>
      <c r="AO418" s="17"/>
      <c r="AP418" s="17" t="str">
        <f>IF(O418="","",P418-Variabelen!B$36&amp;","&amp;AB$287-Variabelen!B$42+Variabelen!B$36)</f>
        <v/>
      </c>
      <c r="AQ418" s="154" t="str">
        <f t="shared" si="196"/>
        <v/>
      </c>
      <c r="AR418" s="17"/>
      <c r="AS418" s="17"/>
      <c r="AT418" s="17"/>
      <c r="AU418" s="17"/>
      <c r="AV418" s="17" t="str">
        <f t="shared" si="197"/>
        <v/>
      </c>
      <c r="AW418" s="17" t="str">
        <f>IF(O418="","",P418-Variabelen!B$36&amp;","&amp;AB$287-Variabelen!B$41+Variabelen!B$36)</f>
        <v/>
      </c>
      <c r="AX418" s="17"/>
      <c r="AY418" s="17"/>
      <c r="AZ418" s="154" t="str">
        <f t="shared" si="198"/>
        <v/>
      </c>
      <c r="BA418" s="17"/>
      <c r="BB418" s="17"/>
      <c r="BC418" s="17"/>
      <c r="BD418" s="17"/>
      <c r="BE418" s="17" t="str">
        <f t="shared" si="199"/>
        <v/>
      </c>
      <c r="BF418" s="17" t="str">
        <f>IF(O418="","",P418-Variabelen!B$36&amp;","&amp;AB$287-Variabelen!B$40+Variabelen!B$36)</f>
        <v/>
      </c>
      <c r="BG418" s="17"/>
      <c r="BH418" s="17"/>
      <c r="BI418" s="154" t="str">
        <f t="shared" si="200"/>
        <v/>
      </c>
      <c r="BJ418" s="17"/>
    </row>
    <row r="419" spans="1:62" x14ac:dyDescent="0.25">
      <c r="A419" s="85">
        <f t="shared" si="170"/>
        <v>129</v>
      </c>
      <c r="B419" s="296">
        <f t="shared" si="171"/>
        <v>103946.56424268326</v>
      </c>
      <c r="C419" s="296">
        <f t="shared" si="172"/>
        <v>489275.7105529143</v>
      </c>
      <c r="D419" s="85">
        <f t="shared" si="189"/>
        <v>1</v>
      </c>
      <c r="E419" s="17">
        <f t="shared" si="173"/>
        <v>0.38768131207325496</v>
      </c>
      <c r="F419" s="17">
        <f t="shared" si="174"/>
        <v>-0.10805969178909436</v>
      </c>
      <c r="G419" s="17" t="str">
        <f t="shared" si="175"/>
        <v>103946.564242683,489275.710552914</v>
      </c>
      <c r="H419" s="16">
        <v>129</v>
      </c>
      <c r="I419" s="16">
        <f t="shared" si="176"/>
        <v>129</v>
      </c>
      <c r="J419" s="209">
        <f t="shared" si="177"/>
        <v>0.40245955911171322</v>
      </c>
      <c r="K419" s="209">
        <f t="shared" si="178"/>
        <v>51.514823566383647</v>
      </c>
      <c r="L419" s="692">
        <v>1.1974508762359619</v>
      </c>
      <c r="M419" s="17" t="str">
        <f t="shared" si="179"/>
        <v>51.5148235663836,1.19745087623596</v>
      </c>
      <c r="O419" s="85" t="str">
        <f t="shared" si="201"/>
        <v/>
      </c>
      <c r="P419" s="85" t="str">
        <f t="shared" si="202"/>
        <v>Formule bijwerken voor T6</v>
      </c>
      <c r="Q419" s="233" t="str">
        <f t="shared" si="203"/>
        <v/>
      </c>
      <c r="R419" s="17" t="str">
        <f t="shared" si="204"/>
        <v/>
      </c>
      <c r="S419" s="235" t="str">
        <f t="shared" si="209"/>
        <v>Formule bijwerken voor T6</v>
      </c>
      <c r="T419" s="17" t="str">
        <f t="shared" si="205"/>
        <v/>
      </c>
      <c r="U419" s="85" t="str">
        <f t="shared" si="206"/>
        <v>Formule bijwerken voor  T6</v>
      </c>
      <c r="V419" s="17" t="str">
        <f t="shared" si="207"/>
        <v/>
      </c>
      <c r="W419" s="17" t="str">
        <f t="shared" ref="W419:W432" si="210">IF(O419="","",U419+G$49)</f>
        <v/>
      </c>
      <c r="X419" s="17" t="str">
        <f t="shared" si="208"/>
        <v/>
      </c>
      <c r="Y419" s="85" t="str">
        <f t="shared" ref="Y419:Y432" si="211">_xlfn.SINGLE(IF(O419="","",_xlfn.XLOOKUP(P419,P$273:P$284,O$273:O$284,Y418)))</f>
        <v/>
      </c>
      <c r="Z419" s="17" t="str">
        <f t="shared" ref="Z419:Z432" si="212">IF(O419="","",O419)</f>
        <v/>
      </c>
      <c r="AA419" s="17" t="str">
        <f t="shared" ref="AA419:AA432" si="213">IF(O419="","","LINE")</f>
        <v/>
      </c>
      <c r="AB419" s="17" t="str">
        <f t="shared" ref="AB419:AB432" si="214">IF(O419="","",P419&amp;","&amp;AB$286)</f>
        <v/>
      </c>
      <c r="AC419" s="17" t="str">
        <f>IF(O419="","",P419&amp;","&amp;AB$287-Variabelen!B$43)</f>
        <v/>
      </c>
      <c r="AD419" s="17"/>
      <c r="AE419" s="17"/>
      <c r="AF419" s="17"/>
      <c r="AG419" s="17"/>
      <c r="AH419" s="17"/>
      <c r="AI419" s="17" t="str">
        <f>IF(O419="","",P419-Variabelen!B$36&amp;","&amp;AB$287-Variabelen!B$43+Variabelen!B$36)</f>
        <v/>
      </c>
      <c r="AJ419" s="154" t="str">
        <f t="shared" ref="AJ419:AJ432" si="215">IF(O419="","",ROUND(P419,2))</f>
        <v/>
      </c>
      <c r="AK419" s="17"/>
      <c r="AL419" s="17"/>
      <c r="AM419" s="17"/>
      <c r="AN419" s="17"/>
      <c r="AO419" s="17"/>
      <c r="AP419" s="17" t="str">
        <f>IF(O419="","",P419-Variabelen!B$36&amp;","&amp;AB$287-Variabelen!B$42+Variabelen!B$36)</f>
        <v/>
      </c>
      <c r="AQ419" s="154" t="str">
        <f t="shared" ref="AQ419:AQ432" si="216">IF(O419="","",ROUND(S419,2))</f>
        <v/>
      </c>
      <c r="AR419" s="17"/>
      <c r="AS419" s="17"/>
      <c r="AT419" s="17"/>
      <c r="AU419" s="17"/>
      <c r="AV419" s="17" t="str">
        <f t="shared" ref="AV419:AV432" si="217">IF(O419="","","_BR")</f>
        <v/>
      </c>
      <c r="AW419" s="17" t="str">
        <f>IF(O419="","",P419-Variabelen!B$36&amp;","&amp;AB$287-Variabelen!B$41+Variabelen!B$36)</f>
        <v/>
      </c>
      <c r="AX419" s="17"/>
      <c r="AY419" s="17"/>
      <c r="AZ419" s="154" t="str">
        <f t="shared" ref="AZ419:AZ432" si="218">IF(O419="","",ROUND(W419,2))</f>
        <v/>
      </c>
      <c r="BA419" s="17"/>
      <c r="BB419" s="17"/>
      <c r="BC419" s="17"/>
      <c r="BD419" s="17"/>
      <c r="BE419" s="17" t="str">
        <f t="shared" ref="BE419:BE432" si="219">IF(O419="","","_BR")</f>
        <v/>
      </c>
      <c r="BF419" s="17" t="str">
        <f>IF(O419="","",P419-Variabelen!B$36&amp;","&amp;AB$287-Variabelen!B$40+Variabelen!B$36)</f>
        <v/>
      </c>
      <c r="BG419" s="17"/>
      <c r="BH419" s="17"/>
      <c r="BI419" s="154" t="str">
        <f t="shared" ref="BI419:BI433" si="220">IF(O419="","",ROUND(X419,2))</f>
        <v/>
      </c>
      <c r="BJ419" s="17"/>
    </row>
    <row r="420" spans="1:62" x14ac:dyDescent="0.25">
      <c r="A420" s="85">
        <f t="shared" ref="A420:A483" si="221">IF(A419&lt;J$269,A419+1,"")</f>
        <v>130</v>
      </c>
      <c r="B420" s="296">
        <f t="shared" ref="B420:B483" si="222">IF(A420="","",IF(A419&lt;=C$270,B$273+(A419*E$274/C$269),IF(A419&lt;=D$270,B$274+(D$275*COS(RADIANS(G$275+((A419-C$270)*H$276/D$269))))-E$275,IF(A419&lt;=E$270,B$276+((A419-D$270)*E$277/E$269),IF(A419&lt;=F$270,B$277+(D$278*COS(RADIANS(G$278+((A419-E$270)*H$279/F$269))))-E$278,IF(A419&lt;=G$270,B$279+((A419-F$270)*E$280/G$269),IF(A419&lt;=H$270,B$280+(D$281*COS(RADIANS(G$281+((A419-G$270)*H$282/H$269))))-E$281,IF(A419&lt;=I$270,B$282+((A419-H$270)*E$283/I$269),"CHECK FORMULE"))))))))</f>
        <v>103946.95192399532</v>
      </c>
      <c r="C420" s="296">
        <f t="shared" ref="C420:C483" si="223">IF(A420="","",IF(A419&lt;=C$270,C$273+(A419*F$274/C$269),IF(A419&lt;=D$270,C$274+(D$275*SIN(RADIANS(G$275+((A419-C$270)*H$276/D$269))))-F$275,IF(A419&lt;=E$270,C$276+((A419-D$270)*F$277/E$269),IF(A419&lt;=F$270,C$277+(D$278*SIN(RADIANS(G$278+((A419-E$270)*H$279/F$269))))-F$278,IF(A419&lt;=G$270,C$279+((A419-F$270)*F$280/G$269),IF(A419&lt;=H$270,C$280+(D$281*SIN(RADIANS(G$281+((A419-G$270)*H$282/H$269))))-F$281,IF(A419&lt;=I$270,C$282+((A419-H$270)*F$283/I$269),"CHECK FORMULE"))))))))</f>
        <v>489275.60249322245</v>
      </c>
      <c r="D420" s="85">
        <f t="shared" si="189"/>
        <v>1</v>
      </c>
      <c r="E420" s="17">
        <f t="shared" ref="E420:E483" si="224">IF(A420="","",B420-B419)</f>
        <v>0.38768131205870304</v>
      </c>
      <c r="F420" s="17">
        <f t="shared" ref="F420:F483" si="225">IF(A420="","",C420-C419)</f>
        <v>-0.10805969184730202</v>
      </c>
      <c r="G420" s="17" t="str">
        <f t="shared" ref="G420:G483" si="226">IF(E420="","",B420&amp;","&amp;C420)</f>
        <v>103946.951923995,489275.602493222</v>
      </c>
      <c r="H420" s="16">
        <v>130</v>
      </c>
      <c r="I420" s="16">
        <f t="shared" ref="I420:I483" si="227">IF(J420="","",I419+1)</f>
        <v>130</v>
      </c>
      <c r="J420" s="209">
        <f t="shared" ref="J420:J483" si="228">IF(E420="","",(E420^2+F420^2)^0.5)</f>
        <v>0.40245955911332426</v>
      </c>
      <c r="K420" s="209">
        <f t="shared" ref="K420:K483" si="229">IF(E420="","",K419+J420)</f>
        <v>51.917283125496972</v>
      </c>
      <c r="L420" s="692">
        <v>1.211032629013062</v>
      </c>
      <c r="M420" s="17" t="str">
        <f t="shared" ref="M420:M483" si="230">IF(L420="","",K420&amp;","&amp;L420)</f>
        <v>51.917283125497,1.21103262901306</v>
      </c>
      <c r="O420" s="85" t="str">
        <f t="shared" ref="O420:O432" si="231">IF(O419&lt;W$269,O419+1,"")</f>
        <v/>
      </c>
      <c r="P420" s="85" t="str">
        <f t="shared" ref="P420:P432" si="232">IF(O419&lt;=Q$270,P$273+(O419*R$274/Q$269),IF(O419&lt;=R$270,P$274+((O419-Q$270)*R$275/R$269),IF(O419&lt;=S$270,P$275+((O419-R$270)*R$276/S$269),IF(O419&lt;=T$270,P$276+((O419-S$270)*R$277/T$269),IF(O419&lt;=U$270,P$277+((O419-T$270)*R$278/U$269),"Formule bijwerken voor T6")))))</f>
        <v>Formule bijwerken voor T6</v>
      </c>
      <c r="Q420" s="233" t="str">
        <f t="shared" ref="Q420:Q432" si="233">IF(AND(O419&gt;=Q$270,O419&lt;R$270+1),Z$265-DEGREES(ASIN((R$275-(((O419-Q$270)/R$269)*R$275))/Z$266)),IF(AND(O419&gt;=S$270,O419&lt;T$270+1),Z$270-DEGREES(ASIN((((O419-S$270)/T$269)*R$277)/Z$269)),""))</f>
        <v/>
      </c>
      <c r="R420" s="17" t="str">
        <f t="shared" ref="R420:R432" si="234">IF(O420="","",P420-P419)</f>
        <v/>
      </c>
      <c r="S420" s="235" t="str">
        <f t="shared" si="209"/>
        <v>Formule bijwerken voor T6</v>
      </c>
      <c r="T420" s="17" t="str">
        <f t="shared" ref="T420:T432" si="235">IF(O420="","",S420-S419)</f>
        <v/>
      </c>
      <c r="U420" s="85" t="str">
        <f t="shared" ref="U420:U432" si="236">IF(O419&lt;=Q$270,U$273+(O419*V$274/Q$269),IF(O419&lt;=R$270,U$274-Z$266*((COS(RADIANS(Z$265-Q420)))-(COS(RADIANS(Z$265)))),IF(O419&lt;=S$270,U$275+((O419-R$270)*V$276/S$269),IF(O419&lt;=T$270,U$276+Z$269-(Z$269*(COS(RADIANS(Z$270-Q420)))),IF(O419&lt;=U$270,U$277+((O419-T$270)*V$278/U$269),"Formule bijwerken voor  T6")))))</f>
        <v>Formule bijwerken voor  T6</v>
      </c>
      <c r="V420" s="17" t="str">
        <f t="shared" ref="V420:V432" si="237">IF(O420="","",U420-U419)</f>
        <v/>
      </c>
      <c r="W420" s="17" t="str">
        <f t="shared" si="210"/>
        <v/>
      </c>
      <c r="X420" s="17" t="str">
        <f t="shared" ref="X420:X432" si="238">IF(O420="","",W420-VLOOKUP(P420,K$290:L$1291,2,TRUE))</f>
        <v/>
      </c>
      <c r="Y420" s="85" t="str">
        <f t="shared" si="211"/>
        <v/>
      </c>
      <c r="Z420" s="17" t="str">
        <f t="shared" si="212"/>
        <v/>
      </c>
      <c r="AA420" s="17" t="str">
        <f t="shared" si="213"/>
        <v/>
      </c>
      <c r="AB420" s="17" t="str">
        <f t="shared" si="214"/>
        <v/>
      </c>
      <c r="AC420" s="17" t="str">
        <f>IF(O420="","",P420&amp;","&amp;AB$287-Variabelen!B$43)</f>
        <v/>
      </c>
      <c r="AD420" s="17"/>
      <c r="AE420" s="17"/>
      <c r="AF420" s="17"/>
      <c r="AG420" s="17"/>
      <c r="AH420" s="17"/>
      <c r="AI420" s="17" t="str">
        <f>IF(O420="","",P420-Variabelen!B$36&amp;","&amp;AB$287-Variabelen!B$43+Variabelen!B$36)</f>
        <v/>
      </c>
      <c r="AJ420" s="154" t="str">
        <f t="shared" si="215"/>
        <v/>
      </c>
      <c r="AK420" s="17"/>
      <c r="AL420" s="17"/>
      <c r="AM420" s="17"/>
      <c r="AN420" s="17"/>
      <c r="AO420" s="17"/>
      <c r="AP420" s="17" t="str">
        <f>IF(O420="","",P420-Variabelen!B$36&amp;","&amp;AB$287-Variabelen!B$42+Variabelen!B$36)</f>
        <v/>
      </c>
      <c r="AQ420" s="154" t="str">
        <f t="shared" si="216"/>
        <v/>
      </c>
      <c r="AR420" s="17"/>
      <c r="AS420" s="17"/>
      <c r="AT420" s="17"/>
      <c r="AU420" s="17"/>
      <c r="AV420" s="17" t="str">
        <f t="shared" si="217"/>
        <v/>
      </c>
      <c r="AW420" s="17" t="str">
        <f>IF(O420="","",P420-Variabelen!B$36&amp;","&amp;AB$287-Variabelen!B$41+Variabelen!B$36)</f>
        <v/>
      </c>
      <c r="AX420" s="17"/>
      <c r="AY420" s="17"/>
      <c r="AZ420" s="154" t="str">
        <f t="shared" si="218"/>
        <v/>
      </c>
      <c r="BA420" s="17"/>
      <c r="BB420" s="17"/>
      <c r="BC420" s="17"/>
      <c r="BD420" s="17"/>
      <c r="BE420" s="17" t="str">
        <f t="shared" si="219"/>
        <v/>
      </c>
      <c r="BF420" s="17" t="str">
        <f>IF(O420="","",P420-Variabelen!B$36&amp;","&amp;AB$287-Variabelen!B$40+Variabelen!B$36)</f>
        <v/>
      </c>
      <c r="BG420" s="17"/>
      <c r="BH420" s="17"/>
      <c r="BI420" s="154" t="str">
        <f t="shared" si="220"/>
        <v/>
      </c>
      <c r="BJ420" s="17"/>
    </row>
    <row r="421" spans="1:62" x14ac:dyDescent="0.25">
      <c r="A421" s="85">
        <f t="shared" si="221"/>
        <v>131</v>
      </c>
      <c r="B421" s="296">
        <f t="shared" si="222"/>
        <v>103947.3396053074</v>
      </c>
      <c r="C421" s="296">
        <f t="shared" si="223"/>
        <v>489275.49443353066</v>
      </c>
      <c r="D421" s="85">
        <f t="shared" si="189"/>
        <v>2</v>
      </c>
      <c r="E421" s="17">
        <f t="shared" si="224"/>
        <v>0.38768131207325496</v>
      </c>
      <c r="F421" s="17">
        <f t="shared" si="225"/>
        <v>-0.10805969178909436</v>
      </c>
      <c r="G421" s="17" t="str">
        <f t="shared" si="226"/>
        <v>103947.339605307,489275.494433531</v>
      </c>
      <c r="H421" s="16">
        <v>131</v>
      </c>
      <c r="I421" s="16">
        <f t="shared" si="227"/>
        <v>131</v>
      </c>
      <c r="J421" s="209">
        <f t="shared" si="228"/>
        <v>0.40245955911171322</v>
      </c>
      <c r="K421" s="209">
        <f t="shared" si="229"/>
        <v>52.319742684608684</v>
      </c>
      <c r="L421" s="692">
        <v>1.1983510255813601</v>
      </c>
      <c r="M421" s="17" t="str">
        <f t="shared" si="230"/>
        <v>52.3197426846087,1.19835102558136</v>
      </c>
      <c r="O421" s="85" t="str">
        <f t="shared" si="231"/>
        <v/>
      </c>
      <c r="P421" s="85" t="str">
        <f t="shared" si="232"/>
        <v>Formule bijwerken voor T6</v>
      </c>
      <c r="Q421" s="233" t="str">
        <f t="shared" si="233"/>
        <v/>
      </c>
      <c r="R421" s="17" t="str">
        <f t="shared" si="234"/>
        <v/>
      </c>
      <c r="S421" s="235" t="str">
        <f t="shared" ref="S421:S432" si="239">IF(O420&lt;=Q$270,S$273+(O420*T$274/Q$269),IF(O420&lt;=R$270,S$274+(Z$265-DEGREES(ASIN((R$275*(R$269-(O420-Q$270))/R$269)/Z$266)))*2*Z$266*PI()/360,IF(O420&lt;=S$270,S$275+((O420-R$270)*T$276/S$269),IF(O420&lt;=T$270,S$276+(DEGREES(ASIN(((O420-S$270)*(P$277-P$276)/T$269)/Z$269)))*2*Z$269*PI()/360,IF(O420&lt;=U$270,S$277+((O420-T$270)*T$278/U$269),"Formule bijwerken voor T6")))))</f>
        <v>Formule bijwerken voor T6</v>
      </c>
      <c r="T421" s="17" t="str">
        <f t="shared" si="235"/>
        <v/>
      </c>
      <c r="U421" s="85" t="str">
        <f t="shared" si="236"/>
        <v>Formule bijwerken voor  T6</v>
      </c>
      <c r="V421" s="17" t="str">
        <f t="shared" si="237"/>
        <v/>
      </c>
      <c r="W421" s="17" t="str">
        <f t="shared" si="210"/>
        <v/>
      </c>
      <c r="X421" s="17" t="str">
        <f t="shared" si="238"/>
        <v/>
      </c>
      <c r="Y421" s="85" t="str">
        <f t="shared" si="211"/>
        <v/>
      </c>
      <c r="Z421" s="17" t="str">
        <f t="shared" si="212"/>
        <v/>
      </c>
      <c r="AA421" s="17" t="str">
        <f t="shared" si="213"/>
        <v/>
      </c>
      <c r="AB421" s="17" t="str">
        <f t="shared" si="214"/>
        <v/>
      </c>
      <c r="AC421" s="17" t="str">
        <f>IF(O421="","",P421&amp;","&amp;AB$287-Variabelen!B$43)</f>
        <v/>
      </c>
      <c r="AD421" s="17"/>
      <c r="AE421" s="17"/>
      <c r="AF421" s="17"/>
      <c r="AG421" s="17"/>
      <c r="AH421" s="17"/>
      <c r="AI421" s="17" t="str">
        <f>IF(O421="","",P421-Variabelen!B$36&amp;","&amp;AB$287-Variabelen!B$43+Variabelen!B$36)</f>
        <v/>
      </c>
      <c r="AJ421" s="154" t="str">
        <f t="shared" si="215"/>
        <v/>
      </c>
      <c r="AK421" s="17"/>
      <c r="AL421" s="17"/>
      <c r="AM421" s="17"/>
      <c r="AN421" s="17"/>
      <c r="AO421" s="17"/>
      <c r="AP421" s="17" t="str">
        <f>IF(O421="","",P421-Variabelen!B$36&amp;","&amp;AB$287-Variabelen!B$42+Variabelen!B$36)</f>
        <v/>
      </c>
      <c r="AQ421" s="154" t="str">
        <f t="shared" si="216"/>
        <v/>
      </c>
      <c r="AR421" s="17"/>
      <c r="AS421" s="17"/>
      <c r="AT421" s="17"/>
      <c r="AU421" s="17"/>
      <c r="AV421" s="17" t="str">
        <f t="shared" si="217"/>
        <v/>
      </c>
      <c r="AW421" s="17" t="str">
        <f>IF(O421="","",P421-Variabelen!B$36&amp;","&amp;AB$287-Variabelen!B$41+Variabelen!B$36)</f>
        <v/>
      </c>
      <c r="AX421" s="17"/>
      <c r="AY421" s="17"/>
      <c r="AZ421" s="154" t="str">
        <f t="shared" si="218"/>
        <v/>
      </c>
      <c r="BA421" s="17"/>
      <c r="BB421" s="17"/>
      <c r="BC421" s="17"/>
      <c r="BD421" s="17"/>
      <c r="BE421" s="17" t="str">
        <f t="shared" si="219"/>
        <v/>
      </c>
      <c r="BF421" s="17" t="str">
        <f>IF(O421="","",P421-Variabelen!B$36&amp;","&amp;AB$287-Variabelen!B$40+Variabelen!B$36)</f>
        <v/>
      </c>
      <c r="BG421" s="17"/>
      <c r="BH421" s="17"/>
      <c r="BI421" s="154" t="str">
        <f t="shared" si="220"/>
        <v/>
      </c>
      <c r="BJ421" s="17"/>
    </row>
    <row r="422" spans="1:62" x14ac:dyDescent="0.25">
      <c r="A422" s="85">
        <f t="shared" si="221"/>
        <v>132</v>
      </c>
      <c r="B422" s="296">
        <f t="shared" si="222"/>
        <v>103947.73220334441</v>
      </c>
      <c r="C422" s="296">
        <f t="shared" si="223"/>
        <v>489275.38557775051</v>
      </c>
      <c r="D422" s="85">
        <f t="shared" si="189"/>
        <v>2</v>
      </c>
      <c r="E422" s="17">
        <f t="shared" si="224"/>
        <v>0.39259803701133933</v>
      </c>
      <c r="F422" s="17">
        <f t="shared" si="225"/>
        <v>-0.10885578015586361</v>
      </c>
      <c r="G422" s="17" t="str">
        <f t="shared" si="226"/>
        <v>103947.732203344,489275.385577751</v>
      </c>
      <c r="H422" s="16">
        <v>132</v>
      </c>
      <c r="I422" s="16">
        <f t="shared" si="227"/>
        <v>132</v>
      </c>
      <c r="J422" s="209">
        <f t="shared" si="228"/>
        <v>0.40740986676625623</v>
      </c>
      <c r="K422" s="209">
        <f t="shared" si="229"/>
        <v>52.727152551374942</v>
      </c>
      <c r="L422" s="692">
        <v>1.188287019729614</v>
      </c>
      <c r="M422" s="17" t="str">
        <f t="shared" si="230"/>
        <v>52.7271525513749,1.18828701972961</v>
      </c>
      <c r="O422" s="85" t="str">
        <f t="shared" si="231"/>
        <v/>
      </c>
      <c r="P422" s="85" t="str">
        <f t="shared" si="232"/>
        <v>Formule bijwerken voor T6</v>
      </c>
      <c r="Q422" s="233" t="str">
        <f t="shared" si="233"/>
        <v/>
      </c>
      <c r="R422" s="17" t="str">
        <f t="shared" si="234"/>
        <v/>
      </c>
      <c r="S422" s="235" t="str">
        <f t="shared" si="239"/>
        <v>Formule bijwerken voor T6</v>
      </c>
      <c r="T422" s="17" t="str">
        <f t="shared" si="235"/>
        <v/>
      </c>
      <c r="U422" s="85" t="str">
        <f t="shared" si="236"/>
        <v>Formule bijwerken voor  T6</v>
      </c>
      <c r="V422" s="17" t="str">
        <f t="shared" si="237"/>
        <v/>
      </c>
      <c r="W422" s="17" t="str">
        <f t="shared" si="210"/>
        <v/>
      </c>
      <c r="X422" s="17" t="str">
        <f t="shared" si="238"/>
        <v/>
      </c>
      <c r="Y422" s="85" t="str">
        <f t="shared" si="211"/>
        <v/>
      </c>
      <c r="Z422" s="17" t="str">
        <f t="shared" si="212"/>
        <v/>
      </c>
      <c r="AA422" s="17" t="str">
        <f t="shared" si="213"/>
        <v/>
      </c>
      <c r="AB422" s="17" t="str">
        <f t="shared" si="214"/>
        <v/>
      </c>
      <c r="AC422" s="17" t="str">
        <f>IF(O422="","",P422&amp;","&amp;AB$287-Variabelen!B$43)</f>
        <v/>
      </c>
      <c r="AD422" s="17"/>
      <c r="AE422" s="17"/>
      <c r="AF422" s="17"/>
      <c r="AG422" s="17"/>
      <c r="AH422" s="17"/>
      <c r="AI422" s="17" t="str">
        <f>IF(O422="","",P422-Variabelen!B$36&amp;","&amp;AB$287-Variabelen!B$43+Variabelen!B$36)</f>
        <v/>
      </c>
      <c r="AJ422" s="154" t="str">
        <f t="shared" si="215"/>
        <v/>
      </c>
      <c r="AK422" s="17"/>
      <c r="AL422" s="17"/>
      <c r="AM422" s="17"/>
      <c r="AN422" s="17"/>
      <c r="AO422" s="17"/>
      <c r="AP422" s="17" t="str">
        <f>IF(O422="","",P422-Variabelen!B$36&amp;","&amp;AB$287-Variabelen!B$42+Variabelen!B$36)</f>
        <v/>
      </c>
      <c r="AQ422" s="154" t="str">
        <f t="shared" si="216"/>
        <v/>
      </c>
      <c r="AR422" s="17"/>
      <c r="AS422" s="17"/>
      <c r="AT422" s="17"/>
      <c r="AU422" s="17"/>
      <c r="AV422" s="17" t="str">
        <f t="shared" si="217"/>
        <v/>
      </c>
      <c r="AW422" s="17" t="str">
        <f>IF(O422="","",P422-Variabelen!B$36&amp;","&amp;AB$287-Variabelen!B$41+Variabelen!B$36)</f>
        <v/>
      </c>
      <c r="AX422" s="17"/>
      <c r="AY422" s="17"/>
      <c r="AZ422" s="154" t="str">
        <f t="shared" si="218"/>
        <v/>
      </c>
      <c r="BA422" s="17"/>
      <c r="BB422" s="17"/>
      <c r="BC422" s="17"/>
      <c r="BD422" s="17"/>
      <c r="BE422" s="17" t="str">
        <f t="shared" si="219"/>
        <v/>
      </c>
      <c r="BF422" s="17" t="str">
        <f>IF(O422="","",P422-Variabelen!B$36&amp;","&amp;AB$287-Variabelen!B$40+Variabelen!B$36)</f>
        <v/>
      </c>
      <c r="BG422" s="17"/>
      <c r="BH422" s="17"/>
      <c r="BI422" s="154" t="str">
        <f t="shared" si="220"/>
        <v/>
      </c>
      <c r="BJ422" s="17"/>
    </row>
    <row r="423" spans="1:62" x14ac:dyDescent="0.25">
      <c r="A423" s="85">
        <f t="shared" si="221"/>
        <v>133</v>
      </c>
      <c r="B423" s="296">
        <f t="shared" si="222"/>
        <v>103948.12509559251</v>
      </c>
      <c r="C423" s="296">
        <f t="shared" si="223"/>
        <v>489275.27778869303</v>
      </c>
      <c r="D423" s="85">
        <f t="shared" si="189"/>
        <v>2</v>
      </c>
      <c r="E423" s="17">
        <f t="shared" si="224"/>
        <v>0.39289224809908774</v>
      </c>
      <c r="F423" s="17">
        <f t="shared" si="225"/>
        <v>-0.10778905748156831</v>
      </c>
      <c r="G423" s="17" t="str">
        <f t="shared" si="226"/>
        <v>103948.125095593,489275.277788693</v>
      </c>
      <c r="H423" s="16">
        <v>133</v>
      </c>
      <c r="I423" s="16">
        <f t="shared" si="227"/>
        <v>133</v>
      </c>
      <c r="J423" s="209">
        <f t="shared" si="228"/>
        <v>0.40740986675474605</v>
      </c>
      <c r="K423" s="209">
        <f t="shared" si="229"/>
        <v>53.13456241812969</v>
      </c>
      <c r="L423" s="692">
        <v>1.179404020309448</v>
      </c>
      <c r="M423" s="17" t="str">
        <f t="shared" si="230"/>
        <v>53.1345624181297,1.17940402030945</v>
      </c>
      <c r="O423" s="85" t="str">
        <f t="shared" si="231"/>
        <v/>
      </c>
      <c r="P423" s="85" t="str">
        <f t="shared" si="232"/>
        <v>Formule bijwerken voor T6</v>
      </c>
      <c r="Q423" s="233" t="str">
        <f t="shared" si="233"/>
        <v/>
      </c>
      <c r="R423" s="17" t="str">
        <f t="shared" si="234"/>
        <v/>
      </c>
      <c r="S423" s="235" t="str">
        <f t="shared" si="239"/>
        <v>Formule bijwerken voor T6</v>
      </c>
      <c r="T423" s="17" t="str">
        <f t="shared" si="235"/>
        <v/>
      </c>
      <c r="U423" s="85" t="str">
        <f t="shared" si="236"/>
        <v>Formule bijwerken voor  T6</v>
      </c>
      <c r="V423" s="17" t="str">
        <f t="shared" si="237"/>
        <v/>
      </c>
      <c r="W423" s="17" t="str">
        <f t="shared" si="210"/>
        <v/>
      </c>
      <c r="X423" s="17" t="str">
        <f t="shared" si="238"/>
        <v/>
      </c>
      <c r="Y423" s="85" t="str">
        <f t="shared" si="211"/>
        <v/>
      </c>
      <c r="Z423" s="17" t="str">
        <f t="shared" si="212"/>
        <v/>
      </c>
      <c r="AA423" s="17" t="str">
        <f t="shared" si="213"/>
        <v/>
      </c>
      <c r="AB423" s="17" t="str">
        <f t="shared" si="214"/>
        <v/>
      </c>
      <c r="AC423" s="17" t="str">
        <f>IF(O423="","",P423&amp;","&amp;AB$287-Variabelen!B$43)</f>
        <v/>
      </c>
      <c r="AD423" s="17"/>
      <c r="AE423" s="17"/>
      <c r="AF423" s="17"/>
      <c r="AG423" s="17"/>
      <c r="AH423" s="17"/>
      <c r="AI423" s="17" t="str">
        <f>IF(O423="","",P423-Variabelen!B$36&amp;","&amp;AB$287-Variabelen!B$43+Variabelen!B$36)</f>
        <v/>
      </c>
      <c r="AJ423" s="154" t="str">
        <f t="shared" si="215"/>
        <v/>
      </c>
      <c r="AK423" s="17"/>
      <c r="AL423" s="17"/>
      <c r="AM423" s="17"/>
      <c r="AN423" s="17"/>
      <c r="AO423" s="17"/>
      <c r="AP423" s="17" t="str">
        <f>IF(O423="","",P423-Variabelen!B$36&amp;","&amp;AB$287-Variabelen!B$42+Variabelen!B$36)</f>
        <v/>
      </c>
      <c r="AQ423" s="154" t="str">
        <f t="shared" si="216"/>
        <v/>
      </c>
      <c r="AR423" s="17"/>
      <c r="AS423" s="17"/>
      <c r="AT423" s="17"/>
      <c r="AU423" s="17"/>
      <c r="AV423" s="17" t="str">
        <f t="shared" si="217"/>
        <v/>
      </c>
      <c r="AW423" s="17" t="str">
        <f>IF(O423="","",P423-Variabelen!B$36&amp;","&amp;AB$287-Variabelen!B$41+Variabelen!B$36)</f>
        <v/>
      </c>
      <c r="AX423" s="17"/>
      <c r="AY423" s="17"/>
      <c r="AZ423" s="154" t="str">
        <f t="shared" si="218"/>
        <v/>
      </c>
      <c r="BA423" s="17"/>
      <c r="BB423" s="17"/>
      <c r="BC423" s="17"/>
      <c r="BD423" s="17"/>
      <c r="BE423" s="17" t="str">
        <f t="shared" si="219"/>
        <v/>
      </c>
      <c r="BF423" s="17" t="str">
        <f>IF(O423="","",P423-Variabelen!B$36&amp;","&amp;AB$287-Variabelen!B$40+Variabelen!B$36)</f>
        <v/>
      </c>
      <c r="BG423" s="17"/>
      <c r="BH423" s="17"/>
      <c r="BI423" s="154" t="str">
        <f t="shared" si="220"/>
        <v/>
      </c>
      <c r="BJ423" s="17"/>
    </row>
    <row r="424" spans="1:62" x14ac:dyDescent="0.25">
      <c r="A424" s="85">
        <f t="shared" si="221"/>
        <v>134</v>
      </c>
      <c r="B424" s="296">
        <f t="shared" si="222"/>
        <v>103948.51827915332</v>
      </c>
      <c r="C424" s="296">
        <f t="shared" si="223"/>
        <v>489275.17106715328</v>
      </c>
      <c r="D424" s="85">
        <f t="shared" si="189"/>
        <v>2</v>
      </c>
      <c r="E424" s="17">
        <f t="shared" si="224"/>
        <v>0.39318356080912054</v>
      </c>
      <c r="F424" s="17">
        <f t="shared" si="225"/>
        <v>-0.10672153974883258</v>
      </c>
      <c r="G424" s="17" t="str">
        <f t="shared" si="226"/>
        <v>103948.518279153,489275.171067153</v>
      </c>
      <c r="H424" s="16">
        <v>134</v>
      </c>
      <c r="I424" s="16">
        <f t="shared" si="227"/>
        <v>134</v>
      </c>
      <c r="J424" s="209">
        <f t="shared" si="228"/>
        <v>0.40740986676429553</v>
      </c>
      <c r="K424" s="209">
        <f t="shared" si="229"/>
        <v>53.541972284893987</v>
      </c>
      <c r="L424" s="692">
        <v>1.165255665779114</v>
      </c>
      <c r="M424" s="17" t="str">
        <f t="shared" si="230"/>
        <v>53.541972284894,1.16525566577911</v>
      </c>
      <c r="O424" s="85" t="str">
        <f t="shared" si="231"/>
        <v/>
      </c>
      <c r="P424" s="85" t="str">
        <f t="shared" si="232"/>
        <v>Formule bijwerken voor T6</v>
      </c>
      <c r="Q424" s="233" t="str">
        <f t="shared" si="233"/>
        <v/>
      </c>
      <c r="R424" s="17" t="str">
        <f t="shared" si="234"/>
        <v/>
      </c>
      <c r="S424" s="235" t="str">
        <f t="shared" si="239"/>
        <v>Formule bijwerken voor T6</v>
      </c>
      <c r="T424" s="17" t="str">
        <f t="shared" si="235"/>
        <v/>
      </c>
      <c r="U424" s="85" t="str">
        <f t="shared" si="236"/>
        <v>Formule bijwerken voor  T6</v>
      </c>
      <c r="V424" s="17" t="str">
        <f t="shared" si="237"/>
        <v/>
      </c>
      <c r="W424" s="17" t="str">
        <f t="shared" si="210"/>
        <v/>
      </c>
      <c r="X424" s="17" t="str">
        <f t="shared" si="238"/>
        <v/>
      </c>
      <c r="Y424" s="85" t="str">
        <f t="shared" si="211"/>
        <v/>
      </c>
      <c r="Z424" s="17" t="str">
        <f t="shared" si="212"/>
        <v/>
      </c>
      <c r="AA424" s="17" t="str">
        <f t="shared" si="213"/>
        <v/>
      </c>
      <c r="AB424" s="17" t="str">
        <f t="shared" si="214"/>
        <v/>
      </c>
      <c r="AC424" s="17" t="str">
        <f>IF(O424="","",P424&amp;","&amp;AB$287-Variabelen!B$43)</f>
        <v/>
      </c>
      <c r="AD424" s="17"/>
      <c r="AE424" s="17"/>
      <c r="AF424" s="17"/>
      <c r="AG424" s="17"/>
      <c r="AH424" s="17"/>
      <c r="AI424" s="17" t="str">
        <f>IF(O424="","",P424-Variabelen!B$36&amp;","&amp;AB$287-Variabelen!B$43+Variabelen!B$36)</f>
        <v/>
      </c>
      <c r="AJ424" s="154" t="str">
        <f t="shared" si="215"/>
        <v/>
      </c>
      <c r="AK424" s="17"/>
      <c r="AL424" s="17"/>
      <c r="AM424" s="17"/>
      <c r="AN424" s="17"/>
      <c r="AO424" s="17"/>
      <c r="AP424" s="17" t="str">
        <f>IF(O424="","",P424-Variabelen!B$36&amp;","&amp;AB$287-Variabelen!B$42+Variabelen!B$36)</f>
        <v/>
      </c>
      <c r="AQ424" s="154" t="str">
        <f t="shared" si="216"/>
        <v/>
      </c>
      <c r="AR424" s="17"/>
      <c r="AS424" s="17"/>
      <c r="AT424" s="17"/>
      <c r="AU424" s="17"/>
      <c r="AV424" s="17" t="str">
        <f t="shared" si="217"/>
        <v/>
      </c>
      <c r="AW424" s="17" t="str">
        <f>IF(O424="","",P424-Variabelen!B$36&amp;","&amp;AB$287-Variabelen!B$41+Variabelen!B$36)</f>
        <v/>
      </c>
      <c r="AX424" s="17"/>
      <c r="AY424" s="17"/>
      <c r="AZ424" s="154" t="str">
        <f t="shared" si="218"/>
        <v/>
      </c>
      <c r="BA424" s="17"/>
      <c r="BB424" s="17"/>
      <c r="BC424" s="17"/>
      <c r="BD424" s="17"/>
      <c r="BE424" s="17" t="str">
        <f t="shared" si="219"/>
        <v/>
      </c>
      <c r="BF424" s="17" t="str">
        <f>IF(O424="","",P424-Variabelen!B$36&amp;","&amp;AB$287-Variabelen!B$40+Variabelen!B$36)</f>
        <v/>
      </c>
      <c r="BG424" s="17"/>
      <c r="BH424" s="17"/>
      <c r="BI424" s="154" t="str">
        <f t="shared" si="220"/>
        <v/>
      </c>
      <c r="BJ424" s="17"/>
    </row>
    <row r="425" spans="1:62" x14ac:dyDescent="0.25">
      <c r="A425" s="85">
        <f t="shared" si="221"/>
        <v>135</v>
      </c>
      <c r="B425" s="296">
        <f t="shared" si="222"/>
        <v>103948.91175112632</v>
      </c>
      <c r="C425" s="296">
        <f t="shared" si="223"/>
        <v>489275.06541391864</v>
      </c>
      <c r="D425" s="85">
        <f t="shared" ref="D425:D488" si="240">_xlfn.SINGLE(_xlfn.XLOOKUP(B425,B$273:B$284,A$273:A$284,D424))</f>
        <v>2</v>
      </c>
      <c r="E425" s="17">
        <f t="shared" si="224"/>
        <v>0.39347197300230619</v>
      </c>
      <c r="F425" s="17">
        <f t="shared" si="225"/>
        <v>-0.10565323464106768</v>
      </c>
      <c r="G425" s="17" t="str">
        <f t="shared" si="226"/>
        <v>103948.911751126,489275.065413919</v>
      </c>
      <c r="H425" s="16">
        <v>135</v>
      </c>
      <c r="I425" s="16">
        <f t="shared" si="227"/>
        <v>135</v>
      </c>
      <c r="J425" s="209">
        <f t="shared" si="228"/>
        <v>0.40740986675392149</v>
      </c>
      <c r="K425" s="209">
        <f t="shared" si="229"/>
        <v>53.94938215164791</v>
      </c>
      <c r="L425" s="692">
        <v>1.1738142967224121</v>
      </c>
      <c r="M425" s="17" t="str">
        <f t="shared" si="230"/>
        <v>53.9493821516479,1.17381429672241</v>
      </c>
      <c r="O425" s="85" t="str">
        <f t="shared" si="231"/>
        <v/>
      </c>
      <c r="P425" s="85" t="str">
        <f t="shared" si="232"/>
        <v>Formule bijwerken voor T6</v>
      </c>
      <c r="Q425" s="233" t="str">
        <f t="shared" si="233"/>
        <v/>
      </c>
      <c r="R425" s="17" t="str">
        <f t="shared" si="234"/>
        <v/>
      </c>
      <c r="S425" s="235" t="str">
        <f t="shared" si="239"/>
        <v>Formule bijwerken voor T6</v>
      </c>
      <c r="T425" s="17" t="str">
        <f t="shared" si="235"/>
        <v/>
      </c>
      <c r="U425" s="85" t="str">
        <f t="shared" si="236"/>
        <v>Formule bijwerken voor  T6</v>
      </c>
      <c r="V425" s="17" t="str">
        <f t="shared" si="237"/>
        <v/>
      </c>
      <c r="W425" s="17" t="str">
        <f t="shared" si="210"/>
        <v/>
      </c>
      <c r="X425" s="17" t="str">
        <f t="shared" si="238"/>
        <v/>
      </c>
      <c r="Y425" s="85" t="str">
        <f t="shared" si="211"/>
        <v/>
      </c>
      <c r="Z425" s="17" t="str">
        <f t="shared" si="212"/>
        <v/>
      </c>
      <c r="AA425" s="17" t="str">
        <f t="shared" si="213"/>
        <v/>
      </c>
      <c r="AB425" s="17" t="str">
        <f t="shared" si="214"/>
        <v/>
      </c>
      <c r="AC425" s="17" t="str">
        <f>IF(O425="","",P425&amp;","&amp;AB$287-Variabelen!B$43)</f>
        <v/>
      </c>
      <c r="AD425" s="17"/>
      <c r="AE425" s="17"/>
      <c r="AF425" s="17"/>
      <c r="AG425" s="17"/>
      <c r="AH425" s="17"/>
      <c r="AI425" s="17" t="str">
        <f>IF(O425="","",P425-Variabelen!B$36&amp;","&amp;AB$287-Variabelen!B$43+Variabelen!B$36)</f>
        <v/>
      </c>
      <c r="AJ425" s="154" t="str">
        <f t="shared" si="215"/>
        <v/>
      </c>
      <c r="AK425" s="17"/>
      <c r="AL425" s="17"/>
      <c r="AM425" s="17"/>
      <c r="AN425" s="17"/>
      <c r="AO425" s="17"/>
      <c r="AP425" s="17" t="str">
        <f>IF(O425="","",P425-Variabelen!B$36&amp;","&amp;AB$287-Variabelen!B$42+Variabelen!B$36)</f>
        <v/>
      </c>
      <c r="AQ425" s="154" t="str">
        <f t="shared" si="216"/>
        <v/>
      </c>
      <c r="AR425" s="17"/>
      <c r="AS425" s="17"/>
      <c r="AT425" s="17"/>
      <c r="AU425" s="17"/>
      <c r="AV425" s="17" t="str">
        <f t="shared" si="217"/>
        <v/>
      </c>
      <c r="AW425" s="17" t="str">
        <f>IF(O425="","",P425-Variabelen!B$36&amp;","&amp;AB$287-Variabelen!B$41+Variabelen!B$36)</f>
        <v/>
      </c>
      <c r="AX425" s="17"/>
      <c r="AY425" s="17"/>
      <c r="AZ425" s="154" t="str">
        <f t="shared" si="218"/>
        <v/>
      </c>
      <c r="BA425" s="17"/>
      <c r="BB425" s="17"/>
      <c r="BC425" s="17"/>
      <c r="BD425" s="17"/>
      <c r="BE425" s="17" t="str">
        <f t="shared" si="219"/>
        <v/>
      </c>
      <c r="BF425" s="17" t="str">
        <f>IF(O425="","",P425-Variabelen!B$36&amp;","&amp;AB$287-Variabelen!B$40+Variabelen!B$36)</f>
        <v/>
      </c>
      <c r="BG425" s="17"/>
      <c r="BH425" s="17"/>
      <c r="BI425" s="154" t="str">
        <f t="shared" si="220"/>
        <v/>
      </c>
      <c r="BJ425" s="17"/>
    </row>
    <row r="426" spans="1:62" x14ac:dyDescent="0.25">
      <c r="A426" s="85">
        <f t="shared" si="221"/>
        <v>136</v>
      </c>
      <c r="B426" s="296">
        <f t="shared" si="222"/>
        <v>103949.30550860886</v>
      </c>
      <c r="C426" s="296">
        <f t="shared" si="223"/>
        <v>489274.9608297685</v>
      </c>
      <c r="D426" s="85">
        <f t="shared" si="240"/>
        <v>2</v>
      </c>
      <c r="E426" s="17">
        <f t="shared" si="224"/>
        <v>0.39375748253951315</v>
      </c>
      <c r="F426" s="17">
        <f t="shared" si="225"/>
        <v>-0.10458415013272315</v>
      </c>
      <c r="G426" s="17" t="str">
        <f t="shared" si="226"/>
        <v>103949.305508609,489274.960829769</v>
      </c>
      <c r="H426" s="16">
        <v>136</v>
      </c>
      <c r="I426" s="16">
        <f t="shared" si="227"/>
        <v>136</v>
      </c>
      <c r="J426" s="209">
        <f t="shared" si="228"/>
        <v>0.40740986673721952</v>
      </c>
      <c r="K426" s="209">
        <f t="shared" si="229"/>
        <v>54.356792018385129</v>
      </c>
      <c r="L426" s="692">
        <v>1.165135264396667</v>
      </c>
      <c r="M426" s="17" t="str">
        <f t="shared" si="230"/>
        <v>54.3567920183851,1.16513526439667</v>
      </c>
      <c r="O426" s="85" t="str">
        <f t="shared" si="231"/>
        <v/>
      </c>
      <c r="P426" s="85" t="str">
        <f t="shared" si="232"/>
        <v>Formule bijwerken voor T6</v>
      </c>
      <c r="Q426" s="233" t="str">
        <f t="shared" si="233"/>
        <v/>
      </c>
      <c r="R426" s="17" t="str">
        <f t="shared" si="234"/>
        <v/>
      </c>
      <c r="S426" s="235" t="str">
        <f t="shared" si="239"/>
        <v>Formule bijwerken voor T6</v>
      </c>
      <c r="T426" s="17" t="str">
        <f t="shared" si="235"/>
        <v/>
      </c>
      <c r="U426" s="85" t="str">
        <f t="shared" si="236"/>
        <v>Formule bijwerken voor  T6</v>
      </c>
      <c r="V426" s="17" t="str">
        <f t="shared" si="237"/>
        <v/>
      </c>
      <c r="W426" s="17" t="str">
        <f t="shared" si="210"/>
        <v/>
      </c>
      <c r="X426" s="17" t="str">
        <f t="shared" si="238"/>
        <v/>
      </c>
      <c r="Y426" s="85" t="str">
        <f t="shared" si="211"/>
        <v/>
      </c>
      <c r="Z426" s="17" t="str">
        <f t="shared" si="212"/>
        <v/>
      </c>
      <c r="AA426" s="17" t="str">
        <f t="shared" si="213"/>
        <v/>
      </c>
      <c r="AB426" s="17" t="str">
        <f t="shared" si="214"/>
        <v/>
      </c>
      <c r="AC426" s="17" t="str">
        <f>IF(O426="","",P426&amp;","&amp;AB$287-Variabelen!B$43)</f>
        <v/>
      </c>
      <c r="AD426" s="17"/>
      <c r="AE426" s="17"/>
      <c r="AF426" s="17"/>
      <c r="AG426" s="17"/>
      <c r="AH426" s="17"/>
      <c r="AI426" s="17" t="str">
        <f>IF(O426="","",P426-Variabelen!B$36&amp;","&amp;AB$287-Variabelen!B$43+Variabelen!B$36)</f>
        <v/>
      </c>
      <c r="AJ426" s="154" t="str">
        <f t="shared" si="215"/>
        <v/>
      </c>
      <c r="AK426" s="17"/>
      <c r="AL426" s="17"/>
      <c r="AM426" s="17"/>
      <c r="AN426" s="17"/>
      <c r="AO426" s="17"/>
      <c r="AP426" s="17" t="str">
        <f>IF(O426="","",P426-Variabelen!B$36&amp;","&amp;AB$287-Variabelen!B$42+Variabelen!B$36)</f>
        <v/>
      </c>
      <c r="AQ426" s="154" t="str">
        <f t="shared" si="216"/>
        <v/>
      </c>
      <c r="AR426" s="17"/>
      <c r="AS426" s="17"/>
      <c r="AT426" s="17"/>
      <c r="AU426" s="17"/>
      <c r="AV426" s="17" t="str">
        <f t="shared" si="217"/>
        <v/>
      </c>
      <c r="AW426" s="17" t="str">
        <f>IF(O426="","",P426-Variabelen!B$36&amp;","&amp;AB$287-Variabelen!B$41+Variabelen!B$36)</f>
        <v/>
      </c>
      <c r="AX426" s="17"/>
      <c r="AY426" s="17"/>
      <c r="AZ426" s="154" t="str">
        <f t="shared" si="218"/>
        <v/>
      </c>
      <c r="BA426" s="17"/>
      <c r="BB426" s="17"/>
      <c r="BC426" s="17"/>
      <c r="BD426" s="17"/>
      <c r="BE426" s="17" t="str">
        <f t="shared" si="219"/>
        <v/>
      </c>
      <c r="BF426" s="17" t="str">
        <f>IF(O426="","",P426-Variabelen!B$36&amp;","&amp;AB$287-Variabelen!B$40+Variabelen!B$36)</f>
        <v/>
      </c>
      <c r="BG426" s="17"/>
      <c r="BH426" s="17"/>
      <c r="BI426" s="154" t="str">
        <f t="shared" si="220"/>
        <v/>
      </c>
      <c r="BJ426" s="17"/>
    </row>
    <row r="427" spans="1:62" x14ac:dyDescent="0.25">
      <c r="A427" s="85">
        <f t="shared" si="221"/>
        <v>137</v>
      </c>
      <c r="B427" s="296">
        <f t="shared" si="222"/>
        <v>103949.69954869621</v>
      </c>
      <c r="C427" s="296">
        <f t="shared" si="223"/>
        <v>489274.85731547431</v>
      </c>
      <c r="D427" s="85">
        <f t="shared" si="240"/>
        <v>2</v>
      </c>
      <c r="E427" s="17">
        <f t="shared" si="224"/>
        <v>0.39404008735436946</v>
      </c>
      <c r="F427" s="17">
        <f t="shared" si="225"/>
        <v>-0.10351429419824854</v>
      </c>
      <c r="G427" s="17" t="str">
        <f t="shared" si="226"/>
        <v>103949.699548696,489274.857315474</v>
      </c>
      <c r="H427" s="16">
        <v>137</v>
      </c>
      <c r="I427" s="16">
        <f t="shared" si="227"/>
        <v>137</v>
      </c>
      <c r="J427" s="209">
        <f t="shared" si="228"/>
        <v>0.40740986677497226</v>
      </c>
      <c r="K427" s="209">
        <f t="shared" si="229"/>
        <v>54.764201885160098</v>
      </c>
      <c r="L427" s="692">
        <v>1.1615509986877439</v>
      </c>
      <c r="M427" s="17" t="str">
        <f t="shared" si="230"/>
        <v>54.7642018851601,1.16155099868774</v>
      </c>
      <c r="O427" s="85" t="str">
        <f t="shared" si="231"/>
        <v/>
      </c>
      <c r="P427" s="85" t="str">
        <f t="shared" si="232"/>
        <v>Formule bijwerken voor T6</v>
      </c>
      <c r="Q427" s="233" t="str">
        <f t="shared" si="233"/>
        <v/>
      </c>
      <c r="R427" s="17" t="str">
        <f t="shared" si="234"/>
        <v/>
      </c>
      <c r="S427" s="235" t="str">
        <f t="shared" si="239"/>
        <v>Formule bijwerken voor T6</v>
      </c>
      <c r="T427" s="17" t="str">
        <f t="shared" si="235"/>
        <v/>
      </c>
      <c r="U427" s="85" t="str">
        <f t="shared" si="236"/>
        <v>Formule bijwerken voor  T6</v>
      </c>
      <c r="V427" s="17" t="str">
        <f t="shared" si="237"/>
        <v/>
      </c>
      <c r="W427" s="17" t="str">
        <f t="shared" si="210"/>
        <v/>
      </c>
      <c r="X427" s="17" t="str">
        <f t="shared" si="238"/>
        <v/>
      </c>
      <c r="Y427" s="85" t="str">
        <f t="shared" si="211"/>
        <v/>
      </c>
      <c r="Z427" s="17" t="str">
        <f t="shared" si="212"/>
        <v/>
      </c>
      <c r="AA427" s="17" t="str">
        <f t="shared" si="213"/>
        <v/>
      </c>
      <c r="AB427" s="17" t="str">
        <f t="shared" si="214"/>
        <v/>
      </c>
      <c r="AC427" s="17" t="str">
        <f>IF(O427="","",P427&amp;","&amp;AB$287-Variabelen!B$43)</f>
        <v/>
      </c>
      <c r="AD427" s="17"/>
      <c r="AE427" s="17"/>
      <c r="AF427" s="17"/>
      <c r="AG427" s="17"/>
      <c r="AH427" s="17"/>
      <c r="AI427" s="17" t="str">
        <f>IF(O427="","",P427-Variabelen!B$36&amp;","&amp;AB$287-Variabelen!B$43+Variabelen!B$36)</f>
        <v/>
      </c>
      <c r="AJ427" s="154" t="str">
        <f t="shared" si="215"/>
        <v/>
      </c>
      <c r="AK427" s="17"/>
      <c r="AL427" s="17"/>
      <c r="AM427" s="17"/>
      <c r="AN427" s="17"/>
      <c r="AO427" s="17"/>
      <c r="AP427" s="17" t="str">
        <f>IF(O427="","",P427-Variabelen!B$36&amp;","&amp;AB$287-Variabelen!B$42+Variabelen!B$36)</f>
        <v/>
      </c>
      <c r="AQ427" s="154" t="str">
        <f t="shared" si="216"/>
        <v/>
      </c>
      <c r="AR427" s="17"/>
      <c r="AS427" s="17"/>
      <c r="AT427" s="17"/>
      <c r="AU427" s="17"/>
      <c r="AV427" s="17" t="str">
        <f t="shared" si="217"/>
        <v/>
      </c>
      <c r="AW427" s="17" t="str">
        <f>IF(O427="","",P427-Variabelen!B$36&amp;","&amp;AB$287-Variabelen!B$41+Variabelen!B$36)</f>
        <v/>
      </c>
      <c r="AX427" s="17"/>
      <c r="AY427" s="17"/>
      <c r="AZ427" s="154" t="str">
        <f t="shared" si="218"/>
        <v/>
      </c>
      <c r="BA427" s="17"/>
      <c r="BB427" s="17"/>
      <c r="BC427" s="17"/>
      <c r="BD427" s="17"/>
      <c r="BE427" s="17" t="str">
        <f t="shared" si="219"/>
        <v/>
      </c>
      <c r="BF427" s="17" t="str">
        <f>IF(O427="","",P427-Variabelen!B$36&amp;","&amp;AB$287-Variabelen!B$40+Variabelen!B$36)</f>
        <v/>
      </c>
      <c r="BG427" s="17"/>
      <c r="BH427" s="17"/>
      <c r="BI427" s="154" t="str">
        <f t="shared" si="220"/>
        <v/>
      </c>
      <c r="BJ427" s="17"/>
    </row>
    <row r="428" spans="1:62" x14ac:dyDescent="0.25">
      <c r="A428" s="85">
        <f t="shared" si="221"/>
        <v>138</v>
      </c>
      <c r="B428" s="296">
        <f t="shared" si="222"/>
        <v>103950.0938684815</v>
      </c>
      <c r="C428" s="296">
        <f t="shared" si="223"/>
        <v>489274.75487179979</v>
      </c>
      <c r="D428" s="85">
        <f t="shared" si="240"/>
        <v>2</v>
      </c>
      <c r="E428" s="17">
        <f t="shared" si="224"/>
        <v>0.39431978529319167</v>
      </c>
      <c r="F428" s="17">
        <f t="shared" si="225"/>
        <v>-0.10244367452105507</v>
      </c>
      <c r="G428" s="17" t="str">
        <f t="shared" si="226"/>
        <v>103950.093868482,489274.7548718</v>
      </c>
      <c r="H428" s="16">
        <v>138</v>
      </c>
      <c r="I428" s="16">
        <f t="shared" si="227"/>
        <v>138</v>
      </c>
      <c r="J428" s="209">
        <f t="shared" si="228"/>
        <v>0.40740986674729007</v>
      </c>
      <c r="K428" s="209">
        <f t="shared" si="229"/>
        <v>55.171611751907385</v>
      </c>
      <c r="L428" s="692">
        <v>1.1618490219116211</v>
      </c>
      <c r="M428" s="17" t="str">
        <f t="shared" si="230"/>
        <v>55.1716117519074,1.16184902191162</v>
      </c>
      <c r="O428" s="85" t="str">
        <f t="shared" si="231"/>
        <v/>
      </c>
      <c r="P428" s="85" t="str">
        <f t="shared" si="232"/>
        <v>Formule bijwerken voor T6</v>
      </c>
      <c r="Q428" s="233" t="str">
        <f t="shared" si="233"/>
        <v/>
      </c>
      <c r="R428" s="17" t="str">
        <f t="shared" si="234"/>
        <v/>
      </c>
      <c r="S428" s="235" t="str">
        <f t="shared" si="239"/>
        <v>Formule bijwerken voor T6</v>
      </c>
      <c r="T428" s="17" t="str">
        <f t="shared" si="235"/>
        <v/>
      </c>
      <c r="U428" s="85" t="str">
        <f t="shared" si="236"/>
        <v>Formule bijwerken voor  T6</v>
      </c>
      <c r="V428" s="17" t="str">
        <f t="shared" si="237"/>
        <v/>
      </c>
      <c r="W428" s="17" t="str">
        <f t="shared" si="210"/>
        <v/>
      </c>
      <c r="X428" s="17" t="str">
        <f t="shared" si="238"/>
        <v/>
      </c>
      <c r="Y428" s="85" t="str">
        <f t="shared" si="211"/>
        <v/>
      </c>
      <c r="Z428" s="17" t="str">
        <f t="shared" si="212"/>
        <v/>
      </c>
      <c r="AA428" s="17" t="str">
        <f t="shared" si="213"/>
        <v/>
      </c>
      <c r="AB428" s="17" t="str">
        <f t="shared" si="214"/>
        <v/>
      </c>
      <c r="AC428" s="17" t="str">
        <f>IF(O428="","",P428&amp;","&amp;AB$287-Variabelen!B$43)</f>
        <v/>
      </c>
      <c r="AD428" s="17"/>
      <c r="AE428" s="17"/>
      <c r="AF428" s="17"/>
      <c r="AG428" s="17"/>
      <c r="AH428" s="17"/>
      <c r="AI428" s="17" t="str">
        <f>IF(O428="","",P428-Variabelen!B$36&amp;","&amp;AB$287-Variabelen!B$43+Variabelen!B$36)</f>
        <v/>
      </c>
      <c r="AJ428" s="154" t="str">
        <f t="shared" si="215"/>
        <v/>
      </c>
      <c r="AK428" s="17"/>
      <c r="AL428" s="17"/>
      <c r="AM428" s="17"/>
      <c r="AN428" s="17"/>
      <c r="AO428" s="17"/>
      <c r="AP428" s="17" t="str">
        <f>IF(O428="","",P428-Variabelen!B$36&amp;","&amp;AB$287-Variabelen!B$42+Variabelen!B$36)</f>
        <v/>
      </c>
      <c r="AQ428" s="154" t="str">
        <f t="shared" si="216"/>
        <v/>
      </c>
      <c r="AR428" s="17"/>
      <c r="AS428" s="17"/>
      <c r="AT428" s="17"/>
      <c r="AU428" s="17"/>
      <c r="AV428" s="17" t="str">
        <f t="shared" si="217"/>
        <v/>
      </c>
      <c r="AW428" s="17" t="str">
        <f>IF(O428="","",P428-Variabelen!B$36&amp;","&amp;AB$287-Variabelen!B$41+Variabelen!B$36)</f>
        <v/>
      </c>
      <c r="AX428" s="17"/>
      <c r="AY428" s="17"/>
      <c r="AZ428" s="154" t="str">
        <f t="shared" si="218"/>
        <v/>
      </c>
      <c r="BA428" s="17"/>
      <c r="BB428" s="17"/>
      <c r="BC428" s="17"/>
      <c r="BD428" s="17"/>
      <c r="BE428" s="17" t="str">
        <f t="shared" si="219"/>
        <v/>
      </c>
      <c r="BF428" s="17" t="str">
        <f>IF(O428="","",P428-Variabelen!B$36&amp;","&amp;AB$287-Variabelen!B$40+Variabelen!B$36)</f>
        <v/>
      </c>
      <c r="BG428" s="17"/>
      <c r="BH428" s="17"/>
      <c r="BI428" s="154" t="str">
        <f t="shared" si="220"/>
        <v/>
      </c>
      <c r="BJ428" s="17"/>
    </row>
    <row r="429" spans="1:62" x14ac:dyDescent="0.25">
      <c r="A429" s="85">
        <f t="shared" si="221"/>
        <v>139</v>
      </c>
      <c r="B429" s="296">
        <f t="shared" si="222"/>
        <v>103950.48846505585</v>
      </c>
      <c r="C429" s="296">
        <f t="shared" si="223"/>
        <v>489274.65349950053</v>
      </c>
      <c r="D429" s="85">
        <f t="shared" si="240"/>
        <v>2</v>
      </c>
      <c r="E429" s="17">
        <f t="shared" si="224"/>
        <v>0.39459657434781548</v>
      </c>
      <c r="F429" s="17">
        <f t="shared" si="225"/>
        <v>-0.10137229925021529</v>
      </c>
      <c r="G429" s="17" t="str">
        <f t="shared" si="226"/>
        <v>103950.488465056,489274.653499501</v>
      </c>
      <c r="H429" s="16">
        <v>139</v>
      </c>
      <c r="I429" s="16">
        <f t="shared" si="227"/>
        <v>139</v>
      </c>
      <c r="J429" s="209">
        <f t="shared" si="228"/>
        <v>0.40740986677092916</v>
      </c>
      <c r="K429" s="209">
        <f t="shared" si="229"/>
        <v>55.579021618678311</v>
      </c>
      <c r="L429" s="692">
        <v>1.160077691078186</v>
      </c>
      <c r="M429" s="17" t="str">
        <f t="shared" si="230"/>
        <v>55.5790216186783,1.16007769107819</v>
      </c>
      <c r="O429" s="85" t="str">
        <f t="shared" si="231"/>
        <v/>
      </c>
      <c r="P429" s="85" t="str">
        <f t="shared" si="232"/>
        <v>Formule bijwerken voor T6</v>
      </c>
      <c r="Q429" s="233" t="str">
        <f t="shared" si="233"/>
        <v/>
      </c>
      <c r="R429" s="17" t="str">
        <f t="shared" si="234"/>
        <v/>
      </c>
      <c r="S429" s="235" t="str">
        <f t="shared" si="239"/>
        <v>Formule bijwerken voor T6</v>
      </c>
      <c r="T429" s="17" t="str">
        <f t="shared" si="235"/>
        <v/>
      </c>
      <c r="U429" s="85" t="str">
        <f t="shared" si="236"/>
        <v>Formule bijwerken voor  T6</v>
      </c>
      <c r="V429" s="17" t="str">
        <f t="shared" si="237"/>
        <v/>
      </c>
      <c r="W429" s="17" t="str">
        <f t="shared" si="210"/>
        <v/>
      </c>
      <c r="X429" s="17" t="str">
        <f t="shared" si="238"/>
        <v/>
      </c>
      <c r="Y429" s="85" t="str">
        <f t="shared" si="211"/>
        <v/>
      </c>
      <c r="Z429" s="17" t="str">
        <f t="shared" si="212"/>
        <v/>
      </c>
      <c r="AA429" s="17" t="str">
        <f t="shared" si="213"/>
        <v/>
      </c>
      <c r="AB429" s="17" t="str">
        <f t="shared" si="214"/>
        <v/>
      </c>
      <c r="AC429" s="17" t="str">
        <f>IF(O429="","",P429&amp;","&amp;AB$287-Variabelen!B$43)</f>
        <v/>
      </c>
      <c r="AD429" s="17"/>
      <c r="AE429" s="17"/>
      <c r="AF429" s="17"/>
      <c r="AG429" s="17"/>
      <c r="AH429" s="17"/>
      <c r="AI429" s="17" t="str">
        <f>IF(O429="","",P429-Variabelen!B$36&amp;","&amp;AB$287-Variabelen!B$43+Variabelen!B$36)</f>
        <v/>
      </c>
      <c r="AJ429" s="154" t="str">
        <f t="shared" si="215"/>
        <v/>
      </c>
      <c r="AK429" s="17"/>
      <c r="AL429" s="17"/>
      <c r="AM429" s="17"/>
      <c r="AN429" s="17"/>
      <c r="AO429" s="17"/>
      <c r="AP429" s="17" t="str">
        <f>IF(O429="","",P429-Variabelen!B$36&amp;","&amp;AB$287-Variabelen!B$42+Variabelen!B$36)</f>
        <v/>
      </c>
      <c r="AQ429" s="154" t="str">
        <f t="shared" si="216"/>
        <v/>
      </c>
      <c r="AR429" s="17"/>
      <c r="AS429" s="17"/>
      <c r="AT429" s="17"/>
      <c r="AU429" s="17"/>
      <c r="AV429" s="17" t="str">
        <f t="shared" si="217"/>
        <v/>
      </c>
      <c r="AW429" s="17" t="str">
        <f>IF(O429="","",P429-Variabelen!B$36&amp;","&amp;AB$287-Variabelen!B$41+Variabelen!B$36)</f>
        <v/>
      </c>
      <c r="AX429" s="17"/>
      <c r="AY429" s="17"/>
      <c r="AZ429" s="154" t="str">
        <f t="shared" si="218"/>
        <v/>
      </c>
      <c r="BA429" s="17"/>
      <c r="BB429" s="17"/>
      <c r="BC429" s="17"/>
      <c r="BD429" s="17"/>
      <c r="BE429" s="17" t="str">
        <f t="shared" si="219"/>
        <v/>
      </c>
      <c r="BF429" s="17" t="str">
        <f>IF(O429="","",P429-Variabelen!B$36&amp;","&amp;AB$287-Variabelen!B$40+Variabelen!B$36)</f>
        <v/>
      </c>
      <c r="BG429" s="17"/>
      <c r="BH429" s="17"/>
      <c r="BI429" s="154" t="str">
        <f t="shared" si="220"/>
        <v/>
      </c>
      <c r="BJ429" s="17"/>
    </row>
    <row r="430" spans="1:62" x14ac:dyDescent="0.25">
      <c r="A430" s="85">
        <f t="shared" si="221"/>
        <v>140</v>
      </c>
      <c r="B430" s="296">
        <f t="shared" si="222"/>
        <v>103950.8833355083</v>
      </c>
      <c r="C430" s="296">
        <f t="shared" si="223"/>
        <v>489274.55319932452</v>
      </c>
      <c r="D430" s="85">
        <f t="shared" si="240"/>
        <v>2</v>
      </c>
      <c r="E430" s="17">
        <f t="shared" si="224"/>
        <v>0.39487045245186891</v>
      </c>
      <c r="F430" s="17">
        <f t="shared" si="225"/>
        <v>-0.10030017601093277</v>
      </c>
      <c r="G430" s="17" t="str">
        <f t="shared" si="226"/>
        <v>103950.883335508,489274.553199325</v>
      </c>
      <c r="H430" s="16">
        <v>140</v>
      </c>
      <c r="I430" s="16">
        <f t="shared" si="227"/>
        <v>140</v>
      </c>
      <c r="J430" s="209">
        <f t="shared" si="228"/>
        <v>0.40740986675259572</v>
      </c>
      <c r="K430" s="209">
        <f t="shared" si="229"/>
        <v>55.986431485430906</v>
      </c>
      <c r="L430" s="692">
        <v>1.163777351379395</v>
      </c>
      <c r="M430" s="17" t="str">
        <f t="shared" si="230"/>
        <v>55.9864314854309,1.16377735137939</v>
      </c>
      <c r="O430" s="85" t="str">
        <f t="shared" si="231"/>
        <v/>
      </c>
      <c r="P430" s="85" t="str">
        <f t="shared" si="232"/>
        <v>Formule bijwerken voor T6</v>
      </c>
      <c r="Q430" s="233" t="str">
        <f t="shared" si="233"/>
        <v/>
      </c>
      <c r="R430" s="17" t="str">
        <f t="shared" si="234"/>
        <v/>
      </c>
      <c r="S430" s="235" t="str">
        <f t="shared" si="239"/>
        <v>Formule bijwerken voor T6</v>
      </c>
      <c r="T430" s="17" t="str">
        <f t="shared" si="235"/>
        <v/>
      </c>
      <c r="U430" s="85" t="str">
        <f t="shared" si="236"/>
        <v>Formule bijwerken voor  T6</v>
      </c>
      <c r="V430" s="17" t="str">
        <f t="shared" si="237"/>
        <v/>
      </c>
      <c r="W430" s="17" t="str">
        <f t="shared" si="210"/>
        <v/>
      </c>
      <c r="X430" s="17" t="str">
        <f t="shared" si="238"/>
        <v/>
      </c>
      <c r="Y430" s="85" t="str">
        <f t="shared" si="211"/>
        <v/>
      </c>
      <c r="Z430" s="17" t="str">
        <f t="shared" si="212"/>
        <v/>
      </c>
      <c r="AA430" s="17" t="str">
        <f t="shared" si="213"/>
        <v/>
      </c>
      <c r="AB430" s="17" t="str">
        <f t="shared" si="214"/>
        <v/>
      </c>
      <c r="AC430" s="17" t="str">
        <f>IF(O430="","",P430&amp;","&amp;AB$287-Variabelen!B$43)</f>
        <v/>
      </c>
      <c r="AD430" s="17"/>
      <c r="AE430" s="17"/>
      <c r="AF430" s="17"/>
      <c r="AG430" s="17"/>
      <c r="AH430" s="17"/>
      <c r="AI430" s="17" t="str">
        <f>IF(O430="","",P430-Variabelen!B$36&amp;","&amp;AB$287-Variabelen!B$43+Variabelen!B$36)</f>
        <v/>
      </c>
      <c r="AJ430" s="154" t="str">
        <f t="shared" si="215"/>
        <v/>
      </c>
      <c r="AK430" s="17"/>
      <c r="AL430" s="17"/>
      <c r="AM430" s="17"/>
      <c r="AN430" s="17"/>
      <c r="AO430" s="17"/>
      <c r="AP430" s="17" t="str">
        <f>IF(O430="","",P430-Variabelen!B$36&amp;","&amp;AB$287-Variabelen!B$42+Variabelen!B$36)</f>
        <v/>
      </c>
      <c r="AQ430" s="154" t="str">
        <f t="shared" si="216"/>
        <v/>
      </c>
      <c r="AR430" s="17"/>
      <c r="AS430" s="17"/>
      <c r="AT430" s="17"/>
      <c r="AU430" s="17"/>
      <c r="AV430" s="17" t="str">
        <f t="shared" si="217"/>
        <v/>
      </c>
      <c r="AW430" s="17" t="str">
        <f>IF(O430="","",P430-Variabelen!B$36&amp;","&amp;AB$287-Variabelen!B$41+Variabelen!B$36)</f>
        <v/>
      </c>
      <c r="AX430" s="17"/>
      <c r="AY430" s="17"/>
      <c r="AZ430" s="154" t="str">
        <f t="shared" si="218"/>
        <v/>
      </c>
      <c r="BA430" s="17"/>
      <c r="BB430" s="17"/>
      <c r="BC430" s="17"/>
      <c r="BD430" s="17"/>
      <c r="BE430" s="17" t="str">
        <f t="shared" si="219"/>
        <v/>
      </c>
      <c r="BF430" s="17" t="str">
        <f>IF(O430="","",P430-Variabelen!B$36&amp;","&amp;AB$287-Variabelen!B$40+Variabelen!B$36)</f>
        <v/>
      </c>
      <c r="BG430" s="17"/>
      <c r="BH430" s="17"/>
      <c r="BI430" s="154" t="str">
        <f t="shared" si="220"/>
        <v/>
      </c>
      <c r="BJ430" s="17"/>
    </row>
    <row r="431" spans="1:62" x14ac:dyDescent="0.25">
      <c r="A431" s="85">
        <f t="shared" si="221"/>
        <v>141</v>
      </c>
      <c r="B431" s="296">
        <f t="shared" si="222"/>
        <v>103951.2784769259</v>
      </c>
      <c r="C431" s="296">
        <f t="shared" si="223"/>
        <v>489274.45397201157</v>
      </c>
      <c r="D431" s="85">
        <f t="shared" si="240"/>
        <v>2</v>
      </c>
      <c r="E431" s="17">
        <f t="shared" si="224"/>
        <v>0.39514141759718768</v>
      </c>
      <c r="F431" s="17">
        <f t="shared" si="225"/>
        <v>-9.9227312952280045E-2</v>
      </c>
      <c r="G431" s="17" t="str">
        <f t="shared" si="226"/>
        <v>103951.278476926,489274.453972012</v>
      </c>
      <c r="H431" s="16">
        <v>141</v>
      </c>
      <c r="I431" s="16">
        <f t="shared" si="227"/>
        <v>141</v>
      </c>
      <c r="J431" s="209">
        <f t="shared" si="228"/>
        <v>0.40740986676373558</v>
      </c>
      <c r="K431" s="209">
        <f t="shared" si="229"/>
        <v>56.393841352194642</v>
      </c>
      <c r="L431" s="692">
        <v>1.1792976856231689</v>
      </c>
      <c r="M431" s="17" t="str">
        <f t="shared" si="230"/>
        <v>56.3938413521946,1.17929768562317</v>
      </c>
      <c r="O431" s="85" t="str">
        <f t="shared" si="231"/>
        <v/>
      </c>
      <c r="P431" s="85" t="str">
        <f t="shared" si="232"/>
        <v>Formule bijwerken voor T6</v>
      </c>
      <c r="Q431" s="233" t="str">
        <f t="shared" si="233"/>
        <v/>
      </c>
      <c r="R431" s="17" t="str">
        <f t="shared" si="234"/>
        <v/>
      </c>
      <c r="S431" s="235" t="str">
        <f t="shared" si="239"/>
        <v>Formule bijwerken voor T6</v>
      </c>
      <c r="T431" s="17" t="str">
        <f t="shared" si="235"/>
        <v/>
      </c>
      <c r="U431" s="85" t="str">
        <f t="shared" si="236"/>
        <v>Formule bijwerken voor  T6</v>
      </c>
      <c r="V431" s="17" t="str">
        <f t="shared" si="237"/>
        <v/>
      </c>
      <c r="W431" s="17" t="str">
        <f t="shared" si="210"/>
        <v/>
      </c>
      <c r="X431" s="17" t="str">
        <f t="shared" si="238"/>
        <v/>
      </c>
      <c r="Y431" s="85" t="str">
        <f t="shared" si="211"/>
        <v/>
      </c>
      <c r="Z431" s="17" t="str">
        <f t="shared" si="212"/>
        <v/>
      </c>
      <c r="AA431" s="17" t="str">
        <f t="shared" si="213"/>
        <v/>
      </c>
      <c r="AB431" s="17" t="str">
        <f t="shared" si="214"/>
        <v/>
      </c>
      <c r="AC431" s="17" t="str">
        <f>IF(O431="","",P431&amp;","&amp;AB$287-Variabelen!B$43)</f>
        <v/>
      </c>
      <c r="AD431" s="17"/>
      <c r="AE431" s="17"/>
      <c r="AF431" s="17"/>
      <c r="AG431" s="17"/>
      <c r="AH431" s="17"/>
      <c r="AI431" s="17" t="str">
        <f>IF(O431="","",P431-Variabelen!B$36&amp;","&amp;AB$287-Variabelen!B$43+Variabelen!B$36)</f>
        <v/>
      </c>
      <c r="AJ431" s="154" t="str">
        <f t="shared" si="215"/>
        <v/>
      </c>
      <c r="AK431" s="17"/>
      <c r="AL431" s="17"/>
      <c r="AM431" s="17"/>
      <c r="AN431" s="17"/>
      <c r="AO431" s="17"/>
      <c r="AP431" s="17" t="str">
        <f>IF(O431="","",P431-Variabelen!B$36&amp;","&amp;AB$287-Variabelen!B$42+Variabelen!B$36)</f>
        <v/>
      </c>
      <c r="AQ431" s="154" t="str">
        <f t="shared" si="216"/>
        <v/>
      </c>
      <c r="AR431" s="17"/>
      <c r="AS431" s="17"/>
      <c r="AT431" s="17"/>
      <c r="AU431" s="17"/>
      <c r="AV431" s="17" t="str">
        <f t="shared" si="217"/>
        <v/>
      </c>
      <c r="AW431" s="17" t="str">
        <f>IF(O431="","",P431-Variabelen!B$36&amp;","&amp;AB$287-Variabelen!B$41+Variabelen!B$36)</f>
        <v/>
      </c>
      <c r="AX431" s="17"/>
      <c r="AY431" s="17"/>
      <c r="AZ431" s="154" t="str">
        <f t="shared" si="218"/>
        <v/>
      </c>
      <c r="BA431" s="17"/>
      <c r="BB431" s="17"/>
      <c r="BC431" s="17"/>
      <c r="BD431" s="17"/>
      <c r="BE431" s="17" t="str">
        <f t="shared" si="219"/>
        <v/>
      </c>
      <c r="BF431" s="17" t="str">
        <f>IF(O431="","",P431-Variabelen!B$36&amp;","&amp;AB$287-Variabelen!B$40+Variabelen!B$36)</f>
        <v/>
      </c>
      <c r="BG431" s="17"/>
      <c r="BH431" s="17"/>
      <c r="BI431" s="154" t="str">
        <f t="shared" si="220"/>
        <v/>
      </c>
      <c r="BJ431" s="17"/>
    </row>
    <row r="432" spans="1:62" x14ac:dyDescent="0.25">
      <c r="A432" s="85">
        <f t="shared" si="221"/>
        <v>142</v>
      </c>
      <c r="B432" s="296">
        <f t="shared" si="222"/>
        <v>103951.67388639368</v>
      </c>
      <c r="C432" s="296">
        <f t="shared" si="223"/>
        <v>489274.35581829376</v>
      </c>
      <c r="D432" s="85">
        <f t="shared" si="240"/>
        <v>2</v>
      </c>
      <c r="E432" s="17">
        <f t="shared" si="224"/>
        <v>0.39540946777560748</v>
      </c>
      <c r="F432" s="17">
        <f t="shared" si="225"/>
        <v>-9.8153717815876007E-2</v>
      </c>
      <c r="G432" s="17" t="str">
        <f t="shared" si="226"/>
        <v>103951.673886394,489274.355818294</v>
      </c>
      <c r="H432" s="16">
        <v>142</v>
      </c>
      <c r="I432" s="16">
        <f t="shared" si="227"/>
        <v>142</v>
      </c>
      <c r="J432" s="209">
        <f t="shared" si="228"/>
        <v>0.40740986675296387</v>
      </c>
      <c r="K432" s="209">
        <f t="shared" si="229"/>
        <v>56.801251218947606</v>
      </c>
      <c r="L432" s="692">
        <v>1.1907176971435549</v>
      </c>
      <c r="M432" s="17" t="str">
        <f t="shared" si="230"/>
        <v>56.8012512189476,1.19071769714355</v>
      </c>
      <c r="O432" s="85" t="str">
        <f t="shared" si="231"/>
        <v/>
      </c>
      <c r="P432" s="85" t="str">
        <f t="shared" si="232"/>
        <v>Formule bijwerken voor T6</v>
      </c>
      <c r="Q432" s="233" t="str">
        <f t="shared" si="233"/>
        <v/>
      </c>
      <c r="R432" s="17" t="str">
        <f t="shared" si="234"/>
        <v/>
      </c>
      <c r="S432" s="235" t="str">
        <f t="shared" si="239"/>
        <v>Formule bijwerken voor T6</v>
      </c>
      <c r="T432" s="17" t="str">
        <f t="shared" si="235"/>
        <v/>
      </c>
      <c r="U432" s="85" t="str">
        <f t="shared" si="236"/>
        <v>Formule bijwerken voor  T6</v>
      </c>
      <c r="V432" s="17" t="str">
        <f t="shared" si="237"/>
        <v/>
      </c>
      <c r="W432" s="17" t="str">
        <f t="shared" si="210"/>
        <v/>
      </c>
      <c r="X432" s="17" t="str">
        <f t="shared" si="238"/>
        <v/>
      </c>
      <c r="Y432" s="85" t="str">
        <f t="shared" si="211"/>
        <v/>
      </c>
      <c r="Z432" s="17" t="str">
        <f t="shared" si="212"/>
        <v/>
      </c>
      <c r="AA432" s="17" t="str">
        <f t="shared" si="213"/>
        <v/>
      </c>
      <c r="AB432" s="17" t="str">
        <f t="shared" si="214"/>
        <v/>
      </c>
      <c r="AC432" s="17" t="str">
        <f>IF(O432="","",P432&amp;","&amp;AB$287-Variabelen!B$43)</f>
        <v/>
      </c>
      <c r="AD432" s="17"/>
      <c r="AE432" s="17"/>
      <c r="AF432" s="17"/>
      <c r="AG432" s="17"/>
      <c r="AH432" s="17"/>
      <c r="AI432" s="17" t="str">
        <f>IF(O432="","",P432-Variabelen!B$36&amp;","&amp;AB$287-Variabelen!B$43+Variabelen!B$36)</f>
        <v/>
      </c>
      <c r="AJ432" s="154" t="str">
        <f t="shared" si="215"/>
        <v/>
      </c>
      <c r="AK432" s="17"/>
      <c r="AL432" s="17"/>
      <c r="AM432" s="17"/>
      <c r="AN432" s="17"/>
      <c r="AO432" s="17"/>
      <c r="AP432" s="17" t="str">
        <f>IF(O432="","",P432-Variabelen!B$36&amp;","&amp;AB$287-Variabelen!B$42+Variabelen!B$36)</f>
        <v/>
      </c>
      <c r="AQ432" s="154" t="str">
        <f t="shared" si="216"/>
        <v/>
      </c>
      <c r="AR432" s="17"/>
      <c r="AS432" s="17"/>
      <c r="AT432" s="17"/>
      <c r="AU432" s="17"/>
      <c r="AV432" s="17" t="str">
        <f t="shared" si="217"/>
        <v/>
      </c>
      <c r="AW432" s="17" t="str">
        <f>IF(O432="","",P432-Variabelen!B$36&amp;","&amp;AB$287-Variabelen!B$41+Variabelen!B$36)</f>
        <v/>
      </c>
      <c r="AX432" s="17"/>
      <c r="AY432" s="17"/>
      <c r="AZ432" s="154" t="str">
        <f t="shared" si="218"/>
        <v/>
      </c>
      <c r="BA432" s="17"/>
      <c r="BB432" s="17"/>
      <c r="BC432" s="17"/>
      <c r="BD432" s="17"/>
      <c r="BE432" s="17" t="str">
        <f t="shared" si="219"/>
        <v/>
      </c>
      <c r="BF432" s="17" t="str">
        <f>IF(O432="","",P432-Variabelen!B$36&amp;","&amp;AB$287-Variabelen!B$40+Variabelen!B$36)</f>
        <v/>
      </c>
      <c r="BG432" s="17"/>
      <c r="BH432" s="17"/>
      <c r="BI432" s="154" t="str">
        <f t="shared" si="220"/>
        <v/>
      </c>
      <c r="BJ432" s="17"/>
    </row>
    <row r="433" spans="1:62" x14ac:dyDescent="0.25">
      <c r="A433" s="85">
        <f t="shared" si="221"/>
        <v>143</v>
      </c>
      <c r="B433" s="296">
        <f t="shared" si="222"/>
        <v>103952.06956099469</v>
      </c>
      <c r="C433" s="296">
        <f t="shared" si="223"/>
        <v>489274.25873889512</v>
      </c>
      <c r="D433" s="85">
        <f t="shared" si="240"/>
        <v>2</v>
      </c>
      <c r="E433" s="17">
        <f t="shared" si="224"/>
        <v>0.39567460100806784</v>
      </c>
      <c r="F433" s="17">
        <f t="shared" si="225"/>
        <v>-9.7079398634377867E-2</v>
      </c>
      <c r="G433" s="17" t="str">
        <f t="shared" si="226"/>
        <v>103952.069560995,489274.258738895</v>
      </c>
      <c r="H433" s="16">
        <v>143</v>
      </c>
      <c r="I433" s="16">
        <f t="shared" si="227"/>
        <v>143</v>
      </c>
      <c r="J433" s="209">
        <f t="shared" si="228"/>
        <v>0.40740986674613827</v>
      </c>
      <c r="K433" s="209">
        <f t="shared" si="229"/>
        <v>57.208661085693741</v>
      </c>
      <c r="L433" s="692">
        <v>1.195483803749084</v>
      </c>
      <c r="M433" s="17" t="str">
        <f t="shared" si="230"/>
        <v>57.2086610856937,1.19548380374908</v>
      </c>
      <c r="O433" s="16">
        <f>MAX(O291:O432)</f>
        <v>79</v>
      </c>
      <c r="P433" s="212" t="str">
        <f>IF(VLOOKUP($O$433,$O$291:$P$432,2,FALSE)&lt;&gt;$M$10,"CHECK: Lengte klopt niet!!!!","OK")</f>
        <v>OK</v>
      </c>
      <c r="X433" s="17">
        <f>IF(O433="","",W433-VLOOKUP(P433,K$291:L$1291,2,TRUE))</f>
        <v>0</v>
      </c>
      <c r="BI433" s="154">
        <f t="shared" si="220"/>
        <v>0</v>
      </c>
    </row>
    <row r="434" spans="1:62" x14ac:dyDescent="0.25">
      <c r="A434" s="85">
        <f t="shared" si="221"/>
        <v>144</v>
      </c>
      <c r="B434" s="296">
        <f t="shared" si="222"/>
        <v>103952.46549781004</v>
      </c>
      <c r="C434" s="296">
        <f t="shared" si="223"/>
        <v>489274.16273453174</v>
      </c>
      <c r="D434" s="85">
        <f t="shared" si="240"/>
        <v>2</v>
      </c>
      <c r="E434" s="17">
        <f t="shared" si="224"/>
        <v>0.39593681535916403</v>
      </c>
      <c r="F434" s="17">
        <f t="shared" si="225"/>
        <v>-9.6004363382235169E-2</v>
      </c>
      <c r="G434" s="17" t="str">
        <f t="shared" si="226"/>
        <v>103952.46549781,489274.162734532</v>
      </c>
      <c r="H434" s="16">
        <v>144</v>
      </c>
      <c r="I434" s="16">
        <f t="shared" si="227"/>
        <v>144</v>
      </c>
      <c r="J434" s="209">
        <f t="shared" si="228"/>
        <v>0.40740986677446217</v>
      </c>
      <c r="K434" s="209">
        <f t="shared" si="229"/>
        <v>57.616070952468206</v>
      </c>
      <c r="L434" s="692">
        <v>1.1834315061569209</v>
      </c>
      <c r="M434" s="17" t="str">
        <f t="shared" si="230"/>
        <v>57.6160709524682,1.18343150615692</v>
      </c>
      <c r="X434" s="17" t="str">
        <f>IF(O434="","",W434-VLOOKUP(P434,K$291:L$1291,2,TRUE))</f>
        <v/>
      </c>
      <c r="Z434" s="52">
        <v>1</v>
      </c>
      <c r="AA434" s="53">
        <v>2</v>
      </c>
      <c r="AB434" s="53">
        <v>3</v>
      </c>
      <c r="AC434" s="53">
        <v>4</v>
      </c>
      <c r="AD434" s="53">
        <v>5</v>
      </c>
      <c r="AE434" s="53">
        <v>6</v>
      </c>
      <c r="AF434" s="53">
        <v>7</v>
      </c>
      <c r="AG434" s="53">
        <v>8</v>
      </c>
      <c r="AH434" s="53">
        <v>9</v>
      </c>
      <c r="AI434" s="53">
        <v>10</v>
      </c>
      <c r="AJ434" s="53">
        <v>11</v>
      </c>
      <c r="AK434" s="53">
        <v>12</v>
      </c>
      <c r="AL434" s="53">
        <v>13</v>
      </c>
      <c r="AM434" s="53">
        <v>14</v>
      </c>
      <c r="AN434" s="53">
        <v>15</v>
      </c>
      <c r="AO434" s="53">
        <v>16</v>
      </c>
      <c r="AP434" s="53">
        <v>17</v>
      </c>
      <c r="AQ434" s="53">
        <v>18</v>
      </c>
      <c r="AR434" s="53">
        <v>19</v>
      </c>
      <c r="AS434" s="53">
        <v>20</v>
      </c>
      <c r="AT434" s="53">
        <v>21</v>
      </c>
      <c r="AU434" s="53">
        <v>22</v>
      </c>
      <c r="AV434" s="53">
        <v>23</v>
      </c>
      <c r="AW434" s="53">
        <v>24</v>
      </c>
      <c r="AX434" s="53">
        <v>25</v>
      </c>
      <c r="AY434" s="53">
        <v>26</v>
      </c>
      <c r="AZ434" s="53">
        <v>27</v>
      </c>
      <c r="BA434" s="53">
        <v>28</v>
      </c>
      <c r="BB434" s="53">
        <v>29</v>
      </c>
      <c r="BC434" s="53">
        <v>30</v>
      </c>
      <c r="BD434" s="53">
        <v>31</v>
      </c>
      <c r="BE434" s="53">
        <v>32</v>
      </c>
      <c r="BF434" s="53">
        <v>33</v>
      </c>
      <c r="BG434" s="53">
        <v>34</v>
      </c>
      <c r="BH434" s="53">
        <v>35</v>
      </c>
      <c r="BI434" s="53">
        <v>36</v>
      </c>
      <c r="BJ434" s="54">
        <v>37</v>
      </c>
    </row>
    <row r="435" spans="1:62" x14ac:dyDescent="0.25">
      <c r="A435" s="85">
        <f t="shared" si="221"/>
        <v>145</v>
      </c>
      <c r="B435" s="296">
        <f t="shared" si="222"/>
        <v>103952.86169391891</v>
      </c>
      <c r="C435" s="296">
        <f t="shared" si="223"/>
        <v>489274.067805912</v>
      </c>
      <c r="D435" s="85">
        <f t="shared" si="240"/>
        <v>2</v>
      </c>
      <c r="E435" s="17">
        <f t="shared" si="224"/>
        <v>0.3961961088643875</v>
      </c>
      <c r="F435" s="17">
        <f t="shared" si="225"/>
        <v>-9.4928619742859155E-2</v>
      </c>
      <c r="G435" s="17" t="str">
        <f t="shared" si="226"/>
        <v>103952.861693919,489274.067805912</v>
      </c>
      <c r="H435" s="16">
        <v>145</v>
      </c>
      <c r="I435" s="16">
        <f t="shared" si="227"/>
        <v>145</v>
      </c>
      <c r="J435" s="209">
        <f t="shared" si="228"/>
        <v>0.40740986675038438</v>
      </c>
      <c r="K435" s="209">
        <f t="shared" si="229"/>
        <v>58.023480819218591</v>
      </c>
      <c r="L435" s="692">
        <v>1.1964262723922729</v>
      </c>
      <c r="M435" s="17" t="str">
        <f t="shared" si="230"/>
        <v>58.0234808192186,1.19642627239227</v>
      </c>
    </row>
    <row r="436" spans="1:62" x14ac:dyDescent="0.25">
      <c r="A436" s="85">
        <f t="shared" si="221"/>
        <v>146</v>
      </c>
      <c r="B436" s="296">
        <f t="shared" si="222"/>
        <v>103953.25814639853</v>
      </c>
      <c r="C436" s="296">
        <f t="shared" si="223"/>
        <v>489273.97395373601</v>
      </c>
      <c r="D436" s="85">
        <f t="shared" si="240"/>
        <v>2</v>
      </c>
      <c r="E436" s="17">
        <f t="shared" si="224"/>
        <v>0.39645247961743735</v>
      </c>
      <c r="F436" s="17">
        <f t="shared" si="225"/>
        <v>-9.3852175981737673E-2</v>
      </c>
      <c r="G436" s="17" t="str">
        <f t="shared" si="226"/>
        <v>103953.258146399,489273.973953736</v>
      </c>
      <c r="H436" s="16">
        <v>146</v>
      </c>
      <c r="I436" s="16">
        <f t="shared" si="227"/>
        <v>146</v>
      </c>
      <c r="J436" s="209">
        <f t="shared" si="228"/>
        <v>0.40740986675744811</v>
      </c>
      <c r="K436" s="209">
        <f t="shared" si="229"/>
        <v>58.430890685976038</v>
      </c>
      <c r="L436" s="692">
        <v>1.194162845611572</v>
      </c>
      <c r="M436" s="17" t="str">
        <f t="shared" si="230"/>
        <v>58.430890685976,1.19416284561157</v>
      </c>
    </row>
    <row r="437" spans="1:62" x14ac:dyDescent="0.25">
      <c r="A437" s="85">
        <f t="shared" si="221"/>
        <v>147</v>
      </c>
      <c r="B437" s="296">
        <f t="shared" si="222"/>
        <v>103953.6548523243</v>
      </c>
      <c r="C437" s="296">
        <f t="shared" si="223"/>
        <v>489273.88117869629</v>
      </c>
      <c r="D437" s="85">
        <f t="shared" si="240"/>
        <v>2</v>
      </c>
      <c r="E437" s="17">
        <f t="shared" si="224"/>
        <v>0.39670592577022035</v>
      </c>
      <c r="F437" s="17">
        <f t="shared" si="225"/>
        <v>-9.2775039724074304E-2</v>
      </c>
      <c r="G437" s="17" t="str">
        <f t="shared" si="226"/>
        <v>103953.654852324,489273.881178696</v>
      </c>
      <c r="H437" s="16">
        <v>147</v>
      </c>
      <c r="I437" s="16">
        <f t="shared" si="227"/>
        <v>147</v>
      </c>
      <c r="J437" s="209">
        <f t="shared" si="228"/>
        <v>0.40740986676443064</v>
      </c>
      <c r="K437" s="209">
        <f t="shared" si="229"/>
        <v>58.838300552740471</v>
      </c>
      <c r="L437" s="692">
        <v>1.184610247612</v>
      </c>
      <c r="M437" s="17" t="str">
        <f t="shared" si="230"/>
        <v>58.8383005527405,1.184610247612</v>
      </c>
    </row>
    <row r="438" spans="1:62" x14ac:dyDescent="0.25">
      <c r="A438" s="85">
        <f t="shared" si="221"/>
        <v>148</v>
      </c>
      <c r="B438" s="296">
        <f t="shared" si="222"/>
        <v>103954.05180876967</v>
      </c>
      <c r="C438" s="296">
        <f t="shared" si="223"/>
        <v>489273.78948147717</v>
      </c>
      <c r="D438" s="85">
        <f t="shared" si="240"/>
        <v>2</v>
      </c>
      <c r="E438" s="17">
        <f t="shared" si="224"/>
        <v>0.39695644537277985</v>
      </c>
      <c r="F438" s="17">
        <f t="shared" si="225"/>
        <v>-9.1697219118941575E-2</v>
      </c>
      <c r="G438" s="17" t="str">
        <f t="shared" si="226"/>
        <v>103954.05180877,489273.789481477</v>
      </c>
      <c r="H438" s="16">
        <v>148</v>
      </c>
      <c r="I438" s="16">
        <f t="shared" si="227"/>
        <v>148</v>
      </c>
      <c r="J438" s="209">
        <f t="shared" si="228"/>
        <v>0.40740986674004342</v>
      </c>
      <c r="K438" s="209">
        <f t="shared" si="229"/>
        <v>59.245710419480517</v>
      </c>
      <c r="L438" s="692">
        <v>1.182574987411499</v>
      </c>
      <c r="M438" s="17" t="str">
        <f t="shared" si="230"/>
        <v>59.2457104194805,1.1825749874115</v>
      </c>
    </row>
    <row r="439" spans="1:62" x14ac:dyDescent="0.25">
      <c r="A439" s="85">
        <f t="shared" si="221"/>
        <v>149</v>
      </c>
      <c r="B439" s="296">
        <f t="shared" si="222"/>
        <v>103954.44901280633</v>
      </c>
      <c r="C439" s="296">
        <f t="shared" si="223"/>
        <v>489273.69886275509</v>
      </c>
      <c r="D439" s="85">
        <f t="shared" si="240"/>
        <v>2</v>
      </c>
      <c r="E439" s="17">
        <f t="shared" si="224"/>
        <v>0.39720403666433413</v>
      </c>
      <c r="F439" s="17">
        <f t="shared" si="225"/>
        <v>-9.0618722082581371E-2</v>
      </c>
      <c r="G439" s="17" t="str">
        <f t="shared" si="226"/>
        <v>103954.449012806,489273.698862755</v>
      </c>
      <c r="H439" s="16">
        <v>149</v>
      </c>
      <c r="I439" s="16">
        <f t="shared" si="227"/>
        <v>149</v>
      </c>
      <c r="J439" s="209">
        <f t="shared" si="228"/>
        <v>0.40740986676113017</v>
      </c>
      <c r="K439" s="209">
        <f t="shared" si="229"/>
        <v>59.653120286241645</v>
      </c>
      <c r="L439" s="692">
        <v>1.180283665657043</v>
      </c>
      <c r="M439" s="17" t="str">
        <f t="shared" si="230"/>
        <v>59.6531202862416,1.18028366565704</v>
      </c>
    </row>
    <row r="440" spans="1:62" x14ac:dyDescent="0.25">
      <c r="A440" s="85">
        <f t="shared" si="221"/>
        <v>150</v>
      </c>
      <c r="B440" s="296">
        <f t="shared" si="222"/>
        <v>103954.84646150409</v>
      </c>
      <c r="C440" s="296">
        <f t="shared" si="223"/>
        <v>489273.6093231985</v>
      </c>
      <c r="D440" s="85">
        <f t="shared" si="240"/>
        <v>2</v>
      </c>
      <c r="E440" s="17">
        <f t="shared" si="224"/>
        <v>0.39744869775313418</v>
      </c>
      <c r="F440" s="17">
        <f t="shared" si="225"/>
        <v>-8.9539556589443237E-2</v>
      </c>
      <c r="G440" s="17" t="str">
        <f t="shared" si="226"/>
        <v>103954.846461504,489273.609323198</v>
      </c>
      <c r="H440" s="16">
        <v>150</v>
      </c>
      <c r="I440" s="16">
        <f t="shared" si="227"/>
        <v>150</v>
      </c>
      <c r="J440" s="209">
        <f t="shared" si="228"/>
        <v>0.40740986676797158</v>
      </c>
      <c r="K440" s="209">
        <f t="shared" si="229"/>
        <v>60.060530153009616</v>
      </c>
      <c r="L440" s="692">
        <v>1.1797939538955691</v>
      </c>
      <c r="M440" s="17" t="str">
        <f t="shared" si="230"/>
        <v>60.0605301530096,1.17979395389557</v>
      </c>
    </row>
    <row r="441" spans="1:62" x14ac:dyDescent="0.25">
      <c r="A441" s="85">
        <f t="shared" si="221"/>
        <v>151</v>
      </c>
      <c r="B441" s="296">
        <f t="shared" si="222"/>
        <v>103955.24415193095</v>
      </c>
      <c r="C441" s="296">
        <f t="shared" si="223"/>
        <v>489273.52086346806</v>
      </c>
      <c r="D441" s="85">
        <f t="shared" si="240"/>
        <v>2</v>
      </c>
      <c r="E441" s="17">
        <f t="shared" si="224"/>
        <v>0.39769042686384637</v>
      </c>
      <c r="F441" s="17">
        <f t="shared" si="225"/>
        <v>-8.8459730439353734E-2</v>
      </c>
      <c r="G441" s="17" t="str">
        <f t="shared" si="226"/>
        <v>103955.244151931,489273.520863468</v>
      </c>
      <c r="H441" s="16">
        <v>151</v>
      </c>
      <c r="I441" s="16">
        <f t="shared" si="227"/>
        <v>151</v>
      </c>
      <c r="J441" s="209">
        <f t="shared" si="228"/>
        <v>0.40740986675404839</v>
      </c>
      <c r="K441" s="209">
        <f t="shared" si="229"/>
        <v>60.467940019763667</v>
      </c>
      <c r="L441" s="692">
        <v>1.1793287992477419</v>
      </c>
      <c r="M441" s="17" t="str">
        <f t="shared" si="230"/>
        <v>60.4679400197637,1.17932879924774</v>
      </c>
    </row>
    <row r="442" spans="1:62" x14ac:dyDescent="0.25">
      <c r="A442" s="85">
        <f t="shared" si="221"/>
        <v>152</v>
      </c>
      <c r="B442" s="296">
        <f t="shared" si="222"/>
        <v>103955.64208115314</v>
      </c>
      <c r="C442" s="296">
        <f t="shared" si="223"/>
        <v>489273.43348421622</v>
      </c>
      <c r="D442" s="85">
        <f t="shared" si="240"/>
        <v>2</v>
      </c>
      <c r="E442" s="17">
        <f t="shared" si="224"/>
        <v>0.39792922219203319</v>
      </c>
      <c r="F442" s="17">
        <f t="shared" si="225"/>
        <v>-8.7379251839593053E-2</v>
      </c>
      <c r="G442" s="17" t="str">
        <f t="shared" si="226"/>
        <v>103955.642081153,489273.433484216</v>
      </c>
      <c r="H442" s="16">
        <v>152</v>
      </c>
      <c r="I442" s="16">
        <f t="shared" si="227"/>
        <v>152</v>
      </c>
      <c r="J442" s="209">
        <f t="shared" si="228"/>
        <v>0.40740986675141233</v>
      </c>
      <c r="K442" s="209">
        <f t="shared" si="229"/>
        <v>60.875349886515082</v>
      </c>
      <c r="L442" s="692">
        <v>1.1795897483825679</v>
      </c>
      <c r="M442" s="17" t="str">
        <f t="shared" si="230"/>
        <v>60.8753498865151,1.17958974838257</v>
      </c>
    </row>
    <row r="443" spans="1:62" x14ac:dyDescent="0.25">
      <c r="A443" s="85">
        <f t="shared" si="221"/>
        <v>153</v>
      </c>
      <c r="B443" s="296">
        <f t="shared" si="222"/>
        <v>103956.04024623516</v>
      </c>
      <c r="C443" s="296">
        <f t="shared" si="223"/>
        <v>489273.34718608763</v>
      </c>
      <c r="D443" s="85">
        <f t="shared" si="240"/>
        <v>2</v>
      </c>
      <c r="E443" s="17">
        <f t="shared" si="224"/>
        <v>0.39816508202056866</v>
      </c>
      <c r="F443" s="17">
        <f t="shared" si="225"/>
        <v>-8.6298128589987755E-2</v>
      </c>
      <c r="G443" s="17" t="str">
        <f t="shared" si="226"/>
        <v>103956.040246235,489273.347186088</v>
      </c>
      <c r="H443" s="16">
        <v>153</v>
      </c>
      <c r="I443" s="16">
        <f t="shared" si="227"/>
        <v>153</v>
      </c>
      <c r="J443" s="209">
        <f t="shared" si="228"/>
        <v>0.40740986676635632</v>
      </c>
      <c r="K443" s="209">
        <f t="shared" si="229"/>
        <v>61.282759753281439</v>
      </c>
      <c r="L443" s="692">
        <v>1.179706454277039</v>
      </c>
      <c r="M443" s="17" t="str">
        <f t="shared" si="230"/>
        <v>61.2827597532814,1.17970645427704</v>
      </c>
    </row>
    <row r="444" spans="1:62" x14ac:dyDescent="0.25">
      <c r="A444" s="85">
        <f t="shared" si="221"/>
        <v>154</v>
      </c>
      <c r="B444" s="296">
        <f t="shared" si="222"/>
        <v>103956.43864423972</v>
      </c>
      <c r="C444" s="296">
        <f t="shared" si="223"/>
        <v>489273.26196971891</v>
      </c>
      <c r="D444" s="85">
        <f t="shared" si="240"/>
        <v>2</v>
      </c>
      <c r="E444" s="17">
        <f t="shared" si="224"/>
        <v>0.3983980045595672</v>
      </c>
      <c r="F444" s="17">
        <f t="shared" si="225"/>
        <v>-8.5216368723195046E-2</v>
      </c>
      <c r="G444" s="17" t="str">
        <f t="shared" si="226"/>
        <v>103956.43864424,489273.261969719</v>
      </c>
      <c r="H444" s="16">
        <v>154</v>
      </c>
      <c r="I444" s="16">
        <f t="shared" si="227"/>
        <v>154</v>
      </c>
      <c r="J444" s="209">
        <f t="shared" si="228"/>
        <v>0.40740986676246865</v>
      </c>
      <c r="K444" s="209">
        <f t="shared" si="229"/>
        <v>61.69016962004391</v>
      </c>
      <c r="L444" s="692">
        <v>1.180614829063416</v>
      </c>
      <c r="M444" s="17" t="str">
        <f t="shared" si="230"/>
        <v>61.6901696200439,1.18061482906342</v>
      </c>
    </row>
    <row r="445" spans="1:62" x14ac:dyDescent="0.25">
      <c r="A445" s="85">
        <f t="shared" si="221"/>
        <v>155</v>
      </c>
      <c r="B445" s="296">
        <f t="shared" si="222"/>
        <v>103956.83727222783</v>
      </c>
      <c r="C445" s="296">
        <f t="shared" si="223"/>
        <v>489273.17783573869</v>
      </c>
      <c r="D445" s="85">
        <f t="shared" si="240"/>
        <v>2</v>
      </c>
      <c r="E445" s="17">
        <f t="shared" si="224"/>
        <v>0.39862798810645472</v>
      </c>
      <c r="F445" s="17">
        <f t="shared" si="225"/>
        <v>-8.4133980213664472E-2</v>
      </c>
      <c r="G445" s="17" t="str">
        <f t="shared" si="226"/>
        <v>103956.837272228,489273.177835739</v>
      </c>
      <c r="H445" s="16">
        <v>155</v>
      </c>
      <c r="I445" s="16">
        <f t="shared" si="227"/>
        <v>155</v>
      </c>
      <c r="J445" s="209">
        <f t="shared" si="228"/>
        <v>0.40740986675385404</v>
      </c>
      <c r="K445" s="209">
        <f t="shared" si="229"/>
        <v>62.097579486797763</v>
      </c>
      <c r="L445" s="692">
        <v>1.1747310161590581</v>
      </c>
      <c r="M445" s="17" t="str">
        <f t="shared" si="230"/>
        <v>62.0975794867978,1.17473101615906</v>
      </c>
    </row>
    <row r="446" spans="1:62" x14ac:dyDescent="0.25">
      <c r="A446" s="85">
        <f t="shared" si="221"/>
        <v>156</v>
      </c>
      <c r="B446" s="296">
        <f t="shared" si="222"/>
        <v>103957.23612725882</v>
      </c>
      <c r="C446" s="296">
        <f t="shared" si="223"/>
        <v>489273.09478476766</v>
      </c>
      <c r="D446" s="85">
        <f t="shared" si="240"/>
        <v>2</v>
      </c>
      <c r="E446" s="17">
        <f t="shared" si="224"/>
        <v>0.39885503098776098</v>
      </c>
      <c r="F446" s="17">
        <f t="shared" si="225"/>
        <v>-8.3050971035845578E-2</v>
      </c>
      <c r="G446" s="17" t="str">
        <f t="shared" si="226"/>
        <v>103957.236127259,489273.094784768</v>
      </c>
      <c r="H446" s="16">
        <v>156</v>
      </c>
      <c r="I446" s="16">
        <f t="shared" si="227"/>
        <v>156</v>
      </c>
      <c r="J446" s="209">
        <f t="shared" si="228"/>
        <v>0.40740986676103541</v>
      </c>
      <c r="K446" s="209">
        <f t="shared" si="229"/>
        <v>62.504989353558798</v>
      </c>
      <c r="L446" s="692">
        <v>1.1713970899581909</v>
      </c>
      <c r="M446" s="17" t="str">
        <f t="shared" si="230"/>
        <v>62.5049893535588,1.17139708995819</v>
      </c>
    </row>
    <row r="447" spans="1:62" x14ac:dyDescent="0.25">
      <c r="A447" s="85">
        <f t="shared" si="221"/>
        <v>157</v>
      </c>
      <c r="B447" s="296">
        <f t="shared" si="222"/>
        <v>103957.63520639032</v>
      </c>
      <c r="C447" s="296">
        <f t="shared" si="223"/>
        <v>489273.01281741849</v>
      </c>
      <c r="D447" s="85">
        <f t="shared" si="240"/>
        <v>2</v>
      </c>
      <c r="E447" s="17">
        <f t="shared" si="224"/>
        <v>0.3990791315009119</v>
      </c>
      <c r="F447" s="17">
        <f t="shared" si="225"/>
        <v>-8.1967349164187908E-2</v>
      </c>
      <c r="G447" s="17" t="str">
        <f t="shared" si="226"/>
        <v>103957.63520639,489273.012817418</v>
      </c>
      <c r="H447" s="16">
        <v>157</v>
      </c>
      <c r="I447" s="16">
        <f t="shared" si="227"/>
        <v>157</v>
      </c>
      <c r="J447" s="209">
        <f t="shared" si="228"/>
        <v>0.40740986675401719</v>
      </c>
      <c r="K447" s="209">
        <f t="shared" si="229"/>
        <v>62.912399220312814</v>
      </c>
      <c r="L447" s="692">
        <v>1.1757799386978149</v>
      </c>
      <c r="M447" s="17" t="str">
        <f t="shared" si="230"/>
        <v>62.9123992203128,1.17577993869781</v>
      </c>
    </row>
    <row r="448" spans="1:62" x14ac:dyDescent="0.25">
      <c r="A448" s="85">
        <f t="shared" si="221"/>
        <v>158</v>
      </c>
      <c r="B448" s="296">
        <f t="shared" si="222"/>
        <v>103958.0345066783</v>
      </c>
      <c r="C448" s="296">
        <f t="shared" si="223"/>
        <v>489272.9319342958</v>
      </c>
      <c r="D448" s="85">
        <f t="shared" si="240"/>
        <v>2</v>
      </c>
      <c r="E448" s="17">
        <f t="shared" si="224"/>
        <v>0.39930028798698913</v>
      </c>
      <c r="F448" s="17">
        <f t="shared" si="225"/>
        <v>-8.088312268955633E-2</v>
      </c>
      <c r="G448" s="17" t="str">
        <f t="shared" si="226"/>
        <v>103958.034506678,489272.931934296</v>
      </c>
      <c r="H448" s="16">
        <v>158</v>
      </c>
      <c r="I448" s="16">
        <f t="shared" si="227"/>
        <v>158</v>
      </c>
      <c r="J448" s="209">
        <f t="shared" si="228"/>
        <v>0.40740986674662932</v>
      </c>
      <c r="K448" s="209">
        <f t="shared" si="229"/>
        <v>63.31980908705944</v>
      </c>
      <c r="L448" s="692">
        <v>1.1890798807144169</v>
      </c>
      <c r="M448" s="17" t="str">
        <f t="shared" si="230"/>
        <v>63.3198090870594,1.18907988071442</v>
      </c>
    </row>
    <row r="449" spans="1:13" x14ac:dyDescent="0.25">
      <c r="A449" s="85">
        <f t="shared" si="221"/>
        <v>159</v>
      </c>
      <c r="B449" s="296">
        <f t="shared" si="222"/>
        <v>103958.43402517716</v>
      </c>
      <c r="C449" s="296">
        <f t="shared" si="223"/>
        <v>489272.85213599628</v>
      </c>
      <c r="D449" s="85">
        <f t="shared" si="240"/>
        <v>2</v>
      </c>
      <c r="E449" s="17">
        <f t="shared" si="224"/>
        <v>0.39951849885983393</v>
      </c>
      <c r="F449" s="17">
        <f t="shared" si="225"/>
        <v>-7.9798299528192729E-2</v>
      </c>
      <c r="G449" s="17" t="str">
        <f t="shared" si="226"/>
        <v>103958.434025177,489272.852135996</v>
      </c>
      <c r="H449" s="16">
        <v>159</v>
      </c>
      <c r="I449" s="16">
        <f t="shared" si="227"/>
        <v>159</v>
      </c>
      <c r="J449" s="209">
        <f t="shared" si="228"/>
        <v>0.40740986676663377</v>
      </c>
      <c r="K449" s="209">
        <f t="shared" si="229"/>
        <v>63.727218953826075</v>
      </c>
      <c r="L449" s="692">
        <v>1.1725060939788821</v>
      </c>
      <c r="M449" s="17" t="str">
        <f t="shared" si="230"/>
        <v>63.7272189538261,1.17250609397888</v>
      </c>
    </row>
    <row r="450" spans="1:13" x14ac:dyDescent="0.25">
      <c r="A450" s="85">
        <f t="shared" si="221"/>
        <v>160</v>
      </c>
      <c r="B450" s="296">
        <f t="shared" si="222"/>
        <v>103958.83375893963</v>
      </c>
      <c r="C450" s="296">
        <f t="shared" si="223"/>
        <v>489272.77342310862</v>
      </c>
      <c r="D450" s="85">
        <f t="shared" si="240"/>
        <v>2</v>
      </c>
      <c r="E450" s="17">
        <f t="shared" si="224"/>
        <v>0.39973376246052794</v>
      </c>
      <c r="F450" s="17">
        <f t="shared" si="225"/>
        <v>-7.8712887654546648E-2</v>
      </c>
      <c r="G450" s="17" t="str">
        <f t="shared" si="226"/>
        <v>103958.83375894,489272.773423109</v>
      </c>
      <c r="H450" s="16">
        <v>160</v>
      </c>
      <c r="I450" s="16">
        <f t="shared" si="227"/>
        <v>160</v>
      </c>
      <c r="J450" s="209">
        <f t="shared" si="228"/>
        <v>0.40740986676044932</v>
      </c>
      <c r="K450" s="209">
        <f t="shared" si="229"/>
        <v>64.134628820586528</v>
      </c>
      <c r="L450" s="692">
        <v>1.1667747497558589</v>
      </c>
      <c r="M450" s="17" t="str">
        <f t="shared" si="230"/>
        <v>64.1346288205865,1.16677474975586</v>
      </c>
    </row>
    <row r="451" spans="1:13" x14ac:dyDescent="0.25">
      <c r="A451" s="85">
        <f t="shared" si="221"/>
        <v>161</v>
      </c>
      <c r="B451" s="296">
        <f t="shared" si="222"/>
        <v>103959.23370501684</v>
      </c>
      <c r="C451" s="296">
        <f t="shared" si="223"/>
        <v>489272.69579621352</v>
      </c>
      <c r="D451" s="85">
        <f t="shared" si="240"/>
        <v>2</v>
      </c>
      <c r="E451" s="17">
        <f t="shared" si="224"/>
        <v>0.39994607721746434</v>
      </c>
      <c r="F451" s="17">
        <f t="shared" si="225"/>
        <v>-7.7626895101275295E-2</v>
      </c>
      <c r="G451" s="17" t="str">
        <f t="shared" si="226"/>
        <v>103959.233705017,489272.695796214</v>
      </c>
      <c r="H451" s="16">
        <v>161</v>
      </c>
      <c r="I451" s="16">
        <f t="shared" si="227"/>
        <v>161</v>
      </c>
      <c r="J451" s="209">
        <f t="shared" si="228"/>
        <v>0.4074098667493245</v>
      </c>
      <c r="K451" s="209">
        <f t="shared" si="229"/>
        <v>64.542038687335847</v>
      </c>
      <c r="L451" s="692">
        <v>1.16608715057373</v>
      </c>
      <c r="M451" s="17" t="str">
        <f t="shared" si="230"/>
        <v>64.5420386873358,1.16608715057373</v>
      </c>
    </row>
    <row r="452" spans="1:13" x14ac:dyDescent="0.25">
      <c r="A452" s="85">
        <f t="shared" si="221"/>
        <v>162</v>
      </c>
      <c r="B452" s="296">
        <f t="shared" si="222"/>
        <v>103959.63386045842</v>
      </c>
      <c r="C452" s="296">
        <f t="shared" si="223"/>
        <v>489272.61925588356</v>
      </c>
      <c r="D452" s="85">
        <f t="shared" si="240"/>
        <v>2</v>
      </c>
      <c r="E452" s="17">
        <f t="shared" si="224"/>
        <v>0.40015544157358818</v>
      </c>
      <c r="F452" s="17">
        <f t="shared" si="225"/>
        <v>-7.6540329959243536E-2</v>
      </c>
      <c r="G452" s="17" t="str">
        <f t="shared" si="226"/>
        <v>103959.633860458,489272.619255884</v>
      </c>
      <c r="H452" s="16">
        <v>162</v>
      </c>
      <c r="I452" s="16">
        <f t="shared" si="227"/>
        <v>162</v>
      </c>
      <c r="J452" s="209">
        <f t="shared" si="228"/>
        <v>0.40740986675732732</v>
      </c>
      <c r="K452" s="209">
        <f t="shared" si="229"/>
        <v>64.949448554093181</v>
      </c>
      <c r="L452" s="692">
        <v>1.173228859901428</v>
      </c>
      <c r="M452" s="17" t="str">
        <f t="shared" si="230"/>
        <v>64.9494485540932,1.17322885990143</v>
      </c>
    </row>
    <row r="453" spans="1:13" x14ac:dyDescent="0.25">
      <c r="A453" s="85">
        <f t="shared" si="221"/>
        <v>163</v>
      </c>
      <c r="B453" s="296">
        <f t="shared" si="222"/>
        <v>103960.0342223124</v>
      </c>
      <c r="C453" s="296">
        <f t="shared" si="223"/>
        <v>489272.54380268342</v>
      </c>
      <c r="D453" s="85">
        <f t="shared" si="240"/>
        <v>2</v>
      </c>
      <c r="E453" s="17">
        <f t="shared" si="224"/>
        <v>0.40036185398639645</v>
      </c>
      <c r="F453" s="17">
        <f t="shared" si="225"/>
        <v>-7.5453200144693255E-2</v>
      </c>
      <c r="G453" s="17" t="str">
        <f t="shared" si="226"/>
        <v>103960.034222312,489272.543802683</v>
      </c>
      <c r="H453" s="16">
        <v>163</v>
      </c>
      <c r="I453" s="16">
        <f t="shared" si="227"/>
        <v>163</v>
      </c>
      <c r="J453" s="209">
        <f t="shared" si="228"/>
        <v>0.40740986676748486</v>
      </c>
      <c r="K453" s="209">
        <f t="shared" si="229"/>
        <v>65.356858420860661</v>
      </c>
      <c r="L453" s="692">
        <v>1.177674531936646</v>
      </c>
      <c r="M453" s="17" t="str">
        <f t="shared" si="230"/>
        <v>65.3568584208607,1.17767453193665</v>
      </c>
    </row>
    <row r="454" spans="1:13" x14ac:dyDescent="0.25">
      <c r="A454" s="85">
        <f t="shared" si="221"/>
        <v>164</v>
      </c>
      <c r="B454" s="296">
        <f t="shared" si="222"/>
        <v>103960.43478762532</v>
      </c>
      <c r="C454" s="296">
        <f t="shared" si="223"/>
        <v>489272.46943716973</v>
      </c>
      <c r="D454" s="85">
        <f t="shared" si="240"/>
        <v>2</v>
      </c>
      <c r="E454" s="17">
        <f t="shared" si="224"/>
        <v>0.40056531291338615</v>
      </c>
      <c r="F454" s="17">
        <f t="shared" si="225"/>
        <v>-7.4365513690281659E-2</v>
      </c>
      <c r="G454" s="17" t="str">
        <f t="shared" si="226"/>
        <v>103960.434787625,489272.46943717</v>
      </c>
      <c r="H454" s="16">
        <v>164</v>
      </c>
      <c r="I454" s="16">
        <f t="shared" si="227"/>
        <v>164</v>
      </c>
      <c r="J454" s="209">
        <f t="shared" si="228"/>
        <v>0.40740986676296687</v>
      </c>
      <c r="K454" s="209">
        <f t="shared" si="229"/>
        <v>65.764268287623622</v>
      </c>
      <c r="L454" s="692">
        <v>1.1752356290817261</v>
      </c>
      <c r="M454" s="17" t="str">
        <f t="shared" si="230"/>
        <v>65.7642682876236,1.17523562908173</v>
      </c>
    </row>
    <row r="455" spans="1:13" x14ac:dyDescent="0.25">
      <c r="A455" s="85">
        <f t="shared" si="221"/>
        <v>165</v>
      </c>
      <c r="B455" s="296">
        <f t="shared" si="222"/>
        <v>103960.83555344217</v>
      </c>
      <c r="C455" s="296">
        <f t="shared" si="223"/>
        <v>489272.3961598911</v>
      </c>
      <c r="D455" s="85">
        <f t="shared" si="240"/>
        <v>4</v>
      </c>
      <c r="E455" s="17">
        <f t="shared" si="224"/>
        <v>0.40076581685571</v>
      </c>
      <c r="F455" s="17">
        <f t="shared" si="225"/>
        <v>-7.3277278628665954E-2</v>
      </c>
      <c r="G455" s="17" t="str">
        <f t="shared" si="226"/>
        <v>103960.835553442,489272.396159891</v>
      </c>
      <c r="H455" s="16">
        <v>165</v>
      </c>
      <c r="I455" s="16">
        <f t="shared" si="227"/>
        <v>165</v>
      </c>
      <c r="J455" s="209">
        <f t="shared" si="228"/>
        <v>0.40740986674753915</v>
      </c>
      <c r="K455" s="209">
        <f t="shared" si="229"/>
        <v>66.171678154371165</v>
      </c>
      <c r="L455" s="692">
        <v>1.178925156593323</v>
      </c>
      <c r="M455" s="17" t="str">
        <f t="shared" si="230"/>
        <v>66.1716781543712,1.17892515659332</v>
      </c>
    </row>
    <row r="456" spans="1:13" x14ac:dyDescent="0.25">
      <c r="A456" s="85">
        <f t="shared" si="221"/>
        <v>166</v>
      </c>
      <c r="B456" s="296">
        <f t="shared" si="222"/>
        <v>103961.22949810284</v>
      </c>
      <c r="C456" s="296">
        <f t="shared" si="223"/>
        <v>489272.32468255266</v>
      </c>
      <c r="D456" s="85">
        <f t="shared" si="240"/>
        <v>4</v>
      </c>
      <c r="E456" s="17">
        <f t="shared" si="224"/>
        <v>0.39394466066733003</v>
      </c>
      <c r="F456" s="17">
        <f t="shared" si="225"/>
        <v>-7.1477338438853621E-2</v>
      </c>
      <c r="G456" s="17" t="str">
        <f t="shared" si="226"/>
        <v>103961.229498103,489272.324682553</v>
      </c>
      <c r="H456" s="16">
        <v>166</v>
      </c>
      <c r="I456" s="16">
        <f t="shared" si="227"/>
        <v>166</v>
      </c>
      <c r="J456" s="209">
        <f t="shared" si="228"/>
        <v>0.40037657970790475</v>
      </c>
      <c r="K456" s="209">
        <f t="shared" si="229"/>
        <v>66.572054734079074</v>
      </c>
      <c r="L456" s="692">
        <v>1.1877139806747441</v>
      </c>
      <c r="M456" s="17" t="str">
        <f t="shared" si="230"/>
        <v>66.5720547340791,1.18771398067474</v>
      </c>
    </row>
    <row r="457" spans="1:13" x14ac:dyDescent="0.25">
      <c r="A457" s="85">
        <f t="shared" si="221"/>
        <v>167</v>
      </c>
      <c r="B457" s="296">
        <f t="shared" si="222"/>
        <v>103961.62344276349</v>
      </c>
      <c r="C457" s="296">
        <f t="shared" si="223"/>
        <v>489272.25320521422</v>
      </c>
      <c r="D457" s="85">
        <f t="shared" si="240"/>
        <v>4</v>
      </c>
      <c r="E457" s="17">
        <f t="shared" si="224"/>
        <v>0.39394466065277811</v>
      </c>
      <c r="F457" s="17">
        <f t="shared" si="225"/>
        <v>-7.1477338438853621E-2</v>
      </c>
      <c r="G457" s="17" t="str">
        <f t="shared" si="226"/>
        <v>103961.623442763,489272.253205214</v>
      </c>
      <c r="H457" s="16">
        <v>167</v>
      </c>
      <c r="I457" s="16">
        <f t="shared" si="227"/>
        <v>167</v>
      </c>
      <c r="J457" s="209">
        <f t="shared" si="228"/>
        <v>0.40037657969358664</v>
      </c>
      <c r="K457" s="209">
        <f t="shared" si="229"/>
        <v>66.97243131377266</v>
      </c>
      <c r="L457" s="692">
        <v>1.2057404518127439</v>
      </c>
      <c r="M457" s="17" t="str">
        <f t="shared" si="230"/>
        <v>66.9724313137727,1.20574045181274</v>
      </c>
    </row>
    <row r="458" spans="1:13" x14ac:dyDescent="0.25">
      <c r="A458" s="85">
        <f t="shared" si="221"/>
        <v>168</v>
      </c>
      <c r="B458" s="296">
        <f t="shared" si="222"/>
        <v>103962.01738742416</v>
      </c>
      <c r="C458" s="296">
        <f t="shared" si="223"/>
        <v>489272.18172787584</v>
      </c>
      <c r="D458" s="85">
        <f t="shared" si="240"/>
        <v>4</v>
      </c>
      <c r="E458" s="17">
        <f t="shared" si="224"/>
        <v>0.39394466066733003</v>
      </c>
      <c r="F458" s="17">
        <f t="shared" si="225"/>
        <v>-7.1477338380645961E-2</v>
      </c>
      <c r="G458" s="17" t="str">
        <f t="shared" si="226"/>
        <v>103962.017387424,489272.181727876</v>
      </c>
      <c r="H458" s="16">
        <v>168</v>
      </c>
      <c r="I458" s="16">
        <f t="shared" si="227"/>
        <v>168</v>
      </c>
      <c r="J458" s="209">
        <f t="shared" si="228"/>
        <v>0.40037657969751322</v>
      </c>
      <c r="K458" s="209">
        <f t="shared" si="229"/>
        <v>67.372807893470167</v>
      </c>
      <c r="L458" s="692">
        <v>1.2214353084564209</v>
      </c>
      <c r="M458" s="17" t="str">
        <f t="shared" si="230"/>
        <v>67.3728078934702,1.22143530845642</v>
      </c>
    </row>
    <row r="459" spans="1:13" x14ac:dyDescent="0.25">
      <c r="A459" s="85">
        <f t="shared" si="221"/>
        <v>169</v>
      </c>
      <c r="B459" s="296">
        <f t="shared" si="222"/>
        <v>103962.41133208481</v>
      </c>
      <c r="C459" s="296">
        <f t="shared" si="223"/>
        <v>489272.1102505374</v>
      </c>
      <c r="D459" s="85">
        <f t="shared" si="240"/>
        <v>4</v>
      </c>
      <c r="E459" s="17">
        <f t="shared" si="224"/>
        <v>0.39394466065277811</v>
      </c>
      <c r="F459" s="17">
        <f t="shared" si="225"/>
        <v>-7.1477338438853621E-2</v>
      </c>
      <c r="G459" s="17" t="str">
        <f t="shared" si="226"/>
        <v>103962.411332085,489272.110250537</v>
      </c>
      <c r="H459" s="16">
        <v>169</v>
      </c>
      <c r="I459" s="16">
        <f t="shared" si="227"/>
        <v>169</v>
      </c>
      <c r="J459" s="209">
        <f t="shared" si="228"/>
        <v>0.40037657969358664</v>
      </c>
      <c r="K459" s="209">
        <f t="shared" si="229"/>
        <v>67.773184473163752</v>
      </c>
      <c r="L459" s="692">
        <v>1.1949077844619751</v>
      </c>
      <c r="M459" s="17" t="str">
        <f t="shared" si="230"/>
        <v>67.7731844731638,1.19490778446198</v>
      </c>
    </row>
    <row r="460" spans="1:13" x14ac:dyDescent="0.25">
      <c r="A460" s="85">
        <f t="shared" si="221"/>
        <v>170</v>
      </c>
      <c r="B460" s="296">
        <f t="shared" si="222"/>
        <v>103962.80527674548</v>
      </c>
      <c r="C460" s="296">
        <f t="shared" si="223"/>
        <v>489272.03877319896</v>
      </c>
      <c r="D460" s="85">
        <f t="shared" si="240"/>
        <v>4</v>
      </c>
      <c r="E460" s="17">
        <f t="shared" si="224"/>
        <v>0.39394466066733003</v>
      </c>
      <c r="F460" s="17">
        <f t="shared" si="225"/>
        <v>-7.1477338438853621E-2</v>
      </c>
      <c r="G460" s="17" t="str">
        <f t="shared" si="226"/>
        <v>103962.805276745,489272.038773199</v>
      </c>
      <c r="H460" s="16">
        <v>170</v>
      </c>
      <c r="I460" s="16">
        <f t="shared" si="227"/>
        <v>170</v>
      </c>
      <c r="J460" s="209">
        <f t="shared" si="228"/>
        <v>0.40037657970790475</v>
      </c>
      <c r="K460" s="209">
        <f t="shared" si="229"/>
        <v>68.173561052871662</v>
      </c>
      <c r="L460" s="692">
        <v>1.18670129776001</v>
      </c>
      <c r="M460" s="17" t="str">
        <f t="shared" si="230"/>
        <v>68.1735610528717,1.18670129776001</v>
      </c>
    </row>
    <row r="461" spans="1:13" x14ac:dyDescent="0.25">
      <c r="A461" s="85">
        <f t="shared" si="221"/>
        <v>171</v>
      </c>
      <c r="B461" s="296">
        <f t="shared" si="222"/>
        <v>103963.19922140613</v>
      </c>
      <c r="C461" s="296">
        <f t="shared" si="223"/>
        <v>489271.96729586052</v>
      </c>
      <c r="D461" s="85">
        <f t="shared" si="240"/>
        <v>4</v>
      </c>
      <c r="E461" s="17">
        <f t="shared" si="224"/>
        <v>0.39394466065277811</v>
      </c>
      <c r="F461" s="17">
        <f t="shared" si="225"/>
        <v>-7.1477338438853621E-2</v>
      </c>
      <c r="G461" s="17" t="str">
        <f t="shared" si="226"/>
        <v>103963.199221406,489271.967295861</v>
      </c>
      <c r="H461" s="16">
        <v>171</v>
      </c>
      <c r="I461" s="16">
        <f t="shared" si="227"/>
        <v>171</v>
      </c>
      <c r="J461" s="209">
        <f t="shared" si="228"/>
        <v>0.40037657969358664</v>
      </c>
      <c r="K461" s="209">
        <f t="shared" si="229"/>
        <v>68.573937632565247</v>
      </c>
      <c r="L461" s="692">
        <v>1.1913022994995119</v>
      </c>
      <c r="M461" s="17" t="str">
        <f t="shared" si="230"/>
        <v>68.5739376325652,1.19130229949951</v>
      </c>
    </row>
    <row r="462" spans="1:13" x14ac:dyDescent="0.25">
      <c r="A462" s="85">
        <f t="shared" si="221"/>
        <v>172</v>
      </c>
      <c r="B462" s="296">
        <f t="shared" si="222"/>
        <v>103963.5931660668</v>
      </c>
      <c r="C462" s="296">
        <f t="shared" si="223"/>
        <v>489271.89581852208</v>
      </c>
      <c r="D462" s="85">
        <f t="shared" si="240"/>
        <v>4</v>
      </c>
      <c r="E462" s="17">
        <f t="shared" si="224"/>
        <v>0.39394466066733003</v>
      </c>
      <c r="F462" s="17">
        <f t="shared" si="225"/>
        <v>-7.1477338438853621E-2</v>
      </c>
      <c r="G462" s="17" t="str">
        <f t="shared" si="226"/>
        <v>103963.593166067,489271.895818522</v>
      </c>
      <c r="H462" s="16">
        <v>172</v>
      </c>
      <c r="I462" s="16">
        <f t="shared" si="227"/>
        <v>172</v>
      </c>
      <c r="J462" s="209">
        <f t="shared" si="228"/>
        <v>0.40037657970790475</v>
      </c>
      <c r="K462" s="209">
        <f t="shared" si="229"/>
        <v>68.974314212273157</v>
      </c>
      <c r="L462" s="692">
        <v>1.207628011703491</v>
      </c>
      <c r="M462" s="17" t="str">
        <f t="shared" si="230"/>
        <v>68.9743142122732,1.20762801170349</v>
      </c>
    </row>
    <row r="463" spans="1:13" x14ac:dyDescent="0.25">
      <c r="A463" s="85">
        <f t="shared" si="221"/>
        <v>173</v>
      </c>
      <c r="B463" s="296">
        <f t="shared" si="222"/>
        <v>103963.98711072745</v>
      </c>
      <c r="C463" s="296">
        <f t="shared" si="223"/>
        <v>489271.82434118364</v>
      </c>
      <c r="D463" s="85">
        <f t="shared" si="240"/>
        <v>4</v>
      </c>
      <c r="E463" s="17">
        <f t="shared" si="224"/>
        <v>0.39394466065277811</v>
      </c>
      <c r="F463" s="17">
        <f t="shared" si="225"/>
        <v>-7.1477338438853621E-2</v>
      </c>
      <c r="G463" s="17" t="str">
        <f t="shared" si="226"/>
        <v>103963.987110727,489271.824341184</v>
      </c>
      <c r="H463" s="16">
        <v>173</v>
      </c>
      <c r="I463" s="16">
        <f t="shared" si="227"/>
        <v>173</v>
      </c>
      <c r="J463" s="209">
        <f t="shared" si="228"/>
        <v>0.40037657969358664</v>
      </c>
      <c r="K463" s="209">
        <f t="shared" si="229"/>
        <v>69.374690791966742</v>
      </c>
      <c r="L463" s="692">
        <v>1.211167693138123</v>
      </c>
      <c r="M463" s="17" t="str">
        <f t="shared" si="230"/>
        <v>69.3746907919667,1.21116769313812</v>
      </c>
    </row>
    <row r="464" spans="1:13" x14ac:dyDescent="0.25">
      <c r="A464" s="85">
        <f t="shared" si="221"/>
        <v>174</v>
      </c>
      <c r="B464" s="296">
        <f t="shared" si="222"/>
        <v>103964.38105538812</v>
      </c>
      <c r="C464" s="296">
        <f t="shared" si="223"/>
        <v>489271.75286384526</v>
      </c>
      <c r="D464" s="85">
        <f t="shared" si="240"/>
        <v>4</v>
      </c>
      <c r="E464" s="17">
        <f t="shared" si="224"/>
        <v>0.39394466066733003</v>
      </c>
      <c r="F464" s="17">
        <f t="shared" si="225"/>
        <v>-7.1477338380645961E-2</v>
      </c>
      <c r="G464" s="17" t="str">
        <f t="shared" si="226"/>
        <v>103964.381055388,489271.752863845</v>
      </c>
      <c r="H464" s="16">
        <v>174</v>
      </c>
      <c r="I464" s="16">
        <f t="shared" si="227"/>
        <v>174</v>
      </c>
      <c r="J464" s="209">
        <f t="shared" si="228"/>
        <v>0.40037657969751322</v>
      </c>
      <c r="K464" s="209">
        <f t="shared" si="229"/>
        <v>69.77506737166425</v>
      </c>
      <c r="L464" s="692">
        <v>1.2058529853820801</v>
      </c>
      <c r="M464" s="17" t="str">
        <f t="shared" si="230"/>
        <v>69.7750673716642,1.20585298538208</v>
      </c>
    </row>
    <row r="465" spans="1:13" x14ac:dyDescent="0.25">
      <c r="A465" s="85">
        <f t="shared" si="221"/>
        <v>175</v>
      </c>
      <c r="B465" s="296">
        <f t="shared" si="222"/>
        <v>103964.77500004877</v>
      </c>
      <c r="C465" s="296">
        <f t="shared" si="223"/>
        <v>489271.68138650683</v>
      </c>
      <c r="D465" s="85">
        <f t="shared" si="240"/>
        <v>4</v>
      </c>
      <c r="E465" s="17">
        <f t="shared" si="224"/>
        <v>0.39394466065277811</v>
      </c>
      <c r="F465" s="17">
        <f t="shared" si="225"/>
        <v>-7.1477338438853621E-2</v>
      </c>
      <c r="G465" s="17" t="str">
        <f t="shared" si="226"/>
        <v>103964.775000049,489271.681386507</v>
      </c>
      <c r="H465" s="16">
        <v>175</v>
      </c>
      <c r="I465" s="16">
        <f t="shared" si="227"/>
        <v>175</v>
      </c>
      <c r="J465" s="209">
        <f t="shared" si="228"/>
        <v>0.40037657969358664</v>
      </c>
      <c r="K465" s="209">
        <f t="shared" si="229"/>
        <v>70.175443951357835</v>
      </c>
      <c r="L465" s="692">
        <v>1.2112481594085689</v>
      </c>
      <c r="M465" s="17" t="str">
        <f t="shared" si="230"/>
        <v>70.1754439513578,1.21124815940857</v>
      </c>
    </row>
    <row r="466" spans="1:13" x14ac:dyDescent="0.25">
      <c r="A466" s="85">
        <f t="shared" si="221"/>
        <v>176</v>
      </c>
      <c r="B466" s="296">
        <f t="shared" si="222"/>
        <v>103965.16894470944</v>
      </c>
      <c r="C466" s="296">
        <f t="shared" si="223"/>
        <v>489271.60990916839</v>
      </c>
      <c r="D466" s="85">
        <f t="shared" si="240"/>
        <v>4</v>
      </c>
      <c r="E466" s="17">
        <f t="shared" si="224"/>
        <v>0.39394466066733003</v>
      </c>
      <c r="F466" s="17">
        <f t="shared" si="225"/>
        <v>-7.1477338438853621E-2</v>
      </c>
      <c r="G466" s="17" t="str">
        <f t="shared" si="226"/>
        <v>103965.168944709,489271.609909168</v>
      </c>
      <c r="H466" s="16">
        <v>176</v>
      </c>
      <c r="I466" s="16">
        <f t="shared" si="227"/>
        <v>176</v>
      </c>
      <c r="J466" s="209">
        <f t="shared" si="228"/>
        <v>0.40037657970790475</v>
      </c>
      <c r="K466" s="209">
        <f t="shared" si="229"/>
        <v>70.575820531065744</v>
      </c>
      <c r="L466" s="692">
        <v>1.2211519479751589</v>
      </c>
      <c r="M466" s="17" t="str">
        <f t="shared" si="230"/>
        <v>70.5758205310657,1.22115194797516</v>
      </c>
    </row>
    <row r="467" spans="1:13" x14ac:dyDescent="0.25">
      <c r="A467" s="85">
        <f t="shared" si="221"/>
        <v>177</v>
      </c>
      <c r="B467" s="296">
        <f t="shared" si="222"/>
        <v>103965.56288937011</v>
      </c>
      <c r="C467" s="296">
        <f t="shared" si="223"/>
        <v>489271.53843182995</v>
      </c>
      <c r="D467" s="85">
        <f t="shared" si="240"/>
        <v>4</v>
      </c>
      <c r="E467" s="17">
        <f t="shared" si="224"/>
        <v>0.39394466066733003</v>
      </c>
      <c r="F467" s="17">
        <f t="shared" si="225"/>
        <v>-7.1477338438853621E-2</v>
      </c>
      <c r="G467" s="17" t="str">
        <f t="shared" si="226"/>
        <v>103965.56288937,489271.53843183</v>
      </c>
      <c r="H467" s="16">
        <v>177</v>
      </c>
      <c r="I467" s="16">
        <f t="shared" si="227"/>
        <v>177</v>
      </c>
      <c r="J467" s="209">
        <f t="shared" si="228"/>
        <v>0.40037657970790475</v>
      </c>
      <c r="K467" s="209">
        <f t="shared" si="229"/>
        <v>70.976197110773654</v>
      </c>
      <c r="L467" s="692">
        <v>1.2338770627975459</v>
      </c>
      <c r="M467" s="17" t="str">
        <f t="shared" si="230"/>
        <v>70.9761971107737,1.23387706279755</v>
      </c>
    </row>
    <row r="468" spans="1:13" x14ac:dyDescent="0.25">
      <c r="A468" s="85">
        <f t="shared" si="221"/>
        <v>178</v>
      </c>
      <c r="B468" s="296">
        <f t="shared" si="222"/>
        <v>103965.95683403076</v>
      </c>
      <c r="C468" s="296">
        <f t="shared" si="223"/>
        <v>489271.46695449151</v>
      </c>
      <c r="D468" s="85">
        <f t="shared" si="240"/>
        <v>4</v>
      </c>
      <c r="E468" s="17">
        <f t="shared" si="224"/>
        <v>0.39394466065277811</v>
      </c>
      <c r="F468" s="17">
        <f t="shared" si="225"/>
        <v>-7.1477338438853621E-2</v>
      </c>
      <c r="G468" s="17" t="str">
        <f t="shared" si="226"/>
        <v>103965.956834031,489271.466954492</v>
      </c>
      <c r="H468" s="16">
        <v>178</v>
      </c>
      <c r="I468" s="16">
        <f t="shared" si="227"/>
        <v>178</v>
      </c>
      <c r="J468" s="209">
        <f t="shared" si="228"/>
        <v>0.40037657969358664</v>
      </c>
      <c r="K468" s="209">
        <f t="shared" si="229"/>
        <v>71.376573690467239</v>
      </c>
      <c r="L468" s="692">
        <v>1.2353453636169429</v>
      </c>
      <c r="M468" s="17" t="str">
        <f t="shared" si="230"/>
        <v>71.3765736904672,1.23534536361694</v>
      </c>
    </row>
    <row r="469" spans="1:13" x14ac:dyDescent="0.25">
      <c r="A469" s="85">
        <f t="shared" si="221"/>
        <v>179</v>
      </c>
      <c r="B469" s="296">
        <f t="shared" si="222"/>
        <v>103966.35077869143</v>
      </c>
      <c r="C469" s="296">
        <f t="shared" si="223"/>
        <v>489271.39547715313</v>
      </c>
      <c r="D469" s="85">
        <f t="shared" si="240"/>
        <v>4</v>
      </c>
      <c r="E469" s="17">
        <f t="shared" si="224"/>
        <v>0.39394466066733003</v>
      </c>
      <c r="F469" s="17">
        <f t="shared" si="225"/>
        <v>-7.1477338380645961E-2</v>
      </c>
      <c r="G469" s="17" t="str">
        <f t="shared" si="226"/>
        <v>103966.350778691,489271.395477153</v>
      </c>
      <c r="H469" s="16">
        <v>179</v>
      </c>
      <c r="I469" s="16">
        <f t="shared" si="227"/>
        <v>179</v>
      </c>
      <c r="J469" s="209">
        <f t="shared" si="228"/>
        <v>0.40037657969751322</v>
      </c>
      <c r="K469" s="209">
        <f t="shared" si="229"/>
        <v>71.776950270164747</v>
      </c>
      <c r="L469" s="692">
        <v>1.242374062538147</v>
      </c>
      <c r="M469" s="17" t="str">
        <f t="shared" si="230"/>
        <v>71.7769502701647,1.24237406253815</v>
      </c>
    </row>
    <row r="470" spans="1:13" x14ac:dyDescent="0.25">
      <c r="A470" s="85">
        <f t="shared" si="221"/>
        <v>180</v>
      </c>
      <c r="B470" s="296">
        <f t="shared" si="222"/>
        <v>103966.74472335208</v>
      </c>
      <c r="C470" s="296">
        <f t="shared" si="223"/>
        <v>489271.32399981469</v>
      </c>
      <c r="D470" s="85">
        <f t="shared" si="240"/>
        <v>4</v>
      </c>
      <c r="E470" s="17">
        <f t="shared" si="224"/>
        <v>0.39394466065277811</v>
      </c>
      <c r="F470" s="17">
        <f t="shared" si="225"/>
        <v>-7.1477338438853621E-2</v>
      </c>
      <c r="G470" s="17" t="str">
        <f t="shared" si="226"/>
        <v>103966.744723352,489271.323999815</v>
      </c>
      <c r="H470" s="16">
        <v>180</v>
      </c>
      <c r="I470" s="16">
        <f t="shared" si="227"/>
        <v>180</v>
      </c>
      <c r="J470" s="209">
        <f t="shared" si="228"/>
        <v>0.40037657969358664</v>
      </c>
      <c r="K470" s="209">
        <f t="shared" si="229"/>
        <v>72.177326849858332</v>
      </c>
      <c r="L470" s="692">
        <v>1.248879551887512</v>
      </c>
      <c r="M470" s="17" t="str">
        <f t="shared" si="230"/>
        <v>72.1773268498583,1.24887955188751</v>
      </c>
    </row>
    <row r="471" spans="1:13" x14ac:dyDescent="0.25">
      <c r="A471" s="85">
        <f t="shared" si="221"/>
        <v>181</v>
      </c>
      <c r="B471" s="296">
        <f t="shared" si="222"/>
        <v>103967.13866801275</v>
      </c>
      <c r="C471" s="296">
        <f t="shared" si="223"/>
        <v>489271.25252247625</v>
      </c>
      <c r="D471" s="85">
        <f t="shared" si="240"/>
        <v>4</v>
      </c>
      <c r="E471" s="17">
        <f t="shared" si="224"/>
        <v>0.39394466066733003</v>
      </c>
      <c r="F471" s="17">
        <f t="shared" si="225"/>
        <v>-7.1477338438853621E-2</v>
      </c>
      <c r="G471" s="17" t="str">
        <f t="shared" si="226"/>
        <v>103967.138668013,489271.252522476</v>
      </c>
      <c r="H471" s="16">
        <v>181</v>
      </c>
      <c r="I471" s="16">
        <f t="shared" si="227"/>
        <v>181</v>
      </c>
      <c r="J471" s="209">
        <f t="shared" si="228"/>
        <v>0.40037657970790475</v>
      </c>
      <c r="K471" s="209">
        <f t="shared" si="229"/>
        <v>72.577703429566242</v>
      </c>
      <c r="L471" s="692">
        <v>1.251056551933289</v>
      </c>
      <c r="M471" s="17" t="str">
        <f t="shared" si="230"/>
        <v>72.5777034295662,1.25105655193329</v>
      </c>
    </row>
    <row r="472" spans="1:13" x14ac:dyDescent="0.25">
      <c r="A472" s="85">
        <f t="shared" si="221"/>
        <v>182</v>
      </c>
      <c r="B472" s="296">
        <f t="shared" si="222"/>
        <v>103967.5326126734</v>
      </c>
      <c r="C472" s="296">
        <f t="shared" si="223"/>
        <v>489271.18104513781</v>
      </c>
      <c r="D472" s="85">
        <f t="shared" si="240"/>
        <v>4</v>
      </c>
      <c r="E472" s="17">
        <f t="shared" si="224"/>
        <v>0.39394466065277811</v>
      </c>
      <c r="F472" s="17">
        <f t="shared" si="225"/>
        <v>-7.1477338438853621E-2</v>
      </c>
      <c r="G472" s="17" t="str">
        <f t="shared" si="226"/>
        <v>103967.532612673,489271.181045138</v>
      </c>
      <c r="H472" s="16">
        <v>182</v>
      </c>
      <c r="I472" s="16">
        <f t="shared" si="227"/>
        <v>182</v>
      </c>
      <c r="J472" s="209">
        <f t="shared" si="228"/>
        <v>0.40037657969358664</v>
      </c>
      <c r="K472" s="209">
        <f t="shared" si="229"/>
        <v>72.978080009259827</v>
      </c>
      <c r="L472" s="692">
        <v>1.252127885818481</v>
      </c>
      <c r="M472" s="17" t="str">
        <f t="shared" si="230"/>
        <v>72.9780800092598,1.25212788581848</v>
      </c>
    </row>
    <row r="473" spans="1:13" x14ac:dyDescent="0.25">
      <c r="A473" s="85">
        <f t="shared" si="221"/>
        <v>183</v>
      </c>
      <c r="B473" s="296">
        <f t="shared" si="222"/>
        <v>103967.92655733407</v>
      </c>
      <c r="C473" s="296">
        <f t="shared" si="223"/>
        <v>489271.10956779937</v>
      </c>
      <c r="D473" s="85">
        <f t="shared" si="240"/>
        <v>4</v>
      </c>
      <c r="E473" s="17">
        <f t="shared" si="224"/>
        <v>0.39394466066733003</v>
      </c>
      <c r="F473" s="17">
        <f t="shared" si="225"/>
        <v>-7.1477338438853621E-2</v>
      </c>
      <c r="G473" s="17" t="str">
        <f t="shared" si="226"/>
        <v>103967.926557334,489271.109567799</v>
      </c>
      <c r="H473" s="16">
        <v>183</v>
      </c>
      <c r="I473" s="16">
        <f t="shared" si="227"/>
        <v>183</v>
      </c>
      <c r="J473" s="209">
        <f t="shared" si="228"/>
        <v>0.40037657970790475</v>
      </c>
      <c r="K473" s="209">
        <f t="shared" si="229"/>
        <v>73.378456588967737</v>
      </c>
      <c r="L473" s="692">
        <v>1.23370373249054</v>
      </c>
      <c r="M473" s="17" t="str">
        <f t="shared" si="230"/>
        <v>73.3784565889677,1.23370373249054</v>
      </c>
    </row>
    <row r="474" spans="1:13" x14ac:dyDescent="0.25">
      <c r="A474" s="85">
        <f t="shared" si="221"/>
        <v>184</v>
      </c>
      <c r="B474" s="296">
        <f t="shared" si="222"/>
        <v>103968.32050199472</v>
      </c>
      <c r="C474" s="296">
        <f t="shared" si="223"/>
        <v>489271.03809046099</v>
      </c>
      <c r="D474" s="85">
        <f t="shared" si="240"/>
        <v>4</v>
      </c>
      <c r="E474" s="17">
        <f t="shared" si="224"/>
        <v>0.39394466065277811</v>
      </c>
      <c r="F474" s="17">
        <f t="shared" si="225"/>
        <v>-7.1477338380645961E-2</v>
      </c>
      <c r="G474" s="17" t="str">
        <f t="shared" si="226"/>
        <v>103968.320501995,489271.038090461</v>
      </c>
      <c r="H474" s="16">
        <v>184</v>
      </c>
      <c r="I474" s="16">
        <f t="shared" si="227"/>
        <v>184</v>
      </c>
      <c r="J474" s="209">
        <f t="shared" si="228"/>
        <v>0.40037657968319512</v>
      </c>
      <c r="K474" s="209">
        <f t="shared" si="229"/>
        <v>73.778833168650934</v>
      </c>
      <c r="L474" s="692">
        <v>1.219720721244812</v>
      </c>
      <c r="M474" s="17" t="str">
        <f t="shared" si="230"/>
        <v>73.7788331686509,1.21972072124481</v>
      </c>
    </row>
    <row r="475" spans="1:13" x14ac:dyDescent="0.25">
      <c r="A475" s="85">
        <f t="shared" si="221"/>
        <v>185</v>
      </c>
      <c r="B475" s="296">
        <f t="shared" si="222"/>
        <v>103968.71444665539</v>
      </c>
      <c r="C475" s="296">
        <f t="shared" si="223"/>
        <v>489270.96661312255</v>
      </c>
      <c r="D475" s="85">
        <f t="shared" si="240"/>
        <v>4</v>
      </c>
      <c r="E475" s="17">
        <f t="shared" si="224"/>
        <v>0.39394466066733003</v>
      </c>
      <c r="F475" s="17">
        <f t="shared" si="225"/>
        <v>-7.1477338438853621E-2</v>
      </c>
      <c r="G475" s="17" t="str">
        <f t="shared" si="226"/>
        <v>103968.714446655,489270.966613123</v>
      </c>
      <c r="H475" s="16">
        <v>185</v>
      </c>
      <c r="I475" s="16">
        <f t="shared" si="227"/>
        <v>185</v>
      </c>
      <c r="J475" s="209">
        <f t="shared" si="228"/>
        <v>0.40037657970790475</v>
      </c>
      <c r="K475" s="209">
        <f t="shared" si="229"/>
        <v>74.179209748358844</v>
      </c>
      <c r="L475" s="692">
        <v>1.230047464370728</v>
      </c>
      <c r="M475" s="17" t="str">
        <f t="shared" si="230"/>
        <v>74.1792097483588,1.23004746437073</v>
      </c>
    </row>
    <row r="476" spans="1:13" x14ac:dyDescent="0.25">
      <c r="A476" s="85">
        <f t="shared" si="221"/>
        <v>186</v>
      </c>
      <c r="B476" s="296">
        <f t="shared" si="222"/>
        <v>103969.10839131604</v>
      </c>
      <c r="C476" s="296">
        <f t="shared" si="223"/>
        <v>489270.89513578411</v>
      </c>
      <c r="D476" s="85">
        <f t="shared" si="240"/>
        <v>4</v>
      </c>
      <c r="E476" s="17">
        <f t="shared" si="224"/>
        <v>0.39394466065277811</v>
      </c>
      <c r="F476" s="17">
        <f t="shared" si="225"/>
        <v>-7.1477338438853621E-2</v>
      </c>
      <c r="G476" s="17" t="str">
        <f t="shared" si="226"/>
        <v>103969.108391316,489270.895135784</v>
      </c>
      <c r="H476" s="16">
        <v>186</v>
      </c>
      <c r="I476" s="16">
        <f t="shared" si="227"/>
        <v>186</v>
      </c>
      <c r="J476" s="209">
        <f t="shared" si="228"/>
        <v>0.40037657969358664</v>
      </c>
      <c r="K476" s="209">
        <f t="shared" si="229"/>
        <v>74.579586328052429</v>
      </c>
      <c r="L476" s="692">
        <v>1.2552615404129031</v>
      </c>
      <c r="M476" s="17" t="str">
        <f t="shared" si="230"/>
        <v>74.5795863280524,1.2552615404129</v>
      </c>
    </row>
    <row r="477" spans="1:13" x14ac:dyDescent="0.25">
      <c r="A477" s="85">
        <f t="shared" si="221"/>
        <v>187</v>
      </c>
      <c r="B477" s="296">
        <f t="shared" si="222"/>
        <v>103969.50233597671</v>
      </c>
      <c r="C477" s="296">
        <f t="shared" si="223"/>
        <v>489270.82365844568</v>
      </c>
      <c r="D477" s="85">
        <f t="shared" si="240"/>
        <v>4</v>
      </c>
      <c r="E477" s="17">
        <f t="shared" si="224"/>
        <v>0.39394466066733003</v>
      </c>
      <c r="F477" s="17">
        <f t="shared" si="225"/>
        <v>-7.1477338438853621E-2</v>
      </c>
      <c r="G477" s="17" t="str">
        <f t="shared" si="226"/>
        <v>103969.502335977,489270.823658446</v>
      </c>
      <c r="H477" s="16">
        <v>187</v>
      </c>
      <c r="I477" s="16">
        <f t="shared" si="227"/>
        <v>187</v>
      </c>
      <c r="J477" s="209">
        <f t="shared" si="228"/>
        <v>0.40037657970790475</v>
      </c>
      <c r="K477" s="209">
        <f t="shared" si="229"/>
        <v>74.979962907760338</v>
      </c>
      <c r="L477" s="692">
        <v>1.262579202651978</v>
      </c>
      <c r="M477" s="17" t="str">
        <f t="shared" si="230"/>
        <v>74.9799629077603,1.26257920265198</v>
      </c>
    </row>
    <row r="478" spans="1:13" x14ac:dyDescent="0.25">
      <c r="A478" s="85">
        <f t="shared" si="221"/>
        <v>188</v>
      </c>
      <c r="B478" s="296">
        <f t="shared" si="222"/>
        <v>103969.89628063737</v>
      </c>
      <c r="C478" s="296">
        <f t="shared" si="223"/>
        <v>489270.75218110724</v>
      </c>
      <c r="D478" s="85">
        <f t="shared" si="240"/>
        <v>4</v>
      </c>
      <c r="E478" s="17">
        <f t="shared" si="224"/>
        <v>0.39394466066733003</v>
      </c>
      <c r="F478" s="17">
        <f t="shared" si="225"/>
        <v>-7.1477338438853621E-2</v>
      </c>
      <c r="G478" s="17" t="str">
        <f t="shared" si="226"/>
        <v>103969.896280637,489270.752181107</v>
      </c>
      <c r="H478" s="16">
        <v>188</v>
      </c>
      <c r="I478" s="16">
        <f t="shared" si="227"/>
        <v>188</v>
      </c>
      <c r="J478" s="209">
        <f t="shared" si="228"/>
        <v>0.40037657970790475</v>
      </c>
      <c r="K478" s="209">
        <f t="shared" si="229"/>
        <v>75.380339487468248</v>
      </c>
      <c r="L478" s="692">
        <v>1.2648278474807739</v>
      </c>
      <c r="M478" s="17" t="str">
        <f t="shared" si="230"/>
        <v>75.3803394874682,1.26482784748077</v>
      </c>
    </row>
    <row r="479" spans="1:13" x14ac:dyDescent="0.25">
      <c r="A479" s="85">
        <f t="shared" si="221"/>
        <v>189</v>
      </c>
      <c r="B479" s="296">
        <f t="shared" si="222"/>
        <v>103970.29022529803</v>
      </c>
      <c r="C479" s="296">
        <f t="shared" si="223"/>
        <v>489270.6807037688</v>
      </c>
      <c r="D479" s="85">
        <f t="shared" si="240"/>
        <v>4</v>
      </c>
      <c r="E479" s="17">
        <f t="shared" si="224"/>
        <v>0.39394466065277811</v>
      </c>
      <c r="F479" s="17">
        <f t="shared" si="225"/>
        <v>-7.1477338438853621E-2</v>
      </c>
      <c r="G479" s="17" t="str">
        <f t="shared" si="226"/>
        <v>103970.290225298,489270.680703769</v>
      </c>
      <c r="H479" s="16">
        <v>189</v>
      </c>
      <c r="I479" s="16">
        <f t="shared" si="227"/>
        <v>189</v>
      </c>
      <c r="J479" s="209">
        <f t="shared" si="228"/>
        <v>0.40037657969358664</v>
      </c>
      <c r="K479" s="209">
        <f t="shared" si="229"/>
        <v>75.780716067161833</v>
      </c>
      <c r="L479" s="692">
        <v>1.2654916048049929</v>
      </c>
      <c r="M479" s="17" t="str">
        <f t="shared" si="230"/>
        <v>75.7807160671618,1.26549160480499</v>
      </c>
    </row>
    <row r="480" spans="1:13" x14ac:dyDescent="0.25">
      <c r="A480" s="85">
        <f t="shared" si="221"/>
        <v>190</v>
      </c>
      <c r="B480" s="296">
        <f t="shared" si="222"/>
        <v>103970.68416995869</v>
      </c>
      <c r="C480" s="296">
        <f t="shared" si="223"/>
        <v>489270.60922643042</v>
      </c>
      <c r="D480" s="85">
        <f t="shared" si="240"/>
        <v>4</v>
      </c>
      <c r="E480" s="17">
        <f t="shared" si="224"/>
        <v>0.39394466066733003</v>
      </c>
      <c r="F480" s="17">
        <f t="shared" si="225"/>
        <v>-7.1477338380645961E-2</v>
      </c>
      <c r="G480" s="17" t="str">
        <f t="shared" si="226"/>
        <v>103970.684169959,489270.60922643</v>
      </c>
      <c r="H480" s="16">
        <v>190</v>
      </c>
      <c r="I480" s="16">
        <f t="shared" si="227"/>
        <v>190</v>
      </c>
      <c r="J480" s="209">
        <f t="shared" si="228"/>
        <v>0.40037657969751322</v>
      </c>
      <c r="K480" s="209">
        <f t="shared" si="229"/>
        <v>76.181092646859341</v>
      </c>
      <c r="L480" s="692">
        <v>1.2691502571105959</v>
      </c>
      <c r="M480" s="17" t="str">
        <f t="shared" si="230"/>
        <v>76.1810926468593,1.2691502571106</v>
      </c>
    </row>
    <row r="481" spans="1:13" x14ac:dyDescent="0.25">
      <c r="A481" s="85">
        <f t="shared" si="221"/>
        <v>191</v>
      </c>
      <c r="B481" s="296">
        <f t="shared" si="222"/>
        <v>103971.07811461935</v>
      </c>
      <c r="C481" s="296">
        <f t="shared" si="223"/>
        <v>489270.53774909198</v>
      </c>
      <c r="D481" s="85">
        <f t="shared" si="240"/>
        <v>4</v>
      </c>
      <c r="E481" s="17">
        <f t="shared" si="224"/>
        <v>0.39394466065277811</v>
      </c>
      <c r="F481" s="17">
        <f t="shared" si="225"/>
        <v>-7.1477338438853621E-2</v>
      </c>
      <c r="G481" s="17" t="str">
        <f t="shared" si="226"/>
        <v>103971.078114619,489270.537749092</v>
      </c>
      <c r="H481" s="16">
        <v>191</v>
      </c>
      <c r="I481" s="16">
        <f t="shared" si="227"/>
        <v>191</v>
      </c>
      <c r="J481" s="209">
        <f t="shared" si="228"/>
        <v>0.40037657969358664</v>
      </c>
      <c r="K481" s="209">
        <f t="shared" si="229"/>
        <v>76.581469226552926</v>
      </c>
      <c r="L481" s="692">
        <v>1.2780942916870119</v>
      </c>
      <c r="M481" s="17" t="str">
        <f t="shared" si="230"/>
        <v>76.5814692265529,1.27809429168701</v>
      </c>
    </row>
    <row r="482" spans="1:13" x14ac:dyDescent="0.25">
      <c r="A482" s="85">
        <f t="shared" si="221"/>
        <v>192</v>
      </c>
      <c r="B482" s="296">
        <f t="shared" si="222"/>
        <v>103971.47205928001</v>
      </c>
      <c r="C482" s="296">
        <f t="shared" si="223"/>
        <v>489270.46627175354</v>
      </c>
      <c r="D482" s="85">
        <f t="shared" si="240"/>
        <v>4</v>
      </c>
      <c r="E482" s="17">
        <f t="shared" si="224"/>
        <v>0.39394466066733003</v>
      </c>
      <c r="F482" s="17">
        <f t="shared" si="225"/>
        <v>-7.1477338438853621E-2</v>
      </c>
      <c r="G482" s="17" t="str">
        <f t="shared" si="226"/>
        <v>103971.47205928,489270.466271754</v>
      </c>
      <c r="H482" s="16">
        <v>192</v>
      </c>
      <c r="I482" s="16">
        <f t="shared" si="227"/>
        <v>192</v>
      </c>
      <c r="J482" s="209">
        <f t="shared" si="228"/>
        <v>0.40037657970790475</v>
      </c>
      <c r="K482" s="209">
        <f t="shared" si="229"/>
        <v>76.981845806260836</v>
      </c>
      <c r="L482" s="692">
        <v>1.2881982326507571</v>
      </c>
      <c r="M482" s="17" t="str">
        <f t="shared" si="230"/>
        <v>76.9818458062608,1.28819823265076</v>
      </c>
    </row>
    <row r="483" spans="1:13" x14ac:dyDescent="0.25">
      <c r="A483" s="85">
        <f t="shared" si="221"/>
        <v>193</v>
      </c>
      <c r="B483" s="296">
        <f t="shared" si="222"/>
        <v>103971.86600394067</v>
      </c>
      <c r="C483" s="296">
        <f t="shared" si="223"/>
        <v>489270.3947944151</v>
      </c>
      <c r="D483" s="85">
        <f t="shared" si="240"/>
        <v>4</v>
      </c>
      <c r="E483" s="17">
        <f t="shared" si="224"/>
        <v>0.39394466065277811</v>
      </c>
      <c r="F483" s="17">
        <f t="shared" si="225"/>
        <v>-7.1477338438853621E-2</v>
      </c>
      <c r="G483" s="17" t="str">
        <f t="shared" si="226"/>
        <v>103971.866003941,489270.394794415</v>
      </c>
      <c r="H483" s="16">
        <v>193</v>
      </c>
      <c r="I483" s="16">
        <f t="shared" si="227"/>
        <v>193</v>
      </c>
      <c r="J483" s="209">
        <f t="shared" si="228"/>
        <v>0.40037657969358664</v>
      </c>
      <c r="K483" s="209">
        <f t="shared" si="229"/>
        <v>77.382222385954421</v>
      </c>
      <c r="L483" s="692">
        <v>1.286754250526428</v>
      </c>
      <c r="M483" s="17" t="str">
        <f t="shared" si="230"/>
        <v>77.3822223859544,1.28675425052643</v>
      </c>
    </row>
    <row r="484" spans="1:13" x14ac:dyDescent="0.25">
      <c r="A484" s="85">
        <f t="shared" ref="A484:A547" si="241">IF(A483&lt;J$269,A483+1,"")</f>
        <v>194</v>
      </c>
      <c r="B484" s="296">
        <f t="shared" ref="B484:B547" si="242">IF(A484="","",IF(A483&lt;=C$270,B$273+(A483*E$274/C$269),IF(A483&lt;=D$270,B$274+(D$275*COS(RADIANS(G$275+((A483-C$270)*H$276/D$269))))-E$275,IF(A483&lt;=E$270,B$276+((A483-D$270)*E$277/E$269),IF(A483&lt;=F$270,B$277+(D$278*COS(RADIANS(G$278+((A483-E$270)*H$279/F$269))))-E$278,IF(A483&lt;=G$270,B$279+((A483-F$270)*E$280/G$269),IF(A483&lt;=H$270,B$280+(D$281*COS(RADIANS(G$281+((A483-G$270)*H$282/H$269))))-E$281,IF(A483&lt;=I$270,B$282+((A483-H$270)*E$283/I$269),"CHECK FORMULE"))))))))</f>
        <v>103972.25994860134</v>
      </c>
      <c r="C484" s="296">
        <f t="shared" ref="C484:C547" si="243">IF(A484="","",IF(A483&lt;=C$270,C$273+(A483*F$274/C$269),IF(A483&lt;=D$270,C$274+(D$275*SIN(RADIANS(G$275+((A483-C$270)*H$276/D$269))))-F$275,IF(A483&lt;=E$270,C$276+((A483-D$270)*F$277/E$269),IF(A483&lt;=F$270,C$277+(D$278*SIN(RADIANS(G$278+((A483-E$270)*H$279/F$269))))-F$278,IF(A483&lt;=G$270,C$279+((A483-F$270)*F$280/G$269),IF(A483&lt;=H$270,C$280+(D$281*SIN(RADIANS(G$281+((A483-G$270)*H$282/H$269))))-F$281,IF(A483&lt;=I$270,C$282+((A483-H$270)*F$283/I$269),"CHECK FORMULE"))))))))</f>
        <v>489270.32331707666</v>
      </c>
      <c r="D484" s="85">
        <f t="shared" si="240"/>
        <v>4</v>
      </c>
      <c r="E484" s="17">
        <f t="shared" ref="E484:E547" si="244">IF(A484="","",B484-B483)</f>
        <v>0.39394466066733003</v>
      </c>
      <c r="F484" s="17">
        <f t="shared" ref="F484:F547" si="245">IF(A484="","",C484-C483)</f>
        <v>-7.1477338438853621E-2</v>
      </c>
      <c r="G484" s="17" t="str">
        <f t="shared" ref="G484:G547" si="246">IF(E484="","",B484&amp;","&amp;C484)</f>
        <v>103972.259948601,489270.323317077</v>
      </c>
      <c r="H484" s="16">
        <v>194</v>
      </c>
      <c r="I484" s="16">
        <f t="shared" ref="I484:I547" si="247">IF(J484="","",I483+1)</f>
        <v>194</v>
      </c>
      <c r="J484" s="209">
        <f t="shared" ref="J484:J547" si="248">IF(E484="","",(E484^2+F484^2)^0.5)</f>
        <v>0.40037657970790475</v>
      </c>
      <c r="K484" s="209">
        <f t="shared" ref="K484:K547" si="249">IF(E484="","",K483+J484)</f>
        <v>77.782598965662331</v>
      </c>
      <c r="L484" s="692">
        <v>1.2949119806289671</v>
      </c>
      <c r="M484" s="17" t="str">
        <f t="shared" ref="M484:M531" si="250">IF(L484="","",K484&amp;","&amp;L484)</f>
        <v>77.7825989656623,1.29491198062897</v>
      </c>
    </row>
    <row r="485" spans="1:13" x14ac:dyDescent="0.25">
      <c r="A485" s="85">
        <f t="shared" si="241"/>
        <v>195</v>
      </c>
      <c r="B485" s="296">
        <f t="shared" si="242"/>
        <v>103972.65389326199</v>
      </c>
      <c r="C485" s="296">
        <f t="shared" si="243"/>
        <v>489270.25183973828</v>
      </c>
      <c r="D485" s="85">
        <f t="shared" si="240"/>
        <v>4</v>
      </c>
      <c r="E485" s="17">
        <f t="shared" si="244"/>
        <v>0.39394466065277811</v>
      </c>
      <c r="F485" s="17">
        <f t="shared" si="245"/>
        <v>-7.1477338380645961E-2</v>
      </c>
      <c r="G485" s="17" t="str">
        <f t="shared" si="246"/>
        <v>103972.653893262,489270.251839738</v>
      </c>
      <c r="H485" s="16">
        <v>195</v>
      </c>
      <c r="I485" s="16">
        <f t="shared" si="247"/>
        <v>195</v>
      </c>
      <c r="J485" s="209">
        <f t="shared" si="248"/>
        <v>0.40037657968319512</v>
      </c>
      <c r="K485" s="209">
        <f t="shared" si="249"/>
        <v>78.182975545345528</v>
      </c>
      <c r="L485" s="692">
        <v>1.303428053855896</v>
      </c>
      <c r="M485" s="17" t="str">
        <f t="shared" si="250"/>
        <v>78.1829755453455,1.3034280538559</v>
      </c>
    </row>
    <row r="486" spans="1:13" x14ac:dyDescent="0.25">
      <c r="A486" s="85">
        <f t="shared" si="241"/>
        <v>196</v>
      </c>
      <c r="B486" s="296">
        <f t="shared" si="242"/>
        <v>103973.04783792266</v>
      </c>
      <c r="C486" s="296">
        <f t="shared" si="243"/>
        <v>489270.18036239984</v>
      </c>
      <c r="D486" s="85">
        <f t="shared" si="240"/>
        <v>4</v>
      </c>
      <c r="E486" s="17">
        <f t="shared" si="244"/>
        <v>0.39394466066733003</v>
      </c>
      <c r="F486" s="17">
        <f t="shared" si="245"/>
        <v>-7.1477338438853621E-2</v>
      </c>
      <c r="G486" s="17" t="str">
        <f t="shared" si="246"/>
        <v>103973.047837923,489270.1803624</v>
      </c>
      <c r="H486" s="16">
        <v>196</v>
      </c>
      <c r="I486" s="16">
        <f t="shared" si="247"/>
        <v>196</v>
      </c>
      <c r="J486" s="209">
        <f t="shared" si="248"/>
        <v>0.40037657970790475</v>
      </c>
      <c r="K486" s="209">
        <f t="shared" si="249"/>
        <v>78.583352125053437</v>
      </c>
      <c r="L486" s="692">
        <v>1.293336868286133</v>
      </c>
      <c r="M486" s="17" t="str">
        <f t="shared" si="250"/>
        <v>78.5833521250534,1.29333686828613</v>
      </c>
    </row>
    <row r="487" spans="1:13" x14ac:dyDescent="0.25">
      <c r="A487" s="85">
        <f t="shared" si="241"/>
        <v>197</v>
      </c>
      <c r="B487" s="296">
        <f t="shared" si="242"/>
        <v>103973.44178258331</v>
      </c>
      <c r="C487" s="296">
        <f t="shared" si="243"/>
        <v>489270.1088850614</v>
      </c>
      <c r="D487" s="85">
        <f t="shared" si="240"/>
        <v>4</v>
      </c>
      <c r="E487" s="17">
        <f t="shared" si="244"/>
        <v>0.39394466065277811</v>
      </c>
      <c r="F487" s="17">
        <f t="shared" si="245"/>
        <v>-7.1477338438853621E-2</v>
      </c>
      <c r="G487" s="17" t="str">
        <f t="shared" si="246"/>
        <v>103973.441782583,489270.108885061</v>
      </c>
      <c r="H487" s="16">
        <v>197</v>
      </c>
      <c r="I487" s="16">
        <f t="shared" si="247"/>
        <v>197</v>
      </c>
      <c r="J487" s="209">
        <f t="shared" si="248"/>
        <v>0.40037657969358664</v>
      </c>
      <c r="K487" s="209">
        <f t="shared" si="249"/>
        <v>78.983728704747023</v>
      </c>
      <c r="L487" s="692">
        <v>1.30451500415802</v>
      </c>
      <c r="M487" s="17" t="str">
        <f t="shared" si="250"/>
        <v>78.983728704747,1.30451500415802</v>
      </c>
    </row>
    <row r="488" spans="1:13" x14ac:dyDescent="0.25">
      <c r="A488" s="85">
        <f t="shared" si="241"/>
        <v>198</v>
      </c>
      <c r="B488" s="296">
        <f t="shared" si="242"/>
        <v>103973.83572724398</v>
      </c>
      <c r="C488" s="296">
        <f t="shared" si="243"/>
        <v>489270.03740772296</v>
      </c>
      <c r="D488" s="85">
        <f t="shared" si="240"/>
        <v>4</v>
      </c>
      <c r="E488" s="17">
        <f t="shared" si="244"/>
        <v>0.39394466066733003</v>
      </c>
      <c r="F488" s="17">
        <f t="shared" si="245"/>
        <v>-7.1477338438853621E-2</v>
      </c>
      <c r="G488" s="17" t="str">
        <f t="shared" si="246"/>
        <v>103973.835727244,489270.037407723</v>
      </c>
      <c r="H488" s="16">
        <v>198</v>
      </c>
      <c r="I488" s="16">
        <f t="shared" si="247"/>
        <v>198</v>
      </c>
      <c r="J488" s="209">
        <f t="shared" si="248"/>
        <v>0.40037657970790475</v>
      </c>
      <c r="K488" s="209">
        <f t="shared" si="249"/>
        <v>79.384105284454932</v>
      </c>
      <c r="L488" s="692">
        <v>1.311413168907166</v>
      </c>
      <c r="M488" s="17" t="str">
        <f t="shared" si="250"/>
        <v>79.3841052844549,1.31141316890717</v>
      </c>
    </row>
    <row r="489" spans="1:13" x14ac:dyDescent="0.25">
      <c r="A489" s="85">
        <f t="shared" si="241"/>
        <v>199</v>
      </c>
      <c r="B489" s="296">
        <f t="shared" si="242"/>
        <v>103974.22967190463</v>
      </c>
      <c r="C489" s="296">
        <f t="shared" si="243"/>
        <v>489269.96593038453</v>
      </c>
      <c r="D489" s="85">
        <f t="shared" ref="D489:D552" si="251">_xlfn.SINGLE(_xlfn.XLOOKUP(B489,B$273:B$284,A$273:A$284,D488))</f>
        <v>4</v>
      </c>
      <c r="E489" s="17">
        <f t="shared" si="244"/>
        <v>0.39394466065277811</v>
      </c>
      <c r="F489" s="17">
        <f t="shared" si="245"/>
        <v>-7.1477338438853621E-2</v>
      </c>
      <c r="G489" s="17" t="str">
        <f t="shared" si="246"/>
        <v>103974.229671905,489269.965930385</v>
      </c>
      <c r="H489" s="16">
        <v>199</v>
      </c>
      <c r="I489" s="16">
        <f t="shared" si="247"/>
        <v>199</v>
      </c>
      <c r="J489" s="209">
        <f t="shared" si="248"/>
        <v>0.40037657969358664</v>
      </c>
      <c r="K489" s="209">
        <f t="shared" si="249"/>
        <v>79.784481864148518</v>
      </c>
      <c r="L489" s="692">
        <v>1.3195569515228269</v>
      </c>
      <c r="M489" s="17" t="str">
        <f t="shared" si="250"/>
        <v>79.7844818641485,1.31955695152283</v>
      </c>
    </row>
    <row r="490" spans="1:13" x14ac:dyDescent="0.25">
      <c r="A490" s="85">
        <f t="shared" si="241"/>
        <v>200</v>
      </c>
      <c r="B490" s="296">
        <f t="shared" si="242"/>
        <v>103974.6236165653</v>
      </c>
      <c r="C490" s="296">
        <f t="shared" si="243"/>
        <v>489269.89445304614</v>
      </c>
      <c r="D490" s="85">
        <f t="shared" si="251"/>
        <v>4</v>
      </c>
      <c r="E490" s="17">
        <f t="shared" si="244"/>
        <v>0.39394466066733003</v>
      </c>
      <c r="F490" s="17">
        <f t="shared" si="245"/>
        <v>-7.1477338380645961E-2</v>
      </c>
      <c r="G490" s="17" t="str">
        <f t="shared" si="246"/>
        <v>103974.623616565,489269.894453046</v>
      </c>
      <c r="H490" s="16">
        <v>200</v>
      </c>
      <c r="I490" s="16">
        <f t="shared" si="247"/>
        <v>200</v>
      </c>
      <c r="J490" s="209">
        <f t="shared" si="248"/>
        <v>0.40037657969751322</v>
      </c>
      <c r="K490" s="209">
        <f t="shared" si="249"/>
        <v>80.184858443846025</v>
      </c>
      <c r="L490" s="692">
        <v>1.3216971158981321</v>
      </c>
      <c r="M490" s="17" t="str">
        <f t="shared" si="250"/>
        <v>80.184858443846,1.32169711589813</v>
      </c>
    </row>
    <row r="491" spans="1:13" x14ac:dyDescent="0.25">
      <c r="A491" s="85">
        <f t="shared" si="241"/>
        <v>201</v>
      </c>
      <c r="B491" s="296">
        <f t="shared" si="242"/>
        <v>103975.01756122596</v>
      </c>
      <c r="C491" s="296">
        <f t="shared" si="243"/>
        <v>489269.82297570771</v>
      </c>
      <c r="D491" s="85">
        <f t="shared" si="251"/>
        <v>4</v>
      </c>
      <c r="E491" s="17">
        <f t="shared" si="244"/>
        <v>0.39394466066733003</v>
      </c>
      <c r="F491" s="17">
        <f t="shared" si="245"/>
        <v>-7.1477338438853621E-2</v>
      </c>
      <c r="G491" s="17" t="str">
        <f t="shared" si="246"/>
        <v>103975.017561226,489269.822975708</v>
      </c>
      <c r="H491" s="16">
        <v>201</v>
      </c>
      <c r="I491" s="16">
        <f t="shared" si="247"/>
        <v>201</v>
      </c>
      <c r="J491" s="209">
        <f t="shared" si="248"/>
        <v>0.40037657970790475</v>
      </c>
      <c r="K491" s="209">
        <f t="shared" si="249"/>
        <v>80.585235023553935</v>
      </c>
      <c r="L491" s="692">
        <v>1.316947937011719</v>
      </c>
      <c r="M491" s="17" t="str">
        <f t="shared" si="250"/>
        <v>80.5852350235539,1.31694793701172</v>
      </c>
    </row>
    <row r="492" spans="1:13" x14ac:dyDescent="0.25">
      <c r="A492" s="85">
        <f t="shared" si="241"/>
        <v>202</v>
      </c>
      <c r="B492" s="296">
        <f t="shared" si="242"/>
        <v>103975.41150588662</v>
      </c>
      <c r="C492" s="296">
        <f t="shared" si="243"/>
        <v>489269.75149836927</v>
      </c>
      <c r="D492" s="85">
        <f t="shared" si="251"/>
        <v>4</v>
      </c>
      <c r="E492" s="17">
        <f t="shared" si="244"/>
        <v>0.39394466065277811</v>
      </c>
      <c r="F492" s="17">
        <f t="shared" si="245"/>
        <v>-7.1477338438853621E-2</v>
      </c>
      <c r="G492" s="17" t="str">
        <f t="shared" si="246"/>
        <v>103975.411505887,489269.751498369</v>
      </c>
      <c r="H492" s="16">
        <v>202</v>
      </c>
      <c r="I492" s="16">
        <f t="shared" si="247"/>
        <v>202</v>
      </c>
      <c r="J492" s="209">
        <f t="shared" si="248"/>
        <v>0.40037657969358664</v>
      </c>
      <c r="K492" s="209">
        <f t="shared" si="249"/>
        <v>80.98561160324752</v>
      </c>
      <c r="L492" s="692">
        <v>1.307702898979187</v>
      </c>
      <c r="M492" s="17" t="str">
        <f t="shared" si="250"/>
        <v>80.9856116032475,1.30770289897919</v>
      </c>
    </row>
    <row r="493" spans="1:13" x14ac:dyDescent="0.25">
      <c r="A493" s="85">
        <f t="shared" si="241"/>
        <v>203</v>
      </c>
      <c r="B493" s="296">
        <f t="shared" si="242"/>
        <v>103975.80545054728</v>
      </c>
      <c r="C493" s="296">
        <f t="shared" si="243"/>
        <v>489269.68002103083</v>
      </c>
      <c r="D493" s="85">
        <f t="shared" si="251"/>
        <v>4</v>
      </c>
      <c r="E493" s="17">
        <f t="shared" si="244"/>
        <v>0.39394466066733003</v>
      </c>
      <c r="F493" s="17">
        <f t="shared" si="245"/>
        <v>-7.1477338438853621E-2</v>
      </c>
      <c r="G493" s="17" t="str">
        <f t="shared" si="246"/>
        <v>103975.805450547,489269.680021031</v>
      </c>
      <c r="H493" s="16">
        <v>203</v>
      </c>
      <c r="I493" s="16">
        <f t="shared" si="247"/>
        <v>203</v>
      </c>
      <c r="J493" s="209">
        <f t="shared" si="248"/>
        <v>0.40037657970790475</v>
      </c>
      <c r="K493" s="209">
        <f t="shared" si="249"/>
        <v>81.38598818295543</v>
      </c>
      <c r="L493" s="692">
        <v>1.3061109781265261</v>
      </c>
      <c r="M493" s="17" t="str">
        <f t="shared" si="250"/>
        <v>81.3859881829554,1.30611097812653</v>
      </c>
    </row>
    <row r="494" spans="1:13" x14ac:dyDescent="0.25">
      <c r="A494" s="85">
        <f t="shared" si="241"/>
        <v>204</v>
      </c>
      <c r="B494" s="296">
        <f t="shared" si="242"/>
        <v>103976.19939520794</v>
      </c>
      <c r="C494" s="296">
        <f t="shared" si="243"/>
        <v>489269.60854369239</v>
      </c>
      <c r="D494" s="85">
        <f t="shared" si="251"/>
        <v>4</v>
      </c>
      <c r="E494" s="17">
        <f t="shared" si="244"/>
        <v>0.39394466065277811</v>
      </c>
      <c r="F494" s="17">
        <f t="shared" si="245"/>
        <v>-7.1477338438853621E-2</v>
      </c>
      <c r="G494" s="17" t="str">
        <f t="shared" si="246"/>
        <v>103976.199395208,489269.608543692</v>
      </c>
      <c r="H494" s="16">
        <v>204</v>
      </c>
      <c r="I494" s="16">
        <f t="shared" si="247"/>
        <v>204</v>
      </c>
      <c r="J494" s="209">
        <f t="shared" si="248"/>
        <v>0.40037657969358664</v>
      </c>
      <c r="K494" s="209">
        <f t="shared" si="249"/>
        <v>81.786364762649015</v>
      </c>
      <c r="L494" s="692">
        <v>1.305234551429749</v>
      </c>
      <c r="M494" s="17" t="str">
        <f t="shared" si="250"/>
        <v>81.786364762649,1.30523455142975</v>
      </c>
    </row>
    <row r="495" spans="1:13" x14ac:dyDescent="0.25">
      <c r="A495" s="85">
        <f t="shared" si="241"/>
        <v>205</v>
      </c>
      <c r="B495" s="296">
        <f t="shared" si="242"/>
        <v>103976.5933398686</v>
      </c>
      <c r="C495" s="296">
        <f t="shared" si="243"/>
        <v>489269.53706635395</v>
      </c>
      <c r="D495" s="85">
        <f t="shared" si="251"/>
        <v>4</v>
      </c>
      <c r="E495" s="17">
        <f t="shared" si="244"/>
        <v>0.39394466066733003</v>
      </c>
      <c r="F495" s="17">
        <f t="shared" si="245"/>
        <v>-7.1477338438853621E-2</v>
      </c>
      <c r="G495" s="17" t="str">
        <f t="shared" si="246"/>
        <v>103976.593339869,489269.537066354</v>
      </c>
      <c r="H495" s="16">
        <v>205</v>
      </c>
      <c r="I495" s="16">
        <f t="shared" si="247"/>
        <v>205</v>
      </c>
      <c r="J495" s="209">
        <f t="shared" si="248"/>
        <v>0.40037657970790475</v>
      </c>
      <c r="K495" s="209">
        <f t="shared" si="249"/>
        <v>82.186741342356925</v>
      </c>
      <c r="L495" s="692">
        <v>1.2962110042572019</v>
      </c>
      <c r="M495" s="17" t="str">
        <f t="shared" si="250"/>
        <v>82.1867413423569,1.2962110042572</v>
      </c>
    </row>
    <row r="496" spans="1:13" x14ac:dyDescent="0.25">
      <c r="A496" s="85">
        <f t="shared" si="241"/>
        <v>206</v>
      </c>
      <c r="B496" s="296">
        <f t="shared" si="242"/>
        <v>103976.98728452926</v>
      </c>
      <c r="C496" s="296">
        <f t="shared" si="243"/>
        <v>489269.46558901557</v>
      </c>
      <c r="D496" s="85">
        <f t="shared" si="251"/>
        <v>4</v>
      </c>
      <c r="E496" s="17">
        <f t="shared" si="244"/>
        <v>0.39394466065277811</v>
      </c>
      <c r="F496" s="17">
        <f t="shared" si="245"/>
        <v>-7.1477338380645961E-2</v>
      </c>
      <c r="G496" s="17" t="str">
        <f t="shared" si="246"/>
        <v>103976.987284529,489269.465589016</v>
      </c>
      <c r="H496" s="16">
        <v>206</v>
      </c>
      <c r="I496" s="16">
        <f t="shared" si="247"/>
        <v>206</v>
      </c>
      <c r="J496" s="209">
        <f t="shared" si="248"/>
        <v>0.40037657968319512</v>
      </c>
      <c r="K496" s="209">
        <f t="shared" si="249"/>
        <v>82.587117922040122</v>
      </c>
      <c r="L496" s="692">
        <v>1.2632210254669189</v>
      </c>
      <c r="M496" s="17" t="str">
        <f t="shared" si="250"/>
        <v>82.5871179220401,1.26322102546692</v>
      </c>
    </row>
    <row r="497" spans="1:13" x14ac:dyDescent="0.25">
      <c r="A497" s="85">
        <f t="shared" si="241"/>
        <v>207</v>
      </c>
      <c r="B497" s="296">
        <f t="shared" si="242"/>
        <v>103977.38122918992</v>
      </c>
      <c r="C497" s="296">
        <f t="shared" si="243"/>
        <v>489269.39411167713</v>
      </c>
      <c r="D497" s="85">
        <f t="shared" si="251"/>
        <v>4</v>
      </c>
      <c r="E497" s="17">
        <f t="shared" si="244"/>
        <v>0.39394466066733003</v>
      </c>
      <c r="F497" s="17">
        <f t="shared" si="245"/>
        <v>-7.1477338438853621E-2</v>
      </c>
      <c r="G497" s="17" t="str">
        <f t="shared" si="246"/>
        <v>103977.38122919,489269.394111677</v>
      </c>
      <c r="H497" s="16">
        <v>207</v>
      </c>
      <c r="I497" s="16">
        <f t="shared" si="247"/>
        <v>207</v>
      </c>
      <c r="J497" s="209">
        <f t="shared" si="248"/>
        <v>0.40037657970790475</v>
      </c>
      <c r="K497" s="209">
        <f t="shared" si="249"/>
        <v>82.987494501748031</v>
      </c>
      <c r="L497" s="692">
        <v>1.2862328290939331</v>
      </c>
      <c r="M497" s="17" t="str">
        <f t="shared" si="250"/>
        <v>82.987494501748,1.28623282909393</v>
      </c>
    </row>
    <row r="498" spans="1:13" x14ac:dyDescent="0.25">
      <c r="A498" s="85">
        <f t="shared" si="241"/>
        <v>208</v>
      </c>
      <c r="B498" s="296">
        <f t="shared" si="242"/>
        <v>103977.77517385058</v>
      </c>
      <c r="C498" s="296">
        <f t="shared" si="243"/>
        <v>489269.32263433869</v>
      </c>
      <c r="D498" s="85">
        <f t="shared" si="251"/>
        <v>4</v>
      </c>
      <c r="E498" s="17">
        <f t="shared" si="244"/>
        <v>0.39394466065277811</v>
      </c>
      <c r="F498" s="17">
        <f t="shared" si="245"/>
        <v>-7.1477338438853621E-2</v>
      </c>
      <c r="G498" s="17" t="str">
        <f t="shared" si="246"/>
        <v>103977.775173851,489269.322634339</v>
      </c>
      <c r="H498" s="16">
        <v>208</v>
      </c>
      <c r="I498" s="16">
        <f t="shared" si="247"/>
        <v>208</v>
      </c>
      <c r="J498" s="209">
        <f t="shared" si="248"/>
        <v>0.40037657969358664</v>
      </c>
      <c r="K498" s="209">
        <f t="shared" si="249"/>
        <v>83.387871081441617</v>
      </c>
      <c r="L498" s="692">
        <v>1.290650010108948</v>
      </c>
      <c r="M498" s="17" t="str">
        <f t="shared" si="250"/>
        <v>83.3878710814416,1.29065001010895</v>
      </c>
    </row>
    <row r="499" spans="1:13" x14ac:dyDescent="0.25">
      <c r="A499" s="85">
        <f t="shared" si="241"/>
        <v>209</v>
      </c>
      <c r="B499" s="296">
        <f t="shared" si="242"/>
        <v>103978.16911851124</v>
      </c>
      <c r="C499" s="296">
        <f t="shared" si="243"/>
        <v>489269.25115700025</v>
      </c>
      <c r="D499" s="85">
        <f t="shared" si="251"/>
        <v>4</v>
      </c>
      <c r="E499" s="17">
        <f t="shared" si="244"/>
        <v>0.39394466066733003</v>
      </c>
      <c r="F499" s="17">
        <f t="shared" si="245"/>
        <v>-7.1477338438853621E-2</v>
      </c>
      <c r="G499" s="17" t="str">
        <f t="shared" si="246"/>
        <v>103978.169118511,489269.251157</v>
      </c>
      <c r="H499" s="16">
        <v>209</v>
      </c>
      <c r="I499" s="16">
        <f t="shared" si="247"/>
        <v>209</v>
      </c>
      <c r="J499" s="209">
        <f t="shared" si="248"/>
        <v>0.40037657970790475</v>
      </c>
      <c r="K499" s="209">
        <f t="shared" si="249"/>
        <v>83.788247661149526</v>
      </c>
      <c r="L499" s="692">
        <v>1.291385293006897</v>
      </c>
      <c r="M499" s="17" t="str">
        <f t="shared" si="250"/>
        <v>83.7882476611495,1.2913852930069</v>
      </c>
    </row>
    <row r="500" spans="1:13" x14ac:dyDescent="0.25">
      <c r="A500" s="85">
        <f t="shared" si="241"/>
        <v>210</v>
      </c>
      <c r="B500" s="296">
        <f t="shared" si="242"/>
        <v>103978.5630631719</v>
      </c>
      <c r="C500" s="296">
        <f t="shared" si="243"/>
        <v>489269.17967966181</v>
      </c>
      <c r="D500" s="85">
        <f t="shared" si="251"/>
        <v>4</v>
      </c>
      <c r="E500" s="17">
        <f t="shared" si="244"/>
        <v>0.39394466065277811</v>
      </c>
      <c r="F500" s="17">
        <f t="shared" si="245"/>
        <v>-7.1477338438853621E-2</v>
      </c>
      <c r="G500" s="17" t="str">
        <f t="shared" si="246"/>
        <v>103978.563063172,489269.179679662</v>
      </c>
      <c r="H500" s="16">
        <v>210</v>
      </c>
      <c r="I500" s="16">
        <f t="shared" si="247"/>
        <v>210</v>
      </c>
      <c r="J500" s="209">
        <f t="shared" si="248"/>
        <v>0.40037657969358664</v>
      </c>
      <c r="K500" s="209">
        <f t="shared" si="249"/>
        <v>84.188624240843112</v>
      </c>
      <c r="L500" s="692">
        <v>1.295273900032043</v>
      </c>
      <c r="M500" s="17" t="str">
        <f t="shared" si="250"/>
        <v>84.1886242408431,1.29527390003204</v>
      </c>
    </row>
    <row r="501" spans="1:13" x14ac:dyDescent="0.25">
      <c r="A501" s="85">
        <f t="shared" si="241"/>
        <v>211</v>
      </c>
      <c r="B501" s="296">
        <f t="shared" si="242"/>
        <v>103978.95700783256</v>
      </c>
      <c r="C501" s="296">
        <f t="shared" si="243"/>
        <v>489269.10820232343</v>
      </c>
      <c r="D501" s="85">
        <f t="shared" si="251"/>
        <v>4</v>
      </c>
      <c r="E501" s="17">
        <f t="shared" si="244"/>
        <v>0.39394466066733003</v>
      </c>
      <c r="F501" s="17">
        <f t="shared" si="245"/>
        <v>-7.1477338380645961E-2</v>
      </c>
      <c r="G501" s="17" t="str">
        <f t="shared" si="246"/>
        <v>103978.957007833,489269.108202323</v>
      </c>
      <c r="H501" s="16">
        <v>211</v>
      </c>
      <c r="I501" s="16">
        <f t="shared" si="247"/>
        <v>211</v>
      </c>
      <c r="J501" s="209">
        <f t="shared" si="248"/>
        <v>0.40037657969751322</v>
      </c>
      <c r="K501" s="209">
        <f t="shared" si="249"/>
        <v>84.589000820540619</v>
      </c>
      <c r="L501" s="692">
        <v>1.300360321998596</v>
      </c>
      <c r="M501" s="17" t="str">
        <f t="shared" si="250"/>
        <v>84.5890008205406,1.3003603219986</v>
      </c>
    </row>
    <row r="502" spans="1:13" x14ac:dyDescent="0.25">
      <c r="A502" s="85">
        <f t="shared" si="241"/>
        <v>212</v>
      </c>
      <c r="B502" s="296">
        <f t="shared" si="242"/>
        <v>103979.35095249323</v>
      </c>
      <c r="C502" s="296">
        <f t="shared" si="243"/>
        <v>489269.036724985</v>
      </c>
      <c r="D502" s="85">
        <f t="shared" si="251"/>
        <v>4</v>
      </c>
      <c r="E502" s="17">
        <f t="shared" si="244"/>
        <v>0.39394466066733003</v>
      </c>
      <c r="F502" s="17">
        <f t="shared" si="245"/>
        <v>-7.1477338438853621E-2</v>
      </c>
      <c r="G502" s="17" t="str">
        <f t="shared" si="246"/>
        <v>103979.350952493,489269.036724985</v>
      </c>
      <c r="H502" s="16">
        <v>212</v>
      </c>
      <c r="I502" s="16">
        <f t="shared" si="247"/>
        <v>212</v>
      </c>
      <c r="J502" s="209">
        <f t="shared" si="248"/>
        <v>0.40037657970790475</v>
      </c>
      <c r="K502" s="209">
        <f t="shared" si="249"/>
        <v>84.989377400248529</v>
      </c>
      <c r="L502" s="692">
        <v>1.301841616630554</v>
      </c>
      <c r="M502" s="17" t="str">
        <f t="shared" si="250"/>
        <v>84.9893774002485,1.30184161663055</v>
      </c>
    </row>
    <row r="503" spans="1:13" x14ac:dyDescent="0.25">
      <c r="A503" s="85">
        <f t="shared" si="241"/>
        <v>213</v>
      </c>
      <c r="B503" s="296">
        <f t="shared" si="242"/>
        <v>103979.74489715388</v>
      </c>
      <c r="C503" s="296">
        <f t="shared" si="243"/>
        <v>489268.96524764656</v>
      </c>
      <c r="D503" s="85">
        <f t="shared" si="251"/>
        <v>4</v>
      </c>
      <c r="E503" s="17">
        <f t="shared" si="244"/>
        <v>0.39394466065277811</v>
      </c>
      <c r="F503" s="17">
        <f t="shared" si="245"/>
        <v>-7.1477338438853621E-2</v>
      </c>
      <c r="G503" s="17" t="str">
        <f t="shared" si="246"/>
        <v>103979.744897154,489268.965247647</v>
      </c>
      <c r="H503" s="16">
        <v>213</v>
      </c>
      <c r="I503" s="16">
        <f t="shared" si="247"/>
        <v>213</v>
      </c>
      <c r="J503" s="209">
        <f t="shared" si="248"/>
        <v>0.40037657969358664</v>
      </c>
      <c r="K503" s="209">
        <f t="shared" si="249"/>
        <v>85.389753979942114</v>
      </c>
      <c r="L503" s="692">
        <v>1.3065415620803831</v>
      </c>
      <c r="M503" s="17" t="str">
        <f t="shared" si="250"/>
        <v>85.3897539799421,1.30654156208038</v>
      </c>
    </row>
    <row r="504" spans="1:13" x14ac:dyDescent="0.25">
      <c r="A504" s="85">
        <f t="shared" si="241"/>
        <v>214</v>
      </c>
      <c r="B504" s="296">
        <f t="shared" si="242"/>
        <v>103980.13884181455</v>
      </c>
      <c r="C504" s="296">
        <f t="shared" si="243"/>
        <v>489268.89377030812</v>
      </c>
      <c r="D504" s="85">
        <f t="shared" si="251"/>
        <v>4</v>
      </c>
      <c r="E504" s="17">
        <f t="shared" si="244"/>
        <v>0.39394466066733003</v>
      </c>
      <c r="F504" s="17">
        <f t="shared" si="245"/>
        <v>-7.1477338438853621E-2</v>
      </c>
      <c r="G504" s="17" t="str">
        <f t="shared" si="246"/>
        <v>103980.138841815,489268.893770308</v>
      </c>
      <c r="H504" s="16">
        <v>214</v>
      </c>
      <c r="I504" s="16">
        <f t="shared" si="247"/>
        <v>214</v>
      </c>
      <c r="J504" s="209">
        <f t="shared" si="248"/>
        <v>0.40037657970790475</v>
      </c>
      <c r="K504" s="209">
        <f t="shared" si="249"/>
        <v>85.790130559650024</v>
      </c>
      <c r="L504" s="692">
        <v>1.3045332431793211</v>
      </c>
      <c r="M504" s="17" t="str">
        <f t="shared" si="250"/>
        <v>85.79013055965,1.30453324317932</v>
      </c>
    </row>
    <row r="505" spans="1:13" x14ac:dyDescent="0.25">
      <c r="A505" s="85">
        <f t="shared" si="241"/>
        <v>215</v>
      </c>
      <c r="B505" s="296">
        <f t="shared" si="242"/>
        <v>103980.5327864752</v>
      </c>
      <c r="C505" s="296">
        <f t="shared" si="243"/>
        <v>489268.82229296968</v>
      </c>
      <c r="D505" s="85">
        <f t="shared" si="251"/>
        <v>4</v>
      </c>
      <c r="E505" s="17">
        <f t="shared" si="244"/>
        <v>0.39394466065277811</v>
      </c>
      <c r="F505" s="17">
        <f t="shared" si="245"/>
        <v>-7.1477338438853621E-2</v>
      </c>
      <c r="G505" s="17" t="str">
        <f t="shared" si="246"/>
        <v>103980.532786475,489268.82229297</v>
      </c>
      <c r="H505" s="16">
        <v>215</v>
      </c>
      <c r="I505" s="16">
        <f t="shared" si="247"/>
        <v>215</v>
      </c>
      <c r="J505" s="209">
        <f t="shared" si="248"/>
        <v>0.40037657969358664</v>
      </c>
      <c r="K505" s="209">
        <f t="shared" si="249"/>
        <v>86.190507139343609</v>
      </c>
      <c r="L505" s="692">
        <v>1.295145511627197</v>
      </c>
      <c r="M505" s="17" t="str">
        <f t="shared" si="250"/>
        <v>86.1905071393436,1.2951455116272</v>
      </c>
    </row>
    <row r="506" spans="1:13" x14ac:dyDescent="0.25">
      <c r="A506" s="85">
        <f t="shared" si="241"/>
        <v>216</v>
      </c>
      <c r="B506" s="296">
        <f t="shared" si="242"/>
        <v>103980.92673113587</v>
      </c>
      <c r="C506" s="296">
        <f t="shared" si="243"/>
        <v>489268.7508156313</v>
      </c>
      <c r="D506" s="85">
        <f t="shared" si="251"/>
        <v>4</v>
      </c>
      <c r="E506" s="17">
        <f t="shared" si="244"/>
        <v>0.39394466066733003</v>
      </c>
      <c r="F506" s="17">
        <f t="shared" si="245"/>
        <v>-7.1477338380645961E-2</v>
      </c>
      <c r="G506" s="17" t="str">
        <f t="shared" si="246"/>
        <v>103980.926731136,489268.750815631</v>
      </c>
      <c r="H506" s="16">
        <v>216</v>
      </c>
      <c r="I506" s="16">
        <f t="shared" si="247"/>
        <v>216</v>
      </c>
      <c r="J506" s="209">
        <f t="shared" si="248"/>
        <v>0.40037657969751322</v>
      </c>
      <c r="K506" s="209">
        <f t="shared" si="249"/>
        <v>86.590883719041116</v>
      </c>
      <c r="L506" s="692">
        <v>1.2962996959686279</v>
      </c>
      <c r="M506" s="17" t="str">
        <f t="shared" si="250"/>
        <v>86.5908837190411,1.29629969596863</v>
      </c>
    </row>
    <row r="507" spans="1:13" x14ac:dyDescent="0.25">
      <c r="A507" s="85">
        <f t="shared" si="241"/>
        <v>217</v>
      </c>
      <c r="B507" s="296">
        <f t="shared" si="242"/>
        <v>103981.32067579652</v>
      </c>
      <c r="C507" s="296">
        <f t="shared" si="243"/>
        <v>489268.67933829286</v>
      </c>
      <c r="D507" s="85">
        <f t="shared" si="251"/>
        <v>4</v>
      </c>
      <c r="E507" s="17">
        <f t="shared" si="244"/>
        <v>0.39394466065277811</v>
      </c>
      <c r="F507" s="17">
        <f t="shared" si="245"/>
        <v>-7.1477338438853621E-2</v>
      </c>
      <c r="G507" s="17" t="str">
        <f t="shared" si="246"/>
        <v>103981.320675797,489268.679338293</v>
      </c>
      <c r="H507" s="16">
        <v>217</v>
      </c>
      <c r="I507" s="16">
        <f t="shared" si="247"/>
        <v>217</v>
      </c>
      <c r="J507" s="209">
        <f t="shared" si="248"/>
        <v>0.40037657969358664</v>
      </c>
      <c r="K507" s="209">
        <f t="shared" si="249"/>
        <v>86.991260298734701</v>
      </c>
      <c r="L507" s="692">
        <v>1.286885261535645</v>
      </c>
      <c r="M507" s="17" t="str">
        <f t="shared" si="250"/>
        <v>86.9912602987347,1.28688526153564</v>
      </c>
    </row>
    <row r="508" spans="1:13" x14ac:dyDescent="0.25">
      <c r="A508" s="85">
        <f t="shared" si="241"/>
        <v>218</v>
      </c>
      <c r="B508" s="296">
        <f t="shared" si="242"/>
        <v>103981.71462045719</v>
      </c>
      <c r="C508" s="296">
        <f t="shared" si="243"/>
        <v>489268.60786095442</v>
      </c>
      <c r="D508" s="85">
        <f t="shared" si="251"/>
        <v>4</v>
      </c>
      <c r="E508" s="17">
        <f t="shared" si="244"/>
        <v>0.39394466066733003</v>
      </c>
      <c r="F508" s="17">
        <f t="shared" si="245"/>
        <v>-7.1477338438853621E-2</v>
      </c>
      <c r="G508" s="17" t="str">
        <f t="shared" si="246"/>
        <v>103981.714620457,489268.607860954</v>
      </c>
      <c r="H508" s="16">
        <v>218</v>
      </c>
      <c r="I508" s="16">
        <f t="shared" si="247"/>
        <v>218</v>
      </c>
      <c r="J508" s="209">
        <f t="shared" si="248"/>
        <v>0.40037657970790475</v>
      </c>
      <c r="K508" s="209">
        <f t="shared" si="249"/>
        <v>87.391636878442611</v>
      </c>
      <c r="L508" s="692">
        <v>1.2786028385162349</v>
      </c>
      <c r="M508" s="17" t="str">
        <f t="shared" si="250"/>
        <v>87.3916368784426,1.27860283851623</v>
      </c>
    </row>
    <row r="509" spans="1:13" x14ac:dyDescent="0.25">
      <c r="A509" s="85">
        <f t="shared" si="241"/>
        <v>219</v>
      </c>
      <c r="B509" s="296">
        <f t="shared" si="242"/>
        <v>103982.10856511784</v>
      </c>
      <c r="C509" s="296">
        <f t="shared" si="243"/>
        <v>489268.53638361598</v>
      </c>
      <c r="D509" s="85">
        <f t="shared" si="251"/>
        <v>4</v>
      </c>
      <c r="E509" s="17">
        <f t="shared" si="244"/>
        <v>0.39394466065277811</v>
      </c>
      <c r="F509" s="17">
        <f t="shared" si="245"/>
        <v>-7.1477338438853621E-2</v>
      </c>
      <c r="G509" s="17" t="str">
        <f t="shared" si="246"/>
        <v>103982.108565118,489268.536383616</v>
      </c>
      <c r="H509" s="16">
        <v>219</v>
      </c>
      <c r="I509" s="16">
        <f t="shared" si="247"/>
        <v>219</v>
      </c>
      <c r="J509" s="209">
        <f t="shared" si="248"/>
        <v>0.40037657969358664</v>
      </c>
      <c r="K509" s="209">
        <f t="shared" si="249"/>
        <v>87.792013458136196</v>
      </c>
      <c r="L509" s="692">
        <v>1.2780525684356689</v>
      </c>
      <c r="M509" s="17" t="str">
        <f t="shared" si="250"/>
        <v>87.7920134581362,1.27805256843567</v>
      </c>
    </row>
    <row r="510" spans="1:13" x14ac:dyDescent="0.25">
      <c r="A510" s="85">
        <f t="shared" si="241"/>
        <v>220</v>
      </c>
      <c r="B510" s="296">
        <f t="shared" si="242"/>
        <v>103982.50250977851</v>
      </c>
      <c r="C510" s="296">
        <f t="shared" si="243"/>
        <v>489268.46490627754</v>
      </c>
      <c r="D510" s="85">
        <f t="shared" si="251"/>
        <v>4</v>
      </c>
      <c r="E510" s="17">
        <f t="shared" si="244"/>
        <v>0.39394466066733003</v>
      </c>
      <c r="F510" s="17">
        <f t="shared" si="245"/>
        <v>-7.1477338438853621E-2</v>
      </c>
      <c r="G510" s="17" t="str">
        <f t="shared" si="246"/>
        <v>103982.502509779,489268.464906278</v>
      </c>
      <c r="H510" s="16">
        <v>220</v>
      </c>
      <c r="I510" s="16">
        <f t="shared" si="247"/>
        <v>220</v>
      </c>
      <c r="J510" s="209">
        <f t="shared" si="248"/>
        <v>0.40037657970790475</v>
      </c>
      <c r="K510" s="209">
        <f t="shared" si="249"/>
        <v>88.192390037844106</v>
      </c>
      <c r="L510" s="692">
        <v>1.28607714176178</v>
      </c>
      <c r="M510" s="17" t="str">
        <f t="shared" si="250"/>
        <v>88.1923900378441,1.28607714176178</v>
      </c>
    </row>
    <row r="511" spans="1:13" x14ac:dyDescent="0.25">
      <c r="A511" s="85">
        <f t="shared" si="241"/>
        <v>221</v>
      </c>
      <c r="B511" s="296">
        <f t="shared" si="242"/>
        <v>103982.89645443916</v>
      </c>
      <c r="C511" s="296">
        <f t="shared" si="243"/>
        <v>489268.3934289391</v>
      </c>
      <c r="D511" s="85">
        <f t="shared" si="251"/>
        <v>4</v>
      </c>
      <c r="E511" s="17">
        <f t="shared" si="244"/>
        <v>0.39394466065277811</v>
      </c>
      <c r="F511" s="17">
        <f t="shared" si="245"/>
        <v>-7.1477338438853621E-2</v>
      </c>
      <c r="G511" s="17" t="str">
        <f t="shared" si="246"/>
        <v>103982.896454439,489268.393428939</v>
      </c>
      <c r="H511" s="16">
        <v>221</v>
      </c>
      <c r="I511" s="16">
        <f t="shared" si="247"/>
        <v>221</v>
      </c>
      <c r="J511" s="209">
        <f t="shared" si="248"/>
        <v>0.40037657969358664</v>
      </c>
      <c r="K511" s="209">
        <f t="shared" si="249"/>
        <v>88.592766617537691</v>
      </c>
      <c r="L511" s="692">
        <v>1.2769234180450439</v>
      </c>
      <c r="M511" s="17" t="str">
        <f t="shared" si="250"/>
        <v>88.5927666175377,1.27692341804504</v>
      </c>
    </row>
    <row r="512" spans="1:13" x14ac:dyDescent="0.25">
      <c r="A512" s="85">
        <f t="shared" si="241"/>
        <v>222</v>
      </c>
      <c r="B512" s="296">
        <f t="shared" si="242"/>
        <v>103983.29039909983</v>
      </c>
      <c r="C512" s="296">
        <f t="shared" si="243"/>
        <v>489268.32195160072</v>
      </c>
      <c r="D512" s="85">
        <f t="shared" si="251"/>
        <v>4</v>
      </c>
      <c r="E512" s="17">
        <f t="shared" si="244"/>
        <v>0.39394466066733003</v>
      </c>
      <c r="F512" s="17">
        <f t="shared" si="245"/>
        <v>-7.1477338380645961E-2</v>
      </c>
      <c r="G512" s="17" t="str">
        <f t="shared" si="246"/>
        <v>103983.2903991,489268.321951601</v>
      </c>
      <c r="H512" s="16">
        <v>222</v>
      </c>
      <c r="I512" s="16">
        <f t="shared" si="247"/>
        <v>222</v>
      </c>
      <c r="J512" s="209">
        <f t="shared" si="248"/>
        <v>0.40037657969751322</v>
      </c>
      <c r="K512" s="209">
        <f t="shared" si="249"/>
        <v>88.993143197235199</v>
      </c>
      <c r="L512" s="692">
        <v>1.270953297615051</v>
      </c>
      <c r="M512" s="17" t="str">
        <f t="shared" si="250"/>
        <v>88.9931431972352,1.27095329761505</v>
      </c>
    </row>
    <row r="513" spans="1:13" x14ac:dyDescent="0.25">
      <c r="A513" s="85">
        <f t="shared" si="241"/>
        <v>223</v>
      </c>
      <c r="B513" s="296">
        <f t="shared" si="242"/>
        <v>103983.6843437605</v>
      </c>
      <c r="C513" s="296">
        <f t="shared" si="243"/>
        <v>489268.25047426228</v>
      </c>
      <c r="D513" s="85">
        <f t="shared" si="251"/>
        <v>4</v>
      </c>
      <c r="E513" s="17">
        <f t="shared" si="244"/>
        <v>0.39394466066733003</v>
      </c>
      <c r="F513" s="17">
        <f t="shared" si="245"/>
        <v>-7.1477338438853621E-2</v>
      </c>
      <c r="G513" s="17" t="str">
        <f t="shared" si="246"/>
        <v>103983.68434376,489268.250474262</v>
      </c>
      <c r="H513" s="16">
        <v>223</v>
      </c>
      <c r="I513" s="16">
        <f t="shared" si="247"/>
        <v>223</v>
      </c>
      <c r="J513" s="209">
        <f t="shared" si="248"/>
        <v>0.40037657970790475</v>
      </c>
      <c r="K513" s="209">
        <f t="shared" si="249"/>
        <v>89.393519776943108</v>
      </c>
      <c r="L513" s="692">
        <v>1.26292896270752</v>
      </c>
      <c r="M513" s="17" t="str">
        <f t="shared" si="250"/>
        <v>89.3935197769431,1.26292896270752</v>
      </c>
    </row>
    <row r="514" spans="1:13" x14ac:dyDescent="0.25">
      <c r="A514" s="85">
        <f t="shared" si="241"/>
        <v>224</v>
      </c>
      <c r="B514" s="296">
        <f t="shared" si="242"/>
        <v>103984.07828842115</v>
      </c>
      <c r="C514" s="296">
        <f t="shared" si="243"/>
        <v>489268.17899692385</v>
      </c>
      <c r="D514" s="85">
        <f t="shared" si="251"/>
        <v>4</v>
      </c>
      <c r="E514" s="17">
        <f t="shared" si="244"/>
        <v>0.39394466065277811</v>
      </c>
      <c r="F514" s="17">
        <f t="shared" si="245"/>
        <v>-7.1477338438853621E-2</v>
      </c>
      <c r="G514" s="17" t="str">
        <f t="shared" si="246"/>
        <v>103984.078288421,489268.178996924</v>
      </c>
      <c r="H514" s="16">
        <v>224</v>
      </c>
      <c r="I514" s="16">
        <f t="shared" si="247"/>
        <v>224</v>
      </c>
      <c r="J514" s="209">
        <f t="shared" si="248"/>
        <v>0.40037657969358664</v>
      </c>
      <c r="K514" s="209">
        <f t="shared" si="249"/>
        <v>89.793896356636694</v>
      </c>
      <c r="L514" s="692">
        <v>1.2623661756515501</v>
      </c>
      <c r="M514" s="17" t="str">
        <f t="shared" si="250"/>
        <v>89.7938963566367,1.26236617565155</v>
      </c>
    </row>
    <row r="515" spans="1:13" x14ac:dyDescent="0.25">
      <c r="A515" s="85">
        <f t="shared" si="241"/>
        <v>225</v>
      </c>
      <c r="B515" s="296">
        <f t="shared" si="242"/>
        <v>103984.47223308182</v>
      </c>
      <c r="C515" s="296">
        <f t="shared" si="243"/>
        <v>489268.10751958541</v>
      </c>
      <c r="D515" s="85">
        <f t="shared" si="251"/>
        <v>4</v>
      </c>
      <c r="E515" s="17">
        <f t="shared" si="244"/>
        <v>0.39394466066733003</v>
      </c>
      <c r="F515" s="17">
        <f t="shared" si="245"/>
        <v>-7.1477338438853621E-2</v>
      </c>
      <c r="G515" s="17" t="str">
        <f t="shared" si="246"/>
        <v>103984.472233082,489268.107519585</v>
      </c>
      <c r="H515" s="16">
        <v>225</v>
      </c>
      <c r="I515" s="16">
        <f t="shared" si="247"/>
        <v>225</v>
      </c>
      <c r="J515" s="209">
        <f t="shared" si="248"/>
        <v>0.40037657970790475</v>
      </c>
      <c r="K515" s="209">
        <f t="shared" si="249"/>
        <v>90.194272936344603</v>
      </c>
      <c r="L515" s="692">
        <v>1.275726437568665</v>
      </c>
      <c r="M515" s="17" t="str">
        <f t="shared" si="250"/>
        <v>90.1942729363446,1.27572643756866</v>
      </c>
    </row>
    <row r="516" spans="1:13" x14ac:dyDescent="0.25">
      <c r="A516" s="85">
        <f t="shared" si="241"/>
        <v>226</v>
      </c>
      <c r="B516" s="296">
        <f t="shared" si="242"/>
        <v>103984.86617774247</v>
      </c>
      <c r="C516" s="296">
        <f t="shared" si="243"/>
        <v>489268.03604224697</v>
      </c>
      <c r="D516" s="85">
        <f t="shared" si="251"/>
        <v>4</v>
      </c>
      <c r="E516" s="17">
        <f t="shared" si="244"/>
        <v>0.39394466065277811</v>
      </c>
      <c r="F516" s="17">
        <f t="shared" si="245"/>
        <v>-7.1477338438853621E-2</v>
      </c>
      <c r="G516" s="17" t="str">
        <f t="shared" si="246"/>
        <v>103984.866177742,489268.036042247</v>
      </c>
      <c r="H516" s="16">
        <v>226</v>
      </c>
      <c r="I516" s="16">
        <f t="shared" si="247"/>
        <v>226</v>
      </c>
      <c r="J516" s="209">
        <f t="shared" si="248"/>
        <v>0.40037657969358664</v>
      </c>
      <c r="K516" s="209">
        <f t="shared" si="249"/>
        <v>90.594649516038189</v>
      </c>
      <c r="L516" s="692">
        <v>1.2696419954299929</v>
      </c>
      <c r="M516" s="17" t="str">
        <f t="shared" si="250"/>
        <v>90.5946495160382,1.26964199542999</v>
      </c>
    </row>
    <row r="517" spans="1:13" x14ac:dyDescent="0.25">
      <c r="A517" s="85">
        <f t="shared" si="241"/>
        <v>227</v>
      </c>
      <c r="B517" s="296">
        <f t="shared" si="242"/>
        <v>103985.26012240314</v>
      </c>
      <c r="C517" s="296">
        <f t="shared" si="243"/>
        <v>489267.96456490859</v>
      </c>
      <c r="D517" s="85">
        <f t="shared" si="251"/>
        <v>4</v>
      </c>
      <c r="E517" s="17">
        <f t="shared" si="244"/>
        <v>0.39394466066733003</v>
      </c>
      <c r="F517" s="17">
        <f t="shared" si="245"/>
        <v>-7.1477338380645961E-2</v>
      </c>
      <c r="G517" s="17" t="str">
        <f t="shared" si="246"/>
        <v>103985.260122403,489267.964564909</v>
      </c>
      <c r="H517" s="16">
        <v>227</v>
      </c>
      <c r="I517" s="16">
        <f t="shared" si="247"/>
        <v>227</v>
      </c>
      <c r="J517" s="209">
        <f t="shared" si="248"/>
        <v>0.40037657969751322</v>
      </c>
      <c r="K517" s="209">
        <f t="shared" si="249"/>
        <v>90.995026095735696</v>
      </c>
      <c r="L517" s="692">
        <v>1.272939085960388</v>
      </c>
      <c r="M517" s="17" t="str">
        <f t="shared" si="250"/>
        <v>90.9950260957357,1.27293908596039</v>
      </c>
    </row>
    <row r="518" spans="1:13" x14ac:dyDescent="0.25">
      <c r="A518" s="85">
        <f t="shared" si="241"/>
        <v>228</v>
      </c>
      <c r="B518" s="296">
        <f t="shared" si="242"/>
        <v>103985.65406706379</v>
      </c>
      <c r="C518" s="296">
        <f t="shared" si="243"/>
        <v>489267.89308757015</v>
      </c>
      <c r="D518" s="85">
        <f t="shared" si="251"/>
        <v>4</v>
      </c>
      <c r="E518" s="17">
        <f t="shared" si="244"/>
        <v>0.39394466065277811</v>
      </c>
      <c r="F518" s="17">
        <f t="shared" si="245"/>
        <v>-7.1477338438853621E-2</v>
      </c>
      <c r="G518" s="17" t="str">
        <f t="shared" si="246"/>
        <v>103985.654067064,489267.89308757</v>
      </c>
      <c r="H518" s="16">
        <v>228</v>
      </c>
      <c r="I518" s="16">
        <f t="shared" si="247"/>
        <v>228</v>
      </c>
      <c r="J518" s="209">
        <f t="shared" si="248"/>
        <v>0.40037657969358664</v>
      </c>
      <c r="K518" s="209">
        <f t="shared" si="249"/>
        <v>91.395402675429281</v>
      </c>
      <c r="L518" s="692">
        <v>1.281620860099792</v>
      </c>
      <c r="M518" s="17" t="str">
        <f t="shared" si="250"/>
        <v>91.3954026754293,1.28162086009979</v>
      </c>
    </row>
    <row r="519" spans="1:13" x14ac:dyDescent="0.25">
      <c r="A519" s="85">
        <f t="shared" si="241"/>
        <v>229</v>
      </c>
      <c r="B519" s="296">
        <f t="shared" si="242"/>
        <v>103986.04801172446</v>
      </c>
      <c r="C519" s="296">
        <f t="shared" si="243"/>
        <v>489267.82161023171</v>
      </c>
      <c r="D519" s="85">
        <f t="shared" si="251"/>
        <v>4</v>
      </c>
      <c r="E519" s="17">
        <f t="shared" si="244"/>
        <v>0.39394466066733003</v>
      </c>
      <c r="F519" s="17">
        <f t="shared" si="245"/>
        <v>-7.1477338438853621E-2</v>
      </c>
      <c r="G519" s="17" t="str">
        <f t="shared" si="246"/>
        <v>103986.048011724,489267.821610232</v>
      </c>
      <c r="H519" s="16">
        <v>229</v>
      </c>
      <c r="I519" s="16">
        <f t="shared" si="247"/>
        <v>229</v>
      </c>
      <c r="J519" s="209">
        <f t="shared" si="248"/>
        <v>0.40037657970790475</v>
      </c>
      <c r="K519" s="209">
        <f t="shared" si="249"/>
        <v>91.795779255137191</v>
      </c>
      <c r="L519" s="692">
        <v>1.289410352706909</v>
      </c>
      <c r="M519" s="17" t="str">
        <f t="shared" si="250"/>
        <v>91.7957792551372,1.28941035270691</v>
      </c>
    </row>
    <row r="520" spans="1:13" x14ac:dyDescent="0.25">
      <c r="A520" s="85">
        <f t="shared" si="241"/>
        <v>230</v>
      </c>
      <c r="B520" s="296">
        <f t="shared" si="242"/>
        <v>103986.44195638511</v>
      </c>
      <c r="C520" s="296">
        <f t="shared" si="243"/>
        <v>489267.75013289327</v>
      </c>
      <c r="D520" s="85">
        <f t="shared" si="251"/>
        <v>4</v>
      </c>
      <c r="E520" s="17">
        <f t="shared" si="244"/>
        <v>0.39394466065277811</v>
      </c>
      <c r="F520" s="17">
        <f t="shared" si="245"/>
        <v>-7.1477338438853621E-2</v>
      </c>
      <c r="G520" s="17" t="str">
        <f t="shared" si="246"/>
        <v>103986.441956385,489267.750132893</v>
      </c>
      <c r="H520" s="16">
        <v>230</v>
      </c>
      <c r="I520" s="16">
        <f t="shared" si="247"/>
        <v>230</v>
      </c>
      <c r="J520" s="209">
        <f t="shared" si="248"/>
        <v>0.40037657969358664</v>
      </c>
      <c r="K520" s="209">
        <f t="shared" si="249"/>
        <v>92.196155834830776</v>
      </c>
      <c r="L520" s="692">
        <v>1.285307049751282</v>
      </c>
      <c r="M520" s="17" t="str">
        <f t="shared" si="250"/>
        <v>92.1961558348308,1.28530704975128</v>
      </c>
    </row>
    <row r="521" spans="1:13" x14ac:dyDescent="0.25">
      <c r="A521" s="85">
        <f t="shared" si="241"/>
        <v>231</v>
      </c>
      <c r="B521" s="296">
        <f t="shared" si="242"/>
        <v>103986.83590104578</v>
      </c>
      <c r="C521" s="296">
        <f t="shared" si="243"/>
        <v>489267.67865555483</v>
      </c>
      <c r="D521" s="85">
        <f t="shared" si="251"/>
        <v>4</v>
      </c>
      <c r="E521" s="17">
        <f t="shared" si="244"/>
        <v>0.39394466066733003</v>
      </c>
      <c r="F521" s="17">
        <f t="shared" si="245"/>
        <v>-7.1477338438853621E-2</v>
      </c>
      <c r="G521" s="17" t="str">
        <f t="shared" si="246"/>
        <v>103986.835901046,489267.678655555</v>
      </c>
      <c r="H521" s="16">
        <v>231</v>
      </c>
      <c r="I521" s="16">
        <f t="shared" si="247"/>
        <v>231</v>
      </c>
      <c r="J521" s="209">
        <f t="shared" si="248"/>
        <v>0.40037657970790475</v>
      </c>
      <c r="K521" s="209">
        <f t="shared" si="249"/>
        <v>92.596532414538686</v>
      </c>
      <c r="L521" s="692">
        <v>1.282657742500305</v>
      </c>
      <c r="M521" s="17" t="str">
        <f t="shared" si="250"/>
        <v>92.5965324145387,1.2826577425003</v>
      </c>
    </row>
    <row r="522" spans="1:13" x14ac:dyDescent="0.25">
      <c r="A522" s="85">
        <f t="shared" si="241"/>
        <v>232</v>
      </c>
      <c r="B522" s="296">
        <f t="shared" si="242"/>
        <v>103987.22984570643</v>
      </c>
      <c r="C522" s="296">
        <f t="shared" si="243"/>
        <v>489267.60717821645</v>
      </c>
      <c r="D522" s="85">
        <f t="shared" si="251"/>
        <v>4</v>
      </c>
      <c r="E522" s="17">
        <f t="shared" si="244"/>
        <v>0.39394466065277811</v>
      </c>
      <c r="F522" s="17">
        <f t="shared" si="245"/>
        <v>-7.1477338380645961E-2</v>
      </c>
      <c r="G522" s="17" t="str">
        <f t="shared" si="246"/>
        <v>103987.229845706,489267.607178216</v>
      </c>
      <c r="H522" s="16">
        <v>232</v>
      </c>
      <c r="I522" s="16">
        <f t="shared" si="247"/>
        <v>232</v>
      </c>
      <c r="J522" s="209">
        <f t="shared" si="248"/>
        <v>0.40037657968319512</v>
      </c>
      <c r="K522" s="209">
        <f t="shared" si="249"/>
        <v>92.996908994221883</v>
      </c>
      <c r="L522" s="692">
        <v>1.2773740291595459</v>
      </c>
      <c r="M522" s="17" t="str">
        <f t="shared" si="250"/>
        <v>92.9969089942219,1.27737402915955</v>
      </c>
    </row>
    <row r="523" spans="1:13" x14ac:dyDescent="0.25">
      <c r="A523" s="85">
        <f t="shared" si="241"/>
        <v>233</v>
      </c>
      <c r="B523" s="296">
        <f t="shared" si="242"/>
        <v>103987.6237903671</v>
      </c>
      <c r="C523" s="296">
        <f t="shared" si="243"/>
        <v>489267.53570087801</v>
      </c>
      <c r="D523" s="85">
        <f t="shared" si="251"/>
        <v>4</v>
      </c>
      <c r="E523" s="17">
        <f t="shared" si="244"/>
        <v>0.39394466066733003</v>
      </c>
      <c r="F523" s="17">
        <f t="shared" si="245"/>
        <v>-7.1477338438853621E-2</v>
      </c>
      <c r="G523" s="17" t="str">
        <f t="shared" si="246"/>
        <v>103987.623790367,489267.535700878</v>
      </c>
      <c r="H523" s="16">
        <v>233</v>
      </c>
      <c r="I523" s="16">
        <f t="shared" si="247"/>
        <v>233</v>
      </c>
      <c r="J523" s="209">
        <f t="shared" si="248"/>
        <v>0.40037657970790475</v>
      </c>
      <c r="K523" s="209">
        <f t="shared" si="249"/>
        <v>93.397285573929793</v>
      </c>
      <c r="L523" s="692">
        <v>1.2720257043838501</v>
      </c>
      <c r="M523" s="17" t="str">
        <f t="shared" si="250"/>
        <v>93.3972855739298,1.27202570438385</v>
      </c>
    </row>
    <row r="524" spans="1:13" x14ac:dyDescent="0.25">
      <c r="A524" s="85">
        <f t="shared" si="241"/>
        <v>234</v>
      </c>
      <c r="B524" s="296">
        <f t="shared" si="242"/>
        <v>103988.01773502777</v>
      </c>
      <c r="C524" s="296">
        <f t="shared" si="243"/>
        <v>489267.46422353957</v>
      </c>
      <c r="D524" s="85">
        <f t="shared" si="251"/>
        <v>4</v>
      </c>
      <c r="E524" s="17">
        <f t="shared" si="244"/>
        <v>0.39394466066733003</v>
      </c>
      <c r="F524" s="17">
        <f t="shared" si="245"/>
        <v>-7.1477338438853621E-2</v>
      </c>
      <c r="G524" s="17" t="str">
        <f t="shared" si="246"/>
        <v>103988.017735028,489267.46422354</v>
      </c>
      <c r="H524" s="16">
        <v>234</v>
      </c>
      <c r="I524" s="16">
        <f t="shared" si="247"/>
        <v>234</v>
      </c>
      <c r="J524" s="209">
        <f t="shared" si="248"/>
        <v>0.40037657970790475</v>
      </c>
      <c r="K524" s="209">
        <f t="shared" si="249"/>
        <v>93.797662153637702</v>
      </c>
      <c r="L524" s="692">
        <v>1.272449135780334</v>
      </c>
      <c r="M524" s="17" t="str">
        <f t="shared" si="250"/>
        <v>93.7976621536377,1.27244913578033</v>
      </c>
    </row>
    <row r="525" spans="1:13" x14ac:dyDescent="0.25">
      <c r="A525" s="85">
        <f t="shared" si="241"/>
        <v>235</v>
      </c>
      <c r="B525" s="296">
        <f t="shared" si="242"/>
        <v>103988.41167968842</v>
      </c>
      <c r="C525" s="296">
        <f t="shared" si="243"/>
        <v>489267.39274620113</v>
      </c>
      <c r="D525" s="85">
        <f t="shared" si="251"/>
        <v>4</v>
      </c>
      <c r="E525" s="17">
        <f t="shared" si="244"/>
        <v>0.39394466065277811</v>
      </c>
      <c r="F525" s="17">
        <f t="shared" si="245"/>
        <v>-7.1477338438853621E-2</v>
      </c>
      <c r="G525" s="17" t="str">
        <f t="shared" si="246"/>
        <v>103988.411679688,489267.392746201</v>
      </c>
      <c r="H525" s="16">
        <v>235</v>
      </c>
      <c r="I525" s="16">
        <f t="shared" si="247"/>
        <v>235</v>
      </c>
      <c r="J525" s="209">
        <f t="shared" si="248"/>
        <v>0.40037657969358664</v>
      </c>
      <c r="K525" s="209">
        <f t="shared" si="249"/>
        <v>94.198038733331288</v>
      </c>
      <c r="L525" s="692">
        <v>1.2762992382049561</v>
      </c>
      <c r="M525" s="17" t="str">
        <f t="shared" si="250"/>
        <v>94.1980387333313,1.27629923820496</v>
      </c>
    </row>
    <row r="526" spans="1:13" x14ac:dyDescent="0.25">
      <c r="A526" s="85">
        <f t="shared" si="241"/>
        <v>236</v>
      </c>
      <c r="B526" s="296">
        <f t="shared" si="242"/>
        <v>103988.80562434909</v>
      </c>
      <c r="C526" s="296">
        <f t="shared" si="243"/>
        <v>489267.3212688627</v>
      </c>
      <c r="D526" s="85">
        <f t="shared" si="251"/>
        <v>4</v>
      </c>
      <c r="E526" s="17">
        <f t="shared" si="244"/>
        <v>0.39394466066733003</v>
      </c>
      <c r="F526" s="17">
        <f t="shared" si="245"/>
        <v>-7.1477338438853621E-2</v>
      </c>
      <c r="G526" s="17" t="str">
        <f t="shared" si="246"/>
        <v>103988.805624349,489267.321268863</v>
      </c>
      <c r="H526" s="16">
        <v>236</v>
      </c>
      <c r="I526" s="16">
        <f t="shared" si="247"/>
        <v>236</v>
      </c>
      <c r="J526" s="209">
        <f t="shared" si="248"/>
        <v>0.40037657970790475</v>
      </c>
      <c r="K526" s="209">
        <f t="shared" si="249"/>
        <v>94.598415313039197</v>
      </c>
      <c r="L526" s="692">
        <v>1.2768305540084841</v>
      </c>
      <c r="M526" s="17" t="str">
        <f t="shared" si="250"/>
        <v>94.5984153130392,1.27683055400848</v>
      </c>
    </row>
    <row r="527" spans="1:13" x14ac:dyDescent="0.25">
      <c r="A527" s="85">
        <f t="shared" si="241"/>
        <v>237</v>
      </c>
      <c r="B527" s="296">
        <f t="shared" si="242"/>
        <v>103989.19956900974</v>
      </c>
      <c r="C527" s="296">
        <f t="shared" si="243"/>
        <v>489267.24979152426</v>
      </c>
      <c r="D527" s="85">
        <f t="shared" si="251"/>
        <v>4</v>
      </c>
      <c r="E527" s="17">
        <f t="shared" si="244"/>
        <v>0.39394466065277811</v>
      </c>
      <c r="F527" s="17">
        <f t="shared" si="245"/>
        <v>-7.1477338438853621E-2</v>
      </c>
      <c r="G527" s="17" t="str">
        <f t="shared" si="246"/>
        <v>103989.19956901,489267.249791524</v>
      </c>
      <c r="H527" s="16">
        <v>237</v>
      </c>
      <c r="I527" s="16">
        <f t="shared" si="247"/>
        <v>237</v>
      </c>
      <c r="J527" s="209">
        <f t="shared" si="248"/>
        <v>0.40037657969358664</v>
      </c>
      <c r="K527" s="209">
        <f t="shared" si="249"/>
        <v>94.998791892732783</v>
      </c>
      <c r="L527" s="692">
        <v>1.275332093238831</v>
      </c>
      <c r="M527" s="17" t="str">
        <f t="shared" si="250"/>
        <v>94.9987918927328,1.27533209323883</v>
      </c>
    </row>
    <row r="528" spans="1:13" x14ac:dyDescent="0.25">
      <c r="A528" s="85">
        <f t="shared" si="241"/>
        <v>238</v>
      </c>
      <c r="B528" s="296">
        <f t="shared" si="242"/>
        <v>103989.59351367041</v>
      </c>
      <c r="C528" s="296">
        <f t="shared" si="243"/>
        <v>489267.17831418588</v>
      </c>
      <c r="D528" s="85">
        <f t="shared" si="251"/>
        <v>4</v>
      </c>
      <c r="E528" s="17">
        <f t="shared" si="244"/>
        <v>0.39394466066733003</v>
      </c>
      <c r="F528" s="17">
        <f t="shared" si="245"/>
        <v>-7.1477338380645961E-2</v>
      </c>
      <c r="G528" s="17" t="str">
        <f t="shared" si="246"/>
        <v>103989.59351367,489267.178314186</v>
      </c>
      <c r="H528" s="16">
        <v>238</v>
      </c>
      <c r="I528" s="16">
        <f t="shared" si="247"/>
        <v>238</v>
      </c>
      <c r="J528" s="209">
        <f t="shared" si="248"/>
        <v>0.40037657969751322</v>
      </c>
      <c r="K528" s="209">
        <f t="shared" si="249"/>
        <v>95.39916847243029</v>
      </c>
      <c r="L528" s="692">
        <v>1.268135666847229</v>
      </c>
      <c r="M528" s="17" t="str">
        <f t="shared" si="250"/>
        <v>95.3991684724303,1.26813566684723</v>
      </c>
    </row>
    <row r="529" spans="1:13" x14ac:dyDescent="0.25">
      <c r="A529" s="85">
        <f t="shared" si="241"/>
        <v>239</v>
      </c>
      <c r="B529" s="296">
        <f t="shared" si="242"/>
        <v>103989.98745833106</v>
      </c>
      <c r="C529" s="296">
        <f t="shared" si="243"/>
        <v>489267.10683684744</v>
      </c>
      <c r="D529" s="85">
        <f t="shared" si="251"/>
        <v>4</v>
      </c>
      <c r="E529" s="17">
        <f t="shared" si="244"/>
        <v>0.39394466065277811</v>
      </c>
      <c r="F529" s="17">
        <f t="shared" si="245"/>
        <v>-7.1477338438853621E-2</v>
      </c>
      <c r="G529" s="17" t="str">
        <f t="shared" si="246"/>
        <v>103989.987458331,489267.106836847</v>
      </c>
      <c r="H529" s="16">
        <v>239</v>
      </c>
      <c r="I529" s="16">
        <f t="shared" si="247"/>
        <v>239</v>
      </c>
      <c r="J529" s="209">
        <f t="shared" si="248"/>
        <v>0.40037657969358664</v>
      </c>
      <c r="K529" s="209">
        <f t="shared" si="249"/>
        <v>95.799545052123875</v>
      </c>
      <c r="L529" s="692">
        <v>1.252299427986145</v>
      </c>
      <c r="M529" s="17" t="str">
        <f t="shared" si="250"/>
        <v>95.7995450521239,1.25229942798615</v>
      </c>
    </row>
    <row r="530" spans="1:13" x14ac:dyDescent="0.25">
      <c r="A530" s="85">
        <f t="shared" si="241"/>
        <v>240</v>
      </c>
      <c r="B530" s="296">
        <f t="shared" si="242"/>
        <v>103990.38140299173</v>
      </c>
      <c r="C530" s="296">
        <f t="shared" si="243"/>
        <v>489267.035359509</v>
      </c>
      <c r="D530" s="85">
        <f t="shared" si="251"/>
        <v>4</v>
      </c>
      <c r="E530" s="17">
        <f t="shared" si="244"/>
        <v>0.39394466066733003</v>
      </c>
      <c r="F530" s="17">
        <f t="shared" si="245"/>
        <v>-7.1477338438853621E-2</v>
      </c>
      <c r="G530" s="17" t="str">
        <f t="shared" si="246"/>
        <v>103990.381402992,489267.035359509</v>
      </c>
      <c r="H530" s="16">
        <v>240</v>
      </c>
      <c r="I530" s="16">
        <f t="shared" si="247"/>
        <v>240</v>
      </c>
      <c r="J530" s="209">
        <f t="shared" si="248"/>
        <v>0.40037657970790475</v>
      </c>
      <c r="K530" s="209">
        <f t="shared" si="249"/>
        <v>96.199921631831785</v>
      </c>
      <c r="L530" s="692">
        <v>1.2480094432830811</v>
      </c>
      <c r="M530" s="17" t="str">
        <f t="shared" si="250"/>
        <v>96.1999216318318,1.24800944328308</v>
      </c>
    </row>
    <row r="531" spans="1:13" x14ac:dyDescent="0.25">
      <c r="A531" s="85">
        <f t="shared" si="241"/>
        <v>241</v>
      </c>
      <c r="B531" s="296">
        <f t="shared" si="242"/>
        <v>103990.77534765238</v>
      </c>
      <c r="C531" s="296">
        <f t="shared" si="243"/>
        <v>489266.96388217056</v>
      </c>
      <c r="D531" s="85">
        <f t="shared" si="251"/>
        <v>4</v>
      </c>
      <c r="E531" s="17">
        <f t="shared" si="244"/>
        <v>0.39394466065277811</v>
      </c>
      <c r="F531" s="17">
        <f t="shared" si="245"/>
        <v>-7.1477338438853621E-2</v>
      </c>
      <c r="G531" s="17" t="str">
        <f t="shared" si="246"/>
        <v>103990.775347652,489266.963882171</v>
      </c>
      <c r="H531" s="16">
        <v>241</v>
      </c>
      <c r="I531" s="16">
        <f t="shared" si="247"/>
        <v>241</v>
      </c>
      <c r="J531" s="209">
        <f t="shared" si="248"/>
        <v>0.40037657969358664</v>
      </c>
      <c r="K531" s="209">
        <f t="shared" si="249"/>
        <v>96.60029821152537</v>
      </c>
      <c r="L531" s="692">
        <v>1.24782383441925</v>
      </c>
      <c r="M531" s="17" t="str">
        <f t="shared" si="250"/>
        <v>96.6002982115254,1.24782383441925</v>
      </c>
    </row>
    <row r="532" spans="1:13" x14ac:dyDescent="0.25">
      <c r="A532" s="85">
        <f t="shared" si="241"/>
        <v>242</v>
      </c>
      <c r="B532" s="296">
        <f t="shared" si="242"/>
        <v>103991.16929231305</v>
      </c>
      <c r="C532" s="296">
        <f t="shared" si="243"/>
        <v>489266.89240483212</v>
      </c>
      <c r="D532" s="85">
        <f t="shared" si="251"/>
        <v>4</v>
      </c>
      <c r="E532" s="17">
        <f t="shared" si="244"/>
        <v>0.39394466066733003</v>
      </c>
      <c r="F532" s="17">
        <f t="shared" si="245"/>
        <v>-7.1477338438853621E-2</v>
      </c>
      <c r="G532" s="17" t="str">
        <f t="shared" si="246"/>
        <v>103991.169292313,489266.892404832</v>
      </c>
      <c r="H532" s="16">
        <v>242</v>
      </c>
      <c r="I532" s="16">
        <f t="shared" si="247"/>
        <v>242</v>
      </c>
      <c r="J532" s="209">
        <f t="shared" si="248"/>
        <v>0.40037657970790475</v>
      </c>
      <c r="K532" s="209">
        <f t="shared" si="249"/>
        <v>97.00067479123328</v>
      </c>
      <c r="L532" s="692">
        <v>1.2483565807342529</v>
      </c>
      <c r="M532" s="17" t="str">
        <f t="shared" ref="M532:M547" si="252">IF(L532="","",K532&amp;","&amp;L532)</f>
        <v>97.0006747912333,1.24835658073425</v>
      </c>
    </row>
    <row r="533" spans="1:13" x14ac:dyDescent="0.25">
      <c r="A533" s="85">
        <f t="shared" si="241"/>
        <v>243</v>
      </c>
      <c r="B533" s="296">
        <f t="shared" si="242"/>
        <v>103991.5632369737</v>
      </c>
      <c r="C533" s="296">
        <f t="shared" si="243"/>
        <v>489266.82092749374</v>
      </c>
      <c r="D533" s="85">
        <f t="shared" si="251"/>
        <v>4</v>
      </c>
      <c r="E533" s="17">
        <f t="shared" si="244"/>
        <v>0.39394466065277811</v>
      </c>
      <c r="F533" s="17">
        <f t="shared" si="245"/>
        <v>-7.1477338380645961E-2</v>
      </c>
      <c r="G533" s="17" t="str">
        <f t="shared" si="246"/>
        <v>103991.563236974,489266.820927494</v>
      </c>
      <c r="H533" s="16">
        <v>243</v>
      </c>
      <c r="I533" s="16">
        <f t="shared" si="247"/>
        <v>243</v>
      </c>
      <c r="J533" s="209">
        <f t="shared" si="248"/>
        <v>0.40037657968319512</v>
      </c>
      <c r="K533" s="209">
        <f t="shared" si="249"/>
        <v>97.401051370916477</v>
      </c>
      <c r="L533" s="692">
        <v>1.247961044311523</v>
      </c>
      <c r="M533" s="17" t="str">
        <f t="shared" si="252"/>
        <v>97.4010513709165,1.24796104431152</v>
      </c>
    </row>
    <row r="534" spans="1:13" x14ac:dyDescent="0.25">
      <c r="A534" s="85">
        <f t="shared" si="241"/>
        <v>244</v>
      </c>
      <c r="B534" s="296">
        <f t="shared" si="242"/>
        <v>103991.95718163437</v>
      </c>
      <c r="C534" s="296">
        <f t="shared" si="243"/>
        <v>489266.7494501553</v>
      </c>
      <c r="D534" s="85">
        <f t="shared" si="251"/>
        <v>4</v>
      </c>
      <c r="E534" s="17">
        <f t="shared" si="244"/>
        <v>0.39394466066733003</v>
      </c>
      <c r="F534" s="17">
        <f t="shared" si="245"/>
        <v>-7.1477338438853621E-2</v>
      </c>
      <c r="G534" s="17" t="str">
        <f t="shared" si="246"/>
        <v>103991.957181634,489266.749450155</v>
      </c>
      <c r="H534" s="16">
        <v>244</v>
      </c>
      <c r="I534" s="16">
        <f t="shared" si="247"/>
        <v>244</v>
      </c>
      <c r="J534" s="209">
        <f t="shared" si="248"/>
        <v>0.40037657970790475</v>
      </c>
      <c r="K534" s="209">
        <f t="shared" si="249"/>
        <v>97.801427950624387</v>
      </c>
      <c r="L534" s="692">
        <v>1.243651747703552</v>
      </c>
      <c r="M534" s="17" t="str">
        <f t="shared" si="252"/>
        <v>97.8014279506244,1.24365174770355</v>
      </c>
    </row>
    <row r="535" spans="1:13" x14ac:dyDescent="0.25">
      <c r="A535" s="85">
        <f t="shared" si="241"/>
        <v>245</v>
      </c>
      <c r="B535" s="296">
        <f t="shared" si="242"/>
        <v>103992.35112629502</v>
      </c>
      <c r="C535" s="296">
        <f t="shared" si="243"/>
        <v>489266.67797281686</v>
      </c>
      <c r="D535" s="85">
        <f t="shared" si="251"/>
        <v>4</v>
      </c>
      <c r="E535" s="17">
        <f t="shared" si="244"/>
        <v>0.39394466065277811</v>
      </c>
      <c r="F535" s="17">
        <f t="shared" si="245"/>
        <v>-7.1477338438853621E-2</v>
      </c>
      <c r="G535" s="17" t="str">
        <f t="shared" si="246"/>
        <v>103992.351126295,489266.677972817</v>
      </c>
      <c r="H535" s="16">
        <v>245</v>
      </c>
      <c r="I535" s="16">
        <f t="shared" si="247"/>
        <v>245</v>
      </c>
      <c r="J535" s="209">
        <f t="shared" si="248"/>
        <v>0.40037657969358664</v>
      </c>
      <c r="K535" s="209">
        <f t="shared" si="249"/>
        <v>98.201804530317972</v>
      </c>
      <c r="L535" s="692">
        <v>1.2337493896484379</v>
      </c>
      <c r="M535" s="17" t="str">
        <f t="shared" si="252"/>
        <v>98.201804530318,1.23374938964844</v>
      </c>
    </row>
    <row r="536" spans="1:13" x14ac:dyDescent="0.25">
      <c r="A536" s="85">
        <f t="shared" si="241"/>
        <v>246</v>
      </c>
      <c r="B536" s="296">
        <f t="shared" si="242"/>
        <v>103992.74507095569</v>
      </c>
      <c r="C536" s="296">
        <f t="shared" si="243"/>
        <v>489266.60649547842</v>
      </c>
      <c r="D536" s="85">
        <f t="shared" si="251"/>
        <v>4</v>
      </c>
      <c r="E536" s="17">
        <f t="shared" si="244"/>
        <v>0.39394466066733003</v>
      </c>
      <c r="F536" s="17">
        <f t="shared" si="245"/>
        <v>-7.1477338438853621E-2</v>
      </c>
      <c r="G536" s="17" t="str">
        <f t="shared" si="246"/>
        <v>103992.745070956,489266.606495478</v>
      </c>
      <c r="H536" s="16">
        <v>246</v>
      </c>
      <c r="I536" s="16">
        <f t="shared" si="247"/>
        <v>246</v>
      </c>
      <c r="J536" s="209">
        <f t="shared" si="248"/>
        <v>0.40037657970790475</v>
      </c>
      <c r="K536" s="209">
        <f t="shared" si="249"/>
        <v>98.602181110025882</v>
      </c>
      <c r="L536" s="692">
        <v>1.2347221374511721</v>
      </c>
      <c r="M536" s="17" t="str">
        <f t="shared" si="252"/>
        <v>98.6021811100259,1.23472213745117</v>
      </c>
    </row>
    <row r="537" spans="1:13" x14ac:dyDescent="0.25">
      <c r="A537" s="85">
        <f t="shared" si="241"/>
        <v>247</v>
      </c>
      <c r="B537" s="296">
        <f t="shared" si="242"/>
        <v>103993.13901561635</v>
      </c>
      <c r="C537" s="296">
        <f t="shared" si="243"/>
        <v>489266.53501813998</v>
      </c>
      <c r="D537" s="85">
        <f t="shared" si="251"/>
        <v>4</v>
      </c>
      <c r="E537" s="17">
        <f t="shared" si="244"/>
        <v>0.39394466066733003</v>
      </c>
      <c r="F537" s="17">
        <f t="shared" si="245"/>
        <v>-7.1477338438853621E-2</v>
      </c>
      <c r="G537" s="17" t="str">
        <f t="shared" si="246"/>
        <v>103993.139015616,489266.53501814</v>
      </c>
      <c r="H537" s="16">
        <v>247</v>
      </c>
      <c r="I537" s="16">
        <f t="shared" si="247"/>
        <v>247</v>
      </c>
      <c r="J537" s="209">
        <f t="shared" si="248"/>
        <v>0.40037657970790475</v>
      </c>
      <c r="K537" s="209">
        <f t="shared" si="249"/>
        <v>99.002557689733791</v>
      </c>
      <c r="L537" s="692">
        <v>1.2436590194702151</v>
      </c>
      <c r="M537" s="17" t="str">
        <f t="shared" si="252"/>
        <v>99.0025576897338,1.24365901947022</v>
      </c>
    </row>
    <row r="538" spans="1:13" x14ac:dyDescent="0.25">
      <c r="A538" s="85">
        <f t="shared" si="241"/>
        <v>248</v>
      </c>
      <c r="B538" s="296">
        <f t="shared" si="242"/>
        <v>103993.53296027701</v>
      </c>
      <c r="C538" s="296">
        <f t="shared" si="243"/>
        <v>489266.4635408016</v>
      </c>
      <c r="D538" s="85">
        <f t="shared" si="251"/>
        <v>4</v>
      </c>
      <c r="E538" s="17">
        <f t="shared" si="244"/>
        <v>0.39394466065277811</v>
      </c>
      <c r="F538" s="17">
        <f t="shared" si="245"/>
        <v>-7.1477338380645961E-2</v>
      </c>
      <c r="G538" s="17" t="str">
        <f t="shared" si="246"/>
        <v>103993.532960277,489266.463540802</v>
      </c>
      <c r="H538" s="16">
        <v>248</v>
      </c>
      <c r="I538" s="16">
        <f t="shared" si="247"/>
        <v>248</v>
      </c>
      <c r="J538" s="209">
        <f t="shared" si="248"/>
        <v>0.40037657968319512</v>
      </c>
      <c r="K538" s="209">
        <f t="shared" si="249"/>
        <v>99.402934269416988</v>
      </c>
      <c r="L538" s="692">
        <v>1.259693503379822</v>
      </c>
      <c r="M538" s="17" t="str">
        <f t="shared" si="252"/>
        <v>99.402934269417,1.25969350337982</v>
      </c>
    </row>
    <row r="539" spans="1:13" x14ac:dyDescent="0.25">
      <c r="A539" s="85">
        <f t="shared" si="241"/>
        <v>249</v>
      </c>
      <c r="B539" s="296">
        <f t="shared" si="242"/>
        <v>103993.92690493767</v>
      </c>
      <c r="C539" s="296">
        <f t="shared" si="243"/>
        <v>489266.39206346316</v>
      </c>
      <c r="D539" s="85">
        <f t="shared" si="251"/>
        <v>4</v>
      </c>
      <c r="E539" s="17">
        <f t="shared" si="244"/>
        <v>0.39394466066733003</v>
      </c>
      <c r="F539" s="17">
        <f t="shared" si="245"/>
        <v>-7.1477338438853621E-2</v>
      </c>
      <c r="G539" s="17" t="str">
        <f t="shared" si="246"/>
        <v>103993.926904938,489266.392063463</v>
      </c>
      <c r="H539" s="16">
        <v>249</v>
      </c>
      <c r="I539" s="16">
        <f t="shared" si="247"/>
        <v>249</v>
      </c>
      <c r="J539" s="209">
        <f t="shared" si="248"/>
        <v>0.40037657970790475</v>
      </c>
      <c r="K539" s="209">
        <f t="shared" si="249"/>
        <v>99.803310849124898</v>
      </c>
      <c r="L539" s="692">
        <v>1.2802480459213259</v>
      </c>
      <c r="M539" s="17" t="str">
        <f t="shared" si="252"/>
        <v>99.8033108491249,1.28024804592133</v>
      </c>
    </row>
    <row r="540" spans="1:13" x14ac:dyDescent="0.25">
      <c r="A540" s="85">
        <f t="shared" si="241"/>
        <v>250</v>
      </c>
      <c r="B540" s="296">
        <f t="shared" si="242"/>
        <v>103994.32084959833</v>
      </c>
      <c r="C540" s="296">
        <f t="shared" si="243"/>
        <v>489266.32058612473</v>
      </c>
      <c r="D540" s="85">
        <f t="shared" si="251"/>
        <v>4</v>
      </c>
      <c r="E540" s="17">
        <f t="shared" si="244"/>
        <v>0.39394466065277811</v>
      </c>
      <c r="F540" s="17">
        <f t="shared" si="245"/>
        <v>-7.1477338438853621E-2</v>
      </c>
      <c r="G540" s="17" t="str">
        <f t="shared" si="246"/>
        <v>103994.320849598,489266.320586125</v>
      </c>
      <c r="H540" s="16">
        <v>250</v>
      </c>
      <c r="I540" s="16">
        <f t="shared" si="247"/>
        <v>250</v>
      </c>
      <c r="J540" s="209">
        <f t="shared" si="248"/>
        <v>0.40037657969358664</v>
      </c>
      <c r="K540" s="209">
        <f t="shared" si="249"/>
        <v>100.20368742881848</v>
      </c>
      <c r="L540" s="692">
        <v>1.277981638908386</v>
      </c>
      <c r="M540" s="17" t="str">
        <f t="shared" si="252"/>
        <v>100.203687428818,1.27798163890839</v>
      </c>
    </row>
    <row r="541" spans="1:13" x14ac:dyDescent="0.25">
      <c r="A541" s="85">
        <f t="shared" si="241"/>
        <v>251</v>
      </c>
      <c r="B541" s="296">
        <f t="shared" si="242"/>
        <v>103994.71479425899</v>
      </c>
      <c r="C541" s="296">
        <f t="shared" si="243"/>
        <v>489266.24910878629</v>
      </c>
      <c r="D541" s="85">
        <f t="shared" si="251"/>
        <v>4</v>
      </c>
      <c r="E541" s="17">
        <f t="shared" si="244"/>
        <v>0.39394466066733003</v>
      </c>
      <c r="F541" s="17">
        <f t="shared" si="245"/>
        <v>-7.1477338438853621E-2</v>
      </c>
      <c r="G541" s="17" t="str">
        <f t="shared" si="246"/>
        <v>103994.714794259,489266.249108786</v>
      </c>
      <c r="H541" s="16">
        <v>251</v>
      </c>
      <c r="I541" s="16">
        <f t="shared" si="247"/>
        <v>251</v>
      </c>
      <c r="J541" s="209">
        <f t="shared" si="248"/>
        <v>0.40037657970790475</v>
      </c>
      <c r="K541" s="209">
        <f t="shared" si="249"/>
        <v>100.60406400852639</v>
      </c>
      <c r="L541" s="692">
        <v>1.276630163192749</v>
      </c>
      <c r="M541" s="17" t="str">
        <f t="shared" si="252"/>
        <v>100.604064008526,1.27663016319275</v>
      </c>
    </row>
    <row r="542" spans="1:13" x14ac:dyDescent="0.25">
      <c r="A542" s="85">
        <f t="shared" si="241"/>
        <v>252</v>
      </c>
      <c r="B542" s="296">
        <f t="shared" si="242"/>
        <v>103995.10873891965</v>
      </c>
      <c r="C542" s="296">
        <f t="shared" si="243"/>
        <v>489266.17763144785</v>
      </c>
      <c r="D542" s="85">
        <f t="shared" si="251"/>
        <v>4</v>
      </c>
      <c r="E542" s="17">
        <f t="shared" si="244"/>
        <v>0.39394466065277811</v>
      </c>
      <c r="F542" s="17">
        <f t="shared" si="245"/>
        <v>-7.1477338438853621E-2</v>
      </c>
      <c r="G542" s="17" t="str">
        <f t="shared" si="246"/>
        <v>103995.10873892,489266.177631448</v>
      </c>
      <c r="H542" s="16">
        <v>252</v>
      </c>
      <c r="I542" s="16">
        <f t="shared" si="247"/>
        <v>252</v>
      </c>
      <c r="J542" s="209">
        <f t="shared" si="248"/>
        <v>0.40037657969358664</v>
      </c>
      <c r="K542" s="209">
        <f t="shared" si="249"/>
        <v>101.00444058821998</v>
      </c>
      <c r="L542" s="692">
        <v>1.2775559425353999</v>
      </c>
      <c r="M542" s="17" t="str">
        <f t="shared" si="252"/>
        <v>101.00444058822,1.2775559425354</v>
      </c>
    </row>
    <row r="543" spans="1:13" x14ac:dyDescent="0.25">
      <c r="A543" s="85">
        <f t="shared" si="241"/>
        <v>253</v>
      </c>
      <c r="B543" s="296">
        <f t="shared" si="242"/>
        <v>103995.50268358031</v>
      </c>
      <c r="C543" s="296">
        <f t="shared" si="243"/>
        <v>489266.10615410941</v>
      </c>
      <c r="D543" s="85">
        <f t="shared" si="251"/>
        <v>4</v>
      </c>
      <c r="E543" s="17">
        <f t="shared" si="244"/>
        <v>0.39394466066733003</v>
      </c>
      <c r="F543" s="17">
        <f t="shared" si="245"/>
        <v>-7.1477338438853621E-2</v>
      </c>
      <c r="G543" s="17" t="str">
        <f t="shared" si="246"/>
        <v>103995.50268358,489266.106154109</v>
      </c>
      <c r="H543" s="16">
        <v>253</v>
      </c>
      <c r="I543" s="16">
        <f t="shared" si="247"/>
        <v>253</v>
      </c>
      <c r="J543" s="209">
        <f t="shared" si="248"/>
        <v>0.40037657970790475</v>
      </c>
      <c r="K543" s="209">
        <f t="shared" si="249"/>
        <v>101.40481716792789</v>
      </c>
      <c r="L543" s="692">
        <v>1.2775062322616579</v>
      </c>
      <c r="M543" s="17" t="str">
        <f t="shared" si="252"/>
        <v>101.404817167928,1.27750623226166</v>
      </c>
    </row>
    <row r="544" spans="1:13" x14ac:dyDescent="0.25">
      <c r="A544" s="85">
        <f t="shared" si="241"/>
        <v>254</v>
      </c>
      <c r="B544" s="296">
        <f t="shared" si="242"/>
        <v>103995.89662824097</v>
      </c>
      <c r="C544" s="296">
        <f t="shared" si="243"/>
        <v>489266.03467677103</v>
      </c>
      <c r="D544" s="85">
        <f t="shared" si="251"/>
        <v>4</v>
      </c>
      <c r="E544" s="17">
        <f t="shared" si="244"/>
        <v>0.39394466065277811</v>
      </c>
      <c r="F544" s="17">
        <f t="shared" si="245"/>
        <v>-7.1477338380645961E-2</v>
      </c>
      <c r="G544" s="17" t="str">
        <f t="shared" si="246"/>
        <v>103995.896628241,489266.034676771</v>
      </c>
      <c r="H544" s="16">
        <v>254</v>
      </c>
      <c r="I544" s="16">
        <f t="shared" si="247"/>
        <v>254</v>
      </c>
      <c r="J544" s="209">
        <f t="shared" si="248"/>
        <v>0.40037657968319512</v>
      </c>
      <c r="K544" s="209">
        <f t="shared" si="249"/>
        <v>101.80519374761109</v>
      </c>
      <c r="L544" s="692">
        <v>1.266760945320129</v>
      </c>
      <c r="M544" s="17" t="str">
        <f t="shared" si="252"/>
        <v>101.805193747611,1.26676094532013</v>
      </c>
    </row>
    <row r="545" spans="1:13" x14ac:dyDescent="0.25">
      <c r="A545" s="85">
        <f t="shared" si="241"/>
        <v>255</v>
      </c>
      <c r="B545" s="296">
        <f t="shared" si="242"/>
        <v>103996.29057290163</v>
      </c>
      <c r="C545" s="296">
        <f t="shared" si="243"/>
        <v>489265.96319943259</v>
      </c>
      <c r="D545" s="85">
        <f t="shared" si="251"/>
        <v>4</v>
      </c>
      <c r="E545" s="17">
        <f t="shared" si="244"/>
        <v>0.39394466066733003</v>
      </c>
      <c r="F545" s="17">
        <f t="shared" si="245"/>
        <v>-7.1477338438853621E-2</v>
      </c>
      <c r="G545" s="17" t="str">
        <f t="shared" si="246"/>
        <v>103996.290572902,489265.963199433</v>
      </c>
      <c r="H545" s="16">
        <v>255</v>
      </c>
      <c r="I545" s="16">
        <f t="shared" si="247"/>
        <v>255</v>
      </c>
      <c r="J545" s="209">
        <f t="shared" si="248"/>
        <v>0.40037657970790475</v>
      </c>
      <c r="K545" s="209">
        <f t="shared" si="249"/>
        <v>102.20557032731899</v>
      </c>
      <c r="L545" s="692">
        <v>1.269562840461731</v>
      </c>
      <c r="M545" s="17" t="str">
        <f t="shared" si="252"/>
        <v>102.205570327319,1.26956284046173</v>
      </c>
    </row>
    <row r="546" spans="1:13" x14ac:dyDescent="0.25">
      <c r="A546" s="85">
        <f t="shared" si="241"/>
        <v>256</v>
      </c>
      <c r="B546" s="296">
        <f t="shared" si="242"/>
        <v>103996.68451756229</v>
      </c>
      <c r="C546" s="296">
        <f t="shared" si="243"/>
        <v>489265.89172209415</v>
      </c>
      <c r="D546" s="85">
        <f t="shared" si="251"/>
        <v>4</v>
      </c>
      <c r="E546" s="17">
        <f t="shared" si="244"/>
        <v>0.39394466065277811</v>
      </c>
      <c r="F546" s="17">
        <f t="shared" si="245"/>
        <v>-7.1477338438853621E-2</v>
      </c>
      <c r="G546" s="17" t="str">
        <f t="shared" si="246"/>
        <v>103996.684517562,489265.891722094</v>
      </c>
      <c r="H546" s="16">
        <v>256</v>
      </c>
      <c r="I546" s="16">
        <f t="shared" si="247"/>
        <v>256</v>
      </c>
      <c r="J546" s="209">
        <f t="shared" si="248"/>
        <v>0.40037657969358664</v>
      </c>
      <c r="K546" s="209">
        <f t="shared" si="249"/>
        <v>102.60594690701258</v>
      </c>
      <c r="L546" s="692">
        <v>1.2707839012146001</v>
      </c>
      <c r="M546" s="17" t="str">
        <f t="shared" si="252"/>
        <v>102.605946907013,1.2707839012146</v>
      </c>
    </row>
    <row r="547" spans="1:13" x14ac:dyDescent="0.25">
      <c r="A547" s="85">
        <f t="shared" si="241"/>
        <v>257</v>
      </c>
      <c r="B547" s="296">
        <f t="shared" si="242"/>
        <v>103997.07846222295</v>
      </c>
      <c r="C547" s="296">
        <f t="shared" si="243"/>
        <v>489265.82024475571</v>
      </c>
      <c r="D547" s="85">
        <f t="shared" si="251"/>
        <v>4</v>
      </c>
      <c r="E547" s="17">
        <f t="shared" si="244"/>
        <v>0.39394466066733003</v>
      </c>
      <c r="F547" s="17">
        <f t="shared" si="245"/>
        <v>-7.1477338438853621E-2</v>
      </c>
      <c r="G547" s="17" t="str">
        <f t="shared" si="246"/>
        <v>103997.078462223,489265.820244756</v>
      </c>
      <c r="H547" s="16">
        <v>257</v>
      </c>
      <c r="I547" s="16">
        <f t="shared" si="247"/>
        <v>257</v>
      </c>
      <c r="J547" s="209">
        <f t="shared" si="248"/>
        <v>0.40037657970790475</v>
      </c>
      <c r="K547" s="209">
        <f t="shared" si="249"/>
        <v>103.00632348672049</v>
      </c>
      <c r="L547" s="692">
        <v>1.2694656848907471</v>
      </c>
      <c r="M547" s="17" t="str">
        <f t="shared" si="252"/>
        <v>103.00632348672,1.26946568489075</v>
      </c>
    </row>
    <row r="548" spans="1:13" x14ac:dyDescent="0.25">
      <c r="A548" s="85">
        <f t="shared" ref="A548:A608" si="253">IF(A547&lt;J$269,A547+1,"")</f>
        <v>258</v>
      </c>
      <c r="B548" s="296">
        <f t="shared" ref="B548:B608" si="254">IF(A548="","",IF(A547&lt;=C$270,B$273+(A547*E$274/C$269),IF(A547&lt;=D$270,B$274+(D$275*COS(RADIANS(G$275+((A547-C$270)*H$276/D$269))))-E$275,IF(A547&lt;=E$270,B$276+((A547-D$270)*E$277/E$269),IF(A547&lt;=F$270,B$277+(D$278*COS(RADIANS(G$278+((A547-E$270)*H$279/F$269))))-E$278,IF(A547&lt;=G$270,B$279+((A547-F$270)*E$280/G$269),IF(A547&lt;=H$270,B$280+(D$281*COS(RADIANS(G$281+((A547-G$270)*H$282/H$269))))-E$281,IF(A547&lt;=I$270,B$282+((A547-H$270)*E$283/I$269),"CHECK FORMULE"))))))))</f>
        <v>103997.47240688362</v>
      </c>
      <c r="C548" s="296">
        <f t="shared" ref="C548:C608" si="255">IF(A548="","",IF(A547&lt;=C$270,C$273+(A547*F$274/C$269),IF(A547&lt;=D$270,C$274+(D$275*SIN(RADIANS(G$275+((A547-C$270)*H$276/D$269))))-F$275,IF(A547&lt;=E$270,C$276+((A547-D$270)*F$277/E$269),IF(A547&lt;=F$270,C$277+(D$278*SIN(RADIANS(G$278+((A547-E$270)*H$279/F$269))))-F$278,IF(A547&lt;=G$270,C$279+((A547-F$270)*F$280/G$269),IF(A547&lt;=H$270,C$280+(D$281*SIN(RADIANS(G$281+((A547-G$270)*H$282/H$269))))-F$281,IF(A547&lt;=I$270,C$282+((A547-H$270)*F$283/I$269),"CHECK FORMULE"))))))))</f>
        <v>489265.74876741727</v>
      </c>
      <c r="D548" s="85">
        <f t="shared" si="251"/>
        <v>4</v>
      </c>
      <c r="E548" s="17">
        <f t="shared" ref="E548:E608" si="256">IF(A548="","",B548-B547)</f>
        <v>0.39394466066733003</v>
      </c>
      <c r="F548" s="17">
        <f t="shared" ref="F548:F608" si="257">IF(A548="","",C548-C547)</f>
        <v>-7.1477338438853621E-2</v>
      </c>
      <c r="G548" s="17" t="str">
        <f t="shared" ref="G548:G608" si="258">IF(E548="","",B548&amp;","&amp;C548)</f>
        <v>103997.472406884,489265.748767417</v>
      </c>
      <c r="H548" s="16">
        <v>258</v>
      </c>
      <c r="I548" s="16">
        <f t="shared" ref="I548:I608" si="259">IF(J548="","",I547+1)</f>
        <v>258</v>
      </c>
      <c r="J548" s="209">
        <f t="shared" ref="J548:J608" si="260">IF(E548="","",(E548^2+F548^2)^0.5)</f>
        <v>0.40037657970790475</v>
      </c>
      <c r="K548" s="209">
        <f t="shared" ref="K548:K608" si="261">IF(E548="","",K547+J548)</f>
        <v>103.4067000664284</v>
      </c>
      <c r="L548" s="692">
        <v>1.270909905433655</v>
      </c>
      <c r="M548" s="17" t="str">
        <f t="shared" ref="M548:M608" si="262">IF(L548="","",K548&amp;","&amp;L548)</f>
        <v>103.406700066428,1.27090990543366</v>
      </c>
    </row>
    <row r="549" spans="1:13" x14ac:dyDescent="0.25">
      <c r="A549" s="85">
        <f t="shared" si="253"/>
        <v>259</v>
      </c>
      <c r="B549" s="296">
        <f t="shared" si="254"/>
        <v>103997.86635154427</v>
      </c>
      <c r="C549" s="296">
        <f t="shared" si="255"/>
        <v>489265.67729007889</v>
      </c>
      <c r="D549" s="85">
        <f t="shared" si="251"/>
        <v>4</v>
      </c>
      <c r="E549" s="17">
        <f t="shared" si="256"/>
        <v>0.39394466065277811</v>
      </c>
      <c r="F549" s="17">
        <f t="shared" si="257"/>
        <v>-7.1477338380645961E-2</v>
      </c>
      <c r="G549" s="17" t="str">
        <f t="shared" si="258"/>
        <v>103997.866351544,489265.677290079</v>
      </c>
      <c r="H549" s="16">
        <v>259</v>
      </c>
      <c r="I549" s="16">
        <f t="shared" si="259"/>
        <v>259</v>
      </c>
      <c r="J549" s="209">
        <f t="shared" si="260"/>
        <v>0.40037657968319512</v>
      </c>
      <c r="K549" s="209">
        <f t="shared" si="261"/>
        <v>103.8070766461116</v>
      </c>
      <c r="L549" s="692">
        <v>1.2810753583908081</v>
      </c>
      <c r="M549" s="17" t="str">
        <f t="shared" si="262"/>
        <v>103.807076646112,1.28107535839081</v>
      </c>
    </row>
    <row r="550" spans="1:13" x14ac:dyDescent="0.25">
      <c r="A550" s="85">
        <f t="shared" si="253"/>
        <v>260</v>
      </c>
      <c r="B550" s="296">
        <f t="shared" si="254"/>
        <v>103998.26029620494</v>
      </c>
      <c r="C550" s="296">
        <f t="shared" si="255"/>
        <v>489265.60581274045</v>
      </c>
      <c r="D550" s="85">
        <f t="shared" si="251"/>
        <v>4</v>
      </c>
      <c r="E550" s="17">
        <f t="shared" si="256"/>
        <v>0.39394466066733003</v>
      </c>
      <c r="F550" s="17">
        <f t="shared" si="257"/>
        <v>-7.1477338438853621E-2</v>
      </c>
      <c r="G550" s="17" t="str">
        <f t="shared" si="258"/>
        <v>103998.260296205,489265.60581274</v>
      </c>
      <c r="H550" s="16">
        <v>260</v>
      </c>
      <c r="I550" s="16">
        <f t="shared" si="259"/>
        <v>260</v>
      </c>
      <c r="J550" s="209">
        <f t="shared" si="260"/>
        <v>0.40037657970790475</v>
      </c>
      <c r="K550" s="209">
        <f t="shared" si="261"/>
        <v>104.20745322581951</v>
      </c>
      <c r="L550" s="692">
        <v>1.268202543258667</v>
      </c>
      <c r="M550" s="17" t="str">
        <f t="shared" si="262"/>
        <v>104.20745322582,1.26820254325867</v>
      </c>
    </row>
    <row r="551" spans="1:13" x14ac:dyDescent="0.25">
      <c r="A551" s="85">
        <f t="shared" si="253"/>
        <v>261</v>
      </c>
      <c r="B551" s="296">
        <f t="shared" si="254"/>
        <v>103998.6542408656</v>
      </c>
      <c r="C551" s="296">
        <f t="shared" si="255"/>
        <v>489265.53433540202</v>
      </c>
      <c r="D551" s="85">
        <f t="shared" si="251"/>
        <v>4</v>
      </c>
      <c r="E551" s="17">
        <f t="shared" si="256"/>
        <v>0.39394466065277811</v>
      </c>
      <c r="F551" s="17">
        <f t="shared" si="257"/>
        <v>-7.1477338438853621E-2</v>
      </c>
      <c r="G551" s="17" t="str">
        <f t="shared" si="258"/>
        <v>103998.654240866,489265.534335402</v>
      </c>
      <c r="H551" s="16">
        <v>261</v>
      </c>
      <c r="I551" s="16">
        <f t="shared" si="259"/>
        <v>261</v>
      </c>
      <c r="J551" s="209">
        <f t="shared" si="260"/>
        <v>0.40037657969358664</v>
      </c>
      <c r="K551" s="209">
        <f t="shared" si="261"/>
        <v>104.60782980551309</v>
      </c>
      <c r="L551" s="692">
        <v>1.261729836463928</v>
      </c>
      <c r="M551" s="17" t="str">
        <f t="shared" si="262"/>
        <v>104.607829805513,1.26172983646393</v>
      </c>
    </row>
    <row r="552" spans="1:13" x14ac:dyDescent="0.25">
      <c r="A552" s="85">
        <f t="shared" si="253"/>
        <v>262</v>
      </c>
      <c r="B552" s="296">
        <f t="shared" si="254"/>
        <v>103999.04818552626</v>
      </c>
      <c r="C552" s="296">
        <f t="shared" si="255"/>
        <v>489265.46285806358</v>
      </c>
      <c r="D552" s="85">
        <f t="shared" si="251"/>
        <v>4</v>
      </c>
      <c r="E552" s="17">
        <f t="shared" si="256"/>
        <v>0.39394466066733003</v>
      </c>
      <c r="F552" s="17">
        <f t="shared" si="257"/>
        <v>-7.1477338438853621E-2</v>
      </c>
      <c r="G552" s="17" t="str">
        <f t="shared" si="258"/>
        <v>103999.048185526,489265.462858064</v>
      </c>
      <c r="H552" s="16">
        <v>262</v>
      </c>
      <c r="I552" s="16">
        <f t="shared" si="259"/>
        <v>262</v>
      </c>
      <c r="J552" s="209">
        <f t="shared" si="260"/>
        <v>0.40037657970790475</v>
      </c>
      <c r="K552" s="209">
        <f t="shared" si="261"/>
        <v>105.008206385221</v>
      </c>
      <c r="L552" s="692">
        <v>1.288627982139587</v>
      </c>
      <c r="M552" s="17" t="str">
        <f t="shared" si="262"/>
        <v>105.008206385221,1.28862798213959</v>
      </c>
    </row>
    <row r="553" spans="1:13" x14ac:dyDescent="0.25">
      <c r="A553" s="85">
        <f t="shared" si="253"/>
        <v>263</v>
      </c>
      <c r="B553" s="296">
        <f t="shared" si="254"/>
        <v>103999.44213018692</v>
      </c>
      <c r="C553" s="296">
        <f t="shared" si="255"/>
        <v>489265.39138072514</v>
      </c>
      <c r="D553" s="85">
        <f t="shared" ref="D553:D608" si="263">_xlfn.SINGLE(_xlfn.XLOOKUP(B553,B$273:B$284,A$273:A$284,D552))</f>
        <v>4</v>
      </c>
      <c r="E553" s="17">
        <f t="shared" si="256"/>
        <v>0.39394466065277811</v>
      </c>
      <c r="F553" s="17">
        <f t="shared" si="257"/>
        <v>-7.1477338438853621E-2</v>
      </c>
      <c r="G553" s="17" t="str">
        <f t="shared" si="258"/>
        <v>103999.442130187,489265.391380725</v>
      </c>
      <c r="H553" s="16">
        <v>263</v>
      </c>
      <c r="I553" s="16">
        <f t="shared" si="259"/>
        <v>263</v>
      </c>
      <c r="J553" s="209">
        <f t="shared" si="260"/>
        <v>0.40037657969358664</v>
      </c>
      <c r="K553" s="209">
        <f t="shared" si="261"/>
        <v>105.40858296491459</v>
      </c>
      <c r="L553" s="692">
        <v>1.288151621818542</v>
      </c>
      <c r="M553" s="17" t="str">
        <f t="shared" si="262"/>
        <v>105.408582964915,1.28815162181854</v>
      </c>
    </row>
    <row r="554" spans="1:13" x14ac:dyDescent="0.25">
      <c r="A554" s="85">
        <f t="shared" si="253"/>
        <v>264</v>
      </c>
      <c r="B554" s="296">
        <f t="shared" si="254"/>
        <v>103999.83607484758</v>
      </c>
      <c r="C554" s="296">
        <f t="shared" si="255"/>
        <v>489265.31990338676</v>
      </c>
      <c r="D554" s="85">
        <f t="shared" si="263"/>
        <v>4</v>
      </c>
      <c r="E554" s="17">
        <f t="shared" si="256"/>
        <v>0.39394466066733003</v>
      </c>
      <c r="F554" s="17">
        <f t="shared" si="257"/>
        <v>-7.1477338380645961E-2</v>
      </c>
      <c r="G554" s="17" t="str">
        <f t="shared" si="258"/>
        <v>103999.836074848,489265.319903387</v>
      </c>
      <c r="H554" s="16">
        <v>264</v>
      </c>
      <c r="I554" s="16">
        <f t="shared" si="259"/>
        <v>264</v>
      </c>
      <c r="J554" s="209">
        <f t="shared" si="260"/>
        <v>0.40037657969751322</v>
      </c>
      <c r="K554" s="209">
        <f t="shared" si="261"/>
        <v>105.80895954461209</v>
      </c>
      <c r="L554" s="692">
        <v>1.2932643890380859</v>
      </c>
      <c r="M554" s="17" t="str">
        <f t="shared" si="262"/>
        <v>105.808959544612,1.29326438903809</v>
      </c>
    </row>
    <row r="555" spans="1:13" x14ac:dyDescent="0.25">
      <c r="A555" s="85">
        <f t="shared" si="253"/>
        <v>265</v>
      </c>
      <c r="B555" s="296">
        <f t="shared" si="254"/>
        <v>104000.23001950824</v>
      </c>
      <c r="C555" s="296">
        <f t="shared" si="255"/>
        <v>489265.24842604832</v>
      </c>
      <c r="D555" s="85">
        <f t="shared" si="263"/>
        <v>4</v>
      </c>
      <c r="E555" s="17">
        <f t="shared" si="256"/>
        <v>0.39394466065277811</v>
      </c>
      <c r="F555" s="17">
        <f t="shared" si="257"/>
        <v>-7.1477338438853621E-2</v>
      </c>
      <c r="G555" s="17" t="str">
        <f t="shared" si="258"/>
        <v>104000.230019508,489265.248426048</v>
      </c>
      <c r="H555" s="16">
        <v>265</v>
      </c>
      <c r="I555" s="16">
        <f t="shared" si="259"/>
        <v>265</v>
      </c>
      <c r="J555" s="209">
        <f t="shared" si="260"/>
        <v>0.40037657969358664</v>
      </c>
      <c r="K555" s="209">
        <f t="shared" si="261"/>
        <v>106.20933612430568</v>
      </c>
      <c r="L555" s="692">
        <v>1.28913402557373</v>
      </c>
      <c r="M555" s="17" t="str">
        <f t="shared" si="262"/>
        <v>106.209336124306,1.28913402557373</v>
      </c>
    </row>
    <row r="556" spans="1:13" x14ac:dyDescent="0.25">
      <c r="A556" s="85">
        <f t="shared" si="253"/>
        <v>266</v>
      </c>
      <c r="B556" s="296">
        <f t="shared" si="254"/>
        <v>104000.6239641689</v>
      </c>
      <c r="C556" s="296">
        <f t="shared" si="255"/>
        <v>489265.17694870988</v>
      </c>
      <c r="D556" s="85">
        <f t="shared" si="263"/>
        <v>4</v>
      </c>
      <c r="E556" s="17">
        <f t="shared" si="256"/>
        <v>0.39394466066733003</v>
      </c>
      <c r="F556" s="17">
        <f t="shared" si="257"/>
        <v>-7.1477338438853621E-2</v>
      </c>
      <c r="G556" s="17" t="str">
        <f t="shared" si="258"/>
        <v>104000.623964169,489265.17694871</v>
      </c>
      <c r="H556" s="16">
        <v>266</v>
      </c>
      <c r="I556" s="16">
        <f t="shared" si="259"/>
        <v>266</v>
      </c>
      <c r="J556" s="209">
        <f t="shared" si="260"/>
        <v>0.40037657970790475</v>
      </c>
      <c r="K556" s="209">
        <f t="shared" si="261"/>
        <v>106.60971270401359</v>
      </c>
      <c r="L556" s="692">
        <v>1.277606248855591</v>
      </c>
      <c r="M556" s="17" t="str">
        <f t="shared" si="262"/>
        <v>106.609712704014,1.27760624885559</v>
      </c>
    </row>
    <row r="557" spans="1:13" x14ac:dyDescent="0.25">
      <c r="A557" s="85">
        <f t="shared" si="253"/>
        <v>267</v>
      </c>
      <c r="B557" s="296">
        <f t="shared" si="254"/>
        <v>104001.01790882956</v>
      </c>
      <c r="C557" s="296">
        <f t="shared" si="255"/>
        <v>489265.10547137144</v>
      </c>
      <c r="D557" s="85">
        <f t="shared" si="263"/>
        <v>4</v>
      </c>
      <c r="E557" s="17">
        <f t="shared" si="256"/>
        <v>0.39394466065277811</v>
      </c>
      <c r="F557" s="17">
        <f t="shared" si="257"/>
        <v>-7.1477338438853621E-2</v>
      </c>
      <c r="G557" s="17" t="str">
        <f t="shared" si="258"/>
        <v>104001.01790883,489265.105471371</v>
      </c>
      <c r="H557" s="16">
        <v>267</v>
      </c>
      <c r="I557" s="16">
        <f t="shared" si="259"/>
        <v>267</v>
      </c>
      <c r="J557" s="209">
        <f t="shared" si="260"/>
        <v>0.40037657969358664</v>
      </c>
      <c r="K557" s="209">
        <f t="shared" si="261"/>
        <v>107.01008928370717</v>
      </c>
      <c r="L557" s="692">
        <v>1.2681630849838259</v>
      </c>
      <c r="M557" s="17" t="str">
        <f t="shared" si="262"/>
        <v>107.010089283707,1.26816308498383</v>
      </c>
    </row>
    <row r="558" spans="1:13" x14ac:dyDescent="0.25">
      <c r="A558" s="85">
        <f t="shared" si="253"/>
        <v>268</v>
      </c>
      <c r="B558" s="296">
        <f t="shared" si="254"/>
        <v>104001.41185349022</v>
      </c>
      <c r="C558" s="296">
        <f t="shared" si="255"/>
        <v>489265.033994033</v>
      </c>
      <c r="D558" s="85">
        <f t="shared" si="263"/>
        <v>4</v>
      </c>
      <c r="E558" s="17">
        <f t="shared" si="256"/>
        <v>0.39394466066733003</v>
      </c>
      <c r="F558" s="17">
        <f t="shared" si="257"/>
        <v>-7.1477338438853621E-2</v>
      </c>
      <c r="G558" s="17" t="str">
        <f t="shared" si="258"/>
        <v>104001.41185349,489265.033994033</v>
      </c>
      <c r="H558" s="16">
        <v>268</v>
      </c>
      <c r="I558" s="16">
        <f t="shared" si="259"/>
        <v>268</v>
      </c>
      <c r="J558" s="209">
        <f t="shared" si="260"/>
        <v>0.40037657970790475</v>
      </c>
      <c r="K558" s="209">
        <f t="shared" si="261"/>
        <v>107.41046586341508</v>
      </c>
      <c r="L558" s="692">
        <v>1.2762894630432129</v>
      </c>
      <c r="M558" s="17" t="str">
        <f t="shared" si="262"/>
        <v>107.410465863415,1.27628946304321</v>
      </c>
    </row>
    <row r="559" spans="1:13" x14ac:dyDescent="0.25">
      <c r="A559" s="85">
        <f t="shared" si="253"/>
        <v>269</v>
      </c>
      <c r="B559" s="296">
        <f t="shared" si="254"/>
        <v>104001.80579815089</v>
      </c>
      <c r="C559" s="296">
        <f t="shared" si="255"/>
        <v>489264.96251669456</v>
      </c>
      <c r="D559" s="85">
        <f t="shared" si="263"/>
        <v>4</v>
      </c>
      <c r="E559" s="17">
        <f t="shared" si="256"/>
        <v>0.39394466066733003</v>
      </c>
      <c r="F559" s="17">
        <f t="shared" si="257"/>
        <v>-7.1477338438853621E-2</v>
      </c>
      <c r="G559" s="17" t="str">
        <f t="shared" si="258"/>
        <v>104001.805798151,489264.962516695</v>
      </c>
      <c r="H559" s="16">
        <v>269</v>
      </c>
      <c r="I559" s="16">
        <f t="shared" si="259"/>
        <v>269</v>
      </c>
      <c r="J559" s="209">
        <f t="shared" si="260"/>
        <v>0.40037657970790475</v>
      </c>
      <c r="K559" s="209">
        <f t="shared" si="261"/>
        <v>107.81084244312299</v>
      </c>
      <c r="L559" s="692">
        <v>1.2641105651855471</v>
      </c>
      <c r="M559" s="17" t="str">
        <f t="shared" si="262"/>
        <v>107.810842443123,1.26411056518555</v>
      </c>
    </row>
    <row r="560" spans="1:13" x14ac:dyDescent="0.25">
      <c r="A560" s="85">
        <f t="shared" si="253"/>
        <v>270</v>
      </c>
      <c r="B560" s="296">
        <f t="shared" si="254"/>
        <v>104002.19974281154</v>
      </c>
      <c r="C560" s="296">
        <f t="shared" si="255"/>
        <v>489264.89103935618</v>
      </c>
      <c r="D560" s="85">
        <f t="shared" si="263"/>
        <v>4</v>
      </c>
      <c r="E560" s="17">
        <f t="shared" si="256"/>
        <v>0.39394466065277811</v>
      </c>
      <c r="F560" s="17">
        <f t="shared" si="257"/>
        <v>-7.1477338380645961E-2</v>
      </c>
      <c r="G560" s="17" t="str">
        <f t="shared" si="258"/>
        <v>104002.199742812,489264.891039356</v>
      </c>
      <c r="H560" s="16">
        <v>270</v>
      </c>
      <c r="I560" s="16">
        <f t="shared" si="259"/>
        <v>270</v>
      </c>
      <c r="J560" s="209">
        <f t="shared" si="260"/>
        <v>0.40037657968319512</v>
      </c>
      <c r="K560" s="209">
        <f t="shared" si="261"/>
        <v>108.21121902280619</v>
      </c>
      <c r="L560" s="692">
        <v>1.266474723815918</v>
      </c>
      <c r="M560" s="17" t="str">
        <f t="shared" si="262"/>
        <v>108.211219022806,1.26647472381592</v>
      </c>
    </row>
    <row r="561" spans="1:13" x14ac:dyDescent="0.25">
      <c r="A561" s="85">
        <f t="shared" si="253"/>
        <v>271</v>
      </c>
      <c r="B561" s="296">
        <f t="shared" si="254"/>
        <v>104002.59368747221</v>
      </c>
      <c r="C561" s="296">
        <f t="shared" si="255"/>
        <v>489264.81956201774</v>
      </c>
      <c r="D561" s="85">
        <f t="shared" si="263"/>
        <v>4</v>
      </c>
      <c r="E561" s="17">
        <f t="shared" si="256"/>
        <v>0.39394466066733003</v>
      </c>
      <c r="F561" s="17">
        <f t="shared" si="257"/>
        <v>-7.1477338438853621E-2</v>
      </c>
      <c r="G561" s="17" t="str">
        <f t="shared" si="258"/>
        <v>104002.593687472,489264.819562018</v>
      </c>
      <c r="H561" s="16">
        <v>271</v>
      </c>
      <c r="I561" s="16">
        <f t="shared" si="259"/>
        <v>271</v>
      </c>
      <c r="J561" s="209">
        <f t="shared" si="260"/>
        <v>0.40037657970790475</v>
      </c>
      <c r="K561" s="209">
        <f t="shared" si="261"/>
        <v>108.6115956025141</v>
      </c>
      <c r="L561" s="692">
        <v>1.2846348285675051</v>
      </c>
      <c r="M561" s="17" t="str">
        <f t="shared" si="262"/>
        <v>108.611595602514,1.28463482856751</v>
      </c>
    </row>
    <row r="562" spans="1:13" x14ac:dyDescent="0.25">
      <c r="A562" s="85">
        <f t="shared" si="253"/>
        <v>272</v>
      </c>
      <c r="B562" s="296">
        <f t="shared" si="254"/>
        <v>104002.98763213286</v>
      </c>
      <c r="C562" s="296">
        <f t="shared" si="255"/>
        <v>489264.7480846793</v>
      </c>
      <c r="D562" s="85">
        <f t="shared" si="263"/>
        <v>4</v>
      </c>
      <c r="E562" s="17">
        <f t="shared" si="256"/>
        <v>0.39394466065277811</v>
      </c>
      <c r="F562" s="17">
        <f t="shared" si="257"/>
        <v>-7.1477338438853621E-2</v>
      </c>
      <c r="G562" s="17" t="str">
        <f t="shared" si="258"/>
        <v>104002.987632133,489264.748084679</v>
      </c>
      <c r="H562" s="16">
        <v>272</v>
      </c>
      <c r="I562" s="16">
        <f t="shared" si="259"/>
        <v>272</v>
      </c>
      <c r="J562" s="209">
        <f t="shared" si="260"/>
        <v>0.40037657969358664</v>
      </c>
      <c r="K562" s="209">
        <f t="shared" si="261"/>
        <v>109.01197218220769</v>
      </c>
      <c r="L562" s="692">
        <v>1.2966973781585689</v>
      </c>
      <c r="M562" s="17" t="str">
        <f t="shared" si="262"/>
        <v>109.011972182208,1.29669737815857</v>
      </c>
    </row>
    <row r="563" spans="1:13" x14ac:dyDescent="0.25">
      <c r="A563" s="85">
        <f t="shared" si="253"/>
        <v>273</v>
      </c>
      <c r="B563" s="296">
        <f t="shared" si="254"/>
        <v>104003.38157679353</v>
      </c>
      <c r="C563" s="296">
        <f t="shared" si="255"/>
        <v>489264.67660734087</v>
      </c>
      <c r="D563" s="85">
        <f t="shared" si="263"/>
        <v>4</v>
      </c>
      <c r="E563" s="17">
        <f t="shared" si="256"/>
        <v>0.39394466066733003</v>
      </c>
      <c r="F563" s="17">
        <f t="shared" si="257"/>
        <v>-7.1477338438853621E-2</v>
      </c>
      <c r="G563" s="17" t="str">
        <f t="shared" si="258"/>
        <v>104003.381576794,489264.676607341</v>
      </c>
      <c r="H563" s="16">
        <v>273</v>
      </c>
      <c r="I563" s="16">
        <f t="shared" si="259"/>
        <v>273</v>
      </c>
      <c r="J563" s="209">
        <f t="shared" si="260"/>
        <v>0.40037657970790475</v>
      </c>
      <c r="K563" s="209">
        <f t="shared" si="261"/>
        <v>109.4123487619156</v>
      </c>
      <c r="L563" s="692">
        <v>1.2986277341842649</v>
      </c>
      <c r="M563" s="17" t="str">
        <f t="shared" si="262"/>
        <v>109.412348761916,1.29862773418426</v>
      </c>
    </row>
    <row r="564" spans="1:13" x14ac:dyDescent="0.25">
      <c r="A564" s="85">
        <f t="shared" si="253"/>
        <v>274</v>
      </c>
      <c r="B564" s="296">
        <f t="shared" si="254"/>
        <v>104003.77552145418</v>
      </c>
      <c r="C564" s="296">
        <f t="shared" si="255"/>
        <v>489264.60513000243</v>
      </c>
      <c r="D564" s="85">
        <f t="shared" si="263"/>
        <v>4</v>
      </c>
      <c r="E564" s="17">
        <f t="shared" si="256"/>
        <v>0.39394466065277811</v>
      </c>
      <c r="F564" s="17">
        <f t="shared" si="257"/>
        <v>-7.1477338438853621E-2</v>
      </c>
      <c r="G564" s="17" t="str">
        <f t="shared" si="258"/>
        <v>104003.775521454,489264.605130002</v>
      </c>
      <c r="H564" s="16">
        <v>274</v>
      </c>
      <c r="I564" s="16">
        <f t="shared" si="259"/>
        <v>274</v>
      </c>
      <c r="J564" s="209">
        <f t="shared" si="260"/>
        <v>0.40037657969358664</v>
      </c>
      <c r="K564" s="209">
        <f t="shared" si="261"/>
        <v>109.81272534160918</v>
      </c>
      <c r="L564" s="692">
        <v>1.2946115732192991</v>
      </c>
      <c r="M564" s="17" t="str">
        <f t="shared" si="262"/>
        <v>109.812725341609,1.2946115732193</v>
      </c>
    </row>
    <row r="565" spans="1:13" x14ac:dyDescent="0.25">
      <c r="A565" s="85">
        <f t="shared" si="253"/>
        <v>275</v>
      </c>
      <c r="B565" s="296">
        <f t="shared" si="254"/>
        <v>104004.16946611485</v>
      </c>
      <c r="C565" s="296">
        <f t="shared" si="255"/>
        <v>489264.53365266405</v>
      </c>
      <c r="D565" s="85">
        <f t="shared" si="263"/>
        <v>4</v>
      </c>
      <c r="E565" s="17">
        <f t="shared" si="256"/>
        <v>0.39394466066733003</v>
      </c>
      <c r="F565" s="17">
        <f t="shared" si="257"/>
        <v>-7.1477338380645961E-2</v>
      </c>
      <c r="G565" s="17" t="str">
        <f t="shared" si="258"/>
        <v>104004.169466115,489264.533652664</v>
      </c>
      <c r="H565" s="16">
        <v>275</v>
      </c>
      <c r="I565" s="16">
        <f t="shared" si="259"/>
        <v>275</v>
      </c>
      <c r="J565" s="209">
        <f t="shared" si="260"/>
        <v>0.40037657969751322</v>
      </c>
      <c r="K565" s="209">
        <f t="shared" si="261"/>
        <v>110.21310192130669</v>
      </c>
      <c r="L565" s="692">
        <v>1.2856640815734861</v>
      </c>
      <c r="M565" s="17" t="str">
        <f t="shared" si="262"/>
        <v>110.213101921307,1.28566408157349</v>
      </c>
    </row>
    <row r="566" spans="1:13" x14ac:dyDescent="0.25">
      <c r="A566" s="85">
        <f t="shared" si="253"/>
        <v>276</v>
      </c>
      <c r="B566" s="296">
        <f t="shared" si="254"/>
        <v>104004.5634107755</v>
      </c>
      <c r="C566" s="296">
        <f t="shared" si="255"/>
        <v>489264.46217532561</v>
      </c>
      <c r="D566" s="85">
        <f t="shared" si="263"/>
        <v>4</v>
      </c>
      <c r="E566" s="17">
        <f t="shared" si="256"/>
        <v>0.39394466065277811</v>
      </c>
      <c r="F566" s="17">
        <f t="shared" si="257"/>
        <v>-7.1477338438853621E-2</v>
      </c>
      <c r="G566" s="17" t="str">
        <f t="shared" si="258"/>
        <v>104004.563410776,489264.462175326</v>
      </c>
      <c r="H566" s="16">
        <v>276</v>
      </c>
      <c r="I566" s="16">
        <f t="shared" si="259"/>
        <v>276</v>
      </c>
      <c r="J566" s="209">
        <f t="shared" si="260"/>
        <v>0.40037657969358664</v>
      </c>
      <c r="K566" s="209">
        <f t="shared" si="261"/>
        <v>110.61347850100027</v>
      </c>
      <c r="L566" s="692">
        <v>1.28092348575592</v>
      </c>
      <c r="M566" s="17" t="str">
        <f t="shared" si="262"/>
        <v>110.613478501,1.28092348575592</v>
      </c>
    </row>
    <row r="567" spans="1:13" x14ac:dyDescent="0.25">
      <c r="A567" s="85">
        <f t="shared" si="253"/>
        <v>277</v>
      </c>
      <c r="B567" s="296">
        <f t="shared" si="254"/>
        <v>104004.95735543617</v>
      </c>
      <c r="C567" s="296">
        <f t="shared" si="255"/>
        <v>489264.39069798717</v>
      </c>
      <c r="D567" s="85">
        <f t="shared" si="263"/>
        <v>4</v>
      </c>
      <c r="E567" s="17">
        <f t="shared" si="256"/>
        <v>0.39394466066733003</v>
      </c>
      <c r="F567" s="17">
        <f t="shared" si="257"/>
        <v>-7.1477338438853621E-2</v>
      </c>
      <c r="G567" s="17" t="str">
        <f t="shared" si="258"/>
        <v>104004.957355436,489264.390697987</v>
      </c>
      <c r="H567" s="16">
        <v>277</v>
      </c>
      <c r="I567" s="16">
        <f t="shared" si="259"/>
        <v>277</v>
      </c>
      <c r="J567" s="209">
        <f t="shared" si="260"/>
        <v>0.40037657970790475</v>
      </c>
      <c r="K567" s="209">
        <f t="shared" si="261"/>
        <v>111.01385508070818</v>
      </c>
      <c r="L567" s="692">
        <v>1.2804716825485229</v>
      </c>
      <c r="M567" s="17" t="str">
        <f t="shared" si="262"/>
        <v>111.013855080708,1.28047168254852</v>
      </c>
    </row>
    <row r="568" spans="1:13" x14ac:dyDescent="0.25">
      <c r="A568" s="85">
        <f t="shared" si="253"/>
        <v>278</v>
      </c>
      <c r="B568" s="296">
        <f t="shared" si="254"/>
        <v>104005.35130009682</v>
      </c>
      <c r="C568" s="296">
        <f t="shared" si="255"/>
        <v>489264.31922064873</v>
      </c>
      <c r="D568" s="85">
        <f t="shared" si="263"/>
        <v>4</v>
      </c>
      <c r="E568" s="17">
        <f t="shared" si="256"/>
        <v>0.39394466065277811</v>
      </c>
      <c r="F568" s="17">
        <f t="shared" si="257"/>
        <v>-7.1477338438853621E-2</v>
      </c>
      <c r="G568" s="17" t="str">
        <f t="shared" si="258"/>
        <v>104005.351300097,489264.319220649</v>
      </c>
      <c r="H568" s="16">
        <v>278</v>
      </c>
      <c r="I568" s="16">
        <f t="shared" si="259"/>
        <v>278</v>
      </c>
      <c r="J568" s="209">
        <f t="shared" si="260"/>
        <v>0.40037657969358664</v>
      </c>
      <c r="K568" s="209">
        <f t="shared" si="261"/>
        <v>111.41423166040177</v>
      </c>
      <c r="L568" s="692">
        <v>1.2793887853622441</v>
      </c>
      <c r="M568" s="17" t="str">
        <f t="shared" si="262"/>
        <v>111.414231660402,1.27938878536224</v>
      </c>
    </row>
    <row r="569" spans="1:13" x14ac:dyDescent="0.25">
      <c r="A569" s="85">
        <f t="shared" si="253"/>
        <v>279</v>
      </c>
      <c r="B569" s="296">
        <f t="shared" si="254"/>
        <v>104005.74524475749</v>
      </c>
      <c r="C569" s="296">
        <f t="shared" si="255"/>
        <v>489264.24774331029</v>
      </c>
      <c r="D569" s="85">
        <f t="shared" si="263"/>
        <v>4</v>
      </c>
      <c r="E569" s="17">
        <f t="shared" si="256"/>
        <v>0.39394466066733003</v>
      </c>
      <c r="F569" s="17">
        <f t="shared" si="257"/>
        <v>-7.1477338438853621E-2</v>
      </c>
      <c r="G569" s="17" t="str">
        <f t="shared" si="258"/>
        <v>104005.745244757,489264.24774331</v>
      </c>
      <c r="H569" s="16">
        <v>279</v>
      </c>
      <c r="I569" s="16">
        <f t="shared" si="259"/>
        <v>279</v>
      </c>
      <c r="J569" s="209">
        <f t="shared" si="260"/>
        <v>0.40037657970790475</v>
      </c>
      <c r="K569" s="209">
        <f t="shared" si="261"/>
        <v>111.81460824010968</v>
      </c>
      <c r="L569" s="692">
        <v>1.279166102409363</v>
      </c>
      <c r="M569" s="17" t="str">
        <f t="shared" si="262"/>
        <v>111.81460824011,1.27916610240936</v>
      </c>
    </row>
    <row r="570" spans="1:13" x14ac:dyDescent="0.25">
      <c r="A570" s="85">
        <f t="shared" si="253"/>
        <v>280</v>
      </c>
      <c r="B570" s="296">
        <f t="shared" si="254"/>
        <v>104006.13918941816</v>
      </c>
      <c r="C570" s="296">
        <f t="shared" si="255"/>
        <v>489264.17626597191</v>
      </c>
      <c r="D570" s="85">
        <f t="shared" si="263"/>
        <v>4</v>
      </c>
      <c r="E570" s="17">
        <f t="shared" si="256"/>
        <v>0.39394466066733003</v>
      </c>
      <c r="F570" s="17">
        <f t="shared" si="257"/>
        <v>-7.1477338380645961E-2</v>
      </c>
      <c r="G570" s="17" t="str">
        <f t="shared" si="258"/>
        <v>104006.139189418,489264.176265972</v>
      </c>
      <c r="H570" s="16">
        <v>280</v>
      </c>
      <c r="I570" s="16">
        <f t="shared" si="259"/>
        <v>280</v>
      </c>
      <c r="J570" s="209">
        <f t="shared" si="260"/>
        <v>0.40037657969751322</v>
      </c>
      <c r="K570" s="209">
        <f t="shared" si="261"/>
        <v>112.21498481980719</v>
      </c>
      <c r="L570" s="692">
        <v>1.278943657875061</v>
      </c>
      <c r="M570" s="17" t="str">
        <f t="shared" si="262"/>
        <v>112.214984819807,1.27894365787506</v>
      </c>
    </row>
    <row r="571" spans="1:13" x14ac:dyDescent="0.25">
      <c r="A571" s="85">
        <f t="shared" si="253"/>
        <v>281</v>
      </c>
      <c r="B571" s="296">
        <f t="shared" si="254"/>
        <v>104006.53313407881</v>
      </c>
      <c r="C571" s="296">
        <f t="shared" si="255"/>
        <v>489264.10478863347</v>
      </c>
      <c r="D571" s="85">
        <f t="shared" si="263"/>
        <v>4</v>
      </c>
      <c r="E571" s="17">
        <f t="shared" si="256"/>
        <v>0.39394466065277811</v>
      </c>
      <c r="F571" s="17">
        <f t="shared" si="257"/>
        <v>-7.1477338438853621E-2</v>
      </c>
      <c r="G571" s="17" t="str">
        <f t="shared" si="258"/>
        <v>104006.533134079,489264.104788633</v>
      </c>
      <c r="H571" s="16">
        <v>281</v>
      </c>
      <c r="I571" s="16">
        <f t="shared" si="259"/>
        <v>281</v>
      </c>
      <c r="J571" s="209">
        <f t="shared" si="260"/>
        <v>0.40037657969358664</v>
      </c>
      <c r="K571" s="209">
        <f t="shared" si="261"/>
        <v>112.61536139950077</v>
      </c>
      <c r="L571" s="692">
        <v>1.2807191610336299</v>
      </c>
      <c r="M571" s="17" t="str">
        <f t="shared" si="262"/>
        <v>112.615361399501,1.28071916103363</v>
      </c>
    </row>
    <row r="572" spans="1:13" x14ac:dyDescent="0.25">
      <c r="A572" s="85">
        <f t="shared" si="253"/>
        <v>282</v>
      </c>
      <c r="B572" s="296">
        <f t="shared" si="254"/>
        <v>104006.92707873948</v>
      </c>
      <c r="C572" s="296">
        <f t="shared" si="255"/>
        <v>489264.03331129503</v>
      </c>
      <c r="D572" s="85">
        <f t="shared" si="263"/>
        <v>4</v>
      </c>
      <c r="E572" s="17">
        <f t="shared" si="256"/>
        <v>0.39394466066733003</v>
      </c>
      <c r="F572" s="17">
        <f t="shared" si="257"/>
        <v>-7.1477338438853621E-2</v>
      </c>
      <c r="G572" s="17" t="str">
        <f t="shared" si="258"/>
        <v>104006.927078739,489264.033311295</v>
      </c>
      <c r="H572" s="16">
        <v>282</v>
      </c>
      <c r="I572" s="16">
        <f t="shared" si="259"/>
        <v>282</v>
      </c>
      <c r="J572" s="209">
        <f t="shared" si="260"/>
        <v>0.40037657970790475</v>
      </c>
      <c r="K572" s="209">
        <f t="shared" si="261"/>
        <v>113.01573797920868</v>
      </c>
      <c r="L572" s="692">
        <v>1.28763735294342</v>
      </c>
      <c r="M572" s="17" t="str">
        <f t="shared" si="262"/>
        <v>113.015737979209,1.28763735294342</v>
      </c>
    </row>
    <row r="573" spans="1:13" x14ac:dyDescent="0.25">
      <c r="A573" s="85">
        <f t="shared" si="253"/>
        <v>283</v>
      </c>
      <c r="B573" s="296">
        <f t="shared" si="254"/>
        <v>104007.32102340013</v>
      </c>
      <c r="C573" s="296">
        <f t="shared" si="255"/>
        <v>489263.96183395659</v>
      </c>
      <c r="D573" s="85">
        <f t="shared" si="263"/>
        <v>4</v>
      </c>
      <c r="E573" s="17">
        <f t="shared" si="256"/>
        <v>0.39394466065277811</v>
      </c>
      <c r="F573" s="17">
        <f t="shared" si="257"/>
        <v>-7.1477338438853621E-2</v>
      </c>
      <c r="G573" s="17" t="str">
        <f t="shared" si="258"/>
        <v>104007.3210234,489263.961833957</v>
      </c>
      <c r="H573" s="16">
        <v>283</v>
      </c>
      <c r="I573" s="16">
        <f t="shared" si="259"/>
        <v>283</v>
      </c>
      <c r="J573" s="209">
        <f t="shared" si="260"/>
        <v>0.40037657969358664</v>
      </c>
      <c r="K573" s="209">
        <f t="shared" si="261"/>
        <v>113.41611455890227</v>
      </c>
      <c r="L573" s="692">
        <v>1.293745279312134</v>
      </c>
      <c r="M573" s="17" t="str">
        <f t="shared" si="262"/>
        <v>113.416114558902,1.29374527931213</v>
      </c>
    </row>
    <row r="574" spans="1:13" x14ac:dyDescent="0.25">
      <c r="A574" s="85">
        <f t="shared" si="253"/>
        <v>284</v>
      </c>
      <c r="B574" s="296">
        <f t="shared" si="254"/>
        <v>104007.7149680608</v>
      </c>
      <c r="C574" s="296">
        <f t="shared" si="255"/>
        <v>489263.89035661815</v>
      </c>
      <c r="D574" s="85">
        <f t="shared" si="263"/>
        <v>4</v>
      </c>
      <c r="E574" s="17">
        <f t="shared" si="256"/>
        <v>0.39394466066733003</v>
      </c>
      <c r="F574" s="17">
        <f t="shared" si="257"/>
        <v>-7.1477338438853621E-2</v>
      </c>
      <c r="G574" s="17" t="str">
        <f t="shared" si="258"/>
        <v>104007.714968061,489263.890356618</v>
      </c>
      <c r="H574" s="16">
        <v>284</v>
      </c>
      <c r="I574" s="16">
        <f t="shared" si="259"/>
        <v>284</v>
      </c>
      <c r="J574" s="209">
        <f t="shared" si="260"/>
        <v>0.40037657970790475</v>
      </c>
      <c r="K574" s="209">
        <f t="shared" si="261"/>
        <v>113.81649113861017</v>
      </c>
      <c r="L574" s="692">
        <v>1.3049172163009639</v>
      </c>
      <c r="M574" s="17" t="str">
        <f t="shared" si="262"/>
        <v>113.81649113861,1.30491721630096</v>
      </c>
    </row>
    <row r="575" spans="1:13" x14ac:dyDescent="0.25">
      <c r="A575" s="85">
        <f t="shared" si="253"/>
        <v>285</v>
      </c>
      <c r="B575" s="296">
        <f t="shared" si="254"/>
        <v>104008.10891272145</v>
      </c>
      <c r="C575" s="296">
        <f t="shared" si="255"/>
        <v>489263.81887927972</v>
      </c>
      <c r="D575" s="85">
        <f t="shared" si="263"/>
        <v>4</v>
      </c>
      <c r="E575" s="17">
        <f t="shared" si="256"/>
        <v>0.39394466065277811</v>
      </c>
      <c r="F575" s="17">
        <f t="shared" si="257"/>
        <v>-7.1477338438853621E-2</v>
      </c>
      <c r="G575" s="17" t="str">
        <f t="shared" si="258"/>
        <v>104008.108912721,489263.81887928</v>
      </c>
      <c r="H575" s="16">
        <v>285</v>
      </c>
      <c r="I575" s="16">
        <f t="shared" si="259"/>
        <v>285</v>
      </c>
      <c r="J575" s="209">
        <f t="shared" si="260"/>
        <v>0.40037657969358664</v>
      </c>
      <c r="K575" s="209">
        <f t="shared" si="261"/>
        <v>114.21686771830376</v>
      </c>
      <c r="L575" s="692">
        <v>1.3077002763748169</v>
      </c>
      <c r="M575" s="17" t="str">
        <f t="shared" si="262"/>
        <v>114.216867718304,1.30770027637482</v>
      </c>
    </row>
    <row r="576" spans="1:13" x14ac:dyDescent="0.25">
      <c r="A576" s="85">
        <f t="shared" si="253"/>
        <v>286</v>
      </c>
      <c r="B576" s="296">
        <f t="shared" si="254"/>
        <v>104008.50285738212</v>
      </c>
      <c r="C576" s="296">
        <f t="shared" si="255"/>
        <v>489263.74740194133</v>
      </c>
      <c r="D576" s="85">
        <f t="shared" si="263"/>
        <v>4</v>
      </c>
      <c r="E576" s="17">
        <f t="shared" si="256"/>
        <v>0.39394466066733003</v>
      </c>
      <c r="F576" s="17">
        <f t="shared" si="257"/>
        <v>-7.1477338380645961E-2</v>
      </c>
      <c r="G576" s="17" t="str">
        <f t="shared" si="258"/>
        <v>104008.502857382,489263.747401941</v>
      </c>
      <c r="H576" s="16">
        <v>286</v>
      </c>
      <c r="I576" s="16">
        <f t="shared" si="259"/>
        <v>286</v>
      </c>
      <c r="J576" s="209">
        <f t="shared" si="260"/>
        <v>0.40037657969751322</v>
      </c>
      <c r="K576" s="209">
        <f t="shared" si="261"/>
        <v>114.61724429800127</v>
      </c>
      <c r="L576" s="692">
        <v>1.2931288480758669</v>
      </c>
      <c r="M576" s="17" t="str">
        <f t="shared" si="262"/>
        <v>114.617244298001,1.29312884807587</v>
      </c>
    </row>
    <row r="577" spans="1:13" x14ac:dyDescent="0.25">
      <c r="A577" s="85">
        <f t="shared" si="253"/>
        <v>287</v>
      </c>
      <c r="B577" s="296">
        <f t="shared" si="254"/>
        <v>104008.89680204277</v>
      </c>
      <c r="C577" s="296">
        <f t="shared" si="255"/>
        <v>489263.6759246029</v>
      </c>
      <c r="D577" s="85">
        <f t="shared" si="263"/>
        <v>4</v>
      </c>
      <c r="E577" s="17">
        <f t="shared" si="256"/>
        <v>0.39394466065277811</v>
      </c>
      <c r="F577" s="17">
        <f t="shared" si="257"/>
        <v>-7.1477338438853621E-2</v>
      </c>
      <c r="G577" s="17" t="str">
        <f t="shared" si="258"/>
        <v>104008.896802043,489263.675924603</v>
      </c>
      <c r="H577" s="16">
        <v>287</v>
      </c>
      <c r="I577" s="16">
        <f t="shared" si="259"/>
        <v>287</v>
      </c>
      <c r="J577" s="209">
        <f t="shared" si="260"/>
        <v>0.40037657969358664</v>
      </c>
      <c r="K577" s="209">
        <f t="shared" si="261"/>
        <v>115.01762087769485</v>
      </c>
      <c r="L577" s="692">
        <v>1.298019170761108</v>
      </c>
      <c r="M577" s="17" t="str">
        <f t="shared" si="262"/>
        <v>115.017620877695,1.29801917076111</v>
      </c>
    </row>
    <row r="578" spans="1:13" x14ac:dyDescent="0.25">
      <c r="A578" s="85">
        <f t="shared" si="253"/>
        <v>288</v>
      </c>
      <c r="B578" s="296">
        <f t="shared" si="254"/>
        <v>104009.29074670344</v>
      </c>
      <c r="C578" s="296">
        <f t="shared" si="255"/>
        <v>489263.60444726446</v>
      </c>
      <c r="D578" s="85">
        <f t="shared" si="263"/>
        <v>4</v>
      </c>
      <c r="E578" s="17">
        <f t="shared" si="256"/>
        <v>0.39394466066733003</v>
      </c>
      <c r="F578" s="17">
        <f t="shared" si="257"/>
        <v>-7.1477338438853621E-2</v>
      </c>
      <c r="G578" s="17" t="str">
        <f t="shared" si="258"/>
        <v>104009.290746703,489263.604447264</v>
      </c>
      <c r="H578" s="16">
        <v>288</v>
      </c>
      <c r="I578" s="16">
        <f t="shared" si="259"/>
        <v>288</v>
      </c>
      <c r="J578" s="209">
        <f t="shared" si="260"/>
        <v>0.40037657970790475</v>
      </c>
      <c r="K578" s="209">
        <f t="shared" si="261"/>
        <v>115.41799745740276</v>
      </c>
      <c r="L578" s="692">
        <v>1.2930575609207151</v>
      </c>
      <c r="M578" s="17" t="str">
        <f t="shared" si="262"/>
        <v>115.417997457403,1.29305756092072</v>
      </c>
    </row>
    <row r="579" spans="1:13" x14ac:dyDescent="0.25">
      <c r="A579" s="85">
        <f t="shared" si="253"/>
        <v>289</v>
      </c>
      <c r="B579" s="296">
        <f t="shared" si="254"/>
        <v>104009.68469136409</v>
      </c>
      <c r="C579" s="296">
        <f t="shared" si="255"/>
        <v>489263.53296992602</v>
      </c>
      <c r="D579" s="85">
        <f t="shared" si="263"/>
        <v>4</v>
      </c>
      <c r="E579" s="17">
        <f t="shared" si="256"/>
        <v>0.39394466065277811</v>
      </c>
      <c r="F579" s="17">
        <f t="shared" si="257"/>
        <v>-7.1477338438853621E-2</v>
      </c>
      <c r="G579" s="17" t="str">
        <f t="shared" si="258"/>
        <v>104009.684691364,489263.532969926</v>
      </c>
      <c r="H579" s="16">
        <v>289</v>
      </c>
      <c r="I579" s="16">
        <f t="shared" si="259"/>
        <v>289</v>
      </c>
      <c r="J579" s="209">
        <f t="shared" si="260"/>
        <v>0.40037657969358664</v>
      </c>
      <c r="K579" s="209">
        <f t="shared" si="261"/>
        <v>115.81837403709635</v>
      </c>
      <c r="L579" s="692">
        <v>1.290619492530823</v>
      </c>
      <c r="M579" s="17" t="str">
        <f t="shared" si="262"/>
        <v>115.818374037096,1.29061949253082</v>
      </c>
    </row>
    <row r="580" spans="1:13" x14ac:dyDescent="0.25">
      <c r="A580" s="85">
        <f t="shared" si="253"/>
        <v>290</v>
      </c>
      <c r="B580" s="296">
        <f t="shared" si="254"/>
        <v>104010.07863602476</v>
      </c>
      <c r="C580" s="296">
        <f t="shared" si="255"/>
        <v>489263.46149258758</v>
      </c>
      <c r="D580" s="85">
        <f t="shared" si="263"/>
        <v>4</v>
      </c>
      <c r="E580" s="17">
        <f t="shared" si="256"/>
        <v>0.39394466066733003</v>
      </c>
      <c r="F580" s="17">
        <f t="shared" si="257"/>
        <v>-7.1477338438853621E-2</v>
      </c>
      <c r="G580" s="17" t="str">
        <f t="shared" si="258"/>
        <v>104010.078636025,489263.461492588</v>
      </c>
      <c r="H580" s="16">
        <v>290</v>
      </c>
      <c r="I580" s="16">
        <f t="shared" si="259"/>
        <v>290</v>
      </c>
      <c r="J580" s="209">
        <f t="shared" si="260"/>
        <v>0.40037657970790475</v>
      </c>
      <c r="K580" s="209">
        <f t="shared" si="261"/>
        <v>116.21875061680426</v>
      </c>
      <c r="L580" s="692">
        <v>1.293658494949341</v>
      </c>
      <c r="M580" s="17" t="str">
        <f t="shared" si="262"/>
        <v>116.218750616804,1.29365849494934</v>
      </c>
    </row>
    <row r="581" spans="1:13" x14ac:dyDescent="0.25">
      <c r="A581" s="85">
        <f t="shared" si="253"/>
        <v>291</v>
      </c>
      <c r="B581" s="296">
        <f t="shared" si="254"/>
        <v>104010.47258068541</v>
      </c>
      <c r="C581" s="296">
        <f t="shared" si="255"/>
        <v>489263.3900152492</v>
      </c>
      <c r="D581" s="85">
        <f t="shared" si="263"/>
        <v>4</v>
      </c>
      <c r="E581" s="17">
        <f t="shared" si="256"/>
        <v>0.39394466065277811</v>
      </c>
      <c r="F581" s="17">
        <f t="shared" si="257"/>
        <v>-7.1477338380645961E-2</v>
      </c>
      <c r="G581" s="17" t="str">
        <f t="shared" si="258"/>
        <v>104010.472580685,489263.390015249</v>
      </c>
      <c r="H581" s="16">
        <v>291</v>
      </c>
      <c r="I581" s="16">
        <f t="shared" si="259"/>
        <v>291</v>
      </c>
      <c r="J581" s="209">
        <f t="shared" si="260"/>
        <v>0.40037657968319512</v>
      </c>
      <c r="K581" s="209">
        <f t="shared" si="261"/>
        <v>116.61912719648745</v>
      </c>
      <c r="L581" s="692">
        <v>1.2844429016113279</v>
      </c>
      <c r="M581" s="17" t="str">
        <f t="shared" si="262"/>
        <v>116.619127196487,1.28444290161133</v>
      </c>
    </row>
    <row r="582" spans="1:13" x14ac:dyDescent="0.25">
      <c r="A582" s="85">
        <f t="shared" si="253"/>
        <v>292</v>
      </c>
      <c r="B582" s="296">
        <f t="shared" si="254"/>
        <v>104010.86652534608</v>
      </c>
      <c r="C582" s="296">
        <f t="shared" si="255"/>
        <v>489263.31853791076</v>
      </c>
      <c r="D582" s="85">
        <f t="shared" si="263"/>
        <v>4</v>
      </c>
      <c r="E582" s="17">
        <f t="shared" si="256"/>
        <v>0.39394466066733003</v>
      </c>
      <c r="F582" s="17">
        <f t="shared" si="257"/>
        <v>-7.1477338438853621E-2</v>
      </c>
      <c r="G582" s="17" t="str">
        <f t="shared" si="258"/>
        <v>104010.866525346,489263.318537911</v>
      </c>
      <c r="H582" s="16">
        <v>292</v>
      </c>
      <c r="I582" s="16">
        <f t="shared" si="259"/>
        <v>292</v>
      </c>
      <c r="J582" s="209">
        <f t="shared" si="260"/>
        <v>0.40037657970790475</v>
      </c>
      <c r="K582" s="209">
        <f t="shared" si="261"/>
        <v>117.01950377619536</v>
      </c>
      <c r="L582" s="692">
        <v>1.2804796695709231</v>
      </c>
      <c r="M582" s="17" t="str">
        <f t="shared" si="262"/>
        <v>117.019503776195,1.28047966957092</v>
      </c>
    </row>
    <row r="583" spans="1:13" x14ac:dyDescent="0.25">
      <c r="A583" s="85">
        <f t="shared" si="253"/>
        <v>293</v>
      </c>
      <c r="B583" s="296">
        <f t="shared" si="254"/>
        <v>104011.26047000675</v>
      </c>
      <c r="C583" s="296">
        <f t="shared" si="255"/>
        <v>489263.24706057232</v>
      </c>
      <c r="D583" s="85">
        <f t="shared" si="263"/>
        <v>4</v>
      </c>
      <c r="E583" s="17">
        <f t="shared" si="256"/>
        <v>0.39394466066733003</v>
      </c>
      <c r="F583" s="17">
        <f t="shared" si="257"/>
        <v>-7.1477338438853621E-2</v>
      </c>
      <c r="G583" s="17" t="str">
        <f t="shared" si="258"/>
        <v>104011.260470007,489263.247060572</v>
      </c>
      <c r="H583" s="16">
        <v>293</v>
      </c>
      <c r="I583" s="16">
        <f t="shared" si="259"/>
        <v>293</v>
      </c>
      <c r="J583" s="209">
        <f t="shared" si="260"/>
        <v>0.40037657970790475</v>
      </c>
      <c r="K583" s="209">
        <f t="shared" si="261"/>
        <v>117.41988035590327</v>
      </c>
      <c r="L583" s="692">
        <v>1.269131183624268</v>
      </c>
      <c r="M583" s="17" t="str">
        <f t="shared" si="262"/>
        <v>117.419880355903,1.26913118362427</v>
      </c>
    </row>
    <row r="584" spans="1:13" x14ac:dyDescent="0.25">
      <c r="A584" s="85">
        <f t="shared" si="253"/>
        <v>294</v>
      </c>
      <c r="B584" s="296">
        <f t="shared" si="254"/>
        <v>104011.6544146674</v>
      </c>
      <c r="C584" s="296">
        <f t="shared" si="255"/>
        <v>489263.17558323388</v>
      </c>
      <c r="D584" s="85">
        <f t="shared" si="263"/>
        <v>4</v>
      </c>
      <c r="E584" s="17">
        <f t="shared" si="256"/>
        <v>0.39394466065277811</v>
      </c>
      <c r="F584" s="17">
        <f t="shared" si="257"/>
        <v>-7.1477338438853621E-2</v>
      </c>
      <c r="G584" s="17" t="str">
        <f t="shared" si="258"/>
        <v>104011.654414667,489263.175583234</v>
      </c>
      <c r="H584" s="16">
        <v>294</v>
      </c>
      <c r="I584" s="16">
        <f t="shared" si="259"/>
        <v>294</v>
      </c>
      <c r="J584" s="209">
        <f t="shared" si="260"/>
        <v>0.40037657969358664</v>
      </c>
      <c r="K584" s="209">
        <f t="shared" si="261"/>
        <v>117.82025693559686</v>
      </c>
      <c r="L584" s="692">
        <v>1.2683871984481809</v>
      </c>
      <c r="M584" s="17" t="str">
        <f t="shared" si="262"/>
        <v>117.820256935597,1.26838719844818</v>
      </c>
    </row>
    <row r="585" spans="1:13" x14ac:dyDescent="0.25">
      <c r="A585" s="85">
        <f t="shared" si="253"/>
        <v>295</v>
      </c>
      <c r="B585" s="296">
        <f t="shared" si="254"/>
        <v>104012.04835932807</v>
      </c>
      <c r="C585" s="296">
        <f t="shared" si="255"/>
        <v>489263.10410589544</v>
      </c>
      <c r="D585" s="85">
        <f t="shared" si="263"/>
        <v>4</v>
      </c>
      <c r="E585" s="17">
        <f t="shared" si="256"/>
        <v>0.39394466066733003</v>
      </c>
      <c r="F585" s="17">
        <f t="shared" si="257"/>
        <v>-7.1477338438853621E-2</v>
      </c>
      <c r="G585" s="17" t="str">
        <f t="shared" si="258"/>
        <v>104012.048359328,489263.104105895</v>
      </c>
      <c r="H585" s="16">
        <v>295</v>
      </c>
      <c r="I585" s="16">
        <f t="shared" si="259"/>
        <v>295</v>
      </c>
      <c r="J585" s="209">
        <f t="shared" si="260"/>
        <v>0.40037657970790475</v>
      </c>
      <c r="K585" s="209">
        <f t="shared" si="261"/>
        <v>118.22063351530477</v>
      </c>
      <c r="L585" s="692">
        <v>1.2895792722702031</v>
      </c>
      <c r="M585" s="17" t="str">
        <f t="shared" si="262"/>
        <v>118.220633515305,1.2895792722702</v>
      </c>
    </row>
    <row r="586" spans="1:13" x14ac:dyDescent="0.25">
      <c r="A586" s="85">
        <f t="shared" si="253"/>
        <v>296</v>
      </c>
      <c r="B586" s="296">
        <f t="shared" si="254"/>
        <v>104012.44230398872</v>
      </c>
      <c r="C586" s="296">
        <f t="shared" si="255"/>
        <v>489263.03262855706</v>
      </c>
      <c r="D586" s="85">
        <f t="shared" si="263"/>
        <v>4</v>
      </c>
      <c r="E586" s="17">
        <f t="shared" si="256"/>
        <v>0.39394466065277811</v>
      </c>
      <c r="F586" s="17">
        <f t="shared" si="257"/>
        <v>-7.1477338380645961E-2</v>
      </c>
      <c r="G586" s="17" t="str">
        <f t="shared" si="258"/>
        <v>104012.442303989,489263.032628557</v>
      </c>
      <c r="H586" s="16">
        <v>296</v>
      </c>
      <c r="I586" s="16">
        <f t="shared" si="259"/>
        <v>296</v>
      </c>
      <c r="J586" s="209">
        <f t="shared" si="260"/>
        <v>0.40037657968319512</v>
      </c>
      <c r="K586" s="209">
        <f t="shared" si="261"/>
        <v>118.62101009498797</v>
      </c>
      <c r="L586" s="692">
        <v>1.2892997264862061</v>
      </c>
      <c r="M586" s="17" t="str">
        <f t="shared" si="262"/>
        <v>118.621010094988,1.28929972648621</v>
      </c>
    </row>
    <row r="587" spans="1:13" x14ac:dyDescent="0.25">
      <c r="A587" s="85">
        <f t="shared" si="253"/>
        <v>297</v>
      </c>
      <c r="B587" s="296">
        <f t="shared" si="254"/>
        <v>104012.83624864939</v>
      </c>
      <c r="C587" s="296">
        <f t="shared" si="255"/>
        <v>489262.96115121862</v>
      </c>
      <c r="D587" s="85">
        <f t="shared" si="263"/>
        <v>4</v>
      </c>
      <c r="E587" s="17">
        <f t="shared" si="256"/>
        <v>0.39394466066733003</v>
      </c>
      <c r="F587" s="17">
        <f t="shared" si="257"/>
        <v>-7.1477338438853621E-2</v>
      </c>
      <c r="G587" s="17" t="str">
        <f t="shared" si="258"/>
        <v>104012.836248649,489262.961151219</v>
      </c>
      <c r="H587" s="16">
        <v>297</v>
      </c>
      <c r="I587" s="16">
        <f t="shared" si="259"/>
        <v>297</v>
      </c>
      <c r="J587" s="209">
        <f t="shared" si="260"/>
        <v>0.40037657970790475</v>
      </c>
      <c r="K587" s="209">
        <f t="shared" si="261"/>
        <v>119.02138667469588</v>
      </c>
      <c r="L587" s="692">
        <v>1.288503766059875</v>
      </c>
      <c r="M587" s="17" t="str">
        <f t="shared" si="262"/>
        <v>119.021386674696,1.28850376605988</v>
      </c>
    </row>
    <row r="588" spans="1:13" x14ac:dyDescent="0.25">
      <c r="A588" s="85">
        <f t="shared" si="253"/>
        <v>298</v>
      </c>
      <c r="B588" s="296">
        <f t="shared" si="254"/>
        <v>104013.23019331004</v>
      </c>
      <c r="C588" s="296">
        <f t="shared" si="255"/>
        <v>489262.88967388019</v>
      </c>
      <c r="D588" s="85">
        <f t="shared" si="263"/>
        <v>4</v>
      </c>
      <c r="E588" s="17">
        <f t="shared" si="256"/>
        <v>0.39394466065277811</v>
      </c>
      <c r="F588" s="17">
        <f t="shared" si="257"/>
        <v>-7.1477338438853621E-2</v>
      </c>
      <c r="G588" s="17" t="str">
        <f t="shared" si="258"/>
        <v>104013.23019331,489262.88967388</v>
      </c>
      <c r="H588" s="16">
        <v>298</v>
      </c>
      <c r="I588" s="16">
        <f t="shared" si="259"/>
        <v>298</v>
      </c>
      <c r="J588" s="209">
        <f t="shared" si="260"/>
        <v>0.40037657969358664</v>
      </c>
      <c r="K588" s="209">
        <f t="shared" si="261"/>
        <v>119.42176325438946</v>
      </c>
      <c r="L588" s="692">
        <v>1.28649890422821</v>
      </c>
      <c r="M588" s="17" t="str">
        <f t="shared" si="262"/>
        <v>119.421763254389,1.28649890422821</v>
      </c>
    </row>
    <row r="589" spans="1:13" x14ac:dyDescent="0.25">
      <c r="A589" s="85">
        <f t="shared" si="253"/>
        <v>299</v>
      </c>
      <c r="B589" s="296">
        <f t="shared" si="254"/>
        <v>104013.62413797071</v>
      </c>
      <c r="C589" s="296">
        <f t="shared" si="255"/>
        <v>489262.81819654175</v>
      </c>
      <c r="D589" s="85">
        <f t="shared" si="263"/>
        <v>4</v>
      </c>
      <c r="E589" s="17">
        <f t="shared" si="256"/>
        <v>0.39394466066733003</v>
      </c>
      <c r="F589" s="17">
        <f t="shared" si="257"/>
        <v>-7.1477338438853621E-2</v>
      </c>
      <c r="G589" s="17" t="str">
        <f t="shared" si="258"/>
        <v>104013.624137971,489262.818196542</v>
      </c>
      <c r="H589" s="16">
        <v>299</v>
      </c>
      <c r="I589" s="16">
        <f t="shared" si="259"/>
        <v>299</v>
      </c>
      <c r="J589" s="209">
        <f t="shared" si="260"/>
        <v>0.40037657970790475</v>
      </c>
      <c r="K589" s="209">
        <f t="shared" si="261"/>
        <v>119.82213983409737</v>
      </c>
      <c r="L589" s="692">
        <v>1.287192106246948</v>
      </c>
      <c r="M589" s="17" t="str">
        <f t="shared" si="262"/>
        <v>119.822139834097,1.28719210624695</v>
      </c>
    </row>
    <row r="590" spans="1:13" x14ac:dyDescent="0.25">
      <c r="A590" s="85">
        <f t="shared" si="253"/>
        <v>300</v>
      </c>
      <c r="B590" s="296">
        <f t="shared" si="254"/>
        <v>104014.01808263136</v>
      </c>
      <c r="C590" s="296">
        <f t="shared" si="255"/>
        <v>489262.74671920331</v>
      </c>
      <c r="D590" s="85">
        <f t="shared" si="263"/>
        <v>4</v>
      </c>
      <c r="E590" s="17">
        <f t="shared" si="256"/>
        <v>0.39394466065277811</v>
      </c>
      <c r="F590" s="17">
        <f t="shared" si="257"/>
        <v>-7.1477338438853621E-2</v>
      </c>
      <c r="G590" s="17" t="str">
        <f t="shared" si="258"/>
        <v>104014.018082631,489262.746719203</v>
      </c>
      <c r="H590" s="16">
        <v>300</v>
      </c>
      <c r="I590" s="16">
        <f t="shared" si="259"/>
        <v>300</v>
      </c>
      <c r="J590" s="209">
        <f t="shared" si="260"/>
        <v>0.40037657969358664</v>
      </c>
      <c r="K590" s="209">
        <f t="shared" si="261"/>
        <v>120.22251641379096</v>
      </c>
      <c r="L590" s="692">
        <v>1.290514349937439</v>
      </c>
      <c r="M590" s="17" t="str">
        <f t="shared" si="262"/>
        <v>120.222516413791,1.29051434993744</v>
      </c>
    </row>
    <row r="591" spans="1:13" x14ac:dyDescent="0.25">
      <c r="A591" s="85">
        <f t="shared" si="253"/>
        <v>301</v>
      </c>
      <c r="B591" s="296">
        <f t="shared" si="254"/>
        <v>104014.41202729203</v>
      </c>
      <c r="C591" s="296">
        <f t="shared" si="255"/>
        <v>489262.67524186487</v>
      </c>
      <c r="D591" s="85">
        <f t="shared" si="263"/>
        <v>4</v>
      </c>
      <c r="E591" s="17">
        <f t="shared" si="256"/>
        <v>0.39394466066733003</v>
      </c>
      <c r="F591" s="17">
        <f t="shared" si="257"/>
        <v>-7.1477338438853621E-2</v>
      </c>
      <c r="G591" s="17" t="str">
        <f t="shared" si="258"/>
        <v>104014.412027292,489262.675241865</v>
      </c>
      <c r="H591" s="16">
        <v>301</v>
      </c>
      <c r="I591" s="16">
        <f t="shared" si="259"/>
        <v>301</v>
      </c>
      <c r="J591" s="209">
        <f t="shared" si="260"/>
        <v>0.40037657970790475</v>
      </c>
      <c r="K591" s="209">
        <f t="shared" si="261"/>
        <v>120.62289299349887</v>
      </c>
      <c r="L591" s="692">
        <v>1.291700124740601</v>
      </c>
      <c r="M591" s="17" t="str">
        <f t="shared" si="262"/>
        <v>120.622892993499,1.2917001247406</v>
      </c>
    </row>
    <row r="592" spans="1:13" x14ac:dyDescent="0.25">
      <c r="A592" s="85">
        <f t="shared" si="253"/>
        <v>302</v>
      </c>
      <c r="B592" s="296">
        <f t="shared" si="254"/>
        <v>104014.80597195268</v>
      </c>
      <c r="C592" s="296">
        <f t="shared" si="255"/>
        <v>489262.60376452649</v>
      </c>
      <c r="D592" s="85">
        <f t="shared" si="263"/>
        <v>4</v>
      </c>
      <c r="E592" s="17">
        <f t="shared" si="256"/>
        <v>0.39394466065277811</v>
      </c>
      <c r="F592" s="17">
        <f t="shared" si="257"/>
        <v>-7.1477338380645961E-2</v>
      </c>
      <c r="G592" s="17" t="str">
        <f t="shared" si="258"/>
        <v>104014.805971953,489262.603764526</v>
      </c>
      <c r="H592" s="16">
        <v>302</v>
      </c>
      <c r="I592" s="16">
        <f t="shared" si="259"/>
        <v>302</v>
      </c>
      <c r="J592" s="209">
        <f t="shared" si="260"/>
        <v>0.40037657968319512</v>
      </c>
      <c r="K592" s="209">
        <f t="shared" si="261"/>
        <v>121.02326957318206</v>
      </c>
      <c r="L592" s="692">
        <v>1.285028338432312</v>
      </c>
      <c r="M592" s="17" t="str">
        <f t="shared" si="262"/>
        <v>121.023269573182,1.28502833843231</v>
      </c>
    </row>
    <row r="593" spans="1:13" x14ac:dyDescent="0.25">
      <c r="A593" s="85">
        <f t="shared" si="253"/>
        <v>303</v>
      </c>
      <c r="B593" s="296">
        <f t="shared" si="254"/>
        <v>104015.19991661335</v>
      </c>
      <c r="C593" s="296">
        <f t="shared" si="255"/>
        <v>489262.53228718805</v>
      </c>
      <c r="D593" s="85">
        <f t="shared" si="263"/>
        <v>4</v>
      </c>
      <c r="E593" s="17">
        <f t="shared" si="256"/>
        <v>0.39394466066733003</v>
      </c>
      <c r="F593" s="17">
        <f t="shared" si="257"/>
        <v>-7.1477338438853621E-2</v>
      </c>
      <c r="G593" s="17" t="str">
        <f t="shared" si="258"/>
        <v>104015.199916613,489262.532287188</v>
      </c>
      <c r="H593" s="16">
        <v>303</v>
      </c>
      <c r="I593" s="16">
        <f t="shared" si="259"/>
        <v>303</v>
      </c>
      <c r="J593" s="209">
        <f t="shared" si="260"/>
        <v>0.40037657970790475</v>
      </c>
      <c r="K593" s="209">
        <f t="shared" si="261"/>
        <v>121.42364615288997</v>
      </c>
      <c r="L593" s="692">
        <v>1.2939015626907351</v>
      </c>
      <c r="M593" s="17" t="str">
        <f t="shared" si="262"/>
        <v>121.42364615289,1.29390156269074</v>
      </c>
    </row>
    <row r="594" spans="1:13" x14ac:dyDescent="0.25">
      <c r="A594" s="85">
        <f t="shared" si="253"/>
        <v>304</v>
      </c>
      <c r="B594" s="296">
        <f t="shared" si="254"/>
        <v>104015.59386127401</v>
      </c>
      <c r="C594" s="296">
        <f t="shared" si="255"/>
        <v>489262.46080984961</v>
      </c>
      <c r="D594" s="85">
        <f t="shared" si="263"/>
        <v>4</v>
      </c>
      <c r="E594" s="17">
        <f t="shared" si="256"/>
        <v>0.39394466066733003</v>
      </c>
      <c r="F594" s="17">
        <f t="shared" si="257"/>
        <v>-7.1477338438853621E-2</v>
      </c>
      <c r="G594" s="17" t="str">
        <f t="shared" si="258"/>
        <v>104015.593861274,489262.46080985</v>
      </c>
      <c r="H594" s="16">
        <v>304</v>
      </c>
      <c r="I594" s="16">
        <f t="shared" si="259"/>
        <v>304</v>
      </c>
      <c r="J594" s="209">
        <f t="shared" si="260"/>
        <v>0.40037657970790475</v>
      </c>
      <c r="K594" s="209">
        <f t="shared" si="261"/>
        <v>121.82402273259788</v>
      </c>
      <c r="L594" s="692">
        <v>1.3135149478912349</v>
      </c>
      <c r="M594" s="17" t="str">
        <f t="shared" si="262"/>
        <v>121.824022732598,1.31351494789123</v>
      </c>
    </row>
    <row r="595" spans="1:13" x14ac:dyDescent="0.25">
      <c r="A595" s="85">
        <f t="shared" si="253"/>
        <v>305</v>
      </c>
      <c r="B595" s="296">
        <f t="shared" si="254"/>
        <v>104015.98780593467</v>
      </c>
      <c r="C595" s="296">
        <f t="shared" si="255"/>
        <v>489262.38933251117</v>
      </c>
      <c r="D595" s="85">
        <f t="shared" si="263"/>
        <v>4</v>
      </c>
      <c r="E595" s="17">
        <f t="shared" si="256"/>
        <v>0.39394466065277811</v>
      </c>
      <c r="F595" s="17">
        <f t="shared" si="257"/>
        <v>-7.1477338438853621E-2</v>
      </c>
      <c r="G595" s="17" t="str">
        <f t="shared" si="258"/>
        <v>104015.987805935,489262.389332511</v>
      </c>
      <c r="H595" s="16">
        <v>305</v>
      </c>
      <c r="I595" s="16">
        <f t="shared" si="259"/>
        <v>305</v>
      </c>
      <c r="J595" s="209">
        <f t="shared" si="260"/>
        <v>0.40037657969358664</v>
      </c>
      <c r="K595" s="209">
        <f t="shared" si="261"/>
        <v>122.22439931229147</v>
      </c>
      <c r="L595" s="692">
        <v>1.311768770217896</v>
      </c>
      <c r="M595" s="17" t="str">
        <f t="shared" si="262"/>
        <v>122.224399312291,1.3117687702179</v>
      </c>
    </row>
    <row r="596" spans="1:13" x14ac:dyDescent="0.25">
      <c r="A596" s="85">
        <f t="shared" si="253"/>
        <v>306</v>
      </c>
      <c r="B596" s="296">
        <f t="shared" si="254"/>
        <v>104016.38175059533</v>
      </c>
      <c r="C596" s="296">
        <f t="shared" si="255"/>
        <v>489262.31785517273</v>
      </c>
      <c r="D596" s="85">
        <f t="shared" si="263"/>
        <v>4</v>
      </c>
      <c r="E596" s="17">
        <f t="shared" si="256"/>
        <v>0.39394466066733003</v>
      </c>
      <c r="F596" s="17">
        <f t="shared" si="257"/>
        <v>-7.1477338438853621E-2</v>
      </c>
      <c r="G596" s="17" t="str">
        <f t="shared" si="258"/>
        <v>104016.381750595,489262.317855173</v>
      </c>
      <c r="H596" s="16">
        <v>306</v>
      </c>
      <c r="I596" s="16">
        <f t="shared" si="259"/>
        <v>306</v>
      </c>
      <c r="J596" s="209">
        <f t="shared" si="260"/>
        <v>0.40037657970790475</v>
      </c>
      <c r="K596" s="209">
        <f t="shared" si="261"/>
        <v>122.62477589199938</v>
      </c>
      <c r="L596" s="692">
        <v>1.306266784667969</v>
      </c>
      <c r="M596" s="17" t="str">
        <f t="shared" si="262"/>
        <v>122.624775891999,1.30626678466797</v>
      </c>
    </row>
    <row r="597" spans="1:13" x14ac:dyDescent="0.25">
      <c r="A597" s="85">
        <f t="shared" si="253"/>
        <v>307</v>
      </c>
      <c r="B597" s="296">
        <f t="shared" si="254"/>
        <v>104016.77569525599</v>
      </c>
      <c r="C597" s="296">
        <f t="shared" si="255"/>
        <v>489262.24637783435</v>
      </c>
      <c r="D597" s="85">
        <f t="shared" si="263"/>
        <v>4</v>
      </c>
      <c r="E597" s="17">
        <f t="shared" si="256"/>
        <v>0.39394466065277811</v>
      </c>
      <c r="F597" s="17">
        <f t="shared" si="257"/>
        <v>-7.1477338380645961E-2</v>
      </c>
      <c r="G597" s="17" t="str">
        <f t="shared" si="258"/>
        <v>104016.775695256,489262.246377834</v>
      </c>
      <c r="H597" s="16">
        <v>307</v>
      </c>
      <c r="I597" s="16">
        <f t="shared" si="259"/>
        <v>307</v>
      </c>
      <c r="J597" s="209">
        <f t="shared" si="260"/>
        <v>0.40037657968319512</v>
      </c>
      <c r="K597" s="209">
        <f t="shared" si="261"/>
        <v>123.02515247168257</v>
      </c>
      <c r="L597" s="692">
        <v>1.3034893274307251</v>
      </c>
      <c r="M597" s="17" t="str">
        <f t="shared" si="262"/>
        <v>123.025152471683,1.30348932743073</v>
      </c>
    </row>
    <row r="598" spans="1:13" x14ac:dyDescent="0.25">
      <c r="A598" s="85">
        <f t="shared" si="253"/>
        <v>308</v>
      </c>
      <c r="B598" s="296">
        <f t="shared" si="254"/>
        <v>104017.16963991665</v>
      </c>
      <c r="C598" s="296">
        <f t="shared" si="255"/>
        <v>489262.17490049591</v>
      </c>
      <c r="D598" s="85">
        <f t="shared" si="263"/>
        <v>4</v>
      </c>
      <c r="E598" s="17">
        <f t="shared" si="256"/>
        <v>0.39394466066733003</v>
      </c>
      <c r="F598" s="17">
        <f t="shared" si="257"/>
        <v>-7.1477338438853621E-2</v>
      </c>
      <c r="G598" s="17" t="str">
        <f t="shared" si="258"/>
        <v>104017.169639917,489262.174900496</v>
      </c>
      <c r="H598" s="16">
        <v>308</v>
      </c>
      <c r="I598" s="16">
        <f t="shared" si="259"/>
        <v>308</v>
      </c>
      <c r="J598" s="209">
        <f t="shared" si="260"/>
        <v>0.40037657970790475</v>
      </c>
      <c r="K598" s="209">
        <f t="shared" si="261"/>
        <v>123.42552905139048</v>
      </c>
      <c r="L598" s="692">
        <v>1.3053420782089229</v>
      </c>
      <c r="M598" s="17" t="str">
        <f t="shared" si="262"/>
        <v>123.42552905139,1.30534207820892</v>
      </c>
    </row>
    <row r="599" spans="1:13" x14ac:dyDescent="0.25">
      <c r="A599" s="85">
        <f t="shared" si="253"/>
        <v>309</v>
      </c>
      <c r="B599" s="296">
        <f t="shared" si="254"/>
        <v>104017.56358457731</v>
      </c>
      <c r="C599" s="296">
        <f t="shared" si="255"/>
        <v>489262.10342315747</v>
      </c>
      <c r="D599" s="85">
        <f t="shared" si="263"/>
        <v>4</v>
      </c>
      <c r="E599" s="17">
        <f t="shared" si="256"/>
        <v>0.39394466065277811</v>
      </c>
      <c r="F599" s="17">
        <f t="shared" si="257"/>
        <v>-7.1477338438853621E-2</v>
      </c>
      <c r="G599" s="17" t="str">
        <f t="shared" si="258"/>
        <v>104017.563584577,489262.103423157</v>
      </c>
      <c r="H599" s="16">
        <v>309</v>
      </c>
      <c r="I599" s="16">
        <f t="shared" si="259"/>
        <v>309</v>
      </c>
      <c r="J599" s="209">
        <f t="shared" si="260"/>
        <v>0.40037657969358664</v>
      </c>
      <c r="K599" s="209">
        <f t="shared" si="261"/>
        <v>123.82590563108407</v>
      </c>
      <c r="L599" s="692">
        <v>1.306097626686096</v>
      </c>
      <c r="M599" s="17" t="str">
        <f t="shared" si="262"/>
        <v>123.825905631084,1.3060976266861</v>
      </c>
    </row>
    <row r="600" spans="1:13" x14ac:dyDescent="0.25">
      <c r="A600" s="85">
        <f t="shared" si="253"/>
        <v>310</v>
      </c>
      <c r="B600" s="296">
        <f t="shared" si="254"/>
        <v>104017.95752923797</v>
      </c>
      <c r="C600" s="296">
        <f t="shared" si="255"/>
        <v>489262.03194581904</v>
      </c>
      <c r="D600" s="85">
        <f t="shared" si="263"/>
        <v>4</v>
      </c>
      <c r="E600" s="17">
        <f t="shared" si="256"/>
        <v>0.39394466066733003</v>
      </c>
      <c r="F600" s="17">
        <f t="shared" si="257"/>
        <v>-7.1477338438853621E-2</v>
      </c>
      <c r="G600" s="17" t="str">
        <f t="shared" si="258"/>
        <v>104017.957529238,489262.031945819</v>
      </c>
      <c r="H600" s="16">
        <v>310</v>
      </c>
      <c r="I600" s="16">
        <f t="shared" si="259"/>
        <v>310</v>
      </c>
      <c r="J600" s="209">
        <f t="shared" si="260"/>
        <v>0.40037657970790475</v>
      </c>
      <c r="K600" s="209">
        <f t="shared" si="261"/>
        <v>124.22628221079198</v>
      </c>
      <c r="L600" s="692">
        <v>1.305701851844788</v>
      </c>
      <c r="M600" s="17" t="str">
        <f t="shared" si="262"/>
        <v>124.226282210792,1.30570185184479</v>
      </c>
    </row>
    <row r="601" spans="1:13" x14ac:dyDescent="0.25">
      <c r="A601" s="85">
        <f t="shared" si="253"/>
        <v>311</v>
      </c>
      <c r="B601" s="296">
        <f t="shared" si="254"/>
        <v>104018.35147389863</v>
      </c>
      <c r="C601" s="296">
        <f t="shared" si="255"/>
        <v>489261.9604684806</v>
      </c>
      <c r="D601" s="85">
        <f t="shared" si="263"/>
        <v>4</v>
      </c>
      <c r="E601" s="17">
        <f t="shared" si="256"/>
        <v>0.39394466065277811</v>
      </c>
      <c r="F601" s="17">
        <f t="shared" si="257"/>
        <v>-7.1477338438853621E-2</v>
      </c>
      <c r="G601" s="17" t="str">
        <f t="shared" si="258"/>
        <v>104018.351473899,489261.960468481</v>
      </c>
      <c r="H601" s="16">
        <v>311</v>
      </c>
      <c r="I601" s="16">
        <f t="shared" si="259"/>
        <v>311</v>
      </c>
      <c r="J601" s="209">
        <f t="shared" si="260"/>
        <v>0.40037657969358664</v>
      </c>
      <c r="K601" s="209">
        <f t="shared" si="261"/>
        <v>124.62665879048556</v>
      </c>
      <c r="L601" s="692">
        <v>1.3062512874603269</v>
      </c>
      <c r="M601" s="17" t="str">
        <f t="shared" si="262"/>
        <v>124.626658790486,1.30625128746033</v>
      </c>
    </row>
    <row r="602" spans="1:13" x14ac:dyDescent="0.25">
      <c r="A602" s="85">
        <f t="shared" si="253"/>
        <v>312</v>
      </c>
      <c r="B602" s="296">
        <f t="shared" si="254"/>
        <v>104018.74541855929</v>
      </c>
      <c r="C602" s="296">
        <f t="shared" si="255"/>
        <v>489261.88899114216</v>
      </c>
      <c r="D602" s="85">
        <f t="shared" si="263"/>
        <v>4</v>
      </c>
      <c r="E602" s="17">
        <f t="shared" si="256"/>
        <v>0.39394466066733003</v>
      </c>
      <c r="F602" s="17">
        <f t="shared" si="257"/>
        <v>-7.1477338438853621E-2</v>
      </c>
      <c r="G602" s="17" t="str">
        <f t="shared" si="258"/>
        <v>104018.745418559,489261.888991142</v>
      </c>
      <c r="H602" s="16">
        <v>312</v>
      </c>
      <c r="I602" s="16">
        <f t="shared" si="259"/>
        <v>312</v>
      </c>
      <c r="J602" s="209">
        <f t="shared" si="260"/>
        <v>0.40037657970790475</v>
      </c>
      <c r="K602" s="209">
        <f t="shared" si="261"/>
        <v>125.02703537019347</v>
      </c>
      <c r="L602" s="692">
        <v>1.308336615562439</v>
      </c>
      <c r="M602" s="17" t="str">
        <f t="shared" si="262"/>
        <v>125.027035370193,1.30833661556244</v>
      </c>
    </row>
    <row r="603" spans="1:13" x14ac:dyDescent="0.25">
      <c r="A603" s="85">
        <f t="shared" si="253"/>
        <v>313</v>
      </c>
      <c r="B603" s="296">
        <f t="shared" si="254"/>
        <v>104019.13936321995</v>
      </c>
      <c r="C603" s="296">
        <f t="shared" si="255"/>
        <v>489261.81751380378</v>
      </c>
      <c r="D603" s="85">
        <f t="shared" si="263"/>
        <v>4</v>
      </c>
      <c r="E603" s="17">
        <f t="shared" si="256"/>
        <v>0.39394466065277811</v>
      </c>
      <c r="F603" s="17">
        <f t="shared" si="257"/>
        <v>-7.1477338380645961E-2</v>
      </c>
      <c r="G603" s="17" t="str">
        <f t="shared" si="258"/>
        <v>104019.13936322,489261.817513804</v>
      </c>
      <c r="H603" s="16">
        <v>313</v>
      </c>
      <c r="I603" s="16">
        <f t="shared" si="259"/>
        <v>313</v>
      </c>
      <c r="J603" s="209">
        <f t="shared" si="260"/>
        <v>0.40037657968319512</v>
      </c>
      <c r="K603" s="209">
        <f t="shared" si="261"/>
        <v>125.42741194987667</v>
      </c>
      <c r="L603" s="692">
        <v>1.3038330078125</v>
      </c>
      <c r="M603" s="17" t="str">
        <f t="shared" si="262"/>
        <v>125.427411949877,1.3038330078125</v>
      </c>
    </row>
    <row r="604" spans="1:13" x14ac:dyDescent="0.25">
      <c r="A604" s="85">
        <f t="shared" si="253"/>
        <v>314</v>
      </c>
      <c r="B604" s="296">
        <f t="shared" si="254"/>
        <v>104019.53330788061</v>
      </c>
      <c r="C604" s="296">
        <f t="shared" si="255"/>
        <v>489261.74603646534</v>
      </c>
      <c r="D604" s="85">
        <f t="shared" si="263"/>
        <v>4</v>
      </c>
      <c r="E604" s="17">
        <f t="shared" si="256"/>
        <v>0.39394466066733003</v>
      </c>
      <c r="F604" s="17">
        <f t="shared" si="257"/>
        <v>-7.1477338438853621E-2</v>
      </c>
      <c r="G604" s="17" t="str">
        <f t="shared" si="258"/>
        <v>104019.533307881,489261.746036465</v>
      </c>
      <c r="H604" s="16">
        <v>314</v>
      </c>
      <c r="I604" s="16">
        <f t="shared" si="259"/>
        <v>314</v>
      </c>
      <c r="J604" s="209">
        <f t="shared" si="260"/>
        <v>0.40037657970790475</v>
      </c>
      <c r="K604" s="209">
        <f t="shared" si="261"/>
        <v>125.82778852958458</v>
      </c>
      <c r="L604" s="692">
        <v>1.2928410768508909</v>
      </c>
      <c r="M604" s="17" t="str">
        <f t="shared" si="262"/>
        <v>125.827788529585,1.29284107685089</v>
      </c>
    </row>
    <row r="605" spans="1:13" x14ac:dyDescent="0.25">
      <c r="A605" s="85">
        <f t="shared" si="253"/>
        <v>315</v>
      </c>
      <c r="B605" s="296">
        <f t="shared" si="254"/>
        <v>104019.92725254128</v>
      </c>
      <c r="C605" s="296">
        <f t="shared" si="255"/>
        <v>489261.6745591269</v>
      </c>
      <c r="D605" s="85">
        <f t="shared" si="263"/>
        <v>4</v>
      </c>
      <c r="E605" s="17">
        <f t="shared" si="256"/>
        <v>0.39394466066733003</v>
      </c>
      <c r="F605" s="17">
        <f t="shared" si="257"/>
        <v>-7.1477338438853621E-2</v>
      </c>
      <c r="G605" s="17" t="str">
        <f t="shared" si="258"/>
        <v>104019.927252541,489261.674559127</v>
      </c>
      <c r="H605" s="16">
        <v>315</v>
      </c>
      <c r="I605" s="16">
        <f t="shared" si="259"/>
        <v>315</v>
      </c>
      <c r="J605" s="209">
        <f t="shared" si="260"/>
        <v>0.40037657970790475</v>
      </c>
      <c r="K605" s="209">
        <f t="shared" si="261"/>
        <v>126.22816510929249</v>
      </c>
      <c r="L605" s="692">
        <v>1.2779581546783449</v>
      </c>
      <c r="M605" s="17" t="str">
        <f t="shared" si="262"/>
        <v>126.228165109292,1.27795815467834</v>
      </c>
    </row>
    <row r="606" spans="1:13" x14ac:dyDescent="0.25">
      <c r="A606" s="85">
        <f t="shared" si="253"/>
        <v>316</v>
      </c>
      <c r="B606" s="296">
        <f t="shared" si="254"/>
        <v>104020.32119720193</v>
      </c>
      <c r="C606" s="296">
        <f t="shared" si="255"/>
        <v>489261.60308178846</v>
      </c>
      <c r="D606" s="85">
        <f t="shared" si="263"/>
        <v>4</v>
      </c>
      <c r="E606" s="17">
        <f t="shared" si="256"/>
        <v>0.39394466065277811</v>
      </c>
      <c r="F606" s="17">
        <f t="shared" si="257"/>
        <v>-7.1477338438853621E-2</v>
      </c>
      <c r="G606" s="17" t="str">
        <f t="shared" si="258"/>
        <v>104020.321197202,489261.603081788</v>
      </c>
      <c r="H606" s="16">
        <v>316</v>
      </c>
      <c r="I606" s="16">
        <f t="shared" si="259"/>
        <v>316</v>
      </c>
      <c r="J606" s="209">
        <f t="shared" si="260"/>
        <v>0.40037657969358664</v>
      </c>
      <c r="K606" s="209">
        <f t="shared" si="261"/>
        <v>126.62854168898608</v>
      </c>
      <c r="L606" s="692">
        <v>1.276091933250427</v>
      </c>
      <c r="M606" s="17" t="str">
        <f t="shared" si="262"/>
        <v>126.628541688986,1.27609193325043</v>
      </c>
    </row>
    <row r="607" spans="1:13" x14ac:dyDescent="0.25">
      <c r="A607" s="85">
        <f t="shared" si="253"/>
        <v>317</v>
      </c>
      <c r="B607" s="296">
        <f t="shared" si="254"/>
        <v>104020.7151418626</v>
      </c>
      <c r="C607" s="296">
        <f t="shared" si="255"/>
        <v>489261.53160445002</v>
      </c>
      <c r="D607" s="85">
        <f t="shared" si="263"/>
        <v>4</v>
      </c>
      <c r="E607" s="17">
        <f t="shared" si="256"/>
        <v>0.39394466066733003</v>
      </c>
      <c r="F607" s="17">
        <f t="shared" si="257"/>
        <v>-7.1477338438853621E-2</v>
      </c>
      <c r="G607" s="17" t="str">
        <f t="shared" si="258"/>
        <v>104020.715141863,489261.53160445</v>
      </c>
      <c r="H607" s="16">
        <v>317</v>
      </c>
      <c r="I607" s="16">
        <f t="shared" si="259"/>
        <v>317</v>
      </c>
      <c r="J607" s="209">
        <f t="shared" si="260"/>
        <v>0.40037657970790475</v>
      </c>
      <c r="K607" s="209">
        <f t="shared" si="261"/>
        <v>127.02891826869399</v>
      </c>
      <c r="L607" s="692">
        <v>1.2777038812637329</v>
      </c>
      <c r="M607" s="17" t="str">
        <f t="shared" si="262"/>
        <v>127.028918268694,1.27770388126373</v>
      </c>
    </row>
    <row r="608" spans="1:13" x14ac:dyDescent="0.25">
      <c r="A608" s="85">
        <f t="shared" si="253"/>
        <v>318</v>
      </c>
      <c r="B608" s="296">
        <f t="shared" si="254"/>
        <v>104021.10908652325</v>
      </c>
      <c r="C608" s="296">
        <f t="shared" si="255"/>
        <v>489261.46012711164</v>
      </c>
      <c r="D608" s="85">
        <f t="shared" si="263"/>
        <v>4</v>
      </c>
      <c r="E608" s="17">
        <f t="shared" si="256"/>
        <v>0.39394466065277811</v>
      </c>
      <c r="F608" s="17">
        <f t="shared" si="257"/>
        <v>-7.1477338380645961E-2</v>
      </c>
      <c r="G608" s="17" t="str">
        <f t="shared" si="258"/>
        <v>104021.109086523,489261.460127112</v>
      </c>
      <c r="H608" s="16">
        <v>318</v>
      </c>
      <c r="I608" s="16">
        <f t="shared" si="259"/>
        <v>318</v>
      </c>
      <c r="J608" s="209">
        <f t="shared" si="260"/>
        <v>0.40037657968319512</v>
      </c>
      <c r="K608" s="209">
        <f t="shared" si="261"/>
        <v>127.42929484837718</v>
      </c>
      <c r="L608" s="692">
        <v>1.277312755584717</v>
      </c>
      <c r="M608" s="17" t="str">
        <f t="shared" si="262"/>
        <v>127.429294848377,1.27731275558472</v>
      </c>
    </row>
    <row r="609" spans="1:13" x14ac:dyDescent="0.25">
      <c r="A609" s="85">
        <f t="shared" ref="A609:A630" si="264">IF(A608&lt;J$269,A608+1,"")</f>
        <v>319</v>
      </c>
      <c r="B609" s="296">
        <f t="shared" ref="B609:B630" si="265">IF(A609="","",IF(A608&lt;=C$270,B$273+(A608*E$274/C$269),IF(A608&lt;=D$270,B$274+(D$275*COS(RADIANS(G$275+((A608-C$270)*H$276/D$269))))-E$275,IF(A608&lt;=E$270,B$276+((A608-D$270)*E$277/E$269),IF(A608&lt;=F$270,B$277+(D$278*COS(RADIANS(G$278+((A608-E$270)*H$279/F$269))))-E$278,IF(A608&lt;=G$270,B$279+((A608-F$270)*E$280/G$269),IF(A608&lt;=H$270,B$280+(D$281*COS(RADIANS(G$281+((A608-G$270)*H$282/H$269))))-E$281,IF(A608&lt;=I$270,B$282+((A608-H$270)*E$283/I$269),"CHECK FORMULE"))))))))</f>
        <v>104021.50303118392</v>
      </c>
      <c r="C609" s="296">
        <f t="shared" ref="C609:C630" si="266">IF(A609="","",IF(A608&lt;=C$270,C$273+(A608*F$274/C$269),IF(A608&lt;=D$270,C$274+(D$275*SIN(RADIANS(G$275+((A608-C$270)*H$276/D$269))))-F$275,IF(A608&lt;=E$270,C$276+((A608-D$270)*F$277/E$269),IF(A608&lt;=F$270,C$277+(D$278*SIN(RADIANS(G$278+((A608-E$270)*H$279/F$269))))-F$278,IF(A608&lt;=G$270,C$279+((A608-F$270)*F$280/G$269),IF(A608&lt;=H$270,C$280+(D$281*SIN(RADIANS(G$281+((A608-G$270)*H$282/H$269))))-F$281,IF(A608&lt;=I$270,C$282+((A608-H$270)*F$283/I$269),"CHECK FORMULE"))))))))</f>
        <v>489261.3886497732</v>
      </c>
      <c r="D609" s="85">
        <f t="shared" ref="D609:D630" si="267">_xlfn.SINGLE(_xlfn.XLOOKUP(B609,B$273:B$284,A$273:A$284,D608))</f>
        <v>4</v>
      </c>
      <c r="E609" s="17">
        <f t="shared" ref="E609:E630" si="268">IF(A609="","",B609-B608)</f>
        <v>0.39394466066733003</v>
      </c>
      <c r="F609" s="17">
        <f t="shared" ref="F609:F630" si="269">IF(A609="","",C609-C608)</f>
        <v>-7.1477338438853621E-2</v>
      </c>
      <c r="G609" s="17" t="str">
        <f t="shared" ref="G609:G630" si="270">IF(E609="","",B609&amp;","&amp;C609)</f>
        <v>104021.503031184,489261.388649773</v>
      </c>
      <c r="H609" s="16">
        <v>319</v>
      </c>
      <c r="I609" s="16">
        <f t="shared" ref="I609:I630" si="271">IF(J609="","",I608+1)</f>
        <v>319</v>
      </c>
      <c r="J609" s="209">
        <f t="shared" ref="J609:J630" si="272">IF(E609="","",(E609^2+F609^2)^0.5)</f>
        <v>0.40037657970790475</v>
      </c>
      <c r="K609" s="209">
        <f t="shared" ref="K609:K630" si="273">IF(E609="","",K608+J609)</f>
        <v>127.82967142808509</v>
      </c>
      <c r="L609" s="692">
        <v>1.277645587921143</v>
      </c>
      <c r="M609" s="17" t="str">
        <f t="shared" ref="M609:M630" si="274">IF(L609="","",K609&amp;","&amp;L609)</f>
        <v>127.829671428085,1.27764558792114</v>
      </c>
    </row>
    <row r="610" spans="1:13" x14ac:dyDescent="0.25">
      <c r="A610" s="85">
        <f t="shared" si="264"/>
        <v>320</v>
      </c>
      <c r="B610" s="296">
        <f t="shared" si="265"/>
        <v>104021.89697584457</v>
      </c>
      <c r="C610" s="296">
        <f t="shared" si="266"/>
        <v>489261.31717243476</v>
      </c>
      <c r="D610" s="85">
        <f t="shared" si="267"/>
        <v>4</v>
      </c>
      <c r="E610" s="17">
        <f t="shared" si="268"/>
        <v>0.39394466065277811</v>
      </c>
      <c r="F610" s="17">
        <f t="shared" si="269"/>
        <v>-7.1477338438853621E-2</v>
      </c>
      <c r="G610" s="17" t="str">
        <f t="shared" si="270"/>
        <v>104021.896975845,489261.317172435</v>
      </c>
      <c r="H610" s="16">
        <v>320</v>
      </c>
      <c r="I610" s="16">
        <f t="shared" si="271"/>
        <v>320</v>
      </c>
      <c r="J610" s="209">
        <f t="shared" si="272"/>
        <v>0.40037657969358664</v>
      </c>
      <c r="K610" s="209">
        <f t="shared" si="273"/>
        <v>128.23004800777869</v>
      </c>
      <c r="L610" s="692">
        <v>1.2907142639160161</v>
      </c>
      <c r="M610" s="17" t="str">
        <f t="shared" si="274"/>
        <v>128.230048007779,1.29071426391602</v>
      </c>
    </row>
    <row r="611" spans="1:13" x14ac:dyDescent="0.25">
      <c r="A611" s="85">
        <f t="shared" si="264"/>
        <v>321</v>
      </c>
      <c r="B611" s="296">
        <f t="shared" si="265"/>
        <v>104022.29092050524</v>
      </c>
      <c r="C611" s="296">
        <f t="shared" si="266"/>
        <v>489261.24569509632</v>
      </c>
      <c r="D611" s="85">
        <f t="shared" si="267"/>
        <v>4</v>
      </c>
      <c r="E611" s="17">
        <f t="shared" si="268"/>
        <v>0.39394466066733003</v>
      </c>
      <c r="F611" s="17">
        <f t="shared" si="269"/>
        <v>-7.1477338438853621E-2</v>
      </c>
      <c r="G611" s="17" t="str">
        <f t="shared" si="270"/>
        <v>104022.290920505,489261.245695096</v>
      </c>
      <c r="H611" s="16">
        <v>321</v>
      </c>
      <c r="I611" s="16">
        <f t="shared" si="271"/>
        <v>321</v>
      </c>
      <c r="J611" s="209">
        <f t="shared" si="272"/>
        <v>0.40037657970790475</v>
      </c>
      <c r="K611" s="209">
        <f t="shared" si="273"/>
        <v>128.6304245874866</v>
      </c>
      <c r="L611" s="692">
        <v>1.3003081083297729</v>
      </c>
      <c r="M611" s="17" t="str">
        <f t="shared" si="274"/>
        <v>128.630424587487,1.30030810832977</v>
      </c>
    </row>
    <row r="612" spans="1:13" x14ac:dyDescent="0.25">
      <c r="A612" s="85">
        <f t="shared" si="264"/>
        <v>322</v>
      </c>
      <c r="B612" s="296">
        <f t="shared" si="265"/>
        <v>104022.68486516589</v>
      </c>
      <c r="C612" s="296">
        <f t="shared" si="266"/>
        <v>489261.17421775789</v>
      </c>
      <c r="D612" s="85">
        <f t="shared" si="267"/>
        <v>4</v>
      </c>
      <c r="E612" s="17">
        <f t="shared" si="268"/>
        <v>0.39394466065277811</v>
      </c>
      <c r="F612" s="17">
        <f t="shared" si="269"/>
        <v>-7.1477338438853621E-2</v>
      </c>
      <c r="G612" s="17" t="str">
        <f t="shared" si="270"/>
        <v>104022.684865166,489261.174217758</v>
      </c>
      <c r="H612" s="16">
        <v>322</v>
      </c>
      <c r="I612" s="16">
        <f t="shared" si="271"/>
        <v>322</v>
      </c>
      <c r="J612" s="209">
        <f t="shared" si="272"/>
        <v>0.40037657969358664</v>
      </c>
      <c r="K612" s="209">
        <f t="shared" si="273"/>
        <v>129.03080116718019</v>
      </c>
      <c r="L612" s="692">
        <v>1.3098016977310181</v>
      </c>
      <c r="M612" s="17" t="str">
        <f t="shared" si="274"/>
        <v>129.03080116718,1.30980169773102</v>
      </c>
    </row>
    <row r="613" spans="1:13" x14ac:dyDescent="0.25">
      <c r="A613" s="85">
        <f t="shared" si="264"/>
        <v>323</v>
      </c>
      <c r="B613" s="296">
        <f t="shared" si="265"/>
        <v>104023.07880982656</v>
      </c>
      <c r="C613" s="296">
        <f t="shared" si="266"/>
        <v>489261.1027404195</v>
      </c>
      <c r="D613" s="85">
        <f t="shared" si="267"/>
        <v>4</v>
      </c>
      <c r="E613" s="17">
        <f t="shared" si="268"/>
        <v>0.39394466066733003</v>
      </c>
      <c r="F613" s="17">
        <f t="shared" si="269"/>
        <v>-7.1477338380645961E-2</v>
      </c>
      <c r="G613" s="17" t="str">
        <f t="shared" si="270"/>
        <v>104023.078809827,489261.10274042</v>
      </c>
      <c r="H613" s="16">
        <v>323</v>
      </c>
      <c r="I613" s="16">
        <f t="shared" si="271"/>
        <v>323</v>
      </c>
      <c r="J613" s="209">
        <f t="shared" si="272"/>
        <v>0.40037657969751322</v>
      </c>
      <c r="K613" s="209">
        <f t="shared" si="273"/>
        <v>129.43117774687769</v>
      </c>
      <c r="L613" s="692">
        <v>1.3185034990310669</v>
      </c>
      <c r="M613" s="17" t="str">
        <f t="shared" si="274"/>
        <v>129.431177746878,1.31850349903107</v>
      </c>
    </row>
    <row r="614" spans="1:13" x14ac:dyDescent="0.25">
      <c r="A614" s="85">
        <f t="shared" si="264"/>
        <v>324</v>
      </c>
      <c r="B614" s="296">
        <f t="shared" si="265"/>
        <v>104023.47275448721</v>
      </c>
      <c r="C614" s="296">
        <f t="shared" si="266"/>
        <v>489261.03126308107</v>
      </c>
      <c r="D614" s="85">
        <f t="shared" si="267"/>
        <v>4</v>
      </c>
      <c r="E614" s="17">
        <f t="shared" si="268"/>
        <v>0.39394466065277811</v>
      </c>
      <c r="F614" s="17">
        <f t="shared" si="269"/>
        <v>-7.1477338438853621E-2</v>
      </c>
      <c r="G614" s="17" t="str">
        <f t="shared" si="270"/>
        <v>104023.472754487,489261.031263081</v>
      </c>
      <c r="H614" s="16">
        <v>324</v>
      </c>
      <c r="I614" s="16">
        <f t="shared" si="271"/>
        <v>324</v>
      </c>
      <c r="J614" s="209">
        <f t="shared" si="272"/>
        <v>0.40037657969358664</v>
      </c>
      <c r="K614" s="209">
        <f t="shared" si="273"/>
        <v>129.83155432657128</v>
      </c>
      <c r="L614" s="692">
        <v>1.3363133668899541</v>
      </c>
      <c r="M614" s="17" t="str">
        <f t="shared" si="274"/>
        <v>129.831554326571,1.33631336688995</v>
      </c>
    </row>
    <row r="615" spans="1:13" x14ac:dyDescent="0.25">
      <c r="A615" s="85">
        <f t="shared" si="264"/>
        <v>325</v>
      </c>
      <c r="B615" s="296">
        <f t="shared" si="265"/>
        <v>104023.86669914788</v>
      </c>
      <c r="C615" s="296">
        <f t="shared" si="266"/>
        <v>489260.95978574263</v>
      </c>
      <c r="D615" s="85">
        <f t="shared" si="267"/>
        <v>4</v>
      </c>
      <c r="E615" s="17">
        <f t="shared" si="268"/>
        <v>0.39394466066733003</v>
      </c>
      <c r="F615" s="17">
        <f t="shared" si="269"/>
        <v>-7.1477338438853621E-2</v>
      </c>
      <c r="G615" s="17" t="str">
        <f t="shared" si="270"/>
        <v>104023.866699148,489260.959785743</v>
      </c>
      <c r="H615" s="16">
        <v>325</v>
      </c>
      <c r="I615" s="16">
        <f t="shared" si="271"/>
        <v>325</v>
      </c>
      <c r="J615" s="209">
        <f t="shared" si="272"/>
        <v>0.40037657970790475</v>
      </c>
      <c r="K615" s="209">
        <f t="shared" si="273"/>
        <v>130.23193090627919</v>
      </c>
      <c r="L615" s="692">
        <v>1.3470456600189209</v>
      </c>
      <c r="M615" s="17" t="str">
        <f t="shared" si="274"/>
        <v>130.231930906279,1.34704566001892</v>
      </c>
    </row>
    <row r="616" spans="1:13" x14ac:dyDescent="0.25">
      <c r="A616" s="85">
        <f t="shared" si="264"/>
        <v>326</v>
      </c>
      <c r="B616" s="296">
        <f t="shared" si="265"/>
        <v>104024.26064380855</v>
      </c>
      <c r="C616" s="296">
        <f t="shared" si="266"/>
        <v>489260.88830840419</v>
      </c>
      <c r="D616" s="85">
        <f t="shared" si="267"/>
        <v>4</v>
      </c>
      <c r="E616" s="17">
        <f t="shared" si="268"/>
        <v>0.39394466066733003</v>
      </c>
      <c r="F616" s="17">
        <f t="shared" si="269"/>
        <v>-7.1477338438853621E-2</v>
      </c>
      <c r="G616" s="17" t="str">
        <f t="shared" si="270"/>
        <v>104024.260643809,489260.888308404</v>
      </c>
      <c r="H616" s="16">
        <v>326</v>
      </c>
      <c r="I616" s="16">
        <f t="shared" si="271"/>
        <v>326</v>
      </c>
      <c r="J616" s="209">
        <f t="shared" si="272"/>
        <v>0.40037657970790475</v>
      </c>
      <c r="K616" s="209">
        <f t="shared" si="273"/>
        <v>130.6323074859871</v>
      </c>
      <c r="L616" s="692">
        <v>1.342597484588623</v>
      </c>
      <c r="M616" s="17" t="str">
        <f t="shared" si="274"/>
        <v>130.632307485987,1.34259748458862</v>
      </c>
    </row>
    <row r="617" spans="1:13" x14ac:dyDescent="0.25">
      <c r="A617" s="85">
        <f t="shared" si="264"/>
        <v>327</v>
      </c>
      <c r="B617" s="296">
        <f t="shared" si="265"/>
        <v>104024.6545884692</v>
      </c>
      <c r="C617" s="296">
        <f t="shared" si="266"/>
        <v>489260.81683106575</v>
      </c>
      <c r="D617" s="85">
        <f t="shared" si="267"/>
        <v>4</v>
      </c>
      <c r="E617" s="17">
        <f t="shared" si="268"/>
        <v>0.39394466065277811</v>
      </c>
      <c r="F617" s="17">
        <f t="shared" si="269"/>
        <v>-7.1477338438853621E-2</v>
      </c>
      <c r="G617" s="17" t="str">
        <f t="shared" si="270"/>
        <v>104024.654588469,489260.816831066</v>
      </c>
      <c r="H617" s="16">
        <v>327</v>
      </c>
      <c r="I617" s="16">
        <f t="shared" si="271"/>
        <v>327</v>
      </c>
      <c r="J617" s="209">
        <f t="shared" si="272"/>
        <v>0.40037657969358664</v>
      </c>
      <c r="K617" s="209">
        <f t="shared" si="273"/>
        <v>131.03268406568068</v>
      </c>
      <c r="L617" s="692">
        <v>1.3348579406738279</v>
      </c>
      <c r="M617" s="17" t="str">
        <f t="shared" si="274"/>
        <v>131.032684065681,1.33485794067383</v>
      </c>
    </row>
    <row r="618" spans="1:13" x14ac:dyDescent="0.25">
      <c r="A618" s="85">
        <f t="shared" si="264"/>
        <v>328</v>
      </c>
      <c r="B618" s="296">
        <f t="shared" si="265"/>
        <v>104025.04853312987</v>
      </c>
      <c r="C618" s="296">
        <f t="shared" si="266"/>
        <v>489260.74535372731</v>
      </c>
      <c r="D618" s="85">
        <f t="shared" si="267"/>
        <v>4</v>
      </c>
      <c r="E618" s="17">
        <f t="shared" si="268"/>
        <v>0.39394466066733003</v>
      </c>
      <c r="F618" s="17">
        <f t="shared" si="269"/>
        <v>-7.1477338438853621E-2</v>
      </c>
      <c r="G618" s="17" t="str">
        <f t="shared" si="270"/>
        <v>104025.04853313,489260.745353727</v>
      </c>
      <c r="H618" s="16">
        <v>328</v>
      </c>
      <c r="I618" s="16">
        <f t="shared" si="271"/>
        <v>328</v>
      </c>
      <c r="J618" s="209">
        <f t="shared" si="272"/>
        <v>0.40037657970790475</v>
      </c>
      <c r="K618" s="209">
        <f t="shared" si="273"/>
        <v>131.43306064538859</v>
      </c>
      <c r="L618" s="692">
        <v>1.335095882415771</v>
      </c>
      <c r="M618" s="17" t="str">
        <f t="shared" si="274"/>
        <v>131.433060645389,1.33509588241577</v>
      </c>
    </row>
    <row r="619" spans="1:13" x14ac:dyDescent="0.25">
      <c r="A619" s="85">
        <f t="shared" si="264"/>
        <v>329</v>
      </c>
      <c r="B619" s="296">
        <f t="shared" si="265"/>
        <v>104025.44247779052</v>
      </c>
      <c r="C619" s="296">
        <f t="shared" si="266"/>
        <v>489260.67387638893</v>
      </c>
      <c r="D619" s="85">
        <f t="shared" si="267"/>
        <v>4</v>
      </c>
      <c r="E619" s="17">
        <f t="shared" si="268"/>
        <v>0.39394466065277811</v>
      </c>
      <c r="F619" s="17">
        <f t="shared" si="269"/>
        <v>-7.1477338380645961E-2</v>
      </c>
      <c r="G619" s="17" t="str">
        <f t="shared" si="270"/>
        <v>104025.442477791,489260.673876389</v>
      </c>
      <c r="H619" s="16">
        <v>329</v>
      </c>
      <c r="I619" s="16">
        <f t="shared" si="271"/>
        <v>329</v>
      </c>
      <c r="J619" s="209">
        <f t="shared" si="272"/>
        <v>0.40037657968319512</v>
      </c>
      <c r="K619" s="209">
        <f t="shared" si="273"/>
        <v>131.83343722507178</v>
      </c>
      <c r="L619" s="692">
        <v>1.354754686355591</v>
      </c>
      <c r="M619" s="17" t="str">
        <f t="shared" si="274"/>
        <v>131.833437225072,1.35475468635559</v>
      </c>
    </row>
    <row r="620" spans="1:13" x14ac:dyDescent="0.25">
      <c r="A620" s="85">
        <f t="shared" si="264"/>
        <v>330</v>
      </c>
      <c r="B620" s="296">
        <f t="shared" si="265"/>
        <v>104025.83642245119</v>
      </c>
      <c r="C620" s="296">
        <f t="shared" si="266"/>
        <v>489260.60239905049</v>
      </c>
      <c r="D620" s="85">
        <f t="shared" si="267"/>
        <v>4</v>
      </c>
      <c r="E620" s="17">
        <f t="shared" si="268"/>
        <v>0.39394466066733003</v>
      </c>
      <c r="F620" s="17">
        <f t="shared" si="269"/>
        <v>-7.1477338438853621E-2</v>
      </c>
      <c r="G620" s="17" t="str">
        <f t="shared" si="270"/>
        <v>104025.836422451,489260.60239905</v>
      </c>
      <c r="H620" s="16">
        <v>330</v>
      </c>
      <c r="I620" s="16">
        <f t="shared" si="271"/>
        <v>330</v>
      </c>
      <c r="J620" s="209">
        <f t="shared" si="272"/>
        <v>0.40037657970790475</v>
      </c>
      <c r="K620" s="209">
        <f t="shared" si="273"/>
        <v>132.23381380477969</v>
      </c>
      <c r="L620" s="692">
        <v>1.3429737091064451</v>
      </c>
      <c r="M620" s="17" t="str">
        <f t="shared" si="274"/>
        <v>132.23381380478,1.34297370910645</v>
      </c>
    </row>
    <row r="621" spans="1:13" x14ac:dyDescent="0.25">
      <c r="A621" s="85">
        <f t="shared" si="264"/>
        <v>331</v>
      </c>
      <c r="B621" s="296">
        <f t="shared" si="265"/>
        <v>104026.23036711184</v>
      </c>
      <c r="C621" s="296">
        <f t="shared" si="266"/>
        <v>489260.53092171205</v>
      </c>
      <c r="D621" s="85">
        <f t="shared" si="267"/>
        <v>4</v>
      </c>
      <c r="E621" s="17">
        <f t="shared" si="268"/>
        <v>0.39394466065277811</v>
      </c>
      <c r="F621" s="17">
        <f t="shared" si="269"/>
        <v>-7.1477338438853621E-2</v>
      </c>
      <c r="G621" s="17" t="str">
        <f t="shared" si="270"/>
        <v>104026.230367112,489260.530921712</v>
      </c>
      <c r="H621" s="16">
        <v>331</v>
      </c>
      <c r="I621" s="16">
        <f t="shared" si="271"/>
        <v>331</v>
      </c>
      <c r="J621" s="209">
        <f t="shared" si="272"/>
        <v>0.40037657969358664</v>
      </c>
      <c r="K621" s="209">
        <f t="shared" si="273"/>
        <v>132.63419038447327</v>
      </c>
      <c r="L621" s="692">
        <v>1.3361856937408449</v>
      </c>
      <c r="M621" s="17" t="str">
        <f t="shared" si="274"/>
        <v>132.634190384473,1.33618569374084</v>
      </c>
    </row>
    <row r="622" spans="1:13" x14ac:dyDescent="0.25">
      <c r="A622" s="85">
        <f t="shared" si="264"/>
        <v>332</v>
      </c>
      <c r="B622" s="296">
        <f t="shared" si="265"/>
        <v>104026.62431177251</v>
      </c>
      <c r="C622" s="296">
        <f t="shared" si="266"/>
        <v>489260.45944437361</v>
      </c>
      <c r="D622" s="85">
        <f t="shared" si="267"/>
        <v>4</v>
      </c>
      <c r="E622" s="17">
        <f t="shared" si="268"/>
        <v>0.39394466066733003</v>
      </c>
      <c r="F622" s="17">
        <f t="shared" si="269"/>
        <v>-7.1477338438853621E-2</v>
      </c>
      <c r="G622" s="17" t="str">
        <f t="shared" si="270"/>
        <v>104026.624311773,489260.459444374</v>
      </c>
      <c r="H622" s="16">
        <v>332</v>
      </c>
      <c r="I622" s="16">
        <f t="shared" si="271"/>
        <v>332</v>
      </c>
      <c r="J622" s="209">
        <f t="shared" si="272"/>
        <v>0.40037657970790475</v>
      </c>
      <c r="K622" s="209">
        <f t="shared" si="273"/>
        <v>133.03456696418118</v>
      </c>
      <c r="L622" s="692">
        <v>1.333374500274658</v>
      </c>
      <c r="M622" s="17" t="str">
        <f t="shared" si="274"/>
        <v>133.034566964181,1.33337450027466</v>
      </c>
    </row>
    <row r="623" spans="1:13" x14ac:dyDescent="0.25">
      <c r="A623" s="85">
        <f t="shared" si="264"/>
        <v>333</v>
      </c>
      <c r="B623" s="296">
        <f t="shared" si="265"/>
        <v>104027.01825643316</v>
      </c>
      <c r="C623" s="296">
        <f t="shared" si="266"/>
        <v>489260.38796703517</v>
      </c>
      <c r="D623" s="85">
        <f t="shared" si="267"/>
        <v>4</v>
      </c>
      <c r="E623" s="17">
        <f t="shared" si="268"/>
        <v>0.39394466065277811</v>
      </c>
      <c r="F623" s="17">
        <f t="shared" si="269"/>
        <v>-7.1477338438853621E-2</v>
      </c>
      <c r="G623" s="17" t="str">
        <f t="shared" si="270"/>
        <v>104027.018256433,489260.387967035</v>
      </c>
      <c r="H623" s="16">
        <v>333</v>
      </c>
      <c r="I623" s="16">
        <f t="shared" si="271"/>
        <v>333</v>
      </c>
      <c r="J623" s="209">
        <f t="shared" si="272"/>
        <v>0.40037657969358664</v>
      </c>
      <c r="K623" s="209">
        <f t="shared" si="273"/>
        <v>133.43494354387477</v>
      </c>
      <c r="L623" s="692">
        <v>1.330813407897949</v>
      </c>
      <c r="M623" s="17" t="str">
        <f t="shared" si="274"/>
        <v>133.434943543875,1.33081340789795</v>
      </c>
    </row>
    <row r="624" spans="1:13" x14ac:dyDescent="0.25">
      <c r="A624" s="85">
        <f t="shared" si="264"/>
        <v>334</v>
      </c>
      <c r="B624" s="296">
        <f t="shared" si="265"/>
        <v>104027.41220109383</v>
      </c>
      <c r="C624" s="296">
        <f t="shared" si="266"/>
        <v>489260.31648969679</v>
      </c>
      <c r="D624" s="85">
        <f t="shared" si="267"/>
        <v>4</v>
      </c>
      <c r="E624" s="17">
        <f t="shared" si="268"/>
        <v>0.39394466066733003</v>
      </c>
      <c r="F624" s="17">
        <f t="shared" si="269"/>
        <v>-7.1477338380645961E-2</v>
      </c>
      <c r="G624" s="17" t="str">
        <f t="shared" si="270"/>
        <v>104027.412201094,489260.316489697</v>
      </c>
      <c r="H624" s="16">
        <v>334</v>
      </c>
      <c r="I624" s="16">
        <f t="shared" si="271"/>
        <v>334</v>
      </c>
      <c r="J624" s="209">
        <f t="shared" si="272"/>
        <v>0.40037657969751322</v>
      </c>
      <c r="K624" s="209">
        <f t="shared" si="273"/>
        <v>133.83532012357227</v>
      </c>
      <c r="L624" s="692">
        <v>1.3407953977584841</v>
      </c>
      <c r="M624" s="17" t="str">
        <f t="shared" si="274"/>
        <v>133.835320123572,1.34079539775848</v>
      </c>
    </row>
    <row r="625" spans="1:13" x14ac:dyDescent="0.25">
      <c r="A625" s="85">
        <f t="shared" si="264"/>
        <v>335</v>
      </c>
      <c r="B625" s="296">
        <f t="shared" si="265"/>
        <v>104027.80614575448</v>
      </c>
      <c r="C625" s="296">
        <f t="shared" si="266"/>
        <v>489260.24501235835</v>
      </c>
      <c r="D625" s="85">
        <f t="shared" si="267"/>
        <v>4</v>
      </c>
      <c r="E625" s="17">
        <f t="shared" si="268"/>
        <v>0.39394466065277811</v>
      </c>
      <c r="F625" s="17">
        <f t="shared" si="269"/>
        <v>-7.1477338438853621E-2</v>
      </c>
      <c r="G625" s="17" t="str">
        <f t="shared" si="270"/>
        <v>104027.806145754,489260.245012358</v>
      </c>
      <c r="H625" s="16">
        <v>335</v>
      </c>
      <c r="I625" s="16">
        <f t="shared" si="271"/>
        <v>335</v>
      </c>
      <c r="J625" s="209">
        <f t="shared" si="272"/>
        <v>0.40037657969358664</v>
      </c>
      <c r="K625" s="209">
        <f t="shared" si="273"/>
        <v>134.23569670326586</v>
      </c>
      <c r="L625" s="692">
        <v>1.339579701423645</v>
      </c>
      <c r="M625" s="17" t="str">
        <f t="shared" si="274"/>
        <v>134.235696703266,1.33957970142365</v>
      </c>
    </row>
    <row r="626" spans="1:13" x14ac:dyDescent="0.25">
      <c r="A626" s="85">
        <f t="shared" si="264"/>
        <v>336</v>
      </c>
      <c r="B626" s="296">
        <f t="shared" si="265"/>
        <v>104028.20009041515</v>
      </c>
      <c r="C626" s="296">
        <f t="shared" si="266"/>
        <v>489260.17353501992</v>
      </c>
      <c r="D626" s="85">
        <f t="shared" si="267"/>
        <v>4</v>
      </c>
      <c r="E626" s="17">
        <f t="shared" si="268"/>
        <v>0.39394466066733003</v>
      </c>
      <c r="F626" s="17">
        <f t="shared" si="269"/>
        <v>-7.1477338438853621E-2</v>
      </c>
      <c r="G626" s="17" t="str">
        <f t="shared" si="270"/>
        <v>104028.200090415,489260.17353502</v>
      </c>
      <c r="H626" s="16">
        <v>336</v>
      </c>
      <c r="I626" s="16">
        <f t="shared" si="271"/>
        <v>336</v>
      </c>
      <c r="J626" s="209">
        <f t="shared" si="272"/>
        <v>0.40037657970790475</v>
      </c>
      <c r="K626" s="209">
        <f t="shared" si="273"/>
        <v>134.63607328297377</v>
      </c>
      <c r="L626" s="692">
        <v>1.340345621109009</v>
      </c>
      <c r="M626" s="17" t="str">
        <f t="shared" si="274"/>
        <v>134.636073282974,1.34034562110901</v>
      </c>
    </row>
    <row r="627" spans="1:13" x14ac:dyDescent="0.25">
      <c r="A627" s="85">
        <f t="shared" si="264"/>
        <v>337</v>
      </c>
      <c r="B627" s="296">
        <f t="shared" si="265"/>
        <v>104028.59403507582</v>
      </c>
      <c r="C627" s="296">
        <f t="shared" si="266"/>
        <v>489260.10205768148</v>
      </c>
      <c r="D627" s="85">
        <f t="shared" si="267"/>
        <v>4</v>
      </c>
      <c r="E627" s="17">
        <f t="shared" si="268"/>
        <v>0.39394466066733003</v>
      </c>
      <c r="F627" s="17">
        <f t="shared" si="269"/>
        <v>-7.1477338438853621E-2</v>
      </c>
      <c r="G627" s="17" t="str">
        <f t="shared" si="270"/>
        <v>104028.594035076,489260.102057681</v>
      </c>
      <c r="H627" s="16">
        <v>337</v>
      </c>
      <c r="I627" s="16">
        <f t="shared" si="271"/>
        <v>337</v>
      </c>
      <c r="J627" s="209">
        <f t="shared" si="272"/>
        <v>0.40037657970790475</v>
      </c>
      <c r="K627" s="209">
        <f t="shared" si="273"/>
        <v>135.03644986268168</v>
      </c>
      <c r="L627" s="692">
        <v>1.344544649124146</v>
      </c>
      <c r="M627" s="17" t="str">
        <f t="shared" si="274"/>
        <v>135.036449862682,1.34454464912415</v>
      </c>
    </row>
    <row r="628" spans="1:13" x14ac:dyDescent="0.25">
      <c r="A628" s="85">
        <f t="shared" si="264"/>
        <v>338</v>
      </c>
      <c r="B628" s="296">
        <f t="shared" si="265"/>
        <v>104028.98797973647</v>
      </c>
      <c r="C628" s="296">
        <f t="shared" si="266"/>
        <v>489260.03058034304</v>
      </c>
      <c r="D628" s="85">
        <f t="shared" si="267"/>
        <v>4</v>
      </c>
      <c r="E628" s="17">
        <f t="shared" si="268"/>
        <v>0.39394466065277811</v>
      </c>
      <c r="F628" s="17">
        <f t="shared" si="269"/>
        <v>-7.1477338438853621E-2</v>
      </c>
      <c r="G628" s="17" t="str">
        <f t="shared" si="270"/>
        <v>104028.987979736,489260.030580343</v>
      </c>
      <c r="H628" s="16">
        <v>338</v>
      </c>
      <c r="I628" s="16">
        <f t="shared" si="271"/>
        <v>338</v>
      </c>
      <c r="J628" s="209">
        <f t="shared" si="272"/>
        <v>0.40037657969358664</v>
      </c>
      <c r="K628" s="209">
        <f t="shared" si="273"/>
        <v>135.43682644237526</v>
      </c>
      <c r="L628" s="692">
        <v>1.350829124450684</v>
      </c>
      <c r="M628" s="17" t="str">
        <f t="shared" si="274"/>
        <v>135.436826442375,1.35082912445068</v>
      </c>
    </row>
    <row r="629" spans="1:13" x14ac:dyDescent="0.25">
      <c r="A629" s="85">
        <f t="shared" si="264"/>
        <v>339</v>
      </c>
      <c r="B629" s="296">
        <f t="shared" si="265"/>
        <v>104029.38192439714</v>
      </c>
      <c r="C629" s="296">
        <f t="shared" si="266"/>
        <v>489259.95910300466</v>
      </c>
      <c r="D629" s="85">
        <f t="shared" si="267"/>
        <v>4</v>
      </c>
      <c r="E629" s="17">
        <f t="shared" si="268"/>
        <v>0.39394466066733003</v>
      </c>
      <c r="F629" s="17">
        <f t="shared" si="269"/>
        <v>-7.1477338380645961E-2</v>
      </c>
      <c r="G629" s="17" t="str">
        <f t="shared" si="270"/>
        <v>104029.381924397,489259.959103005</v>
      </c>
      <c r="H629" s="16">
        <v>339</v>
      </c>
      <c r="I629" s="16">
        <f t="shared" si="271"/>
        <v>339</v>
      </c>
      <c r="J629" s="209">
        <f t="shared" si="272"/>
        <v>0.40037657969751322</v>
      </c>
      <c r="K629" s="209">
        <f t="shared" si="273"/>
        <v>135.83720302207277</v>
      </c>
      <c r="L629" s="692">
        <v>1.363016605377197</v>
      </c>
      <c r="M629" s="17" t="str">
        <f t="shared" si="274"/>
        <v>135.837203022073,1.3630166053772</v>
      </c>
    </row>
    <row r="630" spans="1:13" x14ac:dyDescent="0.25">
      <c r="A630" s="85">
        <f t="shared" si="264"/>
        <v>340</v>
      </c>
      <c r="B630" s="296">
        <f t="shared" si="265"/>
        <v>104029.77586905779</v>
      </c>
      <c r="C630" s="296">
        <f t="shared" si="266"/>
        <v>489259.88762566622</v>
      </c>
      <c r="D630" s="85">
        <f t="shared" si="267"/>
        <v>4</v>
      </c>
      <c r="E630" s="17">
        <f t="shared" si="268"/>
        <v>0.39394466065277811</v>
      </c>
      <c r="F630" s="17">
        <f t="shared" si="269"/>
        <v>-7.1477338438853621E-2</v>
      </c>
      <c r="G630" s="17" t="str">
        <f t="shared" si="270"/>
        <v>104029.775869058,489259.887625666</v>
      </c>
      <c r="H630" s="16">
        <v>340</v>
      </c>
      <c r="I630" s="16">
        <f t="shared" si="271"/>
        <v>340</v>
      </c>
      <c r="J630" s="209">
        <f t="shared" si="272"/>
        <v>0.40037657969358664</v>
      </c>
      <c r="K630" s="209">
        <f t="shared" si="273"/>
        <v>136.23757960176636</v>
      </c>
      <c r="L630" s="692">
        <v>1.3629628419876101</v>
      </c>
      <c r="M630" s="17" t="str">
        <f t="shared" si="274"/>
        <v>136.237579601766,1.36296284198761</v>
      </c>
    </row>
    <row r="631" spans="1:13" x14ac:dyDescent="0.25">
      <c r="A631" s="85">
        <f t="shared" ref="A631:A694" si="275">IF(A630&lt;J$269,A630+1,"")</f>
        <v>341</v>
      </c>
      <c r="B631" s="296">
        <f t="shared" ref="B631:B694" si="276">IF(A631="","",IF(A630&lt;=C$270,B$273+(A630*E$274/C$269),IF(A630&lt;=D$270,B$274+(D$275*COS(RADIANS(G$275+((A630-C$270)*H$276/D$269))))-E$275,IF(A630&lt;=E$270,B$276+((A630-D$270)*E$277/E$269),IF(A630&lt;=F$270,B$277+(D$278*COS(RADIANS(G$278+((A630-E$270)*H$279/F$269))))-E$278,IF(A630&lt;=G$270,B$279+((A630-F$270)*E$280/G$269),IF(A630&lt;=H$270,B$280+(D$281*COS(RADIANS(G$281+((A630-G$270)*H$282/H$269))))-E$281,IF(A630&lt;=I$270,B$282+((A630-H$270)*E$283/I$269),"CHECK FORMULE"))))))))</f>
        <v>104030.16981371846</v>
      </c>
      <c r="C631" s="296">
        <f t="shared" ref="C631:C694" si="277">IF(A631="","",IF(A630&lt;=C$270,C$273+(A630*F$274/C$269),IF(A630&lt;=D$270,C$274+(D$275*SIN(RADIANS(G$275+((A630-C$270)*H$276/D$269))))-F$275,IF(A630&lt;=E$270,C$276+((A630-D$270)*F$277/E$269),IF(A630&lt;=F$270,C$277+(D$278*SIN(RADIANS(G$278+((A630-E$270)*H$279/F$269))))-F$278,IF(A630&lt;=G$270,C$279+((A630-F$270)*F$280/G$269),IF(A630&lt;=H$270,C$280+(D$281*SIN(RADIANS(G$281+((A630-G$270)*H$282/H$269))))-F$281,IF(A630&lt;=I$270,C$282+((A630-H$270)*F$283/I$269),"CHECK FORMULE"))))))))</f>
        <v>489259.81614832778</v>
      </c>
      <c r="D631" s="85">
        <f t="shared" ref="D631:D694" si="278">_xlfn.SINGLE(_xlfn.XLOOKUP(B631,B$273:B$284,A$273:A$284,D630))</f>
        <v>4</v>
      </c>
      <c r="E631" s="17">
        <f t="shared" ref="E631:E694" si="279">IF(A631="","",B631-B630)</f>
        <v>0.39394466066733003</v>
      </c>
      <c r="F631" s="17">
        <f t="shared" ref="F631:F694" si="280">IF(A631="","",C631-C630)</f>
        <v>-7.1477338438853621E-2</v>
      </c>
      <c r="G631" s="17" t="str">
        <f t="shared" ref="G631:G694" si="281">IF(E631="","",B631&amp;","&amp;C631)</f>
        <v>104030.169813718,489259.816148328</v>
      </c>
      <c r="H631" s="16">
        <v>341</v>
      </c>
      <c r="I631" s="16">
        <f t="shared" ref="I631:I694" si="282">IF(J631="","",I630+1)</f>
        <v>341</v>
      </c>
      <c r="J631" s="209">
        <f t="shared" ref="J631:J694" si="283">IF(E631="","",(E631^2+F631^2)^0.5)</f>
        <v>0.40037657970790475</v>
      </c>
      <c r="K631" s="209">
        <f t="shared" ref="K631:K694" si="284">IF(E631="","",K630+J631)</f>
        <v>136.63795618147427</v>
      </c>
      <c r="L631" s="692">
        <v>1.3536514043807979</v>
      </c>
      <c r="M631" s="17" t="str">
        <f t="shared" ref="M631:M694" si="285">IF(L631="","",K631&amp;","&amp;L631)</f>
        <v>136.637956181474,1.3536514043808</v>
      </c>
    </row>
    <row r="632" spans="1:13" x14ac:dyDescent="0.25">
      <c r="A632" s="85">
        <f t="shared" si="275"/>
        <v>342</v>
      </c>
      <c r="B632" s="296">
        <f t="shared" si="276"/>
        <v>104030.56375837911</v>
      </c>
      <c r="C632" s="296">
        <f t="shared" si="277"/>
        <v>489259.74467098934</v>
      </c>
      <c r="D632" s="85">
        <f t="shared" si="278"/>
        <v>4</v>
      </c>
      <c r="E632" s="17">
        <f t="shared" si="279"/>
        <v>0.39394466065277811</v>
      </c>
      <c r="F632" s="17">
        <f t="shared" si="280"/>
        <v>-7.1477338438853621E-2</v>
      </c>
      <c r="G632" s="17" t="str">
        <f t="shared" si="281"/>
        <v>104030.563758379,489259.744670989</v>
      </c>
      <c r="H632" s="16">
        <v>342</v>
      </c>
      <c r="I632" s="16">
        <f t="shared" si="282"/>
        <v>342</v>
      </c>
      <c r="J632" s="209">
        <f t="shared" si="283"/>
        <v>0.40037657969358664</v>
      </c>
      <c r="K632" s="209">
        <f t="shared" si="284"/>
        <v>137.03833276116785</v>
      </c>
      <c r="L632" s="692">
        <v>1.335122346878052</v>
      </c>
      <c r="M632" s="17" t="str">
        <f t="shared" si="285"/>
        <v>137.038332761168,1.33512234687805</v>
      </c>
    </row>
    <row r="633" spans="1:13" x14ac:dyDescent="0.25">
      <c r="A633" s="85">
        <f t="shared" si="275"/>
        <v>343</v>
      </c>
      <c r="B633" s="296">
        <f t="shared" si="276"/>
        <v>104030.95770303978</v>
      </c>
      <c r="C633" s="296">
        <f t="shared" si="277"/>
        <v>489259.6731936509</v>
      </c>
      <c r="D633" s="85">
        <f t="shared" si="278"/>
        <v>4</v>
      </c>
      <c r="E633" s="17">
        <f t="shared" si="279"/>
        <v>0.39394466066733003</v>
      </c>
      <c r="F633" s="17">
        <f t="shared" si="280"/>
        <v>-7.1477338438853621E-2</v>
      </c>
      <c r="G633" s="17" t="str">
        <f t="shared" si="281"/>
        <v>104030.95770304,489259.673193651</v>
      </c>
      <c r="H633" s="16">
        <v>343</v>
      </c>
      <c r="I633" s="16">
        <f t="shared" si="282"/>
        <v>343</v>
      </c>
      <c r="J633" s="209">
        <f t="shared" si="283"/>
        <v>0.40037657970790475</v>
      </c>
      <c r="K633" s="209">
        <f t="shared" si="284"/>
        <v>137.43870934087576</v>
      </c>
      <c r="L633" s="692">
        <v>1.31611168384552</v>
      </c>
      <c r="M633" s="17" t="str">
        <f t="shared" si="285"/>
        <v>137.438709340876,1.31611168384552</v>
      </c>
    </row>
    <row r="634" spans="1:13" x14ac:dyDescent="0.25">
      <c r="A634" s="85">
        <f t="shared" si="275"/>
        <v>344</v>
      </c>
      <c r="B634" s="296">
        <f t="shared" si="276"/>
        <v>104031.35164770043</v>
      </c>
      <c r="C634" s="296">
        <f t="shared" si="277"/>
        <v>489259.60171631246</v>
      </c>
      <c r="D634" s="85">
        <f t="shared" si="278"/>
        <v>4</v>
      </c>
      <c r="E634" s="17">
        <f t="shared" si="279"/>
        <v>0.39394466065277811</v>
      </c>
      <c r="F634" s="17">
        <f t="shared" si="280"/>
        <v>-7.1477338438853621E-2</v>
      </c>
      <c r="G634" s="17" t="str">
        <f t="shared" si="281"/>
        <v>104031.3516477,489259.601716312</v>
      </c>
      <c r="H634" s="16">
        <v>344</v>
      </c>
      <c r="I634" s="16">
        <f t="shared" si="282"/>
        <v>344</v>
      </c>
      <c r="J634" s="209">
        <f t="shared" si="283"/>
        <v>0.40037657969358664</v>
      </c>
      <c r="K634" s="209">
        <f t="shared" si="284"/>
        <v>137.83908592056935</v>
      </c>
      <c r="L634" s="692">
        <v>1.323736786842346</v>
      </c>
      <c r="M634" s="17" t="str">
        <f t="shared" si="285"/>
        <v>137.839085920569,1.32373678684235</v>
      </c>
    </row>
    <row r="635" spans="1:13" x14ac:dyDescent="0.25">
      <c r="A635" s="85">
        <f t="shared" si="275"/>
        <v>345</v>
      </c>
      <c r="B635" s="296">
        <f t="shared" si="276"/>
        <v>104031.7455923611</v>
      </c>
      <c r="C635" s="296">
        <f t="shared" si="277"/>
        <v>489259.53023897408</v>
      </c>
      <c r="D635" s="85">
        <f t="shared" si="278"/>
        <v>4</v>
      </c>
      <c r="E635" s="17">
        <f t="shared" si="279"/>
        <v>0.39394466066733003</v>
      </c>
      <c r="F635" s="17">
        <f t="shared" si="280"/>
        <v>-7.1477338380645961E-2</v>
      </c>
      <c r="G635" s="17" t="str">
        <f t="shared" si="281"/>
        <v>104031.745592361,489259.530238974</v>
      </c>
      <c r="H635" s="16">
        <v>345</v>
      </c>
      <c r="I635" s="16">
        <f t="shared" si="282"/>
        <v>345</v>
      </c>
      <c r="J635" s="209">
        <f t="shared" si="283"/>
        <v>0.40037657969751322</v>
      </c>
      <c r="K635" s="209">
        <f t="shared" si="284"/>
        <v>138.23946250026685</v>
      </c>
      <c r="L635" s="692">
        <v>1.319072008132935</v>
      </c>
      <c r="M635" s="17" t="str">
        <f t="shared" si="285"/>
        <v>138.239462500267,1.31907200813294</v>
      </c>
    </row>
    <row r="636" spans="1:13" x14ac:dyDescent="0.25">
      <c r="A636" s="85">
        <f t="shared" si="275"/>
        <v>346</v>
      </c>
      <c r="B636" s="296">
        <f t="shared" si="276"/>
        <v>104032.13953702175</v>
      </c>
      <c r="C636" s="296">
        <f t="shared" si="277"/>
        <v>489259.45876163564</v>
      </c>
      <c r="D636" s="85">
        <f t="shared" si="278"/>
        <v>4</v>
      </c>
      <c r="E636" s="17">
        <f t="shared" si="279"/>
        <v>0.39394466065277811</v>
      </c>
      <c r="F636" s="17">
        <f t="shared" si="280"/>
        <v>-7.1477338438853621E-2</v>
      </c>
      <c r="G636" s="17" t="str">
        <f t="shared" si="281"/>
        <v>104032.139537022,489259.458761636</v>
      </c>
      <c r="H636" s="16">
        <v>346</v>
      </c>
      <c r="I636" s="16">
        <f t="shared" si="282"/>
        <v>346</v>
      </c>
      <c r="J636" s="209">
        <f t="shared" si="283"/>
        <v>0.40037657969358664</v>
      </c>
      <c r="K636" s="209">
        <f t="shared" si="284"/>
        <v>138.63983907996044</v>
      </c>
      <c r="L636" s="692">
        <v>1.321539521217346</v>
      </c>
      <c r="M636" s="17" t="str">
        <f t="shared" si="285"/>
        <v>138.63983907996,1.32153952121735</v>
      </c>
    </row>
    <row r="637" spans="1:13" x14ac:dyDescent="0.25">
      <c r="A637" s="85">
        <f t="shared" si="275"/>
        <v>347</v>
      </c>
      <c r="B637" s="296">
        <f t="shared" si="276"/>
        <v>104032.53348168242</v>
      </c>
      <c r="C637" s="296">
        <f t="shared" si="277"/>
        <v>489259.38728429721</v>
      </c>
      <c r="D637" s="85">
        <f t="shared" si="278"/>
        <v>4</v>
      </c>
      <c r="E637" s="17">
        <f t="shared" si="279"/>
        <v>0.39394466066733003</v>
      </c>
      <c r="F637" s="17">
        <f t="shared" si="280"/>
        <v>-7.1477338438853621E-2</v>
      </c>
      <c r="G637" s="17" t="str">
        <f t="shared" si="281"/>
        <v>104032.533481682,489259.387284297</v>
      </c>
      <c r="H637" s="16">
        <v>347</v>
      </c>
      <c r="I637" s="16">
        <f t="shared" si="282"/>
        <v>347</v>
      </c>
      <c r="J637" s="209">
        <f t="shared" si="283"/>
        <v>0.40037657970790475</v>
      </c>
      <c r="K637" s="209">
        <f t="shared" si="284"/>
        <v>139.04021565966835</v>
      </c>
      <c r="L637" s="692">
        <v>1.348185181617737</v>
      </c>
      <c r="M637" s="17" t="str">
        <f t="shared" si="285"/>
        <v>139.040215659668,1.34818518161774</v>
      </c>
    </row>
    <row r="638" spans="1:13" x14ac:dyDescent="0.25">
      <c r="A638" s="85">
        <f t="shared" si="275"/>
        <v>348</v>
      </c>
      <c r="B638" s="296">
        <f t="shared" si="276"/>
        <v>104032.92742634307</v>
      </c>
      <c r="C638" s="296">
        <f t="shared" si="277"/>
        <v>489259.31580695877</v>
      </c>
      <c r="D638" s="85">
        <f t="shared" si="278"/>
        <v>4</v>
      </c>
      <c r="E638" s="17">
        <f t="shared" si="279"/>
        <v>0.39394466065277811</v>
      </c>
      <c r="F638" s="17">
        <f t="shared" si="280"/>
        <v>-7.1477338438853621E-2</v>
      </c>
      <c r="G638" s="17" t="str">
        <f t="shared" si="281"/>
        <v>104032.927426343,489259.315806959</v>
      </c>
      <c r="H638" s="16">
        <v>348</v>
      </c>
      <c r="I638" s="16">
        <f t="shared" si="282"/>
        <v>348</v>
      </c>
      <c r="J638" s="209">
        <f t="shared" si="283"/>
        <v>0.40037657969358664</v>
      </c>
      <c r="K638" s="209">
        <f t="shared" si="284"/>
        <v>139.44059223936193</v>
      </c>
      <c r="L638" s="692">
        <v>1.369847297668457</v>
      </c>
      <c r="M638" s="17" t="str">
        <f t="shared" si="285"/>
        <v>139.440592239362,1.36984729766846</v>
      </c>
    </row>
    <row r="639" spans="1:13" x14ac:dyDescent="0.25">
      <c r="A639" s="85">
        <f t="shared" si="275"/>
        <v>349</v>
      </c>
      <c r="B639" s="296">
        <f t="shared" si="276"/>
        <v>104033.32137100374</v>
      </c>
      <c r="C639" s="296">
        <f t="shared" si="277"/>
        <v>489259.24432962033</v>
      </c>
      <c r="D639" s="85">
        <f t="shared" si="278"/>
        <v>4</v>
      </c>
      <c r="E639" s="17">
        <f t="shared" si="279"/>
        <v>0.39394466066733003</v>
      </c>
      <c r="F639" s="17">
        <f t="shared" si="280"/>
        <v>-7.1477338438853621E-2</v>
      </c>
      <c r="G639" s="17" t="str">
        <f t="shared" si="281"/>
        <v>104033.321371004,489259.24432962</v>
      </c>
      <c r="H639" s="16">
        <v>349</v>
      </c>
      <c r="I639" s="16">
        <f t="shared" si="282"/>
        <v>349</v>
      </c>
      <c r="J639" s="209">
        <f t="shared" si="283"/>
        <v>0.40037657970790475</v>
      </c>
      <c r="K639" s="209">
        <f t="shared" si="284"/>
        <v>139.84096881906984</v>
      </c>
      <c r="L639" s="692">
        <v>1.3795733451843259</v>
      </c>
      <c r="M639" s="17" t="str">
        <f t="shared" si="285"/>
        <v>139.84096881907,1.37957334518433</v>
      </c>
    </row>
    <row r="640" spans="1:13" x14ac:dyDescent="0.25">
      <c r="A640" s="85">
        <f t="shared" si="275"/>
        <v>350</v>
      </c>
      <c r="B640" s="296">
        <f t="shared" si="276"/>
        <v>104033.71531566441</v>
      </c>
      <c r="C640" s="296">
        <f t="shared" si="277"/>
        <v>489259.17285228195</v>
      </c>
      <c r="D640" s="85">
        <f t="shared" si="278"/>
        <v>4</v>
      </c>
      <c r="E640" s="17">
        <f t="shared" si="279"/>
        <v>0.39394466066733003</v>
      </c>
      <c r="F640" s="17">
        <f t="shared" si="280"/>
        <v>-7.1477338380645961E-2</v>
      </c>
      <c r="G640" s="17" t="str">
        <f t="shared" si="281"/>
        <v>104033.715315664,489259.172852282</v>
      </c>
      <c r="H640" s="16">
        <v>350</v>
      </c>
      <c r="I640" s="16">
        <f t="shared" si="282"/>
        <v>350</v>
      </c>
      <c r="J640" s="209">
        <f t="shared" si="283"/>
        <v>0.40037657969751322</v>
      </c>
      <c r="K640" s="209">
        <f t="shared" si="284"/>
        <v>140.24134539876735</v>
      </c>
      <c r="L640" s="692">
        <v>1.381241083145142</v>
      </c>
      <c r="M640" s="17" t="str">
        <f t="shared" si="285"/>
        <v>140.241345398767,1.38124108314514</v>
      </c>
    </row>
    <row r="641" spans="1:13" x14ac:dyDescent="0.25">
      <c r="A641" s="85">
        <f t="shared" si="275"/>
        <v>351</v>
      </c>
      <c r="B641" s="296">
        <f t="shared" si="276"/>
        <v>104034.10926032506</v>
      </c>
      <c r="C641" s="296">
        <f t="shared" si="277"/>
        <v>489259.10137494351</v>
      </c>
      <c r="D641" s="85">
        <f t="shared" si="278"/>
        <v>4</v>
      </c>
      <c r="E641" s="17">
        <f t="shared" si="279"/>
        <v>0.39394466065277811</v>
      </c>
      <c r="F641" s="17">
        <f t="shared" si="280"/>
        <v>-7.1477338438853621E-2</v>
      </c>
      <c r="G641" s="17" t="str">
        <f t="shared" si="281"/>
        <v>104034.109260325,489259.101374944</v>
      </c>
      <c r="H641" s="16">
        <v>351</v>
      </c>
      <c r="I641" s="16">
        <f t="shared" si="282"/>
        <v>351</v>
      </c>
      <c r="J641" s="209">
        <f t="shared" si="283"/>
        <v>0.40037657969358664</v>
      </c>
      <c r="K641" s="209">
        <f t="shared" si="284"/>
        <v>140.64172197846094</v>
      </c>
      <c r="L641" s="692">
        <v>1.375349164009094</v>
      </c>
      <c r="M641" s="17" t="str">
        <f t="shared" si="285"/>
        <v>140.641721978461,1.37534916400909</v>
      </c>
    </row>
    <row r="642" spans="1:13" x14ac:dyDescent="0.25">
      <c r="A642" s="85">
        <f t="shared" si="275"/>
        <v>352</v>
      </c>
      <c r="B642" s="296">
        <f t="shared" si="276"/>
        <v>104034.50320498573</v>
      </c>
      <c r="C642" s="296">
        <f t="shared" si="277"/>
        <v>489259.02989760507</v>
      </c>
      <c r="D642" s="85">
        <f t="shared" si="278"/>
        <v>4</v>
      </c>
      <c r="E642" s="17">
        <f t="shared" si="279"/>
        <v>0.39394466066733003</v>
      </c>
      <c r="F642" s="17">
        <f t="shared" si="280"/>
        <v>-7.1477338438853621E-2</v>
      </c>
      <c r="G642" s="17" t="str">
        <f t="shared" si="281"/>
        <v>104034.503204986,489259.029897605</v>
      </c>
      <c r="H642" s="16">
        <v>352</v>
      </c>
      <c r="I642" s="16">
        <f t="shared" si="282"/>
        <v>352</v>
      </c>
      <c r="J642" s="209">
        <f t="shared" si="283"/>
        <v>0.40037657970790475</v>
      </c>
      <c r="K642" s="209">
        <f t="shared" si="284"/>
        <v>141.04209855816885</v>
      </c>
      <c r="L642" s="692">
        <v>1.3657411336898799</v>
      </c>
      <c r="M642" s="17" t="str">
        <f t="shared" si="285"/>
        <v>141.042098558169,1.36574113368988</v>
      </c>
    </row>
    <row r="643" spans="1:13" x14ac:dyDescent="0.25">
      <c r="A643" s="85">
        <f t="shared" si="275"/>
        <v>353</v>
      </c>
      <c r="B643" s="296">
        <f t="shared" si="276"/>
        <v>104034.89714964638</v>
      </c>
      <c r="C643" s="296">
        <f t="shared" si="277"/>
        <v>489258.95842026663</v>
      </c>
      <c r="D643" s="85">
        <f t="shared" si="278"/>
        <v>4</v>
      </c>
      <c r="E643" s="17">
        <f t="shared" si="279"/>
        <v>0.39394466065277811</v>
      </c>
      <c r="F643" s="17">
        <f t="shared" si="280"/>
        <v>-7.1477338438853621E-2</v>
      </c>
      <c r="G643" s="17" t="str">
        <f t="shared" si="281"/>
        <v>104034.897149646,489258.958420267</v>
      </c>
      <c r="H643" s="16">
        <v>353</v>
      </c>
      <c r="I643" s="16">
        <f t="shared" si="282"/>
        <v>353</v>
      </c>
      <c r="J643" s="209">
        <f t="shared" si="283"/>
        <v>0.40037657969358664</v>
      </c>
      <c r="K643" s="209">
        <f t="shared" si="284"/>
        <v>141.44247513786243</v>
      </c>
      <c r="L643" s="692">
        <v>1.3576846122741699</v>
      </c>
      <c r="M643" s="17" t="str">
        <f t="shared" si="285"/>
        <v>141.442475137862,1.35768461227417</v>
      </c>
    </row>
    <row r="644" spans="1:13" x14ac:dyDescent="0.25">
      <c r="A644" s="85">
        <f t="shared" si="275"/>
        <v>354</v>
      </c>
      <c r="B644" s="296">
        <f t="shared" si="276"/>
        <v>104035.29109430705</v>
      </c>
      <c r="C644" s="296">
        <f t="shared" si="277"/>
        <v>489258.88694292819</v>
      </c>
      <c r="D644" s="85">
        <f t="shared" si="278"/>
        <v>4</v>
      </c>
      <c r="E644" s="17">
        <f t="shared" si="279"/>
        <v>0.39394466066733003</v>
      </c>
      <c r="F644" s="17">
        <f t="shared" si="280"/>
        <v>-7.1477338438853621E-2</v>
      </c>
      <c r="G644" s="17" t="str">
        <f t="shared" si="281"/>
        <v>104035.291094307,489258.886942928</v>
      </c>
      <c r="H644" s="16">
        <v>354</v>
      </c>
      <c r="I644" s="16">
        <f t="shared" si="282"/>
        <v>354</v>
      </c>
      <c r="J644" s="209">
        <f t="shared" si="283"/>
        <v>0.40037657970790475</v>
      </c>
      <c r="K644" s="209">
        <f t="shared" si="284"/>
        <v>141.84285171757034</v>
      </c>
      <c r="L644" s="692">
        <v>1.346929788589478</v>
      </c>
      <c r="M644" s="17" t="str">
        <f t="shared" si="285"/>
        <v>141.84285171757,1.34692978858948</v>
      </c>
    </row>
    <row r="645" spans="1:13" x14ac:dyDescent="0.25">
      <c r="A645" s="85">
        <f t="shared" si="275"/>
        <v>355</v>
      </c>
      <c r="B645" s="296">
        <f t="shared" si="276"/>
        <v>104035.6850389677</v>
      </c>
      <c r="C645" s="296">
        <f t="shared" si="277"/>
        <v>489258.81546558981</v>
      </c>
      <c r="D645" s="85">
        <f t="shared" si="278"/>
        <v>4</v>
      </c>
      <c r="E645" s="17">
        <f t="shared" si="279"/>
        <v>0.39394466065277811</v>
      </c>
      <c r="F645" s="17">
        <f t="shared" si="280"/>
        <v>-7.1477338380645961E-2</v>
      </c>
      <c r="G645" s="17" t="str">
        <f t="shared" si="281"/>
        <v>104035.685038968,489258.81546559</v>
      </c>
      <c r="H645" s="16">
        <v>355</v>
      </c>
      <c r="I645" s="16">
        <f t="shared" si="282"/>
        <v>355</v>
      </c>
      <c r="J645" s="209">
        <f t="shared" si="283"/>
        <v>0.40037657968319512</v>
      </c>
      <c r="K645" s="209">
        <f t="shared" si="284"/>
        <v>142.24322829725352</v>
      </c>
      <c r="L645" s="692">
        <v>1.3376649618148799</v>
      </c>
      <c r="M645" s="17" t="str">
        <f t="shared" si="285"/>
        <v>142.243228297254,1.33766496181488</v>
      </c>
    </row>
    <row r="646" spans="1:13" x14ac:dyDescent="0.25">
      <c r="A646" s="85">
        <f t="shared" si="275"/>
        <v>356</v>
      </c>
      <c r="B646" s="296">
        <f t="shared" si="276"/>
        <v>104036.07898362837</v>
      </c>
      <c r="C646" s="296">
        <f t="shared" si="277"/>
        <v>489258.74398825137</v>
      </c>
      <c r="D646" s="85">
        <f t="shared" si="278"/>
        <v>4</v>
      </c>
      <c r="E646" s="17">
        <f t="shared" si="279"/>
        <v>0.39394466066733003</v>
      </c>
      <c r="F646" s="17">
        <f t="shared" si="280"/>
        <v>-7.1477338438853621E-2</v>
      </c>
      <c r="G646" s="17" t="str">
        <f t="shared" si="281"/>
        <v>104036.078983628,489258.743988251</v>
      </c>
      <c r="H646" s="16">
        <v>356</v>
      </c>
      <c r="I646" s="16">
        <f t="shared" si="282"/>
        <v>356</v>
      </c>
      <c r="J646" s="209">
        <f t="shared" si="283"/>
        <v>0.40037657970790475</v>
      </c>
      <c r="K646" s="209">
        <f t="shared" si="284"/>
        <v>142.64360487696143</v>
      </c>
      <c r="L646" s="692">
        <v>1.328713655471802</v>
      </c>
      <c r="M646" s="17" t="str">
        <f t="shared" si="285"/>
        <v>142.643604876961,1.3287136554718</v>
      </c>
    </row>
    <row r="647" spans="1:13" x14ac:dyDescent="0.25">
      <c r="A647" s="85">
        <f t="shared" si="275"/>
        <v>357</v>
      </c>
      <c r="B647" s="296">
        <f t="shared" si="276"/>
        <v>104036.47292828902</v>
      </c>
      <c r="C647" s="296">
        <f t="shared" si="277"/>
        <v>489258.67251091293</v>
      </c>
      <c r="D647" s="85">
        <f t="shared" si="278"/>
        <v>4</v>
      </c>
      <c r="E647" s="17">
        <f t="shared" si="279"/>
        <v>0.39394466065277811</v>
      </c>
      <c r="F647" s="17">
        <f t="shared" si="280"/>
        <v>-7.1477338438853621E-2</v>
      </c>
      <c r="G647" s="17" t="str">
        <f t="shared" si="281"/>
        <v>104036.472928289,489258.672510913</v>
      </c>
      <c r="H647" s="16">
        <v>357</v>
      </c>
      <c r="I647" s="16">
        <f t="shared" si="282"/>
        <v>357</v>
      </c>
      <c r="J647" s="209">
        <f t="shared" si="283"/>
        <v>0.40037657969358664</v>
      </c>
      <c r="K647" s="209">
        <f t="shared" si="284"/>
        <v>143.04398145665502</v>
      </c>
      <c r="L647" s="692">
        <v>1.3286839723587041</v>
      </c>
      <c r="M647" s="17" t="str">
        <f t="shared" si="285"/>
        <v>143.043981456655,1.3286839723587</v>
      </c>
    </row>
    <row r="648" spans="1:13" x14ac:dyDescent="0.25">
      <c r="A648" s="85">
        <f t="shared" si="275"/>
        <v>358</v>
      </c>
      <c r="B648" s="296">
        <f t="shared" si="276"/>
        <v>104036.86687294969</v>
      </c>
      <c r="C648" s="296">
        <f t="shared" si="277"/>
        <v>489258.60103357449</v>
      </c>
      <c r="D648" s="85">
        <f t="shared" si="278"/>
        <v>4</v>
      </c>
      <c r="E648" s="17">
        <f t="shared" si="279"/>
        <v>0.39394466066733003</v>
      </c>
      <c r="F648" s="17">
        <f t="shared" si="280"/>
        <v>-7.1477338438853621E-2</v>
      </c>
      <c r="G648" s="17" t="str">
        <f t="shared" si="281"/>
        <v>104036.86687295,489258.601033574</v>
      </c>
      <c r="H648" s="16">
        <v>358</v>
      </c>
      <c r="I648" s="16">
        <f t="shared" si="282"/>
        <v>358</v>
      </c>
      <c r="J648" s="209">
        <f t="shared" si="283"/>
        <v>0.40037657970790475</v>
      </c>
      <c r="K648" s="209">
        <f t="shared" si="284"/>
        <v>143.44435803636293</v>
      </c>
      <c r="L648" s="692">
        <v>1.305254340171814</v>
      </c>
      <c r="M648" s="17" t="str">
        <f t="shared" si="285"/>
        <v>143.444358036363,1.30525434017181</v>
      </c>
    </row>
    <row r="649" spans="1:13" x14ac:dyDescent="0.25">
      <c r="A649" s="85">
        <f t="shared" si="275"/>
        <v>359</v>
      </c>
      <c r="B649" s="296">
        <f t="shared" si="276"/>
        <v>104037.26081761034</v>
      </c>
      <c r="C649" s="296">
        <f t="shared" si="277"/>
        <v>489258.52955623606</v>
      </c>
      <c r="D649" s="85">
        <f t="shared" si="278"/>
        <v>4</v>
      </c>
      <c r="E649" s="17">
        <f t="shared" si="279"/>
        <v>0.39394466065277811</v>
      </c>
      <c r="F649" s="17">
        <f t="shared" si="280"/>
        <v>-7.1477338438853621E-2</v>
      </c>
      <c r="G649" s="17" t="str">
        <f t="shared" si="281"/>
        <v>104037.26081761,489258.529556236</v>
      </c>
      <c r="H649" s="16">
        <v>359</v>
      </c>
      <c r="I649" s="16">
        <f t="shared" si="282"/>
        <v>359</v>
      </c>
      <c r="J649" s="209">
        <f t="shared" si="283"/>
        <v>0.40037657969358664</v>
      </c>
      <c r="K649" s="209">
        <f t="shared" si="284"/>
        <v>143.84473461605651</v>
      </c>
      <c r="L649" s="692">
        <v>1.304563164710999</v>
      </c>
      <c r="M649" s="17" t="str">
        <f t="shared" si="285"/>
        <v>143.844734616057,1.304563164711</v>
      </c>
    </row>
    <row r="650" spans="1:13" x14ac:dyDescent="0.25">
      <c r="A650" s="85">
        <f t="shared" si="275"/>
        <v>360</v>
      </c>
      <c r="B650" s="296">
        <f t="shared" si="276"/>
        <v>104037.65476227101</v>
      </c>
      <c r="C650" s="296">
        <f t="shared" si="277"/>
        <v>489258.45807889762</v>
      </c>
      <c r="D650" s="85">
        <f t="shared" si="278"/>
        <v>4</v>
      </c>
      <c r="E650" s="17">
        <f t="shared" si="279"/>
        <v>0.39394466066733003</v>
      </c>
      <c r="F650" s="17">
        <f t="shared" si="280"/>
        <v>-7.1477338438853621E-2</v>
      </c>
      <c r="G650" s="17" t="str">
        <f t="shared" si="281"/>
        <v>104037.654762271,489258.458078898</v>
      </c>
      <c r="H650" s="16">
        <v>360</v>
      </c>
      <c r="I650" s="16">
        <f t="shared" si="282"/>
        <v>360</v>
      </c>
      <c r="J650" s="209">
        <f t="shared" si="283"/>
        <v>0.40037657970790475</v>
      </c>
      <c r="K650" s="209">
        <f t="shared" si="284"/>
        <v>144.24511119576442</v>
      </c>
      <c r="L650" s="692">
        <v>1.31292736530304</v>
      </c>
      <c r="M650" s="17" t="str">
        <f t="shared" si="285"/>
        <v>144.245111195764,1.31292736530304</v>
      </c>
    </row>
    <row r="651" spans="1:13" x14ac:dyDescent="0.25">
      <c r="A651" s="85">
        <f t="shared" si="275"/>
        <v>361</v>
      </c>
      <c r="B651" s="296">
        <f t="shared" si="276"/>
        <v>104038.04870693167</v>
      </c>
      <c r="C651" s="296">
        <f t="shared" si="277"/>
        <v>489258.38660155924</v>
      </c>
      <c r="D651" s="85">
        <f t="shared" si="278"/>
        <v>4</v>
      </c>
      <c r="E651" s="17">
        <f t="shared" si="279"/>
        <v>0.39394466066733003</v>
      </c>
      <c r="F651" s="17">
        <f t="shared" si="280"/>
        <v>-7.1477338380645961E-2</v>
      </c>
      <c r="G651" s="17" t="str">
        <f t="shared" si="281"/>
        <v>104038.048706932,489258.386601559</v>
      </c>
      <c r="H651" s="16">
        <v>361</v>
      </c>
      <c r="I651" s="16">
        <f t="shared" si="282"/>
        <v>361</v>
      </c>
      <c r="J651" s="209">
        <f t="shared" si="283"/>
        <v>0.40037657969751322</v>
      </c>
      <c r="K651" s="209">
        <f t="shared" si="284"/>
        <v>144.64548777546193</v>
      </c>
      <c r="L651" s="692">
        <v>1.316449046134949</v>
      </c>
      <c r="M651" s="17" t="str">
        <f t="shared" si="285"/>
        <v>144.645487775462,1.31644904613495</v>
      </c>
    </row>
    <row r="652" spans="1:13" x14ac:dyDescent="0.25">
      <c r="A652" s="85">
        <f t="shared" si="275"/>
        <v>362</v>
      </c>
      <c r="B652" s="296">
        <f t="shared" si="276"/>
        <v>104038.44265159233</v>
      </c>
      <c r="C652" s="296">
        <f t="shared" si="277"/>
        <v>489258.3151242208</v>
      </c>
      <c r="D652" s="85">
        <f t="shared" si="278"/>
        <v>4</v>
      </c>
      <c r="E652" s="17">
        <f t="shared" si="279"/>
        <v>0.39394466065277811</v>
      </c>
      <c r="F652" s="17">
        <f t="shared" si="280"/>
        <v>-7.1477338438853621E-2</v>
      </c>
      <c r="G652" s="17" t="str">
        <f t="shared" si="281"/>
        <v>104038.442651592,489258.315124221</v>
      </c>
      <c r="H652" s="16">
        <v>362</v>
      </c>
      <c r="I652" s="16">
        <f t="shared" si="282"/>
        <v>362</v>
      </c>
      <c r="J652" s="209">
        <f t="shared" si="283"/>
        <v>0.40037657969358664</v>
      </c>
      <c r="K652" s="209">
        <f t="shared" si="284"/>
        <v>145.04586435515552</v>
      </c>
      <c r="L652" s="486">
        <v>1.308952689170837</v>
      </c>
      <c r="M652" s="17" t="str">
        <f t="shared" si="285"/>
        <v>145.045864355156,1.30895268917084</v>
      </c>
    </row>
    <row r="653" spans="1:13" x14ac:dyDescent="0.25">
      <c r="A653" s="85">
        <f t="shared" si="275"/>
        <v>363</v>
      </c>
      <c r="B653" s="296">
        <f t="shared" si="276"/>
        <v>104038.83659625299</v>
      </c>
      <c r="C653" s="296">
        <f t="shared" si="277"/>
        <v>489258.24364688236</v>
      </c>
      <c r="D653" s="85">
        <f t="shared" si="278"/>
        <v>4</v>
      </c>
      <c r="E653" s="17">
        <f t="shared" si="279"/>
        <v>0.39394466066733003</v>
      </c>
      <c r="F653" s="17">
        <f t="shared" si="280"/>
        <v>-7.1477338438853621E-2</v>
      </c>
      <c r="G653" s="17" t="str">
        <f t="shared" si="281"/>
        <v>104038.836596253,489258.243646882</v>
      </c>
      <c r="H653" s="16">
        <v>363</v>
      </c>
      <c r="I653" s="16">
        <f t="shared" si="282"/>
        <v>363</v>
      </c>
      <c r="J653" s="209">
        <f t="shared" si="283"/>
        <v>0.40037657970790475</v>
      </c>
      <c r="K653" s="209">
        <f t="shared" si="284"/>
        <v>145.44624093486343</v>
      </c>
      <c r="L653" s="486">
        <v>1.3131452798843379</v>
      </c>
      <c r="M653" s="17" t="str">
        <f t="shared" si="285"/>
        <v>145.446240934863,1.31314527988434</v>
      </c>
    </row>
    <row r="654" spans="1:13" x14ac:dyDescent="0.25">
      <c r="A654" s="85">
        <f t="shared" si="275"/>
        <v>364</v>
      </c>
      <c r="B654" s="296">
        <f t="shared" si="276"/>
        <v>104039.23054091365</v>
      </c>
      <c r="C654" s="296">
        <f t="shared" si="277"/>
        <v>489258.17216954392</v>
      </c>
      <c r="D654" s="85">
        <f t="shared" si="278"/>
        <v>4</v>
      </c>
      <c r="E654" s="17">
        <f t="shared" si="279"/>
        <v>0.39394466065277811</v>
      </c>
      <c r="F654" s="17">
        <f t="shared" si="280"/>
        <v>-7.1477338438853621E-2</v>
      </c>
      <c r="G654" s="17" t="str">
        <f t="shared" si="281"/>
        <v>104039.230540914,489258.172169544</v>
      </c>
      <c r="H654" s="16">
        <v>364</v>
      </c>
      <c r="I654" s="16">
        <f t="shared" si="282"/>
        <v>364</v>
      </c>
      <c r="J654" s="209">
        <f t="shared" si="283"/>
        <v>0.40037657969358664</v>
      </c>
      <c r="K654" s="209">
        <f t="shared" si="284"/>
        <v>145.84661751455701</v>
      </c>
      <c r="L654" s="486">
        <v>1.308273077011108</v>
      </c>
      <c r="M654" s="17" t="str">
        <f t="shared" si="285"/>
        <v>145.846617514557,1.30827307701111</v>
      </c>
    </row>
    <row r="655" spans="1:13" x14ac:dyDescent="0.25">
      <c r="A655" s="85">
        <f t="shared" si="275"/>
        <v>365</v>
      </c>
      <c r="B655" s="296">
        <f t="shared" si="276"/>
        <v>104039.62448557431</v>
      </c>
      <c r="C655" s="296">
        <f t="shared" si="277"/>
        <v>489258.10069220548</v>
      </c>
      <c r="D655" s="85">
        <f t="shared" si="278"/>
        <v>4</v>
      </c>
      <c r="E655" s="17">
        <f t="shared" si="279"/>
        <v>0.39394466066733003</v>
      </c>
      <c r="F655" s="17">
        <f t="shared" si="280"/>
        <v>-7.1477338438853621E-2</v>
      </c>
      <c r="G655" s="17" t="str">
        <f t="shared" si="281"/>
        <v>104039.624485574,489258.100692205</v>
      </c>
      <c r="H655" s="16">
        <v>365</v>
      </c>
      <c r="I655" s="16">
        <f t="shared" si="282"/>
        <v>365</v>
      </c>
      <c r="J655" s="209">
        <f t="shared" si="283"/>
        <v>0.40037657970790475</v>
      </c>
      <c r="K655" s="209">
        <f t="shared" si="284"/>
        <v>146.24699409426492</v>
      </c>
      <c r="L655" s="486">
        <v>1.297816157341003</v>
      </c>
      <c r="M655" s="17" t="str">
        <f t="shared" si="285"/>
        <v>146.246994094265,1.297816157341</v>
      </c>
    </row>
    <row r="656" spans="1:13" x14ac:dyDescent="0.25">
      <c r="A656" s="85">
        <f t="shared" si="275"/>
        <v>366</v>
      </c>
      <c r="B656" s="296">
        <f t="shared" si="276"/>
        <v>104040.01843023497</v>
      </c>
      <c r="C656" s="296">
        <f t="shared" si="277"/>
        <v>489258.0292148671</v>
      </c>
      <c r="D656" s="85">
        <f t="shared" si="278"/>
        <v>4</v>
      </c>
      <c r="E656" s="17">
        <f t="shared" si="279"/>
        <v>0.39394466065277811</v>
      </c>
      <c r="F656" s="17">
        <f t="shared" si="280"/>
        <v>-7.1477338380645961E-2</v>
      </c>
      <c r="G656" s="17" t="str">
        <f t="shared" si="281"/>
        <v>104040.018430235,489258.029214867</v>
      </c>
      <c r="H656" s="16">
        <v>366</v>
      </c>
      <c r="I656" s="16">
        <f t="shared" si="282"/>
        <v>366</v>
      </c>
      <c r="J656" s="209">
        <f t="shared" si="283"/>
        <v>0.40037657968319512</v>
      </c>
      <c r="K656" s="209">
        <f t="shared" si="284"/>
        <v>146.6473706739481</v>
      </c>
      <c r="L656" s="486">
        <v>1.2886731624603269</v>
      </c>
      <c r="M656" s="17" t="str">
        <f t="shared" si="285"/>
        <v>146.647370673948,1.28867316246033</v>
      </c>
    </row>
    <row r="657" spans="1:13" x14ac:dyDescent="0.25">
      <c r="A657" s="85">
        <f t="shared" si="275"/>
        <v>367</v>
      </c>
      <c r="B657" s="296">
        <f t="shared" si="276"/>
        <v>104040.41237489563</v>
      </c>
      <c r="C657" s="296">
        <f t="shared" si="277"/>
        <v>489257.95773752866</v>
      </c>
      <c r="D657" s="85">
        <f t="shared" si="278"/>
        <v>4</v>
      </c>
      <c r="E657" s="17">
        <f t="shared" si="279"/>
        <v>0.39394466066733003</v>
      </c>
      <c r="F657" s="17">
        <f t="shared" si="280"/>
        <v>-7.1477338438853621E-2</v>
      </c>
      <c r="G657" s="17" t="str">
        <f t="shared" si="281"/>
        <v>104040.412374896,489257.957737529</v>
      </c>
      <c r="H657" s="16">
        <v>367</v>
      </c>
      <c r="I657" s="16">
        <f t="shared" si="282"/>
        <v>367</v>
      </c>
      <c r="J657" s="209">
        <f t="shared" si="283"/>
        <v>0.40037657970790475</v>
      </c>
      <c r="K657" s="209">
        <f t="shared" si="284"/>
        <v>147.04774725365601</v>
      </c>
      <c r="L657" s="486">
        <v>1.2911515235900879</v>
      </c>
      <c r="M657" s="17" t="str">
        <f t="shared" si="285"/>
        <v>147.047747253656,1.29115152359009</v>
      </c>
    </row>
    <row r="658" spans="1:13" x14ac:dyDescent="0.25">
      <c r="A658" s="85">
        <f t="shared" si="275"/>
        <v>368</v>
      </c>
      <c r="B658" s="296">
        <f t="shared" si="276"/>
        <v>104040.80631955629</v>
      </c>
      <c r="C658" s="296">
        <f t="shared" si="277"/>
        <v>489257.88626019022</v>
      </c>
      <c r="D658" s="85">
        <f t="shared" si="278"/>
        <v>4</v>
      </c>
      <c r="E658" s="17">
        <f t="shared" si="279"/>
        <v>0.39394466065277811</v>
      </c>
      <c r="F658" s="17">
        <f t="shared" si="280"/>
        <v>-7.1477338438853621E-2</v>
      </c>
      <c r="G658" s="17" t="str">
        <f t="shared" si="281"/>
        <v>104040.806319556,489257.88626019</v>
      </c>
      <c r="H658" s="16">
        <v>368</v>
      </c>
      <c r="I658" s="16">
        <f t="shared" si="282"/>
        <v>368</v>
      </c>
      <c r="J658" s="209">
        <f t="shared" si="283"/>
        <v>0.40037657969358664</v>
      </c>
      <c r="K658" s="209">
        <f t="shared" si="284"/>
        <v>147.4481238333496</v>
      </c>
      <c r="L658" s="486">
        <v>1.28673779964447</v>
      </c>
      <c r="M658" s="17" t="str">
        <f t="shared" si="285"/>
        <v>147.44812383335,1.28673779964447</v>
      </c>
    </row>
    <row r="659" spans="1:13" x14ac:dyDescent="0.25">
      <c r="A659" s="85">
        <f t="shared" si="275"/>
        <v>369</v>
      </c>
      <c r="B659" s="296">
        <f t="shared" si="276"/>
        <v>104041.20026421695</v>
      </c>
      <c r="C659" s="296">
        <f t="shared" si="277"/>
        <v>489257.81478285178</v>
      </c>
      <c r="D659" s="85">
        <f t="shared" si="278"/>
        <v>4</v>
      </c>
      <c r="E659" s="17">
        <f t="shared" si="279"/>
        <v>0.39394466066733003</v>
      </c>
      <c r="F659" s="17">
        <f t="shared" si="280"/>
        <v>-7.1477338438853621E-2</v>
      </c>
      <c r="G659" s="17" t="str">
        <f t="shared" si="281"/>
        <v>104041.200264217,489257.814782852</v>
      </c>
      <c r="H659" s="16">
        <v>369</v>
      </c>
      <c r="I659" s="16">
        <f t="shared" si="282"/>
        <v>369</v>
      </c>
      <c r="J659" s="209">
        <f t="shared" si="283"/>
        <v>0.40037657970790475</v>
      </c>
      <c r="K659" s="209">
        <f t="shared" si="284"/>
        <v>147.84850041305751</v>
      </c>
      <c r="L659" s="486">
        <v>1.3094286918640139</v>
      </c>
      <c r="M659" s="17" t="str">
        <f t="shared" si="285"/>
        <v>147.848500413058,1.30942869186401</v>
      </c>
    </row>
    <row r="660" spans="1:13" x14ac:dyDescent="0.25">
      <c r="A660" s="85">
        <f t="shared" si="275"/>
        <v>370</v>
      </c>
      <c r="B660" s="296">
        <f t="shared" si="276"/>
        <v>104041.59420887761</v>
      </c>
      <c r="C660" s="296">
        <f t="shared" si="277"/>
        <v>489257.74330551334</v>
      </c>
      <c r="D660" s="85">
        <f t="shared" si="278"/>
        <v>4</v>
      </c>
      <c r="E660" s="17">
        <f t="shared" si="279"/>
        <v>0.39394466065277811</v>
      </c>
      <c r="F660" s="17">
        <f t="shared" si="280"/>
        <v>-7.1477338438853621E-2</v>
      </c>
      <c r="G660" s="17" t="str">
        <f t="shared" si="281"/>
        <v>104041.594208878,489257.743305513</v>
      </c>
      <c r="H660" s="16">
        <v>370</v>
      </c>
      <c r="I660" s="16">
        <f t="shared" si="282"/>
        <v>370</v>
      </c>
      <c r="J660" s="209">
        <f t="shared" si="283"/>
        <v>0.40037657969358664</v>
      </c>
      <c r="K660" s="209">
        <f t="shared" si="284"/>
        <v>148.24887699275109</v>
      </c>
      <c r="L660" s="486">
        <v>1.321998119354248</v>
      </c>
      <c r="M660" s="17" t="str">
        <f t="shared" si="285"/>
        <v>148.248876992751,1.32199811935425</v>
      </c>
    </row>
    <row r="661" spans="1:13" x14ac:dyDescent="0.25">
      <c r="A661" s="85">
        <f t="shared" si="275"/>
        <v>371</v>
      </c>
      <c r="B661" s="296">
        <f t="shared" si="276"/>
        <v>104041.98815353827</v>
      </c>
      <c r="C661" s="296">
        <f t="shared" si="277"/>
        <v>489257.67182817496</v>
      </c>
      <c r="D661" s="85">
        <f t="shared" si="278"/>
        <v>4</v>
      </c>
      <c r="E661" s="17">
        <f t="shared" si="279"/>
        <v>0.39394466066733003</v>
      </c>
      <c r="F661" s="17">
        <f t="shared" si="280"/>
        <v>-7.1477338380645961E-2</v>
      </c>
      <c r="G661" s="17" t="str">
        <f t="shared" si="281"/>
        <v>104041.988153538,489257.671828175</v>
      </c>
      <c r="H661" s="16">
        <v>371</v>
      </c>
      <c r="I661" s="16">
        <f t="shared" si="282"/>
        <v>371</v>
      </c>
      <c r="J661" s="209">
        <f t="shared" si="283"/>
        <v>0.40037657969751322</v>
      </c>
      <c r="K661" s="209">
        <f t="shared" si="284"/>
        <v>148.6492535724486</v>
      </c>
      <c r="L661" s="486">
        <v>1.295956492424011</v>
      </c>
      <c r="M661" s="17" t="str">
        <f t="shared" si="285"/>
        <v>148.649253572449,1.29595649242401</v>
      </c>
    </row>
    <row r="662" spans="1:13" x14ac:dyDescent="0.25">
      <c r="A662" s="85">
        <f t="shared" si="275"/>
        <v>372</v>
      </c>
      <c r="B662" s="296">
        <f t="shared" si="276"/>
        <v>104042.38209819894</v>
      </c>
      <c r="C662" s="296">
        <f t="shared" si="277"/>
        <v>489257.60035083652</v>
      </c>
      <c r="D662" s="85">
        <f t="shared" si="278"/>
        <v>4</v>
      </c>
      <c r="E662" s="17">
        <f t="shared" si="279"/>
        <v>0.39394466066733003</v>
      </c>
      <c r="F662" s="17">
        <f t="shared" si="280"/>
        <v>-7.1477338438853621E-2</v>
      </c>
      <c r="G662" s="17" t="str">
        <f t="shared" si="281"/>
        <v>104042.382098199,489257.600350837</v>
      </c>
      <c r="H662" s="16">
        <v>372</v>
      </c>
      <c r="I662" s="16">
        <f t="shared" si="282"/>
        <v>372</v>
      </c>
      <c r="J662" s="209">
        <f t="shared" si="283"/>
        <v>0.40037657970790475</v>
      </c>
      <c r="K662" s="209">
        <f t="shared" si="284"/>
        <v>149.04963015215651</v>
      </c>
      <c r="L662" s="486">
        <v>1.279572606086731</v>
      </c>
      <c r="M662" s="17" t="str">
        <f t="shared" si="285"/>
        <v>149.049630152157,1.27957260608673</v>
      </c>
    </row>
    <row r="663" spans="1:13" x14ac:dyDescent="0.25">
      <c r="A663" s="85">
        <f t="shared" si="275"/>
        <v>373</v>
      </c>
      <c r="B663" s="296">
        <f t="shared" si="276"/>
        <v>104042.77604285959</v>
      </c>
      <c r="C663" s="296">
        <f t="shared" si="277"/>
        <v>489257.52887349809</v>
      </c>
      <c r="D663" s="85">
        <f t="shared" si="278"/>
        <v>4</v>
      </c>
      <c r="E663" s="17">
        <f t="shared" si="279"/>
        <v>0.39394466065277811</v>
      </c>
      <c r="F663" s="17">
        <f t="shared" si="280"/>
        <v>-7.1477338438853621E-2</v>
      </c>
      <c r="G663" s="17" t="str">
        <f t="shared" si="281"/>
        <v>104042.77604286,489257.528873498</v>
      </c>
      <c r="H663" s="16">
        <v>373</v>
      </c>
      <c r="I663" s="16">
        <f t="shared" si="282"/>
        <v>373</v>
      </c>
      <c r="J663" s="209">
        <f t="shared" si="283"/>
        <v>0.40037657969358664</v>
      </c>
      <c r="K663" s="209">
        <f t="shared" si="284"/>
        <v>149.4500067318501</v>
      </c>
      <c r="L663" s="486">
        <v>1.277060866355896</v>
      </c>
      <c r="M663" s="17" t="str">
        <f t="shared" si="285"/>
        <v>149.45000673185,1.2770608663559</v>
      </c>
    </row>
    <row r="664" spans="1:13" x14ac:dyDescent="0.25">
      <c r="A664" s="85">
        <f t="shared" si="275"/>
        <v>374</v>
      </c>
      <c r="B664" s="296">
        <f t="shared" si="276"/>
        <v>104043.16998752026</v>
      </c>
      <c r="C664" s="296">
        <f t="shared" si="277"/>
        <v>489257.45739615965</v>
      </c>
      <c r="D664" s="85">
        <f t="shared" si="278"/>
        <v>4</v>
      </c>
      <c r="E664" s="17">
        <f t="shared" si="279"/>
        <v>0.39394466066733003</v>
      </c>
      <c r="F664" s="17">
        <f t="shared" si="280"/>
        <v>-7.1477338438853621E-2</v>
      </c>
      <c r="G664" s="17" t="str">
        <f t="shared" si="281"/>
        <v>104043.16998752,489257.45739616</v>
      </c>
      <c r="H664" s="16">
        <v>374</v>
      </c>
      <c r="I664" s="16">
        <f t="shared" si="282"/>
        <v>374</v>
      </c>
      <c r="J664" s="209">
        <f t="shared" si="283"/>
        <v>0.40037657970790475</v>
      </c>
      <c r="K664" s="209">
        <f t="shared" si="284"/>
        <v>149.85038331155801</v>
      </c>
      <c r="L664" s="486">
        <v>1.278964161872864</v>
      </c>
      <c r="M664" s="17" t="str">
        <f t="shared" si="285"/>
        <v>149.850383311558,1.27896416187286</v>
      </c>
    </row>
    <row r="665" spans="1:13" x14ac:dyDescent="0.25">
      <c r="A665" s="85">
        <f t="shared" si="275"/>
        <v>375</v>
      </c>
      <c r="B665" s="296">
        <f t="shared" si="276"/>
        <v>104043.56393218091</v>
      </c>
      <c r="C665" s="296">
        <f t="shared" si="277"/>
        <v>489257.38591882121</v>
      </c>
      <c r="D665" s="85">
        <f t="shared" si="278"/>
        <v>4</v>
      </c>
      <c r="E665" s="17">
        <f t="shared" si="279"/>
        <v>0.39394466065277811</v>
      </c>
      <c r="F665" s="17">
        <f t="shared" si="280"/>
        <v>-7.1477338438853621E-2</v>
      </c>
      <c r="G665" s="17" t="str">
        <f t="shared" si="281"/>
        <v>104043.563932181,489257.385918821</v>
      </c>
      <c r="H665" s="16">
        <v>375</v>
      </c>
      <c r="I665" s="16">
        <f t="shared" si="282"/>
        <v>375</v>
      </c>
      <c r="J665" s="209">
        <f t="shared" si="283"/>
        <v>0.40037657969358664</v>
      </c>
      <c r="K665" s="209">
        <f t="shared" si="284"/>
        <v>150.25075989125159</v>
      </c>
      <c r="L665" s="486">
        <v>1.2714264392852781</v>
      </c>
      <c r="M665" s="17" t="str">
        <f t="shared" si="285"/>
        <v>150.250759891252,1.27142643928528</v>
      </c>
    </row>
    <row r="666" spans="1:13" x14ac:dyDescent="0.25">
      <c r="A666" s="85">
        <f t="shared" si="275"/>
        <v>376</v>
      </c>
      <c r="B666" s="296">
        <f t="shared" si="276"/>
        <v>104043.95787684158</v>
      </c>
      <c r="C666" s="296">
        <f t="shared" si="277"/>
        <v>489257.31444148277</v>
      </c>
      <c r="D666" s="85">
        <f t="shared" si="278"/>
        <v>4</v>
      </c>
      <c r="E666" s="17">
        <f t="shared" si="279"/>
        <v>0.39394466066733003</v>
      </c>
      <c r="F666" s="17">
        <f t="shared" si="280"/>
        <v>-7.1477338438853621E-2</v>
      </c>
      <c r="G666" s="17" t="str">
        <f t="shared" si="281"/>
        <v>104043.957876842,489257.314441483</v>
      </c>
      <c r="H666" s="16">
        <v>376</v>
      </c>
      <c r="I666" s="16">
        <f t="shared" si="282"/>
        <v>376</v>
      </c>
      <c r="J666" s="209">
        <f t="shared" si="283"/>
        <v>0.40037657970790475</v>
      </c>
      <c r="K666" s="209">
        <f t="shared" si="284"/>
        <v>150.6511364709595</v>
      </c>
      <c r="L666" s="486">
        <v>1.2684265375137329</v>
      </c>
      <c r="M666" s="17" t="str">
        <f t="shared" si="285"/>
        <v>150.65113647096,1.26842653751373</v>
      </c>
    </row>
    <row r="667" spans="1:13" x14ac:dyDescent="0.25">
      <c r="A667" s="85">
        <f t="shared" si="275"/>
        <v>377</v>
      </c>
      <c r="B667" s="296">
        <f t="shared" si="276"/>
        <v>104044.35182150223</v>
      </c>
      <c r="C667" s="296">
        <f t="shared" si="277"/>
        <v>489257.24296414439</v>
      </c>
      <c r="D667" s="85">
        <f t="shared" si="278"/>
        <v>4</v>
      </c>
      <c r="E667" s="17">
        <f t="shared" si="279"/>
        <v>0.39394466065277811</v>
      </c>
      <c r="F667" s="17">
        <f t="shared" si="280"/>
        <v>-7.1477338380645961E-2</v>
      </c>
      <c r="G667" s="17" t="str">
        <f t="shared" si="281"/>
        <v>104044.351821502,489257.242964144</v>
      </c>
      <c r="H667" s="16">
        <v>377</v>
      </c>
      <c r="I667" s="16">
        <f t="shared" si="282"/>
        <v>377</v>
      </c>
      <c r="J667" s="209">
        <f t="shared" si="283"/>
        <v>0.40037657968319512</v>
      </c>
      <c r="K667" s="209">
        <f t="shared" si="284"/>
        <v>151.05151305064268</v>
      </c>
      <c r="L667" s="486">
        <v>1.2615265846252439</v>
      </c>
      <c r="M667" s="17" t="str">
        <f t="shared" si="285"/>
        <v>151.051513050643,1.26152658462524</v>
      </c>
    </row>
    <row r="668" spans="1:13" x14ac:dyDescent="0.25">
      <c r="A668" s="85">
        <f t="shared" si="275"/>
        <v>378</v>
      </c>
      <c r="B668" s="296">
        <f t="shared" si="276"/>
        <v>104044.7457661629</v>
      </c>
      <c r="C668" s="296">
        <f t="shared" si="277"/>
        <v>489257.17148680595</v>
      </c>
      <c r="D668" s="85">
        <f t="shared" si="278"/>
        <v>4</v>
      </c>
      <c r="E668" s="17">
        <f t="shared" si="279"/>
        <v>0.39394466066733003</v>
      </c>
      <c r="F668" s="17">
        <f t="shared" si="280"/>
        <v>-7.1477338438853621E-2</v>
      </c>
      <c r="G668" s="17" t="str">
        <f t="shared" si="281"/>
        <v>104044.745766163,489257.171486806</v>
      </c>
      <c r="H668" s="16">
        <v>378</v>
      </c>
      <c r="I668" s="16">
        <f t="shared" si="282"/>
        <v>378</v>
      </c>
      <c r="J668" s="209">
        <f t="shared" si="283"/>
        <v>0.40037657970790475</v>
      </c>
      <c r="K668" s="209">
        <f t="shared" si="284"/>
        <v>151.45188963035059</v>
      </c>
      <c r="L668" s="486">
        <v>1.264667391777039</v>
      </c>
      <c r="M668" s="17" t="str">
        <f t="shared" si="285"/>
        <v>151.451889630351,1.26466739177704</v>
      </c>
    </row>
    <row r="669" spans="1:13" x14ac:dyDescent="0.25">
      <c r="A669" s="85">
        <f t="shared" si="275"/>
        <v>379</v>
      </c>
      <c r="B669" s="296">
        <f t="shared" si="276"/>
        <v>104045.13971082355</v>
      </c>
      <c r="C669" s="296">
        <f t="shared" si="277"/>
        <v>489257.10000946751</v>
      </c>
      <c r="D669" s="85">
        <f t="shared" si="278"/>
        <v>4</v>
      </c>
      <c r="E669" s="17">
        <f t="shared" si="279"/>
        <v>0.39394466065277811</v>
      </c>
      <c r="F669" s="17">
        <f t="shared" si="280"/>
        <v>-7.1477338438853621E-2</v>
      </c>
      <c r="G669" s="17" t="str">
        <f t="shared" si="281"/>
        <v>104045.139710824,489257.100009468</v>
      </c>
      <c r="H669" s="16">
        <v>379</v>
      </c>
      <c r="I669" s="16">
        <f t="shared" si="282"/>
        <v>379</v>
      </c>
      <c r="J669" s="209">
        <f t="shared" si="283"/>
        <v>0.40037657969358664</v>
      </c>
      <c r="K669" s="209">
        <f t="shared" si="284"/>
        <v>151.85226621004418</v>
      </c>
      <c r="L669" s="486">
        <v>1.2660197019577031</v>
      </c>
      <c r="M669" s="17" t="str">
        <f t="shared" si="285"/>
        <v>151.852266210044,1.2660197019577</v>
      </c>
    </row>
    <row r="670" spans="1:13" x14ac:dyDescent="0.25">
      <c r="A670" s="85">
        <f t="shared" si="275"/>
        <v>380</v>
      </c>
      <c r="B670" s="296">
        <f t="shared" si="276"/>
        <v>104045.53365548422</v>
      </c>
      <c r="C670" s="296">
        <f t="shared" si="277"/>
        <v>489257.02853212907</v>
      </c>
      <c r="D670" s="85">
        <f t="shared" si="278"/>
        <v>4</v>
      </c>
      <c r="E670" s="17">
        <f t="shared" si="279"/>
        <v>0.39394466066733003</v>
      </c>
      <c r="F670" s="17">
        <f t="shared" si="280"/>
        <v>-7.1477338438853621E-2</v>
      </c>
      <c r="G670" s="17" t="str">
        <f t="shared" si="281"/>
        <v>104045.533655484,489257.028532129</v>
      </c>
      <c r="H670" s="16">
        <v>380</v>
      </c>
      <c r="I670" s="16">
        <f t="shared" si="282"/>
        <v>380</v>
      </c>
      <c r="J670" s="209">
        <f t="shared" si="283"/>
        <v>0.40037657970790475</v>
      </c>
      <c r="K670" s="209">
        <f t="shared" si="284"/>
        <v>152.25264278975209</v>
      </c>
      <c r="L670" s="486">
        <v>1.2635374069213869</v>
      </c>
      <c r="M670" s="17" t="str">
        <f t="shared" si="285"/>
        <v>152.252642789752,1.26353740692139</v>
      </c>
    </row>
    <row r="671" spans="1:13" x14ac:dyDescent="0.25">
      <c r="A671" s="85">
        <f t="shared" si="275"/>
        <v>381</v>
      </c>
      <c r="B671" s="296">
        <f t="shared" si="276"/>
        <v>104045.92760014487</v>
      </c>
      <c r="C671" s="296">
        <f t="shared" si="277"/>
        <v>489256.95705479063</v>
      </c>
      <c r="D671" s="85">
        <f t="shared" si="278"/>
        <v>4</v>
      </c>
      <c r="E671" s="17">
        <f t="shared" si="279"/>
        <v>0.39394466065277811</v>
      </c>
      <c r="F671" s="17">
        <f t="shared" si="280"/>
        <v>-7.1477338438853621E-2</v>
      </c>
      <c r="G671" s="17" t="str">
        <f t="shared" si="281"/>
        <v>104045.927600145,489256.957054791</v>
      </c>
      <c r="H671" s="16">
        <v>381</v>
      </c>
      <c r="I671" s="16">
        <f t="shared" si="282"/>
        <v>381</v>
      </c>
      <c r="J671" s="209">
        <f t="shared" si="283"/>
        <v>0.40037657969358664</v>
      </c>
      <c r="K671" s="209">
        <f t="shared" si="284"/>
        <v>152.65301936944567</v>
      </c>
      <c r="L671" s="486">
        <v>1.2742185592651369</v>
      </c>
      <c r="M671" s="17" t="str">
        <f t="shared" si="285"/>
        <v>152.653019369446,1.27421855926514</v>
      </c>
    </row>
    <row r="672" spans="1:13" x14ac:dyDescent="0.25">
      <c r="A672" s="85">
        <f t="shared" si="275"/>
        <v>382</v>
      </c>
      <c r="B672" s="296">
        <f t="shared" si="276"/>
        <v>104046.32154480554</v>
      </c>
      <c r="C672" s="296">
        <f t="shared" si="277"/>
        <v>489256.88557745225</v>
      </c>
      <c r="D672" s="85">
        <f t="shared" si="278"/>
        <v>4</v>
      </c>
      <c r="E672" s="17">
        <f t="shared" si="279"/>
        <v>0.39394466066733003</v>
      </c>
      <c r="F672" s="17">
        <f t="shared" si="280"/>
        <v>-7.1477338380645961E-2</v>
      </c>
      <c r="G672" s="17" t="str">
        <f t="shared" si="281"/>
        <v>104046.321544806,489256.885577452</v>
      </c>
      <c r="H672" s="16">
        <v>382</v>
      </c>
      <c r="I672" s="16">
        <f t="shared" si="282"/>
        <v>382</v>
      </c>
      <c r="J672" s="209">
        <f t="shared" si="283"/>
        <v>0.40037657969751322</v>
      </c>
      <c r="K672" s="209">
        <f t="shared" si="284"/>
        <v>153.05339594914318</v>
      </c>
      <c r="L672" s="486">
        <v>1.268651604652405</v>
      </c>
      <c r="M672" s="17" t="str">
        <f t="shared" si="285"/>
        <v>153.053395949143,1.26865160465241</v>
      </c>
    </row>
    <row r="673" spans="1:13" x14ac:dyDescent="0.25">
      <c r="A673" s="85">
        <f t="shared" si="275"/>
        <v>383</v>
      </c>
      <c r="B673" s="296">
        <f t="shared" si="276"/>
        <v>104046.71548946621</v>
      </c>
      <c r="C673" s="296">
        <f t="shared" si="277"/>
        <v>489256.81410011381</v>
      </c>
      <c r="D673" s="85">
        <f t="shared" si="278"/>
        <v>4</v>
      </c>
      <c r="E673" s="17">
        <f t="shared" si="279"/>
        <v>0.39394466066733003</v>
      </c>
      <c r="F673" s="17">
        <f t="shared" si="280"/>
        <v>-7.1477338438853621E-2</v>
      </c>
      <c r="G673" s="17" t="str">
        <f t="shared" si="281"/>
        <v>104046.715489466,489256.814100114</v>
      </c>
      <c r="H673" s="16">
        <v>383</v>
      </c>
      <c r="I673" s="16">
        <f t="shared" si="282"/>
        <v>383</v>
      </c>
      <c r="J673" s="209">
        <f t="shared" si="283"/>
        <v>0.40037657970790475</v>
      </c>
      <c r="K673" s="209">
        <f t="shared" si="284"/>
        <v>153.45377252885109</v>
      </c>
      <c r="L673" s="486">
        <v>1.264607906341553</v>
      </c>
      <c r="M673" s="17" t="str">
        <f t="shared" si="285"/>
        <v>153.453772528851,1.26460790634155</v>
      </c>
    </row>
    <row r="674" spans="1:13" x14ac:dyDescent="0.25">
      <c r="A674" s="85">
        <f t="shared" si="275"/>
        <v>384</v>
      </c>
      <c r="B674" s="296">
        <f t="shared" si="276"/>
        <v>104047.10943412686</v>
      </c>
      <c r="C674" s="296">
        <f t="shared" si="277"/>
        <v>489256.74262277537</v>
      </c>
      <c r="D674" s="85">
        <f t="shared" si="278"/>
        <v>4</v>
      </c>
      <c r="E674" s="17">
        <f t="shared" si="279"/>
        <v>0.39394466065277811</v>
      </c>
      <c r="F674" s="17">
        <f t="shared" si="280"/>
        <v>-7.1477338438853621E-2</v>
      </c>
      <c r="G674" s="17" t="str">
        <f t="shared" si="281"/>
        <v>104047.109434127,489256.742622775</v>
      </c>
      <c r="H674" s="16">
        <v>384</v>
      </c>
      <c r="I674" s="16">
        <f t="shared" si="282"/>
        <v>384</v>
      </c>
      <c r="J674" s="209">
        <f t="shared" si="283"/>
        <v>0.40037657969358664</v>
      </c>
      <c r="K674" s="209">
        <f t="shared" si="284"/>
        <v>153.85414910854468</v>
      </c>
      <c r="L674" s="486">
        <v>1.2604154348373411</v>
      </c>
      <c r="M674" s="17" t="str">
        <f t="shared" si="285"/>
        <v>153.854149108545,1.26041543483734</v>
      </c>
    </row>
    <row r="675" spans="1:13" x14ac:dyDescent="0.25">
      <c r="A675" s="85">
        <f t="shared" si="275"/>
        <v>385</v>
      </c>
      <c r="B675" s="296">
        <f t="shared" si="276"/>
        <v>104047.50337878753</v>
      </c>
      <c r="C675" s="296">
        <f t="shared" si="277"/>
        <v>489256.67114543694</v>
      </c>
      <c r="D675" s="85">
        <f t="shared" si="278"/>
        <v>4</v>
      </c>
      <c r="E675" s="17">
        <f t="shared" si="279"/>
        <v>0.39394466066733003</v>
      </c>
      <c r="F675" s="17">
        <f t="shared" si="280"/>
        <v>-7.1477338438853621E-2</v>
      </c>
      <c r="G675" s="17" t="str">
        <f t="shared" si="281"/>
        <v>104047.503378788,489256.671145437</v>
      </c>
      <c r="H675" s="16">
        <v>385</v>
      </c>
      <c r="I675" s="16">
        <f t="shared" si="282"/>
        <v>385</v>
      </c>
      <c r="J675" s="209">
        <f t="shared" si="283"/>
        <v>0.40037657970790475</v>
      </c>
      <c r="K675" s="209">
        <f t="shared" si="284"/>
        <v>154.25452568825258</v>
      </c>
      <c r="L675" s="486">
        <v>1.2588043212890621</v>
      </c>
      <c r="M675" s="17" t="str">
        <f t="shared" si="285"/>
        <v>154.254525688253,1.25880432128906</v>
      </c>
    </row>
    <row r="676" spans="1:13" x14ac:dyDescent="0.25">
      <c r="A676" s="85">
        <f t="shared" si="275"/>
        <v>386</v>
      </c>
      <c r="B676" s="296">
        <f t="shared" si="276"/>
        <v>104047.89732344818</v>
      </c>
      <c r="C676" s="296">
        <f t="shared" si="277"/>
        <v>489256.5996680985</v>
      </c>
      <c r="D676" s="85">
        <f t="shared" si="278"/>
        <v>4</v>
      </c>
      <c r="E676" s="17">
        <f t="shared" si="279"/>
        <v>0.39394466065277811</v>
      </c>
      <c r="F676" s="17">
        <f t="shared" si="280"/>
        <v>-7.1477338438853621E-2</v>
      </c>
      <c r="G676" s="17" t="str">
        <f t="shared" si="281"/>
        <v>104047.897323448,489256.599668098</v>
      </c>
      <c r="H676" s="16">
        <v>386</v>
      </c>
      <c r="I676" s="16">
        <f t="shared" si="282"/>
        <v>386</v>
      </c>
      <c r="J676" s="209">
        <f t="shared" si="283"/>
        <v>0.40037657969358664</v>
      </c>
      <c r="K676" s="209">
        <f t="shared" si="284"/>
        <v>154.65490226794617</v>
      </c>
      <c r="L676" s="486">
        <v>1.2531083822250371</v>
      </c>
      <c r="M676" s="17" t="str">
        <f t="shared" si="285"/>
        <v>154.654902267946,1.25310838222504</v>
      </c>
    </row>
    <row r="677" spans="1:13" x14ac:dyDescent="0.25">
      <c r="A677" s="85">
        <f t="shared" si="275"/>
        <v>387</v>
      </c>
      <c r="B677" s="296">
        <f t="shared" si="276"/>
        <v>104048.29126810885</v>
      </c>
      <c r="C677" s="296">
        <f t="shared" si="277"/>
        <v>489256.52819076012</v>
      </c>
      <c r="D677" s="85">
        <f t="shared" si="278"/>
        <v>4</v>
      </c>
      <c r="E677" s="17">
        <f t="shared" si="279"/>
        <v>0.39394466066733003</v>
      </c>
      <c r="F677" s="17">
        <f t="shared" si="280"/>
        <v>-7.1477338380645961E-2</v>
      </c>
      <c r="G677" s="17" t="str">
        <f t="shared" si="281"/>
        <v>104048.291268109,489256.52819076</v>
      </c>
      <c r="H677" s="16">
        <v>387</v>
      </c>
      <c r="I677" s="16">
        <f t="shared" si="282"/>
        <v>387</v>
      </c>
      <c r="J677" s="209">
        <f t="shared" si="283"/>
        <v>0.40037657969751322</v>
      </c>
      <c r="K677" s="209">
        <f t="shared" si="284"/>
        <v>155.05527884764368</v>
      </c>
      <c r="L677" s="486">
        <v>1.264904260635376</v>
      </c>
      <c r="M677" s="17" t="str">
        <f t="shared" si="285"/>
        <v>155.055278847644,1.26490426063538</v>
      </c>
    </row>
    <row r="678" spans="1:13" x14ac:dyDescent="0.25">
      <c r="A678" s="85">
        <f t="shared" si="275"/>
        <v>388</v>
      </c>
      <c r="B678" s="296">
        <f t="shared" si="276"/>
        <v>104048.6852127695</v>
      </c>
      <c r="C678" s="296">
        <f t="shared" si="277"/>
        <v>489256.45671342168</v>
      </c>
      <c r="D678" s="85">
        <f t="shared" si="278"/>
        <v>4</v>
      </c>
      <c r="E678" s="17">
        <f t="shared" si="279"/>
        <v>0.39394466065277811</v>
      </c>
      <c r="F678" s="17">
        <f t="shared" si="280"/>
        <v>-7.1477338438853621E-2</v>
      </c>
      <c r="G678" s="17" t="str">
        <f t="shared" si="281"/>
        <v>104048.68521277,489256.456713422</v>
      </c>
      <c r="H678" s="16">
        <v>388</v>
      </c>
      <c r="I678" s="16">
        <f t="shared" si="282"/>
        <v>388</v>
      </c>
      <c r="J678" s="209">
        <f t="shared" si="283"/>
        <v>0.40037657969358664</v>
      </c>
      <c r="K678" s="209">
        <f t="shared" si="284"/>
        <v>155.45565542733726</v>
      </c>
      <c r="L678" s="486">
        <v>1.2798947095870969</v>
      </c>
      <c r="M678" s="17" t="str">
        <f t="shared" si="285"/>
        <v>155.455655427337,1.2798947095871</v>
      </c>
    </row>
    <row r="679" spans="1:13" x14ac:dyDescent="0.25">
      <c r="A679" s="85">
        <f t="shared" si="275"/>
        <v>389</v>
      </c>
      <c r="B679" s="296">
        <f t="shared" si="276"/>
        <v>104049.07915743017</v>
      </c>
      <c r="C679" s="296">
        <f t="shared" si="277"/>
        <v>489256.38523608324</v>
      </c>
      <c r="D679" s="85">
        <f t="shared" si="278"/>
        <v>4</v>
      </c>
      <c r="E679" s="17">
        <f t="shared" si="279"/>
        <v>0.39394466066733003</v>
      </c>
      <c r="F679" s="17">
        <f t="shared" si="280"/>
        <v>-7.1477338438853621E-2</v>
      </c>
      <c r="G679" s="17" t="str">
        <f t="shared" si="281"/>
        <v>104049.07915743,489256.385236083</v>
      </c>
      <c r="H679" s="16">
        <v>389</v>
      </c>
      <c r="I679" s="16">
        <f t="shared" si="282"/>
        <v>389</v>
      </c>
      <c r="J679" s="209">
        <f t="shared" si="283"/>
        <v>0.40037657970790475</v>
      </c>
      <c r="K679" s="209">
        <f t="shared" si="284"/>
        <v>155.85603200704517</v>
      </c>
      <c r="L679" s="486">
        <v>1.283241391181946</v>
      </c>
      <c r="M679" s="17" t="str">
        <f t="shared" si="285"/>
        <v>155.856032007045,1.28324139118195</v>
      </c>
    </row>
    <row r="680" spans="1:13" x14ac:dyDescent="0.25">
      <c r="A680" s="85">
        <f t="shared" si="275"/>
        <v>390</v>
      </c>
      <c r="B680" s="296">
        <f t="shared" si="276"/>
        <v>104049.47310209082</v>
      </c>
      <c r="C680" s="296">
        <f t="shared" si="277"/>
        <v>489256.3137587448</v>
      </c>
      <c r="D680" s="85">
        <f t="shared" si="278"/>
        <v>4</v>
      </c>
      <c r="E680" s="17">
        <f t="shared" si="279"/>
        <v>0.39394466065277811</v>
      </c>
      <c r="F680" s="17">
        <f t="shared" si="280"/>
        <v>-7.1477338438853621E-2</v>
      </c>
      <c r="G680" s="17" t="str">
        <f t="shared" si="281"/>
        <v>104049.473102091,489256.313758745</v>
      </c>
      <c r="H680" s="16">
        <v>390</v>
      </c>
      <c r="I680" s="16">
        <f t="shared" si="282"/>
        <v>390</v>
      </c>
      <c r="J680" s="209">
        <f t="shared" si="283"/>
        <v>0.40037657969358664</v>
      </c>
      <c r="K680" s="209">
        <f t="shared" si="284"/>
        <v>156.25640858673876</v>
      </c>
      <c r="L680" s="486">
        <v>1.280806183815002</v>
      </c>
      <c r="M680" s="17" t="str">
        <f t="shared" si="285"/>
        <v>156.256408586739,1.280806183815</v>
      </c>
    </row>
    <row r="681" spans="1:13" x14ac:dyDescent="0.25">
      <c r="A681" s="85">
        <f t="shared" si="275"/>
        <v>391</v>
      </c>
      <c r="B681" s="296">
        <f t="shared" si="276"/>
        <v>104049.86704675149</v>
      </c>
      <c r="C681" s="296">
        <f t="shared" si="277"/>
        <v>489256.24228140636</v>
      </c>
      <c r="D681" s="85">
        <f t="shared" si="278"/>
        <v>4</v>
      </c>
      <c r="E681" s="17">
        <f t="shared" si="279"/>
        <v>0.39394466066733003</v>
      </c>
      <c r="F681" s="17">
        <f t="shared" si="280"/>
        <v>-7.1477338438853621E-2</v>
      </c>
      <c r="G681" s="17" t="str">
        <f t="shared" si="281"/>
        <v>104049.867046751,489256.242281406</v>
      </c>
      <c r="H681" s="16">
        <v>391</v>
      </c>
      <c r="I681" s="16">
        <f t="shared" si="282"/>
        <v>391</v>
      </c>
      <c r="J681" s="209">
        <f t="shared" si="283"/>
        <v>0.40037657970790475</v>
      </c>
      <c r="K681" s="209">
        <f t="shared" si="284"/>
        <v>156.65678516644667</v>
      </c>
      <c r="L681" s="486">
        <v>1.278724789619446</v>
      </c>
      <c r="M681" s="17" t="str">
        <f t="shared" si="285"/>
        <v>156.656785166447,1.27872478961945</v>
      </c>
    </row>
    <row r="682" spans="1:13" x14ac:dyDescent="0.25">
      <c r="A682" s="85">
        <f t="shared" si="275"/>
        <v>392</v>
      </c>
      <c r="B682" s="296">
        <f t="shared" si="276"/>
        <v>104050.26099141214</v>
      </c>
      <c r="C682" s="296">
        <f t="shared" si="277"/>
        <v>489256.17080406792</v>
      </c>
      <c r="D682" s="85">
        <f t="shared" si="278"/>
        <v>4</v>
      </c>
      <c r="E682" s="17">
        <f t="shared" si="279"/>
        <v>0.39394466065277811</v>
      </c>
      <c r="F682" s="17">
        <f t="shared" si="280"/>
        <v>-7.1477338438853621E-2</v>
      </c>
      <c r="G682" s="17" t="str">
        <f t="shared" si="281"/>
        <v>104050.260991412,489256.170804068</v>
      </c>
      <c r="H682" s="16">
        <v>392</v>
      </c>
      <c r="I682" s="16">
        <f t="shared" si="282"/>
        <v>392</v>
      </c>
      <c r="J682" s="209">
        <f t="shared" si="283"/>
        <v>0.40037657969358664</v>
      </c>
      <c r="K682" s="209">
        <f t="shared" si="284"/>
        <v>157.05716174614025</v>
      </c>
      <c r="L682" s="486">
        <v>1.286076545715332</v>
      </c>
      <c r="M682" s="17" t="str">
        <f t="shared" si="285"/>
        <v>157.05716174614,1.28607654571533</v>
      </c>
    </row>
    <row r="683" spans="1:13" x14ac:dyDescent="0.25">
      <c r="A683" s="85">
        <f t="shared" si="275"/>
        <v>393</v>
      </c>
      <c r="B683" s="296">
        <f t="shared" si="276"/>
        <v>104050.65493607281</v>
      </c>
      <c r="C683" s="296">
        <f t="shared" si="277"/>
        <v>489256.09932672954</v>
      </c>
      <c r="D683" s="85">
        <f t="shared" si="278"/>
        <v>4</v>
      </c>
      <c r="E683" s="17">
        <f t="shared" si="279"/>
        <v>0.39394466066733003</v>
      </c>
      <c r="F683" s="17">
        <f t="shared" si="280"/>
        <v>-7.1477338380645961E-2</v>
      </c>
      <c r="G683" s="17" t="str">
        <f t="shared" si="281"/>
        <v>104050.654936073,489256.09932673</v>
      </c>
      <c r="H683" s="16">
        <v>393</v>
      </c>
      <c r="I683" s="16">
        <f t="shared" si="282"/>
        <v>393</v>
      </c>
      <c r="J683" s="209">
        <f t="shared" si="283"/>
        <v>0.40037657969751322</v>
      </c>
      <c r="K683" s="209">
        <f t="shared" si="284"/>
        <v>157.45753832583776</v>
      </c>
      <c r="L683" s="486">
        <v>1.2983818054199221</v>
      </c>
      <c r="M683" s="17" t="str">
        <f t="shared" si="285"/>
        <v>157.457538325838,1.29838180541992</v>
      </c>
    </row>
    <row r="684" spans="1:13" x14ac:dyDescent="0.25">
      <c r="A684" s="85">
        <f t="shared" si="275"/>
        <v>394</v>
      </c>
      <c r="B684" s="296">
        <f t="shared" si="276"/>
        <v>104051.04888073346</v>
      </c>
      <c r="C684" s="296">
        <f t="shared" si="277"/>
        <v>489256.0278493911</v>
      </c>
      <c r="D684" s="85">
        <f t="shared" si="278"/>
        <v>4</v>
      </c>
      <c r="E684" s="17">
        <f t="shared" si="279"/>
        <v>0.39394466065277811</v>
      </c>
      <c r="F684" s="17">
        <f t="shared" si="280"/>
        <v>-7.1477338438853621E-2</v>
      </c>
      <c r="G684" s="17" t="str">
        <f t="shared" si="281"/>
        <v>104051.048880733,489256.027849391</v>
      </c>
      <c r="H684" s="16">
        <v>394</v>
      </c>
      <c r="I684" s="16">
        <f t="shared" si="282"/>
        <v>394</v>
      </c>
      <c r="J684" s="209">
        <f t="shared" si="283"/>
        <v>0.40037657969358664</v>
      </c>
      <c r="K684" s="209">
        <f t="shared" si="284"/>
        <v>157.85791490553135</v>
      </c>
      <c r="L684" s="486">
        <v>1.29543125629425</v>
      </c>
      <c r="M684" s="17" t="str">
        <f t="shared" si="285"/>
        <v>157.857914905531,1.29543125629425</v>
      </c>
    </row>
    <row r="685" spans="1:13" x14ac:dyDescent="0.25">
      <c r="A685" s="85">
        <f t="shared" si="275"/>
        <v>395</v>
      </c>
      <c r="B685" s="296">
        <f t="shared" si="276"/>
        <v>104051.44282539413</v>
      </c>
      <c r="C685" s="296">
        <f t="shared" si="277"/>
        <v>489255.95637205266</v>
      </c>
      <c r="D685" s="85">
        <f t="shared" si="278"/>
        <v>4</v>
      </c>
      <c r="E685" s="17">
        <f t="shared" si="279"/>
        <v>0.39394466066733003</v>
      </c>
      <c r="F685" s="17">
        <f t="shared" si="280"/>
        <v>-7.1477338438853621E-2</v>
      </c>
      <c r="G685" s="17" t="str">
        <f t="shared" si="281"/>
        <v>104051.442825394,489255.956372053</v>
      </c>
      <c r="H685" s="16">
        <v>395</v>
      </c>
      <c r="I685" s="16">
        <f t="shared" si="282"/>
        <v>395</v>
      </c>
      <c r="J685" s="209">
        <f t="shared" si="283"/>
        <v>0.40037657970790475</v>
      </c>
      <c r="K685" s="209">
        <f t="shared" si="284"/>
        <v>158.25829148523925</v>
      </c>
      <c r="L685" s="486">
        <v>1.3005789518356321</v>
      </c>
      <c r="M685" s="17" t="str">
        <f t="shared" si="285"/>
        <v>158.258291485239,1.30057895183563</v>
      </c>
    </row>
    <row r="686" spans="1:13" x14ac:dyDescent="0.25">
      <c r="A686" s="85">
        <f t="shared" si="275"/>
        <v>396</v>
      </c>
      <c r="B686" s="296">
        <f t="shared" si="276"/>
        <v>104051.8367700548</v>
      </c>
      <c r="C686" s="296">
        <f t="shared" si="277"/>
        <v>489255.88489471423</v>
      </c>
      <c r="D686" s="85">
        <f t="shared" si="278"/>
        <v>4</v>
      </c>
      <c r="E686" s="17">
        <f t="shared" si="279"/>
        <v>0.39394466066733003</v>
      </c>
      <c r="F686" s="17">
        <f t="shared" si="280"/>
        <v>-7.1477338438853621E-2</v>
      </c>
      <c r="G686" s="17" t="str">
        <f t="shared" si="281"/>
        <v>104051.836770055,489255.884894714</v>
      </c>
      <c r="H686" s="16">
        <v>396</v>
      </c>
      <c r="I686" s="16">
        <f t="shared" si="282"/>
        <v>396</v>
      </c>
      <c r="J686" s="209">
        <f t="shared" si="283"/>
        <v>0.40037657970790475</v>
      </c>
      <c r="K686" s="209">
        <f t="shared" si="284"/>
        <v>158.65866806494716</v>
      </c>
      <c r="L686" s="486">
        <v>1.289777994155884</v>
      </c>
      <c r="M686" s="17" t="str">
        <f t="shared" si="285"/>
        <v>158.658668064947,1.28977799415588</v>
      </c>
    </row>
    <row r="687" spans="1:13" x14ac:dyDescent="0.25">
      <c r="A687" s="85">
        <f t="shared" si="275"/>
        <v>397</v>
      </c>
      <c r="B687" s="296">
        <f t="shared" si="276"/>
        <v>104052.23071471545</v>
      </c>
      <c r="C687" s="296">
        <f t="shared" si="277"/>
        <v>489255.81341737579</v>
      </c>
      <c r="D687" s="85">
        <f t="shared" si="278"/>
        <v>4</v>
      </c>
      <c r="E687" s="17">
        <f t="shared" si="279"/>
        <v>0.39394466065277811</v>
      </c>
      <c r="F687" s="17">
        <f t="shared" si="280"/>
        <v>-7.1477338438853621E-2</v>
      </c>
      <c r="G687" s="17" t="str">
        <f t="shared" si="281"/>
        <v>104052.230714715,489255.813417376</v>
      </c>
      <c r="H687" s="16">
        <v>397</v>
      </c>
      <c r="I687" s="16">
        <f t="shared" si="282"/>
        <v>397</v>
      </c>
      <c r="J687" s="209">
        <f t="shared" si="283"/>
        <v>0.40037657969358664</v>
      </c>
      <c r="K687" s="209">
        <f t="shared" si="284"/>
        <v>159.05904464464075</v>
      </c>
      <c r="L687" s="486">
        <v>1.302804112434387</v>
      </c>
      <c r="M687" s="17" t="str">
        <f t="shared" si="285"/>
        <v>159.059044644641,1.30280411243439</v>
      </c>
    </row>
    <row r="688" spans="1:13" x14ac:dyDescent="0.25">
      <c r="A688" s="85">
        <f t="shared" si="275"/>
        <v>398</v>
      </c>
      <c r="B688" s="296">
        <f t="shared" si="276"/>
        <v>104052.62465937612</v>
      </c>
      <c r="C688" s="296">
        <f t="shared" si="277"/>
        <v>489255.74194003741</v>
      </c>
      <c r="D688" s="85">
        <f t="shared" si="278"/>
        <v>4</v>
      </c>
      <c r="E688" s="17">
        <f t="shared" si="279"/>
        <v>0.39394466066733003</v>
      </c>
      <c r="F688" s="17">
        <f t="shared" si="280"/>
        <v>-7.1477338380645961E-2</v>
      </c>
      <c r="G688" s="17" t="str">
        <f t="shared" si="281"/>
        <v>104052.624659376,489255.741940037</v>
      </c>
      <c r="H688" s="16">
        <v>398</v>
      </c>
      <c r="I688" s="16">
        <f t="shared" si="282"/>
        <v>398</v>
      </c>
      <c r="J688" s="209">
        <f t="shared" si="283"/>
        <v>0.40037657969751322</v>
      </c>
      <c r="K688" s="209">
        <f t="shared" si="284"/>
        <v>159.45942122433826</v>
      </c>
      <c r="L688" s="486">
        <v>1.3132181167602539</v>
      </c>
      <c r="M688" s="17" t="str">
        <f t="shared" si="285"/>
        <v>159.459421224338,1.31321811676025</v>
      </c>
    </row>
    <row r="689" spans="1:13" x14ac:dyDescent="0.25">
      <c r="A689" s="85">
        <f t="shared" si="275"/>
        <v>399</v>
      </c>
      <c r="B689" s="296">
        <f t="shared" si="276"/>
        <v>104053.01860403677</v>
      </c>
      <c r="C689" s="296">
        <f t="shared" si="277"/>
        <v>489255.67046269897</v>
      </c>
      <c r="D689" s="85">
        <f t="shared" si="278"/>
        <v>4</v>
      </c>
      <c r="E689" s="17">
        <f t="shared" si="279"/>
        <v>0.39394466065277811</v>
      </c>
      <c r="F689" s="17">
        <f t="shared" si="280"/>
        <v>-7.1477338438853621E-2</v>
      </c>
      <c r="G689" s="17" t="str">
        <f t="shared" si="281"/>
        <v>104053.018604037,489255.670462699</v>
      </c>
      <c r="H689" s="16">
        <v>399</v>
      </c>
      <c r="I689" s="16">
        <f t="shared" si="282"/>
        <v>399</v>
      </c>
      <c r="J689" s="209">
        <f t="shared" si="283"/>
        <v>0.40037657969358664</v>
      </c>
      <c r="K689" s="209">
        <f t="shared" si="284"/>
        <v>159.85979780403184</v>
      </c>
      <c r="L689" s="486">
        <v>1.3277215957641599</v>
      </c>
      <c r="M689" s="17" t="str">
        <f t="shared" si="285"/>
        <v>159.859797804032,1.32772159576416</v>
      </c>
    </row>
    <row r="690" spans="1:13" x14ac:dyDescent="0.25">
      <c r="A690" s="85">
        <f t="shared" si="275"/>
        <v>400</v>
      </c>
      <c r="B690" s="296">
        <f t="shared" si="276"/>
        <v>104053.41254869744</v>
      </c>
      <c r="C690" s="296">
        <f t="shared" si="277"/>
        <v>489255.59898536053</v>
      </c>
      <c r="D690" s="85">
        <f t="shared" si="278"/>
        <v>4</v>
      </c>
      <c r="E690" s="17">
        <f t="shared" si="279"/>
        <v>0.39394466066733003</v>
      </c>
      <c r="F690" s="17">
        <f t="shared" si="280"/>
        <v>-7.1477338438853621E-2</v>
      </c>
      <c r="G690" s="17" t="str">
        <f t="shared" si="281"/>
        <v>104053.412548697,489255.598985361</v>
      </c>
      <c r="H690" s="16">
        <v>400</v>
      </c>
      <c r="I690" s="16">
        <f t="shared" si="282"/>
        <v>400</v>
      </c>
      <c r="J690" s="209">
        <f t="shared" si="283"/>
        <v>0.40037657970790475</v>
      </c>
      <c r="K690" s="209">
        <f t="shared" si="284"/>
        <v>160.26017438373975</v>
      </c>
      <c r="L690" s="486">
        <v>1.330778956413269</v>
      </c>
      <c r="M690" s="17" t="str">
        <f t="shared" si="285"/>
        <v>160.26017438374,1.33077895641327</v>
      </c>
    </row>
    <row r="691" spans="1:13" x14ac:dyDescent="0.25">
      <c r="A691" s="85">
        <f t="shared" si="275"/>
        <v>401</v>
      </c>
      <c r="B691" s="296">
        <f t="shared" si="276"/>
        <v>104053.80649335809</v>
      </c>
      <c r="C691" s="296">
        <f t="shared" si="277"/>
        <v>489255.52750802209</v>
      </c>
      <c r="D691" s="85">
        <f t="shared" si="278"/>
        <v>4</v>
      </c>
      <c r="E691" s="17">
        <f t="shared" si="279"/>
        <v>0.39394466065277811</v>
      </c>
      <c r="F691" s="17">
        <f t="shared" si="280"/>
        <v>-7.1477338438853621E-2</v>
      </c>
      <c r="G691" s="17" t="str">
        <f t="shared" si="281"/>
        <v>104053.806493358,489255.527508022</v>
      </c>
      <c r="H691" s="16">
        <v>401</v>
      </c>
      <c r="I691" s="16">
        <f t="shared" si="282"/>
        <v>401</v>
      </c>
      <c r="J691" s="209">
        <f t="shared" si="283"/>
        <v>0.40037657969358664</v>
      </c>
      <c r="K691" s="209">
        <f t="shared" si="284"/>
        <v>160.66055096343334</v>
      </c>
      <c r="L691" s="486">
        <v>1.3457247018814089</v>
      </c>
      <c r="M691" s="17" t="str">
        <f t="shared" si="285"/>
        <v>160.660550963433,1.34572470188141</v>
      </c>
    </row>
    <row r="692" spans="1:13" x14ac:dyDescent="0.25">
      <c r="A692" s="85">
        <f t="shared" si="275"/>
        <v>402</v>
      </c>
      <c r="B692" s="296">
        <f t="shared" si="276"/>
        <v>104054.20043801876</v>
      </c>
      <c r="C692" s="296">
        <f t="shared" si="277"/>
        <v>489255.45603068365</v>
      </c>
      <c r="D692" s="85">
        <f t="shared" si="278"/>
        <v>4</v>
      </c>
      <c r="E692" s="17">
        <f t="shared" si="279"/>
        <v>0.39394466066733003</v>
      </c>
      <c r="F692" s="17">
        <f t="shared" si="280"/>
        <v>-7.1477338438853621E-2</v>
      </c>
      <c r="G692" s="17" t="str">
        <f t="shared" si="281"/>
        <v>104054.200438019,489255.456030684</v>
      </c>
      <c r="H692" s="16">
        <v>402</v>
      </c>
      <c r="I692" s="16">
        <f t="shared" si="282"/>
        <v>402</v>
      </c>
      <c r="J692" s="209">
        <f t="shared" si="283"/>
        <v>0.40037657970790475</v>
      </c>
      <c r="K692" s="209">
        <f t="shared" si="284"/>
        <v>161.06092754314125</v>
      </c>
      <c r="L692" s="486">
        <v>1.356934189796448</v>
      </c>
      <c r="M692" s="17" t="str">
        <f t="shared" si="285"/>
        <v>161.060927543141,1.35693418979645</v>
      </c>
    </row>
    <row r="693" spans="1:13" x14ac:dyDescent="0.25">
      <c r="A693" s="85">
        <f t="shared" si="275"/>
        <v>403</v>
      </c>
      <c r="B693" s="296">
        <f t="shared" si="276"/>
        <v>104054.59438267941</v>
      </c>
      <c r="C693" s="296">
        <f t="shared" si="277"/>
        <v>489255.38455334527</v>
      </c>
      <c r="D693" s="85">
        <f t="shared" si="278"/>
        <v>4</v>
      </c>
      <c r="E693" s="17">
        <f t="shared" si="279"/>
        <v>0.39394466065277811</v>
      </c>
      <c r="F693" s="17">
        <f t="shared" si="280"/>
        <v>-7.1477338380645961E-2</v>
      </c>
      <c r="G693" s="17" t="str">
        <f t="shared" si="281"/>
        <v>104054.594382679,489255.384553345</v>
      </c>
      <c r="H693" s="16">
        <v>403</v>
      </c>
      <c r="I693" s="16">
        <f t="shared" si="282"/>
        <v>403</v>
      </c>
      <c r="J693" s="209">
        <f t="shared" si="283"/>
        <v>0.40037657968319512</v>
      </c>
      <c r="K693" s="209">
        <f t="shared" si="284"/>
        <v>161.46130412282443</v>
      </c>
      <c r="L693" s="486">
        <v>1.3596633672714229</v>
      </c>
      <c r="M693" s="17" t="str">
        <f t="shared" si="285"/>
        <v>161.461304122824,1.35966336727142</v>
      </c>
    </row>
    <row r="694" spans="1:13" x14ac:dyDescent="0.25">
      <c r="A694" s="85">
        <f t="shared" si="275"/>
        <v>404</v>
      </c>
      <c r="B694" s="296">
        <f t="shared" si="276"/>
        <v>104054.98832734008</v>
      </c>
      <c r="C694" s="296">
        <f t="shared" si="277"/>
        <v>489255.31307600683</v>
      </c>
      <c r="D694" s="85">
        <f t="shared" si="278"/>
        <v>4</v>
      </c>
      <c r="E694" s="17">
        <f t="shared" si="279"/>
        <v>0.39394466066733003</v>
      </c>
      <c r="F694" s="17">
        <f t="shared" si="280"/>
        <v>-7.1477338438853621E-2</v>
      </c>
      <c r="G694" s="17" t="str">
        <f t="shared" si="281"/>
        <v>104054.98832734,489255.313076007</v>
      </c>
      <c r="H694" s="16">
        <v>404</v>
      </c>
      <c r="I694" s="16">
        <f t="shared" si="282"/>
        <v>404</v>
      </c>
      <c r="J694" s="209">
        <f t="shared" si="283"/>
        <v>0.40037657970790475</v>
      </c>
      <c r="K694" s="209">
        <f t="shared" si="284"/>
        <v>161.86168070253234</v>
      </c>
      <c r="L694" s="486">
        <v>1.355260372161865</v>
      </c>
      <c r="M694" s="17" t="str">
        <f t="shared" si="285"/>
        <v>161.861680702532,1.35526037216187</v>
      </c>
    </row>
    <row r="695" spans="1:13" x14ac:dyDescent="0.25">
      <c r="A695" s="85">
        <f t="shared" ref="A695:A737" si="286">IF(A694&lt;J$269,A694+1,"")</f>
        <v>405</v>
      </c>
      <c r="B695" s="296">
        <f t="shared" ref="B695:B737" si="287">IF(A695="","",IF(A694&lt;=C$270,B$273+(A694*E$274/C$269),IF(A694&lt;=D$270,B$274+(D$275*COS(RADIANS(G$275+((A694-C$270)*H$276/D$269))))-E$275,IF(A694&lt;=E$270,B$276+((A694-D$270)*E$277/E$269),IF(A694&lt;=F$270,B$277+(D$278*COS(RADIANS(G$278+((A694-E$270)*H$279/F$269))))-E$278,IF(A694&lt;=G$270,B$279+((A694-F$270)*E$280/G$269),IF(A694&lt;=H$270,B$280+(D$281*COS(RADIANS(G$281+((A694-G$270)*H$282/H$269))))-E$281,IF(A694&lt;=I$270,B$282+((A694-H$270)*E$283/I$269),"CHECK FORMULE"))))))))</f>
        <v>104055.38227200073</v>
      </c>
      <c r="C695" s="296">
        <f t="shared" ref="C695:C737" si="288">IF(A695="","",IF(A694&lt;=C$270,C$273+(A694*F$274/C$269),IF(A694&lt;=D$270,C$274+(D$275*SIN(RADIANS(G$275+((A694-C$270)*H$276/D$269))))-F$275,IF(A694&lt;=E$270,C$276+((A694-D$270)*F$277/E$269),IF(A694&lt;=F$270,C$277+(D$278*SIN(RADIANS(G$278+((A694-E$270)*H$279/F$269))))-F$278,IF(A694&lt;=G$270,C$279+((A694-F$270)*F$280/G$269),IF(A694&lt;=H$270,C$280+(D$281*SIN(RADIANS(G$281+((A694-G$270)*H$282/H$269))))-F$281,IF(A694&lt;=I$270,C$282+((A694-H$270)*F$283/I$269),"CHECK FORMULE"))))))))</f>
        <v>489255.24159866839</v>
      </c>
      <c r="D695" s="85">
        <f t="shared" ref="D695:D737" si="289">_xlfn.SINGLE(_xlfn.XLOOKUP(B695,B$273:B$284,A$273:A$284,D694))</f>
        <v>4</v>
      </c>
      <c r="E695" s="17">
        <f t="shared" ref="E695:E737" si="290">IF(A695="","",B695-B694)</f>
        <v>0.39394466065277811</v>
      </c>
      <c r="F695" s="17">
        <f t="shared" ref="F695:F737" si="291">IF(A695="","",C695-C694)</f>
        <v>-7.1477338438853621E-2</v>
      </c>
      <c r="G695" s="17" t="str">
        <f t="shared" ref="G695:G737" si="292">IF(E695="","",B695&amp;","&amp;C695)</f>
        <v>104055.382272001,489255.241598668</v>
      </c>
      <c r="H695" s="16">
        <v>405</v>
      </c>
      <c r="I695" s="16">
        <f t="shared" ref="I695:I737" si="293">IF(J695="","",I694+1)</f>
        <v>405</v>
      </c>
      <c r="J695" s="209">
        <f t="shared" ref="J695:J737" si="294">IF(E695="","",(E695^2+F695^2)^0.5)</f>
        <v>0.40037657969358664</v>
      </c>
      <c r="K695" s="209">
        <f t="shared" ref="K695:K737" si="295">IF(E695="","",K694+J695)</f>
        <v>162.26205728222592</v>
      </c>
      <c r="L695" s="486">
        <v>1.362667560577393</v>
      </c>
      <c r="M695" s="17" t="str">
        <f t="shared" ref="M695:M737" si="296">IF(L695="","",K695&amp;","&amp;L695)</f>
        <v>162.262057282226,1.36266756057739</v>
      </c>
    </row>
    <row r="696" spans="1:13" x14ac:dyDescent="0.25">
      <c r="A696" s="85">
        <f t="shared" si="286"/>
        <v>406</v>
      </c>
      <c r="B696" s="296">
        <f t="shared" si="287"/>
        <v>104055.7762166614</v>
      </c>
      <c r="C696" s="296">
        <f t="shared" si="288"/>
        <v>489255.17012132995</v>
      </c>
      <c r="D696" s="85">
        <f t="shared" si="289"/>
        <v>4</v>
      </c>
      <c r="E696" s="17">
        <f t="shared" si="290"/>
        <v>0.39394466066733003</v>
      </c>
      <c r="F696" s="17">
        <f t="shared" si="291"/>
        <v>-7.1477338438853621E-2</v>
      </c>
      <c r="G696" s="17" t="str">
        <f t="shared" si="292"/>
        <v>104055.776216661,489255.17012133</v>
      </c>
      <c r="H696" s="16">
        <v>406</v>
      </c>
      <c r="I696" s="16">
        <f t="shared" si="293"/>
        <v>406</v>
      </c>
      <c r="J696" s="209">
        <f t="shared" si="294"/>
        <v>0.40037657970790475</v>
      </c>
      <c r="K696" s="209">
        <f t="shared" si="295"/>
        <v>162.66243386193383</v>
      </c>
      <c r="L696" s="486">
        <v>1.35742712020874</v>
      </c>
      <c r="M696" s="17" t="str">
        <f t="shared" si="296"/>
        <v>162.662433861934,1.35742712020874</v>
      </c>
    </row>
    <row r="697" spans="1:13" x14ac:dyDescent="0.25">
      <c r="A697" s="85">
        <f t="shared" si="286"/>
        <v>407</v>
      </c>
      <c r="B697" s="296">
        <f t="shared" si="287"/>
        <v>104056.17016132206</v>
      </c>
      <c r="C697" s="296">
        <f t="shared" si="288"/>
        <v>489255.09864399151</v>
      </c>
      <c r="D697" s="85">
        <f t="shared" si="289"/>
        <v>4</v>
      </c>
      <c r="E697" s="17">
        <f t="shared" si="290"/>
        <v>0.39394466066733003</v>
      </c>
      <c r="F697" s="17">
        <f t="shared" si="291"/>
        <v>-7.1477338438853621E-2</v>
      </c>
      <c r="G697" s="17" t="str">
        <f t="shared" si="292"/>
        <v>104056.170161322,489255.098643992</v>
      </c>
      <c r="H697" s="16">
        <v>407</v>
      </c>
      <c r="I697" s="16">
        <f t="shared" si="293"/>
        <v>407</v>
      </c>
      <c r="J697" s="209">
        <f t="shared" si="294"/>
        <v>0.40037657970790475</v>
      </c>
      <c r="K697" s="209">
        <f t="shared" si="295"/>
        <v>163.06281044164174</v>
      </c>
      <c r="L697" s="486">
        <v>1.3679196834564209</v>
      </c>
      <c r="M697" s="17" t="str">
        <f t="shared" si="296"/>
        <v>163.062810441642,1.36791968345642</v>
      </c>
    </row>
    <row r="698" spans="1:13" x14ac:dyDescent="0.25">
      <c r="A698" s="85">
        <f t="shared" si="286"/>
        <v>408</v>
      </c>
      <c r="B698" s="296">
        <f t="shared" si="287"/>
        <v>104056.56410598272</v>
      </c>
      <c r="C698" s="296">
        <f t="shared" si="288"/>
        <v>489255.02716665308</v>
      </c>
      <c r="D698" s="85">
        <f t="shared" si="289"/>
        <v>4</v>
      </c>
      <c r="E698" s="17">
        <f t="shared" si="290"/>
        <v>0.39394466065277811</v>
      </c>
      <c r="F698" s="17">
        <f t="shared" si="291"/>
        <v>-7.1477338438853621E-2</v>
      </c>
      <c r="G698" s="17" t="str">
        <f t="shared" si="292"/>
        <v>104056.564105983,489255.027166653</v>
      </c>
      <c r="H698" s="16">
        <v>408</v>
      </c>
      <c r="I698" s="16">
        <f t="shared" si="293"/>
        <v>408</v>
      </c>
      <c r="J698" s="209">
        <f t="shared" si="294"/>
        <v>0.40037657969358664</v>
      </c>
      <c r="K698" s="209">
        <f t="shared" si="295"/>
        <v>163.46318702133533</v>
      </c>
      <c r="L698" s="486">
        <v>1.3888707160949709</v>
      </c>
      <c r="M698" s="17" t="str">
        <f t="shared" si="296"/>
        <v>163.463187021335,1.38887071609497</v>
      </c>
    </row>
    <row r="699" spans="1:13" x14ac:dyDescent="0.25">
      <c r="A699" s="85">
        <f t="shared" si="286"/>
        <v>409</v>
      </c>
      <c r="B699" s="296">
        <f t="shared" si="287"/>
        <v>104056.95805064338</v>
      </c>
      <c r="C699" s="296">
        <f t="shared" si="288"/>
        <v>489254.95568931469</v>
      </c>
      <c r="D699" s="85">
        <f t="shared" si="289"/>
        <v>4</v>
      </c>
      <c r="E699" s="17">
        <f t="shared" si="290"/>
        <v>0.39394466066733003</v>
      </c>
      <c r="F699" s="17">
        <f t="shared" si="291"/>
        <v>-7.1477338380645961E-2</v>
      </c>
      <c r="G699" s="17" t="str">
        <f t="shared" si="292"/>
        <v>104056.958050643,489254.955689315</v>
      </c>
      <c r="H699" s="16">
        <v>409</v>
      </c>
      <c r="I699" s="16">
        <f t="shared" si="293"/>
        <v>409</v>
      </c>
      <c r="J699" s="209">
        <f t="shared" si="294"/>
        <v>0.40037657969751322</v>
      </c>
      <c r="K699" s="209">
        <f t="shared" si="295"/>
        <v>163.86356360103284</v>
      </c>
      <c r="L699" s="486">
        <v>1.369462251663208</v>
      </c>
      <c r="M699" s="17" t="str">
        <f t="shared" si="296"/>
        <v>163.863563601033,1.36946225166321</v>
      </c>
    </row>
    <row r="700" spans="1:13" x14ac:dyDescent="0.25">
      <c r="A700" s="85">
        <f t="shared" si="286"/>
        <v>410</v>
      </c>
      <c r="B700" s="296">
        <f t="shared" si="287"/>
        <v>104057.35199530404</v>
      </c>
      <c r="C700" s="296">
        <f t="shared" si="288"/>
        <v>489254.88421197626</v>
      </c>
      <c r="D700" s="85">
        <f t="shared" si="289"/>
        <v>4</v>
      </c>
      <c r="E700" s="17">
        <f t="shared" si="290"/>
        <v>0.39394466065277811</v>
      </c>
      <c r="F700" s="17">
        <f t="shared" si="291"/>
        <v>-7.1477338438853621E-2</v>
      </c>
      <c r="G700" s="17" t="str">
        <f t="shared" si="292"/>
        <v>104057.351995304,489254.884211976</v>
      </c>
      <c r="H700" s="16">
        <v>410</v>
      </c>
      <c r="I700" s="16">
        <f t="shared" si="293"/>
        <v>410</v>
      </c>
      <c r="J700" s="209">
        <f t="shared" si="294"/>
        <v>0.40037657969358664</v>
      </c>
      <c r="K700" s="209">
        <f t="shared" si="295"/>
        <v>164.26394018072642</v>
      </c>
      <c r="L700" s="486">
        <v>1.3758705854415889</v>
      </c>
      <c r="M700" s="17" t="str">
        <f t="shared" si="296"/>
        <v>164.263940180726,1.37587058544159</v>
      </c>
    </row>
    <row r="701" spans="1:13" x14ac:dyDescent="0.25">
      <c r="A701" s="85">
        <f t="shared" si="286"/>
        <v>411</v>
      </c>
      <c r="B701" s="296">
        <f t="shared" si="287"/>
        <v>104057.74593996471</v>
      </c>
      <c r="C701" s="296">
        <f t="shared" si="288"/>
        <v>489254.81273463782</v>
      </c>
      <c r="D701" s="85">
        <f t="shared" si="289"/>
        <v>4</v>
      </c>
      <c r="E701" s="17">
        <f t="shared" si="290"/>
        <v>0.39394466066733003</v>
      </c>
      <c r="F701" s="17">
        <f t="shared" si="291"/>
        <v>-7.1477338438853621E-2</v>
      </c>
      <c r="G701" s="17" t="str">
        <f t="shared" si="292"/>
        <v>104057.745939965,489254.812734638</v>
      </c>
      <c r="H701" s="16">
        <v>411</v>
      </c>
      <c r="I701" s="16">
        <f t="shared" si="293"/>
        <v>411</v>
      </c>
      <c r="J701" s="209">
        <f t="shared" si="294"/>
        <v>0.40037657970790475</v>
      </c>
      <c r="K701" s="209">
        <f t="shared" si="295"/>
        <v>164.66431676043433</v>
      </c>
      <c r="L701" s="486">
        <v>1.3913587331771851</v>
      </c>
      <c r="M701" s="17" t="str">
        <f t="shared" si="296"/>
        <v>164.664316760434,1.39135873317719</v>
      </c>
    </row>
    <row r="702" spans="1:13" x14ac:dyDescent="0.25">
      <c r="A702" s="85">
        <f t="shared" si="286"/>
        <v>412</v>
      </c>
      <c r="B702" s="296">
        <f t="shared" si="287"/>
        <v>104058.13988462536</v>
      </c>
      <c r="C702" s="296">
        <f t="shared" si="288"/>
        <v>489254.74125729938</v>
      </c>
      <c r="D702" s="85">
        <f t="shared" si="289"/>
        <v>4</v>
      </c>
      <c r="E702" s="17">
        <f t="shared" si="290"/>
        <v>0.39394466065277811</v>
      </c>
      <c r="F702" s="17">
        <f t="shared" si="291"/>
        <v>-7.1477338438853621E-2</v>
      </c>
      <c r="G702" s="17" t="str">
        <f t="shared" si="292"/>
        <v>104058.139884625,489254.741257299</v>
      </c>
      <c r="H702" s="16">
        <v>412</v>
      </c>
      <c r="I702" s="16">
        <f t="shared" si="293"/>
        <v>412</v>
      </c>
      <c r="J702" s="209">
        <f t="shared" si="294"/>
        <v>0.40037657969358664</v>
      </c>
      <c r="K702" s="209">
        <f t="shared" si="295"/>
        <v>165.06469334012792</v>
      </c>
      <c r="L702" s="486">
        <v>1.394492506980896</v>
      </c>
      <c r="M702" s="17" t="str">
        <f t="shared" si="296"/>
        <v>165.064693340128,1.3944925069809</v>
      </c>
    </row>
    <row r="703" spans="1:13" x14ac:dyDescent="0.25">
      <c r="A703" s="85">
        <f t="shared" si="286"/>
        <v>413</v>
      </c>
      <c r="B703" s="296">
        <f t="shared" si="287"/>
        <v>104058.53382928603</v>
      </c>
      <c r="C703" s="296">
        <f t="shared" si="288"/>
        <v>489254.66977996094</v>
      </c>
      <c r="D703" s="85">
        <f t="shared" si="289"/>
        <v>4</v>
      </c>
      <c r="E703" s="17">
        <f t="shared" si="290"/>
        <v>0.39394466066733003</v>
      </c>
      <c r="F703" s="17">
        <f t="shared" si="291"/>
        <v>-7.1477338438853621E-2</v>
      </c>
      <c r="G703" s="17" t="str">
        <f t="shared" si="292"/>
        <v>104058.533829286,489254.669779961</v>
      </c>
      <c r="H703" s="16">
        <v>413</v>
      </c>
      <c r="I703" s="16">
        <f t="shared" si="293"/>
        <v>413</v>
      </c>
      <c r="J703" s="209">
        <f t="shared" si="294"/>
        <v>0.40037657970790475</v>
      </c>
      <c r="K703" s="209">
        <f t="shared" si="295"/>
        <v>165.46506991983583</v>
      </c>
      <c r="L703" s="486">
        <v>1.387778520584106</v>
      </c>
      <c r="M703" s="17" t="str">
        <f t="shared" si="296"/>
        <v>165.465069919836,1.38777852058411</v>
      </c>
    </row>
    <row r="704" spans="1:13" x14ac:dyDescent="0.25">
      <c r="A704" s="85">
        <f t="shared" si="286"/>
        <v>414</v>
      </c>
      <c r="B704" s="296">
        <f t="shared" si="287"/>
        <v>104058.92777394668</v>
      </c>
      <c r="C704" s="296">
        <f t="shared" si="288"/>
        <v>489254.59830262256</v>
      </c>
      <c r="D704" s="85">
        <f t="shared" si="289"/>
        <v>4</v>
      </c>
      <c r="E704" s="17">
        <f t="shared" si="290"/>
        <v>0.39394466065277811</v>
      </c>
      <c r="F704" s="17">
        <f t="shared" si="291"/>
        <v>-7.1477338380645961E-2</v>
      </c>
      <c r="G704" s="17" t="str">
        <f t="shared" si="292"/>
        <v>104058.927773947,489254.598302623</v>
      </c>
      <c r="H704" s="16">
        <v>414</v>
      </c>
      <c r="I704" s="16">
        <f t="shared" si="293"/>
        <v>414</v>
      </c>
      <c r="J704" s="209">
        <f t="shared" si="294"/>
        <v>0.40037657968319512</v>
      </c>
      <c r="K704" s="209">
        <f t="shared" si="295"/>
        <v>165.86544649951901</v>
      </c>
      <c r="L704" s="486">
        <v>1.3961988687515261</v>
      </c>
      <c r="M704" s="17" t="str">
        <f t="shared" si="296"/>
        <v>165.865446499519,1.39619886875153</v>
      </c>
    </row>
    <row r="705" spans="1:13" x14ac:dyDescent="0.25">
      <c r="A705" s="85">
        <f t="shared" si="286"/>
        <v>415</v>
      </c>
      <c r="B705" s="296">
        <f t="shared" si="287"/>
        <v>104059.32171860735</v>
      </c>
      <c r="C705" s="296">
        <f t="shared" si="288"/>
        <v>489254.52682528412</v>
      </c>
      <c r="D705" s="85">
        <f t="shared" si="289"/>
        <v>4</v>
      </c>
      <c r="E705" s="17">
        <f t="shared" si="290"/>
        <v>0.39394466066733003</v>
      </c>
      <c r="F705" s="17">
        <f t="shared" si="291"/>
        <v>-7.1477338438853621E-2</v>
      </c>
      <c r="G705" s="17" t="str">
        <f t="shared" si="292"/>
        <v>104059.321718607,489254.526825284</v>
      </c>
      <c r="H705" s="16">
        <v>415</v>
      </c>
      <c r="I705" s="16">
        <f t="shared" si="293"/>
        <v>415</v>
      </c>
      <c r="J705" s="209">
        <f t="shared" si="294"/>
        <v>0.40037657970790475</v>
      </c>
      <c r="K705" s="209">
        <f t="shared" si="295"/>
        <v>166.26582307922692</v>
      </c>
      <c r="L705" s="486">
        <v>1.4031437635421751</v>
      </c>
      <c r="M705" s="17" t="str">
        <f t="shared" si="296"/>
        <v>166.265823079227,1.40314376354218</v>
      </c>
    </row>
    <row r="706" spans="1:13" x14ac:dyDescent="0.25">
      <c r="A706" s="85">
        <f t="shared" si="286"/>
        <v>416</v>
      </c>
      <c r="B706" s="296">
        <f t="shared" si="287"/>
        <v>104059.715663268</v>
      </c>
      <c r="C706" s="296">
        <f t="shared" si="288"/>
        <v>489254.45534794568</v>
      </c>
      <c r="D706" s="85">
        <f t="shared" si="289"/>
        <v>4</v>
      </c>
      <c r="E706" s="17">
        <f t="shared" si="290"/>
        <v>0.39394466065277811</v>
      </c>
      <c r="F706" s="17">
        <f t="shared" si="291"/>
        <v>-7.1477338438853621E-2</v>
      </c>
      <c r="G706" s="17" t="str">
        <f t="shared" si="292"/>
        <v>104059.715663268,489254.455347946</v>
      </c>
      <c r="H706" s="16">
        <v>416</v>
      </c>
      <c r="I706" s="16">
        <f t="shared" si="293"/>
        <v>416</v>
      </c>
      <c r="J706" s="209">
        <f t="shared" si="294"/>
        <v>0.40037657969358664</v>
      </c>
      <c r="K706" s="209">
        <f t="shared" si="295"/>
        <v>166.6661996589205</v>
      </c>
      <c r="L706" s="486">
        <v>1.396783232688904</v>
      </c>
      <c r="M706" s="17" t="str">
        <f t="shared" si="296"/>
        <v>166.666199658921,1.3967832326889</v>
      </c>
    </row>
    <row r="707" spans="1:13" x14ac:dyDescent="0.25">
      <c r="A707" s="85">
        <f t="shared" si="286"/>
        <v>417</v>
      </c>
      <c r="B707" s="296">
        <f t="shared" si="287"/>
        <v>104060.10960792867</v>
      </c>
      <c r="C707" s="296">
        <f t="shared" si="288"/>
        <v>489254.38387060724</v>
      </c>
      <c r="D707" s="85">
        <f t="shared" si="289"/>
        <v>4</v>
      </c>
      <c r="E707" s="17">
        <f t="shared" si="290"/>
        <v>0.39394466066733003</v>
      </c>
      <c r="F707" s="17">
        <f t="shared" si="291"/>
        <v>-7.1477338438853621E-2</v>
      </c>
      <c r="G707" s="17" t="str">
        <f t="shared" si="292"/>
        <v>104060.109607929,489254.383870607</v>
      </c>
      <c r="H707" s="16">
        <v>417</v>
      </c>
      <c r="I707" s="16">
        <f t="shared" si="293"/>
        <v>417</v>
      </c>
      <c r="J707" s="209">
        <f t="shared" si="294"/>
        <v>0.40037657970790475</v>
      </c>
      <c r="K707" s="209">
        <f t="shared" si="295"/>
        <v>167.06657623862841</v>
      </c>
      <c r="L707" s="486">
        <v>1.3869467973709111</v>
      </c>
      <c r="M707" s="17" t="str">
        <f t="shared" si="296"/>
        <v>167.066576238628,1.38694679737091</v>
      </c>
    </row>
    <row r="708" spans="1:13" x14ac:dyDescent="0.25">
      <c r="A708" s="85">
        <f t="shared" si="286"/>
        <v>418</v>
      </c>
      <c r="B708" s="296">
        <f t="shared" si="287"/>
        <v>104060.50355258933</v>
      </c>
      <c r="C708" s="296">
        <f t="shared" si="288"/>
        <v>489254.3123932688</v>
      </c>
      <c r="D708" s="85">
        <f t="shared" si="289"/>
        <v>4</v>
      </c>
      <c r="E708" s="17">
        <f t="shared" si="290"/>
        <v>0.39394466066733003</v>
      </c>
      <c r="F708" s="17">
        <f t="shared" si="291"/>
        <v>-7.1477338438853621E-2</v>
      </c>
      <c r="G708" s="17" t="str">
        <f t="shared" si="292"/>
        <v>104060.503552589,489254.312393269</v>
      </c>
      <c r="H708" s="16">
        <v>418</v>
      </c>
      <c r="I708" s="16">
        <f t="shared" si="293"/>
        <v>418</v>
      </c>
      <c r="J708" s="209">
        <f t="shared" si="294"/>
        <v>0.40037657970790475</v>
      </c>
      <c r="K708" s="209">
        <f t="shared" si="295"/>
        <v>167.46695281833632</v>
      </c>
      <c r="L708" s="486">
        <v>1.369083166122437</v>
      </c>
      <c r="M708" s="17" t="str">
        <f t="shared" si="296"/>
        <v>167.466952818336,1.36908316612244</v>
      </c>
    </row>
    <row r="709" spans="1:13" x14ac:dyDescent="0.25">
      <c r="A709" s="85">
        <f t="shared" si="286"/>
        <v>419</v>
      </c>
      <c r="B709" s="296">
        <f t="shared" si="287"/>
        <v>104060.89749724999</v>
      </c>
      <c r="C709" s="296">
        <f t="shared" si="288"/>
        <v>489254.24091593042</v>
      </c>
      <c r="D709" s="85">
        <f t="shared" si="289"/>
        <v>4</v>
      </c>
      <c r="E709" s="17">
        <f t="shared" si="290"/>
        <v>0.39394466065277811</v>
      </c>
      <c r="F709" s="17">
        <f t="shared" si="291"/>
        <v>-7.1477338380645961E-2</v>
      </c>
      <c r="G709" s="17" t="str">
        <f t="shared" si="292"/>
        <v>104060.89749725,489254.24091593</v>
      </c>
      <c r="H709" s="16">
        <v>419</v>
      </c>
      <c r="I709" s="16">
        <f t="shared" si="293"/>
        <v>419</v>
      </c>
      <c r="J709" s="209">
        <f t="shared" si="294"/>
        <v>0.40037657968319512</v>
      </c>
      <c r="K709" s="209">
        <f t="shared" si="295"/>
        <v>167.86732939801951</v>
      </c>
      <c r="L709" s="486">
        <v>1.3914085626602171</v>
      </c>
      <c r="M709" s="17" t="str">
        <f t="shared" si="296"/>
        <v>167.86732939802,1.39140856266022</v>
      </c>
    </row>
    <row r="710" spans="1:13" x14ac:dyDescent="0.25">
      <c r="A710" s="85">
        <f t="shared" si="286"/>
        <v>420</v>
      </c>
      <c r="B710" s="296">
        <f t="shared" si="287"/>
        <v>104061.29144191065</v>
      </c>
      <c r="C710" s="296">
        <f t="shared" si="288"/>
        <v>489254.16943859198</v>
      </c>
      <c r="D710" s="85">
        <f t="shared" si="289"/>
        <v>4</v>
      </c>
      <c r="E710" s="17">
        <f t="shared" si="290"/>
        <v>0.39394466066733003</v>
      </c>
      <c r="F710" s="17">
        <f t="shared" si="291"/>
        <v>-7.1477338438853621E-2</v>
      </c>
      <c r="G710" s="17" t="str">
        <f t="shared" si="292"/>
        <v>104061.291441911,489254.169438592</v>
      </c>
      <c r="H710" s="16">
        <v>420</v>
      </c>
      <c r="I710" s="16">
        <f t="shared" si="293"/>
        <v>420</v>
      </c>
      <c r="J710" s="209">
        <f t="shared" si="294"/>
        <v>0.40037657970790475</v>
      </c>
      <c r="K710" s="209">
        <f t="shared" si="295"/>
        <v>168.26770597772742</v>
      </c>
      <c r="L710" s="486">
        <v>1.397823810577393</v>
      </c>
      <c r="M710" s="17" t="str">
        <f t="shared" si="296"/>
        <v>168.267705977727,1.39782381057739</v>
      </c>
    </row>
    <row r="711" spans="1:13" x14ac:dyDescent="0.25">
      <c r="A711" s="85">
        <f t="shared" si="286"/>
        <v>421</v>
      </c>
      <c r="B711" s="296">
        <f t="shared" si="287"/>
        <v>104061.68538657131</v>
      </c>
      <c r="C711" s="296">
        <f t="shared" si="288"/>
        <v>489254.09796125354</v>
      </c>
      <c r="D711" s="85">
        <f t="shared" si="289"/>
        <v>4</v>
      </c>
      <c r="E711" s="17">
        <f t="shared" si="290"/>
        <v>0.39394466065277811</v>
      </c>
      <c r="F711" s="17">
        <f t="shared" si="291"/>
        <v>-7.1477338438853621E-2</v>
      </c>
      <c r="G711" s="17" t="str">
        <f t="shared" si="292"/>
        <v>104061.685386571,489254.097961254</v>
      </c>
      <c r="H711" s="16">
        <v>421</v>
      </c>
      <c r="I711" s="16">
        <f t="shared" si="293"/>
        <v>421</v>
      </c>
      <c r="J711" s="209">
        <f t="shared" si="294"/>
        <v>0.40037657969358664</v>
      </c>
      <c r="K711" s="209">
        <f t="shared" si="295"/>
        <v>168.668082557421</v>
      </c>
      <c r="L711" s="486">
        <v>1.3963650465011599</v>
      </c>
      <c r="M711" s="17" t="str">
        <f t="shared" si="296"/>
        <v>168.668082557421,1.39636504650116</v>
      </c>
    </row>
    <row r="712" spans="1:13" x14ac:dyDescent="0.25">
      <c r="A712" s="85">
        <f t="shared" si="286"/>
        <v>422</v>
      </c>
      <c r="B712" s="296">
        <f t="shared" si="287"/>
        <v>104062.07933123197</v>
      </c>
      <c r="C712" s="296">
        <f t="shared" si="288"/>
        <v>489254.02648391511</v>
      </c>
      <c r="D712" s="85">
        <f t="shared" si="289"/>
        <v>4</v>
      </c>
      <c r="E712" s="17">
        <f t="shared" si="290"/>
        <v>0.39394466066733003</v>
      </c>
      <c r="F712" s="17">
        <f t="shared" si="291"/>
        <v>-7.1477338438853621E-2</v>
      </c>
      <c r="G712" s="17" t="str">
        <f t="shared" si="292"/>
        <v>104062.079331232,489254.026483915</v>
      </c>
      <c r="H712" s="16">
        <v>422</v>
      </c>
      <c r="I712" s="16">
        <f t="shared" si="293"/>
        <v>422</v>
      </c>
      <c r="J712" s="209">
        <f t="shared" si="294"/>
        <v>0.40037657970790475</v>
      </c>
      <c r="K712" s="209">
        <f t="shared" si="295"/>
        <v>169.06845913712891</v>
      </c>
      <c r="L712" s="486">
        <v>1.394898414611816</v>
      </c>
      <c r="M712" s="17" t="str">
        <f t="shared" si="296"/>
        <v>169.068459137129,1.39489841461182</v>
      </c>
    </row>
    <row r="713" spans="1:13" x14ac:dyDescent="0.25">
      <c r="A713" s="85">
        <f t="shared" si="286"/>
        <v>423</v>
      </c>
      <c r="B713" s="296">
        <f t="shared" si="287"/>
        <v>104062.47327589263</v>
      </c>
      <c r="C713" s="296">
        <f t="shared" si="288"/>
        <v>489253.95500657667</v>
      </c>
      <c r="D713" s="85">
        <f t="shared" si="289"/>
        <v>4</v>
      </c>
      <c r="E713" s="17">
        <f t="shared" si="290"/>
        <v>0.39394466065277811</v>
      </c>
      <c r="F713" s="17">
        <f t="shared" si="291"/>
        <v>-7.1477338438853621E-2</v>
      </c>
      <c r="G713" s="17" t="str">
        <f t="shared" si="292"/>
        <v>104062.473275893,489253.955006577</v>
      </c>
      <c r="H713" s="16">
        <v>423</v>
      </c>
      <c r="I713" s="16">
        <f t="shared" si="293"/>
        <v>423</v>
      </c>
      <c r="J713" s="209">
        <f t="shared" si="294"/>
        <v>0.40037657969358664</v>
      </c>
      <c r="K713" s="209">
        <f t="shared" si="295"/>
        <v>169.4688357168225</v>
      </c>
      <c r="L713" s="486">
        <v>1.405720710754395</v>
      </c>
      <c r="M713" s="17" t="str">
        <f t="shared" si="296"/>
        <v>169.468835716822,1.40572071075439</v>
      </c>
    </row>
    <row r="714" spans="1:13" x14ac:dyDescent="0.25">
      <c r="A714" s="85">
        <f t="shared" si="286"/>
        <v>424</v>
      </c>
      <c r="B714" s="296">
        <f t="shared" si="287"/>
        <v>104062.86722055329</v>
      </c>
      <c r="C714" s="296">
        <f t="shared" si="288"/>
        <v>489253.88352923823</v>
      </c>
      <c r="D714" s="85">
        <f t="shared" si="289"/>
        <v>4</v>
      </c>
      <c r="E714" s="17">
        <f t="shared" si="290"/>
        <v>0.39394466066733003</v>
      </c>
      <c r="F714" s="17">
        <f t="shared" si="291"/>
        <v>-7.1477338438853621E-2</v>
      </c>
      <c r="G714" s="17" t="str">
        <f t="shared" si="292"/>
        <v>104062.867220553,489253.883529238</v>
      </c>
      <c r="H714" s="16">
        <v>424</v>
      </c>
      <c r="I714" s="16">
        <f t="shared" si="293"/>
        <v>424</v>
      </c>
      <c r="J714" s="209">
        <f t="shared" si="294"/>
        <v>0.40037657970790475</v>
      </c>
      <c r="K714" s="209">
        <f t="shared" si="295"/>
        <v>169.86921229653041</v>
      </c>
      <c r="L714" s="486">
        <v>1.391665935516357</v>
      </c>
      <c r="M714" s="17" t="str">
        <f t="shared" si="296"/>
        <v>169.86921229653,1.39166593551636</v>
      </c>
    </row>
    <row r="715" spans="1:13" x14ac:dyDescent="0.25">
      <c r="A715" s="85">
        <f t="shared" si="286"/>
        <v>425</v>
      </c>
      <c r="B715" s="296">
        <f t="shared" si="287"/>
        <v>104063.26116521395</v>
      </c>
      <c r="C715" s="296">
        <f t="shared" si="288"/>
        <v>489253.81205189985</v>
      </c>
      <c r="D715" s="85">
        <f t="shared" si="289"/>
        <v>4</v>
      </c>
      <c r="E715" s="17">
        <f t="shared" si="290"/>
        <v>0.39394466065277811</v>
      </c>
      <c r="F715" s="17">
        <f t="shared" si="291"/>
        <v>-7.1477338380645961E-2</v>
      </c>
      <c r="G715" s="17" t="str">
        <f t="shared" si="292"/>
        <v>104063.261165214,489253.8120519</v>
      </c>
      <c r="H715" s="16">
        <v>425</v>
      </c>
      <c r="I715" s="16">
        <f t="shared" si="293"/>
        <v>425</v>
      </c>
      <c r="J715" s="209">
        <f t="shared" si="294"/>
        <v>0.40037657968319512</v>
      </c>
      <c r="K715" s="209">
        <f t="shared" si="295"/>
        <v>170.26958887621359</v>
      </c>
      <c r="L715" s="486">
        <v>1.3930908441543579</v>
      </c>
      <c r="M715" s="17" t="str">
        <f t="shared" si="296"/>
        <v>170.269588876214,1.39309084415436</v>
      </c>
    </row>
    <row r="716" spans="1:13" x14ac:dyDescent="0.25">
      <c r="A716" s="85">
        <f t="shared" si="286"/>
        <v>426</v>
      </c>
      <c r="B716" s="296">
        <f t="shared" si="287"/>
        <v>104063.65510987461</v>
      </c>
      <c r="C716" s="296">
        <f t="shared" si="288"/>
        <v>489253.74057456141</v>
      </c>
      <c r="D716" s="85">
        <f t="shared" si="289"/>
        <v>4</v>
      </c>
      <c r="E716" s="17">
        <f t="shared" si="290"/>
        <v>0.39394466066733003</v>
      </c>
      <c r="F716" s="17">
        <f t="shared" si="291"/>
        <v>-7.1477338438853621E-2</v>
      </c>
      <c r="G716" s="17" t="str">
        <f t="shared" si="292"/>
        <v>104063.655109875,489253.740574561</v>
      </c>
      <c r="H716" s="16">
        <v>426</v>
      </c>
      <c r="I716" s="16">
        <f t="shared" si="293"/>
        <v>426</v>
      </c>
      <c r="J716" s="209">
        <f t="shared" si="294"/>
        <v>0.40037657970790475</v>
      </c>
      <c r="K716" s="209">
        <f t="shared" si="295"/>
        <v>170.6699654559215</v>
      </c>
      <c r="L716" s="486">
        <v>1.3936729431152339</v>
      </c>
      <c r="M716" s="17" t="str">
        <f t="shared" si="296"/>
        <v>170.669965455921,1.39367294311523</v>
      </c>
    </row>
    <row r="717" spans="1:13" x14ac:dyDescent="0.25">
      <c r="A717" s="85">
        <f t="shared" si="286"/>
        <v>427</v>
      </c>
      <c r="B717" s="296">
        <f t="shared" si="287"/>
        <v>104064.04905453527</v>
      </c>
      <c r="C717" s="296">
        <f t="shared" si="288"/>
        <v>489253.66909722297</v>
      </c>
      <c r="D717" s="85">
        <f t="shared" si="289"/>
        <v>4</v>
      </c>
      <c r="E717" s="17">
        <f t="shared" si="290"/>
        <v>0.39394466065277811</v>
      </c>
      <c r="F717" s="17">
        <f t="shared" si="291"/>
        <v>-7.1477338438853621E-2</v>
      </c>
      <c r="G717" s="17" t="str">
        <f t="shared" si="292"/>
        <v>104064.049054535,489253.669097223</v>
      </c>
      <c r="H717" s="16">
        <v>427</v>
      </c>
      <c r="I717" s="16">
        <f t="shared" si="293"/>
        <v>427</v>
      </c>
      <c r="J717" s="209">
        <f t="shared" si="294"/>
        <v>0.40037657969358664</v>
      </c>
      <c r="K717" s="209">
        <f t="shared" si="295"/>
        <v>171.07034203561508</v>
      </c>
      <c r="L717" s="486">
        <v>1.390763401985168</v>
      </c>
      <c r="M717" s="17" t="str">
        <f t="shared" si="296"/>
        <v>171.070342035615,1.39076340198517</v>
      </c>
    </row>
    <row r="718" spans="1:13" x14ac:dyDescent="0.25">
      <c r="A718" s="85">
        <f t="shared" si="286"/>
        <v>428</v>
      </c>
      <c r="B718" s="296">
        <f t="shared" si="287"/>
        <v>104064.44299919593</v>
      </c>
      <c r="C718" s="296">
        <f t="shared" si="288"/>
        <v>489253.59761988453</v>
      </c>
      <c r="D718" s="85">
        <f t="shared" si="289"/>
        <v>4</v>
      </c>
      <c r="E718" s="17">
        <f t="shared" si="290"/>
        <v>0.39394466066733003</v>
      </c>
      <c r="F718" s="17">
        <f t="shared" si="291"/>
        <v>-7.1477338438853621E-2</v>
      </c>
      <c r="G718" s="17" t="str">
        <f t="shared" si="292"/>
        <v>104064.442999196,489253.597619885</v>
      </c>
      <c r="H718" s="16">
        <v>428</v>
      </c>
      <c r="I718" s="16">
        <f t="shared" si="293"/>
        <v>428</v>
      </c>
      <c r="J718" s="209">
        <f t="shared" si="294"/>
        <v>0.40037657970790475</v>
      </c>
      <c r="K718" s="209">
        <f t="shared" si="295"/>
        <v>171.47071861532299</v>
      </c>
      <c r="L718" s="486">
        <v>1.395022034645081</v>
      </c>
      <c r="M718" s="17" t="str">
        <f t="shared" si="296"/>
        <v>171.470718615323,1.39502203464508</v>
      </c>
    </row>
    <row r="719" spans="1:13" x14ac:dyDescent="0.25">
      <c r="A719" s="85">
        <f t="shared" si="286"/>
        <v>429</v>
      </c>
      <c r="B719" s="296">
        <f t="shared" si="287"/>
        <v>104064.8369438566</v>
      </c>
      <c r="C719" s="296">
        <f t="shared" si="288"/>
        <v>489253.52614254609</v>
      </c>
      <c r="D719" s="85">
        <f t="shared" si="289"/>
        <v>4</v>
      </c>
      <c r="E719" s="17">
        <f t="shared" si="290"/>
        <v>0.39394466066733003</v>
      </c>
      <c r="F719" s="17">
        <f t="shared" si="291"/>
        <v>-7.1477338438853621E-2</v>
      </c>
      <c r="G719" s="17" t="str">
        <f t="shared" si="292"/>
        <v>104064.836943857,489253.526142546</v>
      </c>
      <c r="H719" s="16">
        <v>429</v>
      </c>
      <c r="I719" s="16">
        <f t="shared" si="293"/>
        <v>429</v>
      </c>
      <c r="J719" s="209">
        <f t="shared" si="294"/>
        <v>0.40037657970790475</v>
      </c>
      <c r="K719" s="209">
        <f t="shared" si="295"/>
        <v>171.8710951950309</v>
      </c>
      <c r="L719" s="486">
        <v>1.393012166023254</v>
      </c>
      <c r="M719" s="17" t="str">
        <f t="shared" si="296"/>
        <v>171.871095195031,1.39301216602325</v>
      </c>
    </row>
    <row r="720" spans="1:13" x14ac:dyDescent="0.25">
      <c r="A720" s="85">
        <f t="shared" si="286"/>
        <v>430</v>
      </c>
      <c r="B720" s="296">
        <f t="shared" si="287"/>
        <v>104065.23088851725</v>
      </c>
      <c r="C720" s="296">
        <f t="shared" si="288"/>
        <v>489253.45466520771</v>
      </c>
      <c r="D720" s="85">
        <f t="shared" si="289"/>
        <v>4</v>
      </c>
      <c r="E720" s="17">
        <f t="shared" si="290"/>
        <v>0.39394466065277811</v>
      </c>
      <c r="F720" s="17">
        <f t="shared" si="291"/>
        <v>-7.1477338380645961E-2</v>
      </c>
      <c r="G720" s="17" t="str">
        <f t="shared" si="292"/>
        <v>104065.230888517,489253.454665208</v>
      </c>
      <c r="H720" s="16">
        <v>430</v>
      </c>
      <c r="I720" s="16">
        <f t="shared" si="293"/>
        <v>430</v>
      </c>
      <c r="J720" s="209">
        <f t="shared" si="294"/>
        <v>0.40037657968319512</v>
      </c>
      <c r="K720" s="209">
        <f t="shared" si="295"/>
        <v>172.27147177471409</v>
      </c>
      <c r="L720" s="486">
        <v>1.3922643661499019</v>
      </c>
      <c r="M720" s="17" t="str">
        <f t="shared" si="296"/>
        <v>172.271471774714,1.3922643661499</v>
      </c>
    </row>
    <row r="721" spans="1:13" x14ac:dyDescent="0.25">
      <c r="A721" s="85">
        <f t="shared" si="286"/>
        <v>431</v>
      </c>
      <c r="B721" s="296">
        <f t="shared" si="287"/>
        <v>104065.62483317792</v>
      </c>
      <c r="C721" s="296">
        <f t="shared" si="288"/>
        <v>489253.38318786927</v>
      </c>
      <c r="D721" s="85">
        <f t="shared" si="289"/>
        <v>4</v>
      </c>
      <c r="E721" s="17">
        <f t="shared" si="290"/>
        <v>0.39394466066733003</v>
      </c>
      <c r="F721" s="17">
        <f t="shared" si="291"/>
        <v>-7.1477338438853621E-2</v>
      </c>
      <c r="G721" s="17" t="str">
        <f t="shared" si="292"/>
        <v>104065.624833178,489253.383187869</v>
      </c>
      <c r="H721" s="16">
        <v>431</v>
      </c>
      <c r="I721" s="16">
        <f t="shared" si="293"/>
        <v>431</v>
      </c>
      <c r="J721" s="209">
        <f t="shared" si="294"/>
        <v>0.40037657970790475</v>
      </c>
      <c r="K721" s="209">
        <f t="shared" si="295"/>
        <v>172.671848354422</v>
      </c>
      <c r="L721" s="486">
        <v>1.388400554656982</v>
      </c>
      <c r="M721" s="17" t="str">
        <f t="shared" si="296"/>
        <v>172.671848354422,1.38840055465698</v>
      </c>
    </row>
    <row r="722" spans="1:13" x14ac:dyDescent="0.25">
      <c r="A722" s="85">
        <f t="shared" si="286"/>
        <v>432</v>
      </c>
      <c r="B722" s="296">
        <f t="shared" si="287"/>
        <v>104066.01877783857</v>
      </c>
      <c r="C722" s="296">
        <f t="shared" si="288"/>
        <v>489253.31171053083</v>
      </c>
      <c r="D722" s="85">
        <f t="shared" si="289"/>
        <v>4</v>
      </c>
      <c r="E722" s="17">
        <f t="shared" si="290"/>
        <v>0.39394466065277811</v>
      </c>
      <c r="F722" s="17">
        <f t="shared" si="291"/>
        <v>-7.1477338438853621E-2</v>
      </c>
      <c r="G722" s="17" t="str">
        <f t="shared" si="292"/>
        <v>104066.018777839,489253.311710531</v>
      </c>
      <c r="H722" s="16">
        <v>432</v>
      </c>
      <c r="I722" s="16">
        <f t="shared" si="293"/>
        <v>432</v>
      </c>
      <c r="J722" s="209">
        <f t="shared" si="294"/>
        <v>0.40037657969358664</v>
      </c>
      <c r="K722" s="209">
        <f t="shared" si="295"/>
        <v>173.07222493411558</v>
      </c>
      <c r="L722" s="486">
        <v>1.384623527526855</v>
      </c>
      <c r="M722" s="17" t="str">
        <f t="shared" si="296"/>
        <v>173.072224934116,1.38462352752686</v>
      </c>
    </row>
    <row r="723" spans="1:13" x14ac:dyDescent="0.25">
      <c r="A723" s="85">
        <f t="shared" si="286"/>
        <v>433</v>
      </c>
      <c r="B723" s="296">
        <f t="shared" si="287"/>
        <v>104066.41272249924</v>
      </c>
      <c r="C723" s="296">
        <f t="shared" si="288"/>
        <v>489253.24023319239</v>
      </c>
      <c r="D723" s="85">
        <f t="shared" si="289"/>
        <v>4</v>
      </c>
      <c r="E723" s="17">
        <f t="shared" si="290"/>
        <v>0.39394466066733003</v>
      </c>
      <c r="F723" s="17">
        <f t="shared" si="291"/>
        <v>-7.1477338438853621E-2</v>
      </c>
      <c r="G723" s="17" t="str">
        <f t="shared" si="292"/>
        <v>104066.412722499,489253.240233192</v>
      </c>
      <c r="H723" s="16">
        <v>433</v>
      </c>
      <c r="I723" s="16">
        <f t="shared" si="293"/>
        <v>433</v>
      </c>
      <c r="J723" s="209">
        <f t="shared" si="294"/>
        <v>0.40037657970790475</v>
      </c>
      <c r="K723" s="209">
        <f t="shared" si="295"/>
        <v>173.47260151382349</v>
      </c>
      <c r="L723" s="486">
        <v>1.3762974739074709</v>
      </c>
      <c r="M723" s="17" t="str">
        <f t="shared" si="296"/>
        <v>173.472601513823,1.37629747390747</v>
      </c>
    </row>
    <row r="724" spans="1:13" x14ac:dyDescent="0.25">
      <c r="A724" s="85">
        <f t="shared" si="286"/>
        <v>434</v>
      </c>
      <c r="B724" s="296">
        <f t="shared" si="287"/>
        <v>104066.80666715989</v>
      </c>
      <c r="C724" s="296">
        <f t="shared" si="288"/>
        <v>489253.16875585396</v>
      </c>
      <c r="D724" s="85">
        <f t="shared" si="289"/>
        <v>4</v>
      </c>
      <c r="E724" s="17">
        <f t="shared" si="290"/>
        <v>0.39394466065277811</v>
      </c>
      <c r="F724" s="17">
        <f t="shared" si="291"/>
        <v>-7.1477338438853621E-2</v>
      </c>
      <c r="G724" s="17" t="str">
        <f t="shared" si="292"/>
        <v>104066.80666716,489253.168755854</v>
      </c>
      <c r="H724" s="16">
        <v>434</v>
      </c>
      <c r="I724" s="16">
        <f t="shared" si="293"/>
        <v>434</v>
      </c>
      <c r="J724" s="209">
        <f t="shared" si="294"/>
        <v>0.40037657969358664</v>
      </c>
      <c r="K724" s="209">
        <f t="shared" si="295"/>
        <v>173.87297809351708</v>
      </c>
      <c r="L724" s="486">
        <v>1.3708962202072139</v>
      </c>
      <c r="M724" s="17" t="str">
        <f t="shared" si="296"/>
        <v>173.872978093517,1.37089622020721</v>
      </c>
    </row>
    <row r="725" spans="1:13" x14ac:dyDescent="0.25">
      <c r="A725" s="85">
        <f t="shared" si="286"/>
        <v>435</v>
      </c>
      <c r="B725" s="296">
        <f t="shared" si="287"/>
        <v>104067.20061182056</v>
      </c>
      <c r="C725" s="296">
        <f t="shared" si="288"/>
        <v>489253.09727851552</v>
      </c>
      <c r="D725" s="85">
        <f t="shared" si="289"/>
        <v>4</v>
      </c>
      <c r="E725" s="17">
        <f t="shared" si="290"/>
        <v>0.39394466066733003</v>
      </c>
      <c r="F725" s="17">
        <f t="shared" si="291"/>
        <v>-7.1477338438853621E-2</v>
      </c>
      <c r="G725" s="17" t="str">
        <f t="shared" si="292"/>
        <v>104067.200611821,489253.097278516</v>
      </c>
      <c r="H725" s="16">
        <v>435</v>
      </c>
      <c r="I725" s="16">
        <f t="shared" si="293"/>
        <v>435</v>
      </c>
      <c r="J725" s="209">
        <f t="shared" si="294"/>
        <v>0.40037657970790475</v>
      </c>
      <c r="K725" s="209">
        <f t="shared" si="295"/>
        <v>174.27335467322499</v>
      </c>
      <c r="L725" s="486">
        <v>1.366703867912292</v>
      </c>
      <c r="M725" s="17" t="str">
        <f t="shared" si="296"/>
        <v>174.273354673225,1.36670386791229</v>
      </c>
    </row>
    <row r="726" spans="1:13" x14ac:dyDescent="0.25">
      <c r="A726" s="85">
        <f t="shared" si="286"/>
        <v>436</v>
      </c>
      <c r="B726" s="296">
        <f t="shared" si="287"/>
        <v>104067.59455648121</v>
      </c>
      <c r="C726" s="296">
        <f t="shared" si="288"/>
        <v>489253.02580117714</v>
      </c>
      <c r="D726" s="85">
        <f t="shared" si="289"/>
        <v>4</v>
      </c>
      <c r="E726" s="17">
        <f t="shared" si="290"/>
        <v>0.39394466065277811</v>
      </c>
      <c r="F726" s="17">
        <f t="shared" si="291"/>
        <v>-7.1477338380645961E-2</v>
      </c>
      <c r="G726" s="17" t="str">
        <f t="shared" si="292"/>
        <v>104067.594556481,489253.025801177</v>
      </c>
      <c r="H726" s="16">
        <v>436</v>
      </c>
      <c r="I726" s="16">
        <f t="shared" si="293"/>
        <v>436</v>
      </c>
      <c r="J726" s="209">
        <f t="shared" si="294"/>
        <v>0.40037657968319512</v>
      </c>
      <c r="K726" s="209">
        <f t="shared" si="295"/>
        <v>174.67373125290817</v>
      </c>
      <c r="L726" s="486">
        <v>1.366259098052979</v>
      </c>
      <c r="M726" s="17" t="str">
        <f t="shared" si="296"/>
        <v>174.673731252908,1.36625909805298</v>
      </c>
    </row>
    <row r="727" spans="1:13" x14ac:dyDescent="0.25">
      <c r="A727" s="85">
        <f t="shared" si="286"/>
        <v>437</v>
      </c>
      <c r="B727" s="296">
        <f t="shared" si="287"/>
        <v>104067.98850114188</v>
      </c>
      <c r="C727" s="296">
        <f t="shared" si="288"/>
        <v>489252.9543238387</v>
      </c>
      <c r="D727" s="85">
        <f t="shared" si="289"/>
        <v>4</v>
      </c>
      <c r="E727" s="17">
        <f t="shared" si="290"/>
        <v>0.39394466066733003</v>
      </c>
      <c r="F727" s="17">
        <f t="shared" si="291"/>
        <v>-7.1477338438853621E-2</v>
      </c>
      <c r="G727" s="17" t="str">
        <f t="shared" si="292"/>
        <v>104067.988501142,489252.954323839</v>
      </c>
      <c r="H727" s="16">
        <v>437</v>
      </c>
      <c r="I727" s="16">
        <f t="shared" si="293"/>
        <v>437</v>
      </c>
      <c r="J727" s="209">
        <f t="shared" si="294"/>
        <v>0.40037657970790475</v>
      </c>
      <c r="K727" s="209">
        <f t="shared" si="295"/>
        <v>175.07410783261608</v>
      </c>
      <c r="L727" s="486">
        <v>1.342687249183655</v>
      </c>
      <c r="M727" s="17" t="str">
        <f t="shared" si="296"/>
        <v>175.074107832616,1.34268724918366</v>
      </c>
    </row>
    <row r="728" spans="1:13" x14ac:dyDescent="0.25">
      <c r="A728" s="85">
        <f t="shared" si="286"/>
        <v>438</v>
      </c>
      <c r="B728" s="296">
        <f t="shared" si="287"/>
        <v>104068.38244580253</v>
      </c>
      <c r="C728" s="296">
        <f t="shared" si="288"/>
        <v>489252.88284650026</v>
      </c>
      <c r="D728" s="85">
        <f t="shared" si="289"/>
        <v>4</v>
      </c>
      <c r="E728" s="17">
        <f t="shared" si="290"/>
        <v>0.39394466065277811</v>
      </c>
      <c r="F728" s="17">
        <f t="shared" si="291"/>
        <v>-7.1477338438853621E-2</v>
      </c>
      <c r="G728" s="17" t="str">
        <f t="shared" si="292"/>
        <v>104068.382445803,489252.8828465</v>
      </c>
      <c r="H728" s="16">
        <v>438</v>
      </c>
      <c r="I728" s="16">
        <f t="shared" si="293"/>
        <v>438</v>
      </c>
      <c r="J728" s="209">
        <f t="shared" si="294"/>
        <v>0.40037657969358664</v>
      </c>
      <c r="K728" s="209">
        <f t="shared" si="295"/>
        <v>175.47448441230966</v>
      </c>
      <c r="L728" s="486">
        <v>1.335763812065125</v>
      </c>
      <c r="M728" s="17" t="str">
        <f t="shared" si="296"/>
        <v>175.47448441231,1.33576381206512</v>
      </c>
    </row>
    <row r="729" spans="1:13" x14ac:dyDescent="0.25">
      <c r="A729" s="85">
        <f t="shared" si="286"/>
        <v>439</v>
      </c>
      <c r="B729" s="296">
        <f t="shared" si="287"/>
        <v>104068.7763904632</v>
      </c>
      <c r="C729" s="296">
        <f t="shared" si="288"/>
        <v>489252.81136916182</v>
      </c>
      <c r="D729" s="85">
        <f t="shared" si="289"/>
        <v>4</v>
      </c>
      <c r="E729" s="17">
        <f t="shared" si="290"/>
        <v>0.39394466066733003</v>
      </c>
      <c r="F729" s="17">
        <f t="shared" si="291"/>
        <v>-7.1477338438853621E-2</v>
      </c>
      <c r="G729" s="17" t="str">
        <f t="shared" si="292"/>
        <v>104068.776390463,489252.811369162</v>
      </c>
      <c r="H729" s="16">
        <v>439</v>
      </c>
      <c r="I729" s="16">
        <f t="shared" si="293"/>
        <v>439</v>
      </c>
      <c r="J729" s="209">
        <f t="shared" si="294"/>
        <v>0.40037657970790475</v>
      </c>
      <c r="K729" s="209">
        <f t="shared" si="295"/>
        <v>175.87486099201757</v>
      </c>
      <c r="L729" s="486">
        <v>1.339522123336792</v>
      </c>
      <c r="M729" s="17" t="str">
        <f t="shared" si="296"/>
        <v>175.874860992018,1.33952212333679</v>
      </c>
    </row>
    <row r="730" spans="1:13" x14ac:dyDescent="0.25">
      <c r="A730" s="85">
        <f t="shared" si="286"/>
        <v>440</v>
      </c>
      <c r="B730" s="296">
        <f t="shared" si="287"/>
        <v>104069.17033512387</v>
      </c>
      <c r="C730" s="296">
        <f t="shared" si="288"/>
        <v>489252.73989182338</v>
      </c>
      <c r="D730" s="85">
        <f t="shared" si="289"/>
        <v>4</v>
      </c>
      <c r="E730" s="17">
        <f t="shared" si="290"/>
        <v>0.39394466066733003</v>
      </c>
      <c r="F730" s="17">
        <f t="shared" si="291"/>
        <v>-7.1477338438853621E-2</v>
      </c>
      <c r="G730" s="17" t="str">
        <f t="shared" si="292"/>
        <v>104069.170335124,489252.739891823</v>
      </c>
      <c r="H730" s="16">
        <v>440</v>
      </c>
      <c r="I730" s="16">
        <f t="shared" si="293"/>
        <v>440</v>
      </c>
      <c r="J730" s="209">
        <f t="shared" si="294"/>
        <v>0.40037657970790475</v>
      </c>
      <c r="K730" s="209">
        <f t="shared" si="295"/>
        <v>176.27523757172548</v>
      </c>
      <c r="L730" s="486">
        <v>1.327817559242249</v>
      </c>
      <c r="M730" s="17" t="str">
        <f t="shared" si="296"/>
        <v>176.275237571725,1.32781755924225</v>
      </c>
    </row>
    <row r="731" spans="1:13" x14ac:dyDescent="0.25">
      <c r="A731" s="85">
        <f t="shared" si="286"/>
        <v>441</v>
      </c>
      <c r="B731" s="296">
        <f t="shared" si="287"/>
        <v>104069.56427978452</v>
      </c>
      <c r="C731" s="296">
        <f t="shared" si="288"/>
        <v>489252.668414485</v>
      </c>
      <c r="D731" s="85">
        <f t="shared" si="289"/>
        <v>4</v>
      </c>
      <c r="E731" s="17">
        <f t="shared" si="290"/>
        <v>0.39394466065277811</v>
      </c>
      <c r="F731" s="17">
        <f t="shared" si="291"/>
        <v>-7.1477338380645961E-2</v>
      </c>
      <c r="G731" s="17" t="str">
        <f t="shared" si="292"/>
        <v>104069.564279785,489252.668414485</v>
      </c>
      <c r="H731" s="16">
        <v>441</v>
      </c>
      <c r="I731" s="16">
        <f t="shared" si="293"/>
        <v>441</v>
      </c>
      <c r="J731" s="209">
        <f t="shared" si="294"/>
        <v>0.40037657968319512</v>
      </c>
      <c r="K731" s="209">
        <f t="shared" si="295"/>
        <v>176.67561415140867</v>
      </c>
      <c r="L731" s="486">
        <v>1.3063646554946899</v>
      </c>
      <c r="M731" s="17" t="str">
        <f t="shared" si="296"/>
        <v>176.675614151409,1.30636465549469</v>
      </c>
    </row>
    <row r="732" spans="1:13" x14ac:dyDescent="0.25">
      <c r="A732" s="85">
        <f t="shared" si="286"/>
        <v>442</v>
      </c>
      <c r="B732" s="296">
        <f t="shared" si="287"/>
        <v>104069.95822444519</v>
      </c>
      <c r="C732" s="296">
        <f t="shared" si="288"/>
        <v>489252.59693714656</v>
      </c>
      <c r="D732" s="85">
        <f t="shared" si="289"/>
        <v>4</v>
      </c>
      <c r="E732" s="17">
        <f t="shared" si="290"/>
        <v>0.39394466066733003</v>
      </c>
      <c r="F732" s="17">
        <f t="shared" si="291"/>
        <v>-7.1477338438853621E-2</v>
      </c>
      <c r="G732" s="17" t="str">
        <f t="shared" si="292"/>
        <v>104069.958224445,489252.596937147</v>
      </c>
      <c r="H732" s="16">
        <v>442</v>
      </c>
      <c r="I732" s="16">
        <f t="shared" si="293"/>
        <v>442</v>
      </c>
      <c r="J732" s="209">
        <f t="shared" si="294"/>
        <v>0.40037657970790475</v>
      </c>
      <c r="K732" s="209">
        <f t="shared" si="295"/>
        <v>177.07599073111658</v>
      </c>
      <c r="L732" s="486">
        <v>1.3015069961547849</v>
      </c>
      <c r="M732" s="17" t="str">
        <f t="shared" si="296"/>
        <v>177.075990731117,1.30150699615478</v>
      </c>
    </row>
    <row r="733" spans="1:13" x14ac:dyDescent="0.25">
      <c r="A733" s="85">
        <f t="shared" si="286"/>
        <v>443</v>
      </c>
      <c r="B733" s="296">
        <f t="shared" si="287"/>
        <v>104070.35216910584</v>
      </c>
      <c r="C733" s="296">
        <f t="shared" si="288"/>
        <v>489252.52545980812</v>
      </c>
      <c r="D733" s="85">
        <f t="shared" si="289"/>
        <v>4</v>
      </c>
      <c r="E733" s="17">
        <f t="shared" si="290"/>
        <v>0.39394466065277811</v>
      </c>
      <c r="F733" s="17">
        <f t="shared" si="291"/>
        <v>-7.1477338438853621E-2</v>
      </c>
      <c r="G733" s="17" t="str">
        <f t="shared" si="292"/>
        <v>104070.352169106,489252.525459808</v>
      </c>
      <c r="H733" s="16">
        <v>443</v>
      </c>
      <c r="I733" s="16">
        <f t="shared" si="293"/>
        <v>443</v>
      </c>
      <c r="J733" s="209">
        <f t="shared" si="294"/>
        <v>0.40037657969358664</v>
      </c>
      <c r="K733" s="209">
        <f t="shared" si="295"/>
        <v>177.47636731081016</v>
      </c>
      <c r="L733" s="486">
        <v>1.3124014139175419</v>
      </c>
      <c r="M733" s="17" t="str">
        <f t="shared" si="296"/>
        <v>177.47636731081,1.31240141391754</v>
      </c>
    </row>
    <row r="734" spans="1:13" x14ac:dyDescent="0.25">
      <c r="A734" s="85">
        <f t="shared" si="286"/>
        <v>444</v>
      </c>
      <c r="B734" s="296">
        <f t="shared" si="287"/>
        <v>104070.74611376651</v>
      </c>
      <c r="C734" s="296">
        <f t="shared" si="288"/>
        <v>489252.45398246968</v>
      </c>
      <c r="D734" s="85">
        <f t="shared" si="289"/>
        <v>4</v>
      </c>
      <c r="E734" s="17">
        <f t="shared" si="290"/>
        <v>0.39394466066733003</v>
      </c>
      <c r="F734" s="17">
        <f t="shared" si="291"/>
        <v>-7.1477338438853621E-2</v>
      </c>
      <c r="G734" s="17" t="str">
        <f t="shared" si="292"/>
        <v>104070.746113767,489252.45398247</v>
      </c>
      <c r="H734" s="16">
        <v>444</v>
      </c>
      <c r="I734" s="16">
        <f t="shared" si="293"/>
        <v>444</v>
      </c>
      <c r="J734" s="209">
        <f t="shared" si="294"/>
        <v>0.40037657970790475</v>
      </c>
      <c r="K734" s="209">
        <f t="shared" si="295"/>
        <v>177.87674389051807</v>
      </c>
      <c r="L734" s="486">
        <v>1.298117399215698</v>
      </c>
      <c r="M734" s="17" t="str">
        <f t="shared" si="296"/>
        <v>177.876743890518,1.2981173992157</v>
      </c>
    </row>
    <row r="735" spans="1:13" x14ac:dyDescent="0.25">
      <c r="A735" s="85">
        <f t="shared" si="286"/>
        <v>445</v>
      </c>
      <c r="B735" s="296">
        <f t="shared" si="287"/>
        <v>104071.14005842716</v>
      </c>
      <c r="C735" s="296">
        <f t="shared" si="288"/>
        <v>489252.38250513125</v>
      </c>
      <c r="D735" s="85">
        <f t="shared" si="289"/>
        <v>4</v>
      </c>
      <c r="E735" s="17">
        <f t="shared" si="290"/>
        <v>0.39394466065277811</v>
      </c>
      <c r="F735" s="17">
        <f t="shared" si="291"/>
        <v>-7.1477338438853621E-2</v>
      </c>
      <c r="G735" s="17" t="str">
        <f t="shared" si="292"/>
        <v>104071.140058427,489252.382505131</v>
      </c>
      <c r="H735" s="16">
        <v>445</v>
      </c>
      <c r="I735" s="16">
        <f t="shared" si="293"/>
        <v>445</v>
      </c>
      <c r="J735" s="209">
        <f t="shared" si="294"/>
        <v>0.40037657969358664</v>
      </c>
      <c r="K735" s="209">
        <f t="shared" si="295"/>
        <v>178.27712047021166</v>
      </c>
      <c r="L735" s="486">
        <v>1.295696377754211</v>
      </c>
      <c r="M735" s="17" t="str">
        <f t="shared" si="296"/>
        <v>178.277120470212,1.29569637775421</v>
      </c>
    </row>
    <row r="736" spans="1:13" x14ac:dyDescent="0.25">
      <c r="A736" s="85">
        <f t="shared" si="286"/>
        <v>446</v>
      </c>
      <c r="B736" s="296">
        <f t="shared" si="287"/>
        <v>104071.53400308783</v>
      </c>
      <c r="C736" s="296">
        <f t="shared" si="288"/>
        <v>489252.31102779286</v>
      </c>
      <c r="D736" s="85">
        <f t="shared" si="289"/>
        <v>4</v>
      </c>
      <c r="E736" s="17">
        <f t="shared" si="290"/>
        <v>0.39394466066733003</v>
      </c>
      <c r="F736" s="17">
        <f t="shared" si="291"/>
        <v>-7.1477338380645961E-2</v>
      </c>
      <c r="G736" s="17" t="str">
        <f t="shared" si="292"/>
        <v>104071.534003088,489252.311027793</v>
      </c>
      <c r="H736" s="16">
        <v>446</v>
      </c>
      <c r="I736" s="16">
        <f t="shared" si="293"/>
        <v>446</v>
      </c>
      <c r="J736" s="209">
        <f t="shared" si="294"/>
        <v>0.40037657969751322</v>
      </c>
      <c r="K736" s="209">
        <f t="shared" si="295"/>
        <v>178.67749704990916</v>
      </c>
      <c r="L736" s="486">
        <v>1.3015315532684331</v>
      </c>
      <c r="M736" s="17" t="str">
        <f t="shared" si="296"/>
        <v>178.677497049909,1.30153155326843</v>
      </c>
    </row>
    <row r="737" spans="1:13" x14ac:dyDescent="0.25">
      <c r="A737" s="85">
        <f t="shared" si="286"/>
        <v>447</v>
      </c>
      <c r="B737" s="296">
        <f t="shared" si="287"/>
        <v>104071.92794774848</v>
      </c>
      <c r="C737" s="296">
        <f t="shared" si="288"/>
        <v>489252.23955045443</v>
      </c>
      <c r="D737" s="85">
        <f t="shared" si="289"/>
        <v>4</v>
      </c>
      <c r="E737" s="17">
        <f t="shared" si="290"/>
        <v>0.39394466065277811</v>
      </c>
      <c r="F737" s="17">
        <f t="shared" si="291"/>
        <v>-7.1477338438853621E-2</v>
      </c>
      <c r="G737" s="17" t="str">
        <f t="shared" si="292"/>
        <v>104071.927947748,489252.239550454</v>
      </c>
      <c r="H737" s="16">
        <v>447</v>
      </c>
      <c r="I737" s="16">
        <f t="shared" si="293"/>
        <v>447</v>
      </c>
      <c r="J737" s="209">
        <f t="shared" si="294"/>
        <v>0.40037657969358664</v>
      </c>
      <c r="K737" s="209">
        <f t="shared" si="295"/>
        <v>179.07787362960275</v>
      </c>
      <c r="L737" s="486">
        <v>1.2857208251953121</v>
      </c>
      <c r="M737" s="17" t="str">
        <f t="shared" si="296"/>
        <v>179.077873629603,1.28572082519531</v>
      </c>
    </row>
    <row r="738" spans="1:13" x14ac:dyDescent="0.25">
      <c r="A738" s="85">
        <f t="shared" ref="A738:A753" si="297">IF(A737&lt;J$269,A737+1,"")</f>
        <v>448</v>
      </c>
      <c r="B738" s="296">
        <f t="shared" ref="B738:B753" si="298">IF(A738="","",IF(A737&lt;=C$270,B$273+(A737*E$274/C$269),IF(A737&lt;=D$270,B$274+(D$275*COS(RADIANS(G$275+((A737-C$270)*H$276/D$269))))-E$275,IF(A737&lt;=E$270,B$276+((A737-D$270)*E$277/E$269),IF(A737&lt;=F$270,B$277+(D$278*COS(RADIANS(G$278+((A737-E$270)*H$279/F$269))))-E$278,IF(A737&lt;=G$270,B$279+((A737-F$270)*E$280/G$269),IF(A737&lt;=H$270,B$280+(D$281*COS(RADIANS(G$281+((A737-G$270)*H$282/H$269))))-E$281,IF(A737&lt;=I$270,B$282+((A737-H$270)*E$283/I$269),"CHECK FORMULE"))))))))</f>
        <v>104072.32189240915</v>
      </c>
      <c r="C738" s="296">
        <f t="shared" ref="C738:C753" si="299">IF(A738="","",IF(A737&lt;=C$270,C$273+(A737*F$274/C$269),IF(A737&lt;=D$270,C$274+(D$275*SIN(RADIANS(G$275+((A737-C$270)*H$276/D$269))))-F$275,IF(A737&lt;=E$270,C$276+((A737-D$270)*F$277/E$269),IF(A737&lt;=F$270,C$277+(D$278*SIN(RADIANS(G$278+((A737-E$270)*H$279/F$269))))-F$278,IF(A737&lt;=G$270,C$279+((A737-F$270)*F$280/G$269),IF(A737&lt;=H$270,C$280+(D$281*SIN(RADIANS(G$281+((A737-G$270)*H$282/H$269))))-F$281,IF(A737&lt;=I$270,C$282+((A737-H$270)*F$283/I$269),"CHECK FORMULE"))))))))</f>
        <v>489252.16807311599</v>
      </c>
      <c r="D738" s="85">
        <f t="shared" ref="D738:D753" si="300">_xlfn.SINGLE(_xlfn.XLOOKUP(B738,B$273:B$284,A$273:A$284,D737))</f>
        <v>4</v>
      </c>
      <c r="E738" s="17">
        <f t="shared" ref="E738:E753" si="301">IF(A738="","",B738-B737)</f>
        <v>0.39394466066733003</v>
      </c>
      <c r="F738" s="17">
        <f t="shared" ref="F738:F753" si="302">IF(A738="","",C738-C737)</f>
        <v>-7.1477338438853621E-2</v>
      </c>
      <c r="G738" s="17" t="str">
        <f t="shared" ref="G738:G753" si="303">IF(E738="","",B738&amp;","&amp;C738)</f>
        <v>104072.321892409,489252.168073116</v>
      </c>
      <c r="H738" s="16">
        <v>448</v>
      </c>
      <c r="I738" s="16">
        <f t="shared" ref="I738:I753" si="304">IF(J738="","",I737+1)</f>
        <v>448</v>
      </c>
      <c r="J738" s="209">
        <f t="shared" ref="J738:J753" si="305">IF(E738="","",(E738^2+F738^2)^0.5)</f>
        <v>0.40037657970790475</v>
      </c>
      <c r="K738" s="209">
        <f t="shared" ref="K738:K753" si="306">IF(E738="","",K737+J738)</f>
        <v>179.47825020931066</v>
      </c>
      <c r="L738" s="486">
        <v>1.280072927474976</v>
      </c>
      <c r="M738" s="17" t="str">
        <f t="shared" ref="M738:M753" si="307">IF(L738="","",K738&amp;","&amp;L738)</f>
        <v>179.478250209311,1.28007292747498</v>
      </c>
    </row>
    <row r="739" spans="1:13" x14ac:dyDescent="0.25">
      <c r="A739" s="85">
        <f t="shared" si="297"/>
        <v>449</v>
      </c>
      <c r="B739" s="296">
        <f t="shared" si="298"/>
        <v>104072.7158370698</v>
      </c>
      <c r="C739" s="296">
        <f t="shared" si="299"/>
        <v>489252.09659577755</v>
      </c>
      <c r="D739" s="85">
        <f t="shared" si="300"/>
        <v>4</v>
      </c>
      <c r="E739" s="17">
        <f t="shared" si="301"/>
        <v>0.39394466065277811</v>
      </c>
      <c r="F739" s="17">
        <f t="shared" si="302"/>
        <v>-7.1477338438853621E-2</v>
      </c>
      <c r="G739" s="17" t="str">
        <f t="shared" si="303"/>
        <v>104072.71583707,489252.096595778</v>
      </c>
      <c r="H739" s="16">
        <v>449</v>
      </c>
      <c r="I739" s="16">
        <f t="shared" si="304"/>
        <v>449</v>
      </c>
      <c r="J739" s="209">
        <f t="shared" si="305"/>
        <v>0.40037657969358664</v>
      </c>
      <c r="K739" s="209">
        <f t="shared" si="306"/>
        <v>179.87862678900424</v>
      </c>
      <c r="L739" s="486">
        <v>1.2754726409912109</v>
      </c>
      <c r="M739" s="17" t="str">
        <f t="shared" si="307"/>
        <v>179.878626789004,1.27547264099121</v>
      </c>
    </row>
    <row r="740" spans="1:13" x14ac:dyDescent="0.25">
      <c r="A740" s="85">
        <f t="shared" si="297"/>
        <v>450</v>
      </c>
      <c r="B740" s="296">
        <f t="shared" si="298"/>
        <v>104073.10978173047</v>
      </c>
      <c r="C740" s="296">
        <f t="shared" si="299"/>
        <v>489252.02511843911</v>
      </c>
      <c r="D740" s="85">
        <f t="shared" si="300"/>
        <v>4</v>
      </c>
      <c r="E740" s="17">
        <f t="shared" si="301"/>
        <v>0.39394466066733003</v>
      </c>
      <c r="F740" s="17">
        <f t="shared" si="302"/>
        <v>-7.1477338438853621E-2</v>
      </c>
      <c r="G740" s="17" t="str">
        <f t="shared" si="303"/>
        <v>104073.10978173,489252.025118439</v>
      </c>
      <c r="H740" s="16">
        <v>450</v>
      </c>
      <c r="I740" s="16">
        <f t="shared" si="304"/>
        <v>450</v>
      </c>
      <c r="J740" s="209">
        <f t="shared" si="305"/>
        <v>0.40037657970790475</v>
      </c>
      <c r="K740" s="209">
        <f t="shared" si="306"/>
        <v>180.27900336871215</v>
      </c>
      <c r="L740" s="486">
        <v>1.270344614982605</v>
      </c>
      <c r="M740" s="17" t="str">
        <f t="shared" si="307"/>
        <v>180.279003368712,1.2703446149826</v>
      </c>
    </row>
    <row r="741" spans="1:13" x14ac:dyDescent="0.25">
      <c r="A741" s="85">
        <f t="shared" si="297"/>
        <v>451</v>
      </c>
      <c r="B741" s="296">
        <f t="shared" si="298"/>
        <v>104073.50372639112</v>
      </c>
      <c r="C741" s="296">
        <f t="shared" si="299"/>
        <v>489251.95364110067</v>
      </c>
      <c r="D741" s="85">
        <f t="shared" si="300"/>
        <v>4</v>
      </c>
      <c r="E741" s="17">
        <f t="shared" si="301"/>
        <v>0.39394466065277811</v>
      </c>
      <c r="F741" s="17">
        <f t="shared" si="302"/>
        <v>-7.1477338438853621E-2</v>
      </c>
      <c r="G741" s="17" t="str">
        <f t="shared" si="303"/>
        <v>104073.503726391,489251.953641101</v>
      </c>
      <c r="H741" s="16">
        <v>451</v>
      </c>
      <c r="I741" s="16">
        <f t="shared" si="304"/>
        <v>451</v>
      </c>
      <c r="J741" s="209">
        <f t="shared" si="305"/>
        <v>0.40037657969358664</v>
      </c>
      <c r="K741" s="209">
        <f t="shared" si="306"/>
        <v>180.67937994840574</v>
      </c>
      <c r="L741" s="486">
        <v>1.275013208389282</v>
      </c>
      <c r="M741" s="17" t="str">
        <f t="shared" si="307"/>
        <v>180.679379948406,1.27501320838928</v>
      </c>
    </row>
    <row r="742" spans="1:13" x14ac:dyDescent="0.25">
      <c r="A742" s="85">
        <f t="shared" si="297"/>
        <v>452</v>
      </c>
      <c r="B742" s="296">
        <f t="shared" si="298"/>
        <v>104073.89767105179</v>
      </c>
      <c r="C742" s="296">
        <f t="shared" si="299"/>
        <v>489251.88216376229</v>
      </c>
      <c r="D742" s="85">
        <f t="shared" si="300"/>
        <v>4</v>
      </c>
      <c r="E742" s="17">
        <f t="shared" si="301"/>
        <v>0.39394466066733003</v>
      </c>
      <c r="F742" s="17">
        <f t="shared" si="302"/>
        <v>-7.1477338380645961E-2</v>
      </c>
      <c r="G742" s="17" t="str">
        <f t="shared" si="303"/>
        <v>104073.897671052,489251.882163762</v>
      </c>
      <c r="H742" s="16">
        <v>452</v>
      </c>
      <c r="I742" s="16">
        <f t="shared" si="304"/>
        <v>452</v>
      </c>
      <c r="J742" s="209">
        <f t="shared" si="305"/>
        <v>0.40037657969751322</v>
      </c>
      <c r="K742" s="209">
        <f t="shared" si="306"/>
        <v>181.07975652810325</v>
      </c>
      <c r="L742" s="486">
        <v>1.2670789957046511</v>
      </c>
      <c r="M742" s="17" t="str">
        <f t="shared" si="307"/>
        <v>181.079756528103,1.26707899570465</v>
      </c>
    </row>
    <row r="743" spans="1:13" x14ac:dyDescent="0.25">
      <c r="A743" s="85">
        <f t="shared" si="297"/>
        <v>453</v>
      </c>
      <c r="B743" s="296">
        <f t="shared" si="298"/>
        <v>104074.29161571246</v>
      </c>
      <c r="C743" s="296">
        <f t="shared" si="299"/>
        <v>489251.81068642385</v>
      </c>
      <c r="D743" s="85">
        <f t="shared" si="300"/>
        <v>4</v>
      </c>
      <c r="E743" s="17">
        <f t="shared" si="301"/>
        <v>0.39394466066733003</v>
      </c>
      <c r="F743" s="17">
        <f t="shared" si="302"/>
        <v>-7.1477338438853621E-2</v>
      </c>
      <c r="G743" s="17" t="str">
        <f t="shared" si="303"/>
        <v>104074.291615712,489251.810686424</v>
      </c>
      <c r="H743" s="16">
        <v>453</v>
      </c>
      <c r="I743" s="16">
        <f t="shared" si="304"/>
        <v>453</v>
      </c>
      <c r="J743" s="209">
        <f t="shared" si="305"/>
        <v>0.40037657970790475</v>
      </c>
      <c r="K743" s="209">
        <f t="shared" si="306"/>
        <v>181.48013310781116</v>
      </c>
      <c r="L743" s="486">
        <v>1.2612758874893191</v>
      </c>
      <c r="M743" s="17" t="str">
        <f t="shared" si="307"/>
        <v>181.480133107811,1.26127588748932</v>
      </c>
    </row>
    <row r="744" spans="1:13" x14ac:dyDescent="0.25">
      <c r="A744" s="85">
        <f t="shared" si="297"/>
        <v>454</v>
      </c>
      <c r="B744" s="296">
        <f t="shared" si="298"/>
        <v>104074.68556037311</v>
      </c>
      <c r="C744" s="296">
        <f t="shared" si="299"/>
        <v>489251.73920908541</v>
      </c>
      <c r="D744" s="85">
        <f t="shared" si="300"/>
        <v>4</v>
      </c>
      <c r="E744" s="17">
        <f t="shared" si="301"/>
        <v>0.39394466065277811</v>
      </c>
      <c r="F744" s="17">
        <f t="shared" si="302"/>
        <v>-7.1477338438853621E-2</v>
      </c>
      <c r="G744" s="17" t="str">
        <f t="shared" si="303"/>
        <v>104074.685560373,489251.739209085</v>
      </c>
      <c r="H744" s="16">
        <v>454</v>
      </c>
      <c r="I744" s="16">
        <f t="shared" si="304"/>
        <v>454</v>
      </c>
      <c r="J744" s="209">
        <f t="shared" si="305"/>
        <v>0.40037657969358664</v>
      </c>
      <c r="K744" s="209">
        <f t="shared" si="306"/>
        <v>181.88050968750474</v>
      </c>
      <c r="L744" s="486">
        <v>1.2680482864379881</v>
      </c>
      <c r="M744" s="17" t="str">
        <f t="shared" si="307"/>
        <v>181.880509687505,1.26804828643799</v>
      </c>
    </row>
    <row r="745" spans="1:13" x14ac:dyDescent="0.25">
      <c r="A745" s="85">
        <f t="shared" si="297"/>
        <v>455</v>
      </c>
      <c r="B745" s="296">
        <f t="shared" si="298"/>
        <v>104075.07950503378</v>
      </c>
      <c r="C745" s="296">
        <f t="shared" si="299"/>
        <v>489251.66773174697</v>
      </c>
      <c r="D745" s="85">
        <f t="shared" si="300"/>
        <v>4</v>
      </c>
      <c r="E745" s="17">
        <f t="shared" si="301"/>
        <v>0.39394466066733003</v>
      </c>
      <c r="F745" s="17">
        <f t="shared" si="302"/>
        <v>-7.1477338438853621E-2</v>
      </c>
      <c r="G745" s="17" t="str">
        <f t="shared" si="303"/>
        <v>104075.079505034,489251.667731747</v>
      </c>
      <c r="H745" s="16">
        <v>455</v>
      </c>
      <c r="I745" s="16">
        <f t="shared" si="304"/>
        <v>455</v>
      </c>
      <c r="J745" s="209">
        <f t="shared" si="305"/>
        <v>0.40037657970790475</v>
      </c>
      <c r="K745" s="209">
        <f t="shared" si="306"/>
        <v>182.28088626721265</v>
      </c>
      <c r="L745" s="486">
        <v>1.2836698293685911</v>
      </c>
      <c r="M745" s="17" t="str">
        <f t="shared" si="307"/>
        <v>182.280886267213,1.28366982936859</v>
      </c>
    </row>
    <row r="746" spans="1:13" x14ac:dyDescent="0.25">
      <c r="A746" s="85">
        <f t="shared" si="297"/>
        <v>456</v>
      </c>
      <c r="B746" s="296">
        <f t="shared" si="298"/>
        <v>104075.47344969443</v>
      </c>
      <c r="C746" s="296">
        <f t="shared" si="299"/>
        <v>489251.59625440853</v>
      </c>
      <c r="D746" s="85">
        <f t="shared" si="300"/>
        <v>4</v>
      </c>
      <c r="E746" s="17">
        <f t="shared" si="301"/>
        <v>0.39394466065277811</v>
      </c>
      <c r="F746" s="17">
        <f t="shared" si="302"/>
        <v>-7.1477338438853621E-2</v>
      </c>
      <c r="G746" s="17" t="str">
        <f t="shared" si="303"/>
        <v>104075.473449694,489251.596254409</v>
      </c>
      <c r="H746" s="16">
        <v>456</v>
      </c>
      <c r="I746" s="16">
        <f t="shared" si="304"/>
        <v>456</v>
      </c>
      <c r="J746" s="209">
        <f t="shared" si="305"/>
        <v>0.40037657969358664</v>
      </c>
      <c r="K746" s="209">
        <f t="shared" si="306"/>
        <v>182.68126284690624</v>
      </c>
      <c r="L746" s="486">
        <v>1.2998436689376831</v>
      </c>
      <c r="M746" s="17" t="str">
        <f t="shared" si="307"/>
        <v>182.681262846906,1.29984366893768</v>
      </c>
    </row>
    <row r="747" spans="1:13" x14ac:dyDescent="0.25">
      <c r="A747" s="85">
        <f t="shared" si="297"/>
        <v>457</v>
      </c>
      <c r="B747" s="296">
        <f t="shared" si="298"/>
        <v>104075.8673943551</v>
      </c>
      <c r="C747" s="296">
        <f t="shared" si="299"/>
        <v>489251.52477707015</v>
      </c>
      <c r="D747" s="85">
        <f t="shared" si="300"/>
        <v>4</v>
      </c>
      <c r="E747" s="17">
        <f t="shared" si="301"/>
        <v>0.39394466066733003</v>
      </c>
      <c r="F747" s="17">
        <f t="shared" si="302"/>
        <v>-7.1477338380645961E-2</v>
      </c>
      <c r="G747" s="17" t="str">
        <f t="shared" si="303"/>
        <v>104075.867394355,489251.52477707</v>
      </c>
      <c r="H747" s="16">
        <v>457</v>
      </c>
      <c r="I747" s="16">
        <f t="shared" si="304"/>
        <v>457</v>
      </c>
      <c r="J747" s="209">
        <f t="shared" si="305"/>
        <v>0.40037657969751322</v>
      </c>
      <c r="K747" s="209">
        <f t="shared" si="306"/>
        <v>183.08163942660374</v>
      </c>
      <c r="L747" s="486">
        <v>1.2993408441543579</v>
      </c>
      <c r="M747" s="17" t="str">
        <f t="shared" si="307"/>
        <v>183.081639426604,1.29934084415436</v>
      </c>
    </row>
    <row r="748" spans="1:13" x14ac:dyDescent="0.25">
      <c r="A748" s="85">
        <f t="shared" si="297"/>
        <v>458</v>
      </c>
      <c r="B748" s="296">
        <f t="shared" si="298"/>
        <v>104076.26133901575</v>
      </c>
      <c r="C748" s="296">
        <f t="shared" si="299"/>
        <v>489251.45329973171</v>
      </c>
      <c r="D748" s="85">
        <f t="shared" si="300"/>
        <v>4</v>
      </c>
      <c r="E748" s="17">
        <f t="shared" si="301"/>
        <v>0.39394466065277811</v>
      </c>
      <c r="F748" s="17">
        <f t="shared" si="302"/>
        <v>-7.1477338438853621E-2</v>
      </c>
      <c r="G748" s="17" t="str">
        <f t="shared" si="303"/>
        <v>104076.261339016,489251.453299732</v>
      </c>
      <c r="H748" s="16">
        <v>458</v>
      </c>
      <c r="I748" s="16">
        <f t="shared" si="304"/>
        <v>458</v>
      </c>
      <c r="J748" s="209">
        <f t="shared" si="305"/>
        <v>0.40037657969358664</v>
      </c>
      <c r="K748" s="209">
        <f t="shared" si="306"/>
        <v>183.48201600629733</v>
      </c>
      <c r="L748" s="486">
        <v>1.292631149291992</v>
      </c>
      <c r="M748" s="17" t="str">
        <f t="shared" si="307"/>
        <v>183.482016006297,1.29263114929199</v>
      </c>
    </row>
    <row r="749" spans="1:13" x14ac:dyDescent="0.25">
      <c r="A749" s="85">
        <f t="shared" si="297"/>
        <v>459</v>
      </c>
      <c r="B749" s="296">
        <f t="shared" si="298"/>
        <v>104076.65528367642</v>
      </c>
      <c r="C749" s="296">
        <f t="shared" si="299"/>
        <v>489251.38182239328</v>
      </c>
      <c r="D749" s="85">
        <f t="shared" si="300"/>
        <v>4</v>
      </c>
      <c r="E749" s="17">
        <f t="shared" si="301"/>
        <v>0.39394466066733003</v>
      </c>
      <c r="F749" s="17">
        <f t="shared" si="302"/>
        <v>-7.1477338438853621E-2</v>
      </c>
      <c r="G749" s="17" t="str">
        <f t="shared" si="303"/>
        <v>104076.655283676,489251.381822393</v>
      </c>
      <c r="H749" s="16">
        <v>459</v>
      </c>
      <c r="I749" s="16">
        <f t="shared" si="304"/>
        <v>459</v>
      </c>
      <c r="J749" s="209">
        <f t="shared" si="305"/>
        <v>0.40037657970790475</v>
      </c>
      <c r="K749" s="209">
        <f t="shared" si="306"/>
        <v>183.88239258600524</v>
      </c>
      <c r="L749" s="486">
        <v>1.2938722372055049</v>
      </c>
      <c r="M749" s="17" t="str">
        <f t="shared" si="307"/>
        <v>183.882392586005,1.2938722372055</v>
      </c>
    </row>
    <row r="750" spans="1:13" x14ac:dyDescent="0.25">
      <c r="A750" s="85">
        <f t="shared" si="297"/>
        <v>460</v>
      </c>
      <c r="B750" s="296">
        <f t="shared" si="298"/>
        <v>104077.04922833707</v>
      </c>
      <c r="C750" s="296">
        <f t="shared" si="299"/>
        <v>489251.31034505484</v>
      </c>
      <c r="D750" s="85">
        <f t="shared" si="300"/>
        <v>4</v>
      </c>
      <c r="E750" s="17">
        <f t="shared" si="301"/>
        <v>0.39394466065277811</v>
      </c>
      <c r="F750" s="17">
        <f t="shared" si="302"/>
        <v>-7.1477338438853621E-2</v>
      </c>
      <c r="G750" s="17" t="str">
        <f t="shared" si="303"/>
        <v>104077.049228337,489251.310345055</v>
      </c>
      <c r="H750" s="16">
        <v>460</v>
      </c>
      <c r="I750" s="16">
        <f t="shared" si="304"/>
        <v>460</v>
      </c>
      <c r="J750" s="209">
        <f t="shared" si="305"/>
        <v>0.40037657969358664</v>
      </c>
      <c r="K750" s="209">
        <f t="shared" si="306"/>
        <v>184.28276916569882</v>
      </c>
      <c r="L750" s="486">
        <v>1.304230332374573</v>
      </c>
      <c r="M750" s="17" t="str">
        <f t="shared" si="307"/>
        <v>184.282769165699,1.30423033237457</v>
      </c>
    </row>
    <row r="751" spans="1:13" x14ac:dyDescent="0.25">
      <c r="A751" s="85">
        <f t="shared" si="297"/>
        <v>461</v>
      </c>
      <c r="B751" s="296">
        <f t="shared" si="298"/>
        <v>104077.44317299774</v>
      </c>
      <c r="C751" s="296">
        <f t="shared" si="299"/>
        <v>489251.2388677164</v>
      </c>
      <c r="D751" s="85">
        <f t="shared" si="300"/>
        <v>4</v>
      </c>
      <c r="E751" s="17">
        <f t="shared" si="301"/>
        <v>0.39394466066733003</v>
      </c>
      <c r="F751" s="17">
        <f t="shared" si="302"/>
        <v>-7.1477338438853621E-2</v>
      </c>
      <c r="G751" s="17" t="str">
        <f t="shared" si="303"/>
        <v>104077.443172998,489251.238867716</v>
      </c>
      <c r="H751" s="16">
        <v>461</v>
      </c>
      <c r="I751" s="16">
        <f t="shared" si="304"/>
        <v>461</v>
      </c>
      <c r="J751" s="209">
        <f t="shared" si="305"/>
        <v>0.40037657970790475</v>
      </c>
      <c r="K751" s="209">
        <f t="shared" si="306"/>
        <v>184.68314574540673</v>
      </c>
      <c r="L751" s="486">
        <v>1.3118879795074461</v>
      </c>
      <c r="M751" s="17" t="str">
        <f t="shared" si="307"/>
        <v>184.683145745407,1.31188797950745</v>
      </c>
    </row>
    <row r="752" spans="1:13" x14ac:dyDescent="0.25">
      <c r="A752" s="85">
        <f t="shared" si="297"/>
        <v>462</v>
      </c>
      <c r="B752" s="296">
        <f t="shared" si="298"/>
        <v>104077.83711765839</v>
      </c>
      <c r="C752" s="296">
        <f t="shared" si="299"/>
        <v>489251.16739037802</v>
      </c>
      <c r="D752" s="85">
        <f t="shared" si="300"/>
        <v>4</v>
      </c>
      <c r="E752" s="17">
        <f t="shared" si="301"/>
        <v>0.39394466065277811</v>
      </c>
      <c r="F752" s="17">
        <f t="shared" si="302"/>
        <v>-7.1477338380645961E-2</v>
      </c>
      <c r="G752" s="17" t="str">
        <f t="shared" si="303"/>
        <v>104077.837117658,489251.167390378</v>
      </c>
      <c r="H752" s="16">
        <v>462</v>
      </c>
      <c r="I752" s="16">
        <f t="shared" si="304"/>
        <v>462</v>
      </c>
      <c r="J752" s="209">
        <f t="shared" si="305"/>
        <v>0.40037657968319512</v>
      </c>
      <c r="K752" s="209">
        <f t="shared" si="306"/>
        <v>185.08352232508992</v>
      </c>
      <c r="L752" s="486">
        <v>1.318090438842773</v>
      </c>
      <c r="M752" s="17" t="str">
        <f t="shared" si="307"/>
        <v>185.08352232509,1.31809043884277</v>
      </c>
    </row>
    <row r="753" spans="1:13" x14ac:dyDescent="0.25">
      <c r="A753" s="85">
        <f t="shared" si="297"/>
        <v>463</v>
      </c>
      <c r="B753" s="296">
        <f t="shared" si="298"/>
        <v>104078.23106231906</v>
      </c>
      <c r="C753" s="296">
        <f t="shared" si="299"/>
        <v>489251.09591303958</v>
      </c>
      <c r="D753" s="85">
        <f t="shared" si="300"/>
        <v>4</v>
      </c>
      <c r="E753" s="17">
        <f t="shared" si="301"/>
        <v>0.39394466066733003</v>
      </c>
      <c r="F753" s="17">
        <f t="shared" si="302"/>
        <v>-7.1477338438853621E-2</v>
      </c>
      <c r="G753" s="17" t="str">
        <f t="shared" si="303"/>
        <v>104078.231062319,489251.09591304</v>
      </c>
      <c r="H753" s="16">
        <v>463</v>
      </c>
      <c r="I753" s="16">
        <f t="shared" si="304"/>
        <v>463</v>
      </c>
      <c r="J753" s="209">
        <f t="shared" si="305"/>
        <v>0.40037657970790475</v>
      </c>
      <c r="K753" s="209">
        <f t="shared" si="306"/>
        <v>185.48389890479783</v>
      </c>
      <c r="L753" s="486">
        <v>1.3157210350036621</v>
      </c>
      <c r="M753" s="17" t="str">
        <f t="shared" si="307"/>
        <v>185.483898904798,1.31572103500366</v>
      </c>
    </row>
    <row r="754" spans="1:13" x14ac:dyDescent="0.25">
      <c r="A754" s="85">
        <f t="shared" ref="A754:A817" si="308">IF(A753&lt;J$269,A753+1,"")</f>
        <v>464</v>
      </c>
      <c r="B754" s="296">
        <f t="shared" ref="B754:B817" si="309">IF(A754="","",IF(A753&lt;=C$270,B$273+(A753*E$274/C$269),IF(A753&lt;=D$270,B$274+(D$275*COS(RADIANS(G$275+((A753-C$270)*H$276/D$269))))-E$275,IF(A753&lt;=E$270,B$276+((A753-D$270)*E$277/E$269),IF(A753&lt;=F$270,B$277+(D$278*COS(RADIANS(G$278+((A753-E$270)*H$279/F$269))))-E$278,IF(A753&lt;=G$270,B$279+((A753-F$270)*E$280/G$269),IF(A753&lt;=H$270,B$280+(D$281*COS(RADIANS(G$281+((A753-G$270)*H$282/H$269))))-E$281,IF(A753&lt;=I$270,B$282+((A753-H$270)*E$283/I$269),"CHECK FORMULE"))))))))</f>
        <v>104078.62500697972</v>
      </c>
      <c r="C754" s="296">
        <f t="shared" ref="C754:C817" si="310">IF(A754="","",IF(A753&lt;=C$270,C$273+(A753*F$274/C$269),IF(A753&lt;=D$270,C$274+(D$275*SIN(RADIANS(G$275+((A753-C$270)*H$276/D$269))))-F$275,IF(A753&lt;=E$270,C$276+((A753-D$270)*F$277/E$269),IF(A753&lt;=F$270,C$277+(D$278*SIN(RADIANS(G$278+((A753-E$270)*H$279/F$269))))-F$278,IF(A753&lt;=G$270,C$279+((A753-F$270)*F$280/G$269),IF(A753&lt;=H$270,C$280+(D$281*SIN(RADIANS(G$281+((A753-G$270)*H$282/H$269))))-F$281,IF(A753&lt;=I$270,C$282+((A753-H$270)*F$283/I$269),"CHECK FORMULE"))))))))</f>
        <v>489251.02443570114</v>
      </c>
      <c r="D754" s="85">
        <f t="shared" ref="D754:D817" si="311">_xlfn.SINGLE(_xlfn.XLOOKUP(B754,B$273:B$284,A$273:A$284,D753))</f>
        <v>4</v>
      </c>
      <c r="E754" s="17">
        <f t="shared" ref="E754:E817" si="312">IF(A754="","",B754-B753)</f>
        <v>0.39394466066733003</v>
      </c>
      <c r="F754" s="17">
        <f t="shared" ref="F754:F817" si="313">IF(A754="","",C754-C753)</f>
        <v>-7.1477338438853621E-2</v>
      </c>
      <c r="G754" s="17" t="str">
        <f t="shared" ref="G754:G817" si="314">IF(E754="","",B754&amp;","&amp;C754)</f>
        <v>104078.62500698,489251.024435701</v>
      </c>
      <c r="H754" s="16">
        <v>464</v>
      </c>
      <c r="I754" s="16">
        <f t="shared" ref="I754:I817" si="315">IF(J754="","",I753+1)</f>
        <v>464</v>
      </c>
      <c r="J754" s="209">
        <f t="shared" ref="J754:J817" si="316">IF(E754="","",(E754^2+F754^2)^0.5)</f>
        <v>0.40037657970790475</v>
      </c>
      <c r="K754" s="209">
        <f t="shared" ref="K754:K817" si="317">IF(E754="","",K753+J754)</f>
        <v>185.88427548450574</v>
      </c>
      <c r="L754" s="486">
        <v>1.3100752830505371</v>
      </c>
      <c r="M754" s="17" t="str">
        <f t="shared" ref="M754:M817" si="318">IF(L754="","",K754&amp;","&amp;L754)</f>
        <v>185.884275484506,1.31007528305054</v>
      </c>
    </row>
    <row r="755" spans="1:13" x14ac:dyDescent="0.25">
      <c r="A755" s="85">
        <f t="shared" si="308"/>
        <v>465</v>
      </c>
      <c r="B755" s="296">
        <f t="shared" si="309"/>
        <v>104079.01895164038</v>
      </c>
      <c r="C755" s="296">
        <f t="shared" si="310"/>
        <v>489250.9529583627</v>
      </c>
      <c r="D755" s="85">
        <f t="shared" si="311"/>
        <v>4</v>
      </c>
      <c r="E755" s="17">
        <f t="shared" si="312"/>
        <v>0.39394466065277811</v>
      </c>
      <c r="F755" s="17">
        <f t="shared" si="313"/>
        <v>-7.1477338438853621E-2</v>
      </c>
      <c r="G755" s="17" t="str">
        <f t="shared" si="314"/>
        <v>104079.01895164,489250.952958363</v>
      </c>
      <c r="H755" s="16">
        <v>465</v>
      </c>
      <c r="I755" s="16">
        <f t="shared" si="315"/>
        <v>465</v>
      </c>
      <c r="J755" s="209">
        <f t="shared" si="316"/>
        <v>0.40037657969358664</v>
      </c>
      <c r="K755" s="209">
        <f t="shared" si="317"/>
        <v>186.28465206419932</v>
      </c>
      <c r="L755" s="486">
        <v>1.3151979446411131</v>
      </c>
      <c r="M755" s="17" t="str">
        <f t="shared" si="318"/>
        <v>186.284652064199,1.31519794464111</v>
      </c>
    </row>
    <row r="756" spans="1:13" x14ac:dyDescent="0.25">
      <c r="A756" s="85">
        <f t="shared" si="308"/>
        <v>466</v>
      </c>
      <c r="B756" s="296">
        <f t="shared" si="309"/>
        <v>104079.41289630104</v>
      </c>
      <c r="C756" s="296">
        <f t="shared" si="310"/>
        <v>489250.88148102426</v>
      </c>
      <c r="D756" s="85">
        <f t="shared" si="311"/>
        <v>4</v>
      </c>
      <c r="E756" s="17">
        <f t="shared" si="312"/>
        <v>0.39394466066733003</v>
      </c>
      <c r="F756" s="17">
        <f t="shared" si="313"/>
        <v>-7.1477338438853621E-2</v>
      </c>
      <c r="G756" s="17" t="str">
        <f t="shared" si="314"/>
        <v>104079.412896301,489250.881481024</v>
      </c>
      <c r="H756" s="16">
        <v>466</v>
      </c>
      <c r="I756" s="16">
        <f t="shared" si="315"/>
        <v>466</v>
      </c>
      <c r="J756" s="209">
        <f t="shared" si="316"/>
        <v>0.40037657970790475</v>
      </c>
      <c r="K756" s="209">
        <f t="shared" si="317"/>
        <v>186.68502864390723</v>
      </c>
      <c r="L756" s="486">
        <v>1.303191542625427</v>
      </c>
      <c r="M756" s="17" t="str">
        <f t="shared" si="318"/>
        <v>186.685028643907,1.30319154262543</v>
      </c>
    </row>
    <row r="757" spans="1:13" x14ac:dyDescent="0.25">
      <c r="A757" s="85">
        <f t="shared" si="308"/>
        <v>467</v>
      </c>
      <c r="B757" s="296">
        <f t="shared" si="309"/>
        <v>104079.8068409617</v>
      </c>
      <c r="C757" s="296">
        <f t="shared" si="310"/>
        <v>489250.81000368582</v>
      </c>
      <c r="D757" s="85">
        <f t="shared" si="311"/>
        <v>4</v>
      </c>
      <c r="E757" s="17">
        <f t="shared" si="312"/>
        <v>0.39394466065277811</v>
      </c>
      <c r="F757" s="17">
        <f t="shared" si="313"/>
        <v>-7.1477338438853621E-2</v>
      </c>
      <c r="G757" s="17" t="str">
        <f t="shared" si="314"/>
        <v>104079.806840962,489250.810003686</v>
      </c>
      <c r="H757" s="16">
        <v>467</v>
      </c>
      <c r="I757" s="16">
        <f t="shared" si="315"/>
        <v>467</v>
      </c>
      <c r="J757" s="209">
        <f t="shared" si="316"/>
        <v>0.40037657969358664</v>
      </c>
      <c r="K757" s="209">
        <f t="shared" si="317"/>
        <v>187.08540522360082</v>
      </c>
      <c r="L757" s="486">
        <v>1.2981230020523069</v>
      </c>
      <c r="M757" s="17" t="str">
        <f t="shared" si="318"/>
        <v>187.085405223601,1.29812300205231</v>
      </c>
    </row>
    <row r="758" spans="1:13" x14ac:dyDescent="0.25">
      <c r="A758" s="85">
        <f t="shared" si="308"/>
        <v>468</v>
      </c>
      <c r="B758" s="296">
        <f t="shared" si="309"/>
        <v>104080.20078562236</v>
      </c>
      <c r="C758" s="296">
        <f t="shared" si="310"/>
        <v>489250.73852634744</v>
      </c>
      <c r="D758" s="85">
        <f t="shared" si="311"/>
        <v>4</v>
      </c>
      <c r="E758" s="17">
        <f t="shared" si="312"/>
        <v>0.39394466066733003</v>
      </c>
      <c r="F758" s="17">
        <f t="shared" si="313"/>
        <v>-7.1477338380645961E-2</v>
      </c>
      <c r="G758" s="17" t="str">
        <f t="shared" si="314"/>
        <v>104080.200785622,489250.738526347</v>
      </c>
      <c r="H758" s="16">
        <v>468</v>
      </c>
      <c r="I758" s="16">
        <f t="shared" si="315"/>
        <v>468</v>
      </c>
      <c r="J758" s="209">
        <f t="shared" si="316"/>
        <v>0.40037657969751322</v>
      </c>
      <c r="K758" s="209">
        <f t="shared" si="317"/>
        <v>187.48578180329832</v>
      </c>
      <c r="L758" s="486">
        <v>1.293341279029846</v>
      </c>
      <c r="M758" s="17" t="str">
        <f t="shared" si="318"/>
        <v>187.485781803298,1.29334127902985</v>
      </c>
    </row>
    <row r="759" spans="1:13" x14ac:dyDescent="0.25">
      <c r="A759" s="85">
        <f t="shared" si="308"/>
        <v>469</v>
      </c>
      <c r="B759" s="296">
        <f t="shared" si="309"/>
        <v>104080.59473028302</v>
      </c>
      <c r="C759" s="296">
        <f t="shared" si="310"/>
        <v>489250.667049009</v>
      </c>
      <c r="D759" s="85">
        <f t="shared" si="311"/>
        <v>4</v>
      </c>
      <c r="E759" s="17">
        <f t="shared" si="312"/>
        <v>0.39394466065277811</v>
      </c>
      <c r="F759" s="17">
        <f t="shared" si="313"/>
        <v>-7.1477338438853621E-2</v>
      </c>
      <c r="G759" s="17" t="str">
        <f t="shared" si="314"/>
        <v>104080.594730283,489250.667049009</v>
      </c>
      <c r="H759" s="16">
        <v>469</v>
      </c>
      <c r="I759" s="16">
        <f t="shared" si="315"/>
        <v>469</v>
      </c>
      <c r="J759" s="209">
        <f t="shared" si="316"/>
        <v>0.40037657969358664</v>
      </c>
      <c r="K759" s="209">
        <f t="shared" si="317"/>
        <v>187.88615838299191</v>
      </c>
      <c r="L759" s="486">
        <v>1.2878202199935911</v>
      </c>
      <c r="M759" s="17" t="str">
        <f t="shared" si="318"/>
        <v>187.886158382992,1.28782021999359</v>
      </c>
    </row>
    <row r="760" spans="1:13" x14ac:dyDescent="0.25">
      <c r="A760" s="85">
        <f t="shared" si="308"/>
        <v>470</v>
      </c>
      <c r="B760" s="296">
        <f t="shared" si="309"/>
        <v>104080.98867494368</v>
      </c>
      <c r="C760" s="296">
        <f t="shared" si="310"/>
        <v>489250.59557167056</v>
      </c>
      <c r="D760" s="85">
        <f t="shared" si="311"/>
        <v>4</v>
      </c>
      <c r="E760" s="17">
        <f t="shared" si="312"/>
        <v>0.39394466066733003</v>
      </c>
      <c r="F760" s="17">
        <f t="shared" si="313"/>
        <v>-7.1477338438853621E-2</v>
      </c>
      <c r="G760" s="17" t="str">
        <f t="shared" si="314"/>
        <v>104080.988674944,489250.595571671</v>
      </c>
      <c r="H760" s="16">
        <v>470</v>
      </c>
      <c r="I760" s="16">
        <f t="shared" si="315"/>
        <v>470</v>
      </c>
      <c r="J760" s="209">
        <f t="shared" si="316"/>
        <v>0.40037657970790475</v>
      </c>
      <c r="K760" s="209">
        <f t="shared" si="317"/>
        <v>188.28653496269982</v>
      </c>
      <c r="L760" s="486">
        <v>1.2692699432373049</v>
      </c>
      <c r="M760" s="17" t="str">
        <f t="shared" si="318"/>
        <v>188.2865349627,1.2692699432373</v>
      </c>
    </row>
    <row r="761" spans="1:13" x14ac:dyDescent="0.25">
      <c r="A761" s="85">
        <f t="shared" si="308"/>
        <v>471</v>
      </c>
      <c r="B761" s="296">
        <f t="shared" si="309"/>
        <v>104081.38261960434</v>
      </c>
      <c r="C761" s="296">
        <f t="shared" si="310"/>
        <v>489250.52409433213</v>
      </c>
      <c r="D761" s="85">
        <f t="shared" si="311"/>
        <v>4</v>
      </c>
      <c r="E761" s="17">
        <f t="shared" si="312"/>
        <v>0.39394466065277811</v>
      </c>
      <c r="F761" s="17">
        <f t="shared" si="313"/>
        <v>-7.1477338438853621E-2</v>
      </c>
      <c r="G761" s="17" t="str">
        <f t="shared" si="314"/>
        <v>104081.382619604,489250.524094332</v>
      </c>
      <c r="H761" s="16">
        <v>471</v>
      </c>
      <c r="I761" s="16">
        <f t="shared" si="315"/>
        <v>471</v>
      </c>
      <c r="J761" s="209">
        <f t="shared" si="316"/>
        <v>0.40037657969358664</v>
      </c>
      <c r="K761" s="209">
        <f t="shared" si="317"/>
        <v>188.6869115423934</v>
      </c>
      <c r="L761" s="486">
        <v>1.263273239135742</v>
      </c>
      <c r="M761" s="17" t="str">
        <f t="shared" si="318"/>
        <v>188.686911542393,1.26327323913574</v>
      </c>
    </row>
    <row r="762" spans="1:13" x14ac:dyDescent="0.25">
      <c r="A762" s="85">
        <f t="shared" si="308"/>
        <v>472</v>
      </c>
      <c r="B762" s="296">
        <f t="shared" si="309"/>
        <v>104081.776564265</v>
      </c>
      <c r="C762" s="296">
        <f t="shared" si="310"/>
        <v>489250.45261699369</v>
      </c>
      <c r="D762" s="85">
        <f t="shared" si="311"/>
        <v>4</v>
      </c>
      <c r="E762" s="17">
        <f t="shared" si="312"/>
        <v>0.39394466066733003</v>
      </c>
      <c r="F762" s="17">
        <f t="shared" si="313"/>
        <v>-7.1477338438853621E-2</v>
      </c>
      <c r="G762" s="17" t="str">
        <f t="shared" si="314"/>
        <v>104081.776564265,489250.452616994</v>
      </c>
      <c r="H762" s="16">
        <v>472</v>
      </c>
      <c r="I762" s="16">
        <f t="shared" si="315"/>
        <v>472</v>
      </c>
      <c r="J762" s="209">
        <f t="shared" si="316"/>
        <v>0.40037657970790475</v>
      </c>
      <c r="K762" s="209">
        <f t="shared" si="317"/>
        <v>189.08728812210131</v>
      </c>
      <c r="L762" s="486">
        <v>1.2394953966140749</v>
      </c>
      <c r="M762" s="17" t="str">
        <f t="shared" si="318"/>
        <v>189.087288122101,1.23949539661407</v>
      </c>
    </row>
    <row r="763" spans="1:13" x14ac:dyDescent="0.25">
      <c r="A763" s="85">
        <f t="shared" si="308"/>
        <v>473</v>
      </c>
      <c r="B763" s="296">
        <f t="shared" si="309"/>
        <v>104082.17050892566</v>
      </c>
      <c r="C763" s="296">
        <f t="shared" si="310"/>
        <v>489250.38113965531</v>
      </c>
      <c r="D763" s="85">
        <f t="shared" si="311"/>
        <v>4</v>
      </c>
      <c r="E763" s="17">
        <f t="shared" si="312"/>
        <v>0.39394466065277811</v>
      </c>
      <c r="F763" s="17">
        <f t="shared" si="313"/>
        <v>-7.1477338380645961E-2</v>
      </c>
      <c r="G763" s="17" t="str">
        <f t="shared" si="314"/>
        <v>104082.170508926,489250.381139655</v>
      </c>
      <c r="H763" s="16">
        <v>473</v>
      </c>
      <c r="I763" s="16">
        <f t="shared" si="315"/>
        <v>473</v>
      </c>
      <c r="J763" s="209">
        <f t="shared" si="316"/>
        <v>0.40037657968319512</v>
      </c>
      <c r="K763" s="209">
        <f t="shared" si="317"/>
        <v>189.4876647017845</v>
      </c>
      <c r="L763" s="486">
        <v>1.2202854156494141</v>
      </c>
      <c r="M763" s="17" t="str">
        <f t="shared" si="318"/>
        <v>189.487664701784,1.22028541564941</v>
      </c>
    </row>
    <row r="764" spans="1:13" x14ac:dyDescent="0.25">
      <c r="A764" s="85">
        <f t="shared" si="308"/>
        <v>474</v>
      </c>
      <c r="B764" s="296">
        <f t="shared" si="309"/>
        <v>104082.56445358632</v>
      </c>
      <c r="C764" s="296">
        <f t="shared" si="310"/>
        <v>489250.30966231687</v>
      </c>
      <c r="D764" s="85">
        <f t="shared" si="311"/>
        <v>4</v>
      </c>
      <c r="E764" s="17">
        <f t="shared" si="312"/>
        <v>0.39394466066733003</v>
      </c>
      <c r="F764" s="17">
        <f t="shared" si="313"/>
        <v>-7.1477338438853621E-2</v>
      </c>
      <c r="G764" s="17" t="str">
        <f t="shared" si="314"/>
        <v>104082.564453586,489250.309662317</v>
      </c>
      <c r="H764" s="16">
        <v>474</v>
      </c>
      <c r="I764" s="16">
        <f t="shared" si="315"/>
        <v>474</v>
      </c>
      <c r="J764" s="209">
        <f t="shared" si="316"/>
        <v>0.40037657970790475</v>
      </c>
      <c r="K764" s="209">
        <f t="shared" si="317"/>
        <v>189.88804128149241</v>
      </c>
      <c r="L764" s="486">
        <v>1.2170358896255491</v>
      </c>
      <c r="M764" s="17" t="str">
        <f t="shared" si="318"/>
        <v>189.888041281492,1.21703588962555</v>
      </c>
    </row>
    <row r="765" spans="1:13" x14ac:dyDescent="0.25">
      <c r="A765" s="85">
        <f t="shared" si="308"/>
        <v>475</v>
      </c>
      <c r="B765" s="296">
        <f t="shared" si="309"/>
        <v>104082.95839824699</v>
      </c>
      <c r="C765" s="296">
        <f t="shared" si="310"/>
        <v>489250.23818497843</v>
      </c>
      <c r="D765" s="85">
        <f t="shared" si="311"/>
        <v>4</v>
      </c>
      <c r="E765" s="17">
        <f t="shared" si="312"/>
        <v>0.39394466066733003</v>
      </c>
      <c r="F765" s="17">
        <f t="shared" si="313"/>
        <v>-7.1477338438853621E-2</v>
      </c>
      <c r="G765" s="17" t="str">
        <f t="shared" si="314"/>
        <v>104082.958398247,489250.238184978</v>
      </c>
      <c r="H765" s="16">
        <v>475</v>
      </c>
      <c r="I765" s="16">
        <f t="shared" si="315"/>
        <v>475</v>
      </c>
      <c r="J765" s="209">
        <f t="shared" si="316"/>
        <v>0.40037657970790475</v>
      </c>
      <c r="K765" s="209">
        <f t="shared" si="317"/>
        <v>190.28841786120032</v>
      </c>
      <c r="L765" s="486">
        <v>1.232354879379272</v>
      </c>
      <c r="M765" s="17" t="str">
        <f t="shared" si="318"/>
        <v>190.2884178612,1.23235487937927</v>
      </c>
    </row>
    <row r="766" spans="1:13" x14ac:dyDescent="0.25">
      <c r="A766" s="85">
        <f t="shared" si="308"/>
        <v>476</v>
      </c>
      <c r="B766" s="296">
        <f t="shared" si="309"/>
        <v>104083.35234290764</v>
      </c>
      <c r="C766" s="296">
        <f t="shared" si="310"/>
        <v>489250.16670763999</v>
      </c>
      <c r="D766" s="85">
        <f t="shared" si="311"/>
        <v>4</v>
      </c>
      <c r="E766" s="17">
        <f t="shared" si="312"/>
        <v>0.39394466065277811</v>
      </c>
      <c r="F766" s="17">
        <f t="shared" si="313"/>
        <v>-7.1477338438853621E-2</v>
      </c>
      <c r="G766" s="17" t="str">
        <f t="shared" si="314"/>
        <v>104083.352342908,489250.16670764</v>
      </c>
      <c r="H766" s="16">
        <v>476</v>
      </c>
      <c r="I766" s="16">
        <f t="shared" si="315"/>
        <v>476</v>
      </c>
      <c r="J766" s="209">
        <f t="shared" si="316"/>
        <v>0.40037657969358664</v>
      </c>
      <c r="K766" s="209">
        <f t="shared" si="317"/>
        <v>190.6887944408939</v>
      </c>
      <c r="L766" s="486">
        <v>1.2405339479446409</v>
      </c>
      <c r="M766" s="17" t="str">
        <f t="shared" si="318"/>
        <v>190.688794440894,1.24053394794464</v>
      </c>
    </row>
    <row r="767" spans="1:13" x14ac:dyDescent="0.25">
      <c r="A767" s="85">
        <f t="shared" si="308"/>
        <v>477</v>
      </c>
      <c r="B767" s="296">
        <f t="shared" si="309"/>
        <v>104083.74628756831</v>
      </c>
      <c r="C767" s="296">
        <f t="shared" si="310"/>
        <v>489250.09523030155</v>
      </c>
      <c r="D767" s="85">
        <f t="shared" si="311"/>
        <v>4</v>
      </c>
      <c r="E767" s="17">
        <f t="shared" si="312"/>
        <v>0.39394466066733003</v>
      </c>
      <c r="F767" s="17">
        <f t="shared" si="313"/>
        <v>-7.1477338438853621E-2</v>
      </c>
      <c r="G767" s="17" t="str">
        <f t="shared" si="314"/>
        <v>104083.746287568,489250.095230302</v>
      </c>
      <c r="H767" s="16">
        <v>477</v>
      </c>
      <c r="I767" s="16">
        <f t="shared" si="315"/>
        <v>477</v>
      </c>
      <c r="J767" s="209">
        <f t="shared" si="316"/>
        <v>0.40037657970790475</v>
      </c>
      <c r="K767" s="209">
        <f t="shared" si="317"/>
        <v>191.08917102060181</v>
      </c>
      <c r="L767" s="486">
        <v>1.2382727861404419</v>
      </c>
      <c r="M767" s="17" t="str">
        <f t="shared" si="318"/>
        <v>191.089171020602,1.23827278614044</v>
      </c>
    </row>
    <row r="768" spans="1:13" x14ac:dyDescent="0.25">
      <c r="A768" s="85">
        <f t="shared" si="308"/>
        <v>478</v>
      </c>
      <c r="B768" s="296">
        <f t="shared" si="309"/>
        <v>104084.14023222897</v>
      </c>
      <c r="C768" s="296">
        <f t="shared" si="310"/>
        <v>489250.02375296317</v>
      </c>
      <c r="D768" s="85">
        <f t="shared" si="311"/>
        <v>4</v>
      </c>
      <c r="E768" s="17">
        <f t="shared" si="312"/>
        <v>0.39394466065277811</v>
      </c>
      <c r="F768" s="17">
        <f t="shared" si="313"/>
        <v>-7.1477338380645961E-2</v>
      </c>
      <c r="G768" s="17" t="str">
        <f t="shared" si="314"/>
        <v>104084.140232229,489250.023752963</v>
      </c>
      <c r="H768" s="16">
        <v>478</v>
      </c>
      <c r="I768" s="16">
        <f t="shared" si="315"/>
        <v>478</v>
      </c>
      <c r="J768" s="209">
        <f t="shared" si="316"/>
        <v>0.40037657968319512</v>
      </c>
      <c r="K768" s="209">
        <f t="shared" si="317"/>
        <v>191.48954760028499</v>
      </c>
      <c r="L768" s="486">
        <v>1.2392305135726931</v>
      </c>
      <c r="M768" s="17" t="str">
        <f t="shared" si="318"/>
        <v>191.489547600285,1.23923051357269</v>
      </c>
    </row>
    <row r="769" spans="1:13" x14ac:dyDescent="0.25">
      <c r="A769" s="85">
        <f t="shared" si="308"/>
        <v>479</v>
      </c>
      <c r="B769" s="296">
        <f t="shared" si="309"/>
        <v>104084.53417688963</v>
      </c>
      <c r="C769" s="296">
        <f t="shared" si="310"/>
        <v>489249.95227562473</v>
      </c>
      <c r="D769" s="85">
        <f t="shared" si="311"/>
        <v>4</v>
      </c>
      <c r="E769" s="17">
        <f t="shared" si="312"/>
        <v>0.39394466066733003</v>
      </c>
      <c r="F769" s="17">
        <f t="shared" si="313"/>
        <v>-7.1477338438853621E-2</v>
      </c>
      <c r="G769" s="17" t="str">
        <f t="shared" si="314"/>
        <v>104084.53417689,489249.952275625</v>
      </c>
      <c r="H769" s="16">
        <v>479</v>
      </c>
      <c r="I769" s="16">
        <f t="shared" si="315"/>
        <v>479</v>
      </c>
      <c r="J769" s="209">
        <f t="shared" si="316"/>
        <v>0.40037657970790475</v>
      </c>
      <c r="K769" s="209">
        <f t="shared" si="317"/>
        <v>191.8899241799929</v>
      </c>
      <c r="L769" s="486">
        <v>1.2503007650375371</v>
      </c>
      <c r="M769" s="17" t="str">
        <f t="shared" si="318"/>
        <v>191.889924179993,1.25030076503754</v>
      </c>
    </row>
    <row r="770" spans="1:13" x14ac:dyDescent="0.25">
      <c r="A770" s="85">
        <f t="shared" si="308"/>
        <v>480</v>
      </c>
      <c r="B770" s="296">
        <f t="shared" si="309"/>
        <v>104084.92812155029</v>
      </c>
      <c r="C770" s="296">
        <f t="shared" si="310"/>
        <v>489249.88079828629</v>
      </c>
      <c r="D770" s="85">
        <f t="shared" si="311"/>
        <v>4</v>
      </c>
      <c r="E770" s="17">
        <f t="shared" si="312"/>
        <v>0.39394466065277811</v>
      </c>
      <c r="F770" s="17">
        <f t="shared" si="313"/>
        <v>-7.1477338438853621E-2</v>
      </c>
      <c r="G770" s="17" t="str">
        <f t="shared" si="314"/>
        <v>104084.92812155,489249.880798286</v>
      </c>
      <c r="H770" s="16">
        <v>480</v>
      </c>
      <c r="I770" s="16">
        <f t="shared" si="315"/>
        <v>480</v>
      </c>
      <c r="J770" s="209">
        <f t="shared" si="316"/>
        <v>0.40037657969358664</v>
      </c>
      <c r="K770" s="209">
        <f t="shared" si="317"/>
        <v>192.29030075968649</v>
      </c>
      <c r="L770" s="486">
        <v>1.257400751113892</v>
      </c>
      <c r="M770" s="17" t="str">
        <f t="shared" si="318"/>
        <v>192.290300759686,1.25740075111389</v>
      </c>
    </row>
    <row r="771" spans="1:13" x14ac:dyDescent="0.25">
      <c r="A771" s="85">
        <f t="shared" si="308"/>
        <v>481</v>
      </c>
      <c r="B771" s="296">
        <f t="shared" si="309"/>
        <v>104085.32206621095</v>
      </c>
      <c r="C771" s="296">
        <f t="shared" si="310"/>
        <v>489249.80932094785</v>
      </c>
      <c r="D771" s="85">
        <f t="shared" si="311"/>
        <v>4</v>
      </c>
      <c r="E771" s="17">
        <f t="shared" si="312"/>
        <v>0.39394466066733003</v>
      </c>
      <c r="F771" s="17">
        <f t="shared" si="313"/>
        <v>-7.1477338438853621E-2</v>
      </c>
      <c r="G771" s="17" t="str">
        <f t="shared" si="314"/>
        <v>104085.322066211,489249.809320948</v>
      </c>
      <c r="H771" s="16">
        <v>481</v>
      </c>
      <c r="I771" s="16">
        <f t="shared" si="315"/>
        <v>481</v>
      </c>
      <c r="J771" s="209">
        <f t="shared" si="316"/>
        <v>0.40037657970790475</v>
      </c>
      <c r="K771" s="209">
        <f t="shared" si="317"/>
        <v>192.6906773393944</v>
      </c>
      <c r="L771" s="486">
        <v>1.260407090187073</v>
      </c>
      <c r="M771" s="17" t="str">
        <f t="shared" si="318"/>
        <v>192.690677339394,1.26040709018707</v>
      </c>
    </row>
    <row r="772" spans="1:13" x14ac:dyDescent="0.25">
      <c r="A772" s="85">
        <f t="shared" si="308"/>
        <v>482</v>
      </c>
      <c r="B772" s="296">
        <f t="shared" si="309"/>
        <v>104085.71601087161</v>
      </c>
      <c r="C772" s="296">
        <f t="shared" si="310"/>
        <v>489249.73784360941</v>
      </c>
      <c r="D772" s="85">
        <f t="shared" si="311"/>
        <v>4</v>
      </c>
      <c r="E772" s="17">
        <f t="shared" si="312"/>
        <v>0.39394466065277811</v>
      </c>
      <c r="F772" s="17">
        <f t="shared" si="313"/>
        <v>-7.1477338438853621E-2</v>
      </c>
      <c r="G772" s="17" t="str">
        <f t="shared" si="314"/>
        <v>104085.716010872,489249.737843609</v>
      </c>
      <c r="H772" s="16">
        <v>482</v>
      </c>
      <c r="I772" s="16">
        <f t="shared" si="315"/>
        <v>482</v>
      </c>
      <c r="J772" s="209">
        <f t="shared" si="316"/>
        <v>0.40037657969358664</v>
      </c>
      <c r="K772" s="209">
        <f t="shared" si="317"/>
        <v>193.09105391908798</v>
      </c>
      <c r="L772" s="486">
        <v>1.262491822242737</v>
      </c>
      <c r="M772" s="17" t="str">
        <f t="shared" si="318"/>
        <v>193.091053919088,1.26249182224274</v>
      </c>
    </row>
    <row r="773" spans="1:13" x14ac:dyDescent="0.25">
      <c r="A773" s="85">
        <f t="shared" si="308"/>
        <v>483</v>
      </c>
      <c r="B773" s="296">
        <f t="shared" si="309"/>
        <v>104086.10995553227</v>
      </c>
      <c r="C773" s="296">
        <f t="shared" si="310"/>
        <v>489249.66636627098</v>
      </c>
      <c r="D773" s="85">
        <f t="shared" si="311"/>
        <v>4</v>
      </c>
      <c r="E773" s="17">
        <f t="shared" si="312"/>
        <v>0.39394466066733003</v>
      </c>
      <c r="F773" s="17">
        <f t="shared" si="313"/>
        <v>-7.1477338438853621E-2</v>
      </c>
      <c r="G773" s="17" t="str">
        <f t="shared" si="314"/>
        <v>104086.109955532,489249.666366271</v>
      </c>
      <c r="H773" s="16">
        <v>483</v>
      </c>
      <c r="I773" s="16">
        <f t="shared" si="315"/>
        <v>483</v>
      </c>
      <c r="J773" s="209">
        <f t="shared" si="316"/>
        <v>0.40037657970790475</v>
      </c>
      <c r="K773" s="209">
        <f t="shared" si="317"/>
        <v>193.49143049879589</v>
      </c>
      <c r="L773" s="486">
        <v>1.265623211860657</v>
      </c>
      <c r="M773" s="17" t="str">
        <f t="shared" si="318"/>
        <v>193.491430498796,1.26562321186066</v>
      </c>
    </row>
    <row r="774" spans="1:13" x14ac:dyDescent="0.25">
      <c r="A774" s="85">
        <f t="shared" si="308"/>
        <v>484</v>
      </c>
      <c r="B774" s="296">
        <f t="shared" si="309"/>
        <v>104086.50390019293</v>
      </c>
      <c r="C774" s="296">
        <f t="shared" si="310"/>
        <v>489249.5948889326</v>
      </c>
      <c r="D774" s="85">
        <f t="shared" si="311"/>
        <v>4</v>
      </c>
      <c r="E774" s="17">
        <f t="shared" si="312"/>
        <v>0.39394466065277811</v>
      </c>
      <c r="F774" s="17">
        <f t="shared" si="313"/>
        <v>-7.1477338380645961E-2</v>
      </c>
      <c r="G774" s="17" t="str">
        <f t="shared" si="314"/>
        <v>104086.503900193,489249.594888933</v>
      </c>
      <c r="H774" s="16">
        <v>484</v>
      </c>
      <c r="I774" s="16">
        <f t="shared" si="315"/>
        <v>484</v>
      </c>
      <c r="J774" s="209">
        <f t="shared" si="316"/>
        <v>0.40037657968319512</v>
      </c>
      <c r="K774" s="209">
        <f t="shared" si="317"/>
        <v>193.89180707847908</v>
      </c>
      <c r="L774" s="486">
        <v>1.273425817489624</v>
      </c>
      <c r="M774" s="17" t="str">
        <f t="shared" si="318"/>
        <v>193.891807078479,1.27342581748962</v>
      </c>
    </row>
    <row r="775" spans="1:13" x14ac:dyDescent="0.25">
      <c r="A775" s="85">
        <f t="shared" si="308"/>
        <v>485</v>
      </c>
      <c r="B775" s="296">
        <f t="shared" si="309"/>
        <v>104086.89784485359</v>
      </c>
      <c r="C775" s="296">
        <f t="shared" si="310"/>
        <v>489249.52341159416</v>
      </c>
      <c r="D775" s="85">
        <f t="shared" si="311"/>
        <v>4</v>
      </c>
      <c r="E775" s="17">
        <f t="shared" si="312"/>
        <v>0.39394466066733003</v>
      </c>
      <c r="F775" s="17">
        <f t="shared" si="313"/>
        <v>-7.1477338438853621E-2</v>
      </c>
      <c r="G775" s="17" t="str">
        <f t="shared" si="314"/>
        <v>104086.897844854,489249.523411594</v>
      </c>
      <c r="H775" s="16">
        <v>485</v>
      </c>
      <c r="I775" s="16">
        <f t="shared" si="315"/>
        <v>485</v>
      </c>
      <c r="J775" s="209">
        <f t="shared" si="316"/>
        <v>0.40037657970790475</v>
      </c>
      <c r="K775" s="209">
        <f t="shared" si="317"/>
        <v>194.29218365818699</v>
      </c>
      <c r="L775" s="486">
        <v>1.2834136486053469</v>
      </c>
      <c r="M775" s="17" t="str">
        <f t="shared" si="318"/>
        <v>194.292183658187,1.28341364860535</v>
      </c>
    </row>
    <row r="776" spans="1:13" x14ac:dyDescent="0.25">
      <c r="A776" s="85">
        <f t="shared" si="308"/>
        <v>486</v>
      </c>
      <c r="B776" s="296">
        <f t="shared" si="309"/>
        <v>104087.29178951426</v>
      </c>
      <c r="C776" s="296">
        <f t="shared" si="310"/>
        <v>489249.45193425572</v>
      </c>
      <c r="D776" s="85">
        <f t="shared" si="311"/>
        <v>4</v>
      </c>
      <c r="E776" s="17">
        <f t="shared" si="312"/>
        <v>0.39394466066733003</v>
      </c>
      <c r="F776" s="17">
        <f t="shared" si="313"/>
        <v>-7.1477338438853621E-2</v>
      </c>
      <c r="G776" s="17" t="str">
        <f t="shared" si="314"/>
        <v>104087.291789514,489249.451934256</v>
      </c>
      <c r="H776" s="16">
        <v>486</v>
      </c>
      <c r="I776" s="16">
        <f t="shared" si="315"/>
        <v>486</v>
      </c>
      <c r="J776" s="209">
        <f t="shared" si="316"/>
        <v>0.40037657970790475</v>
      </c>
      <c r="K776" s="209">
        <f t="shared" si="317"/>
        <v>194.6925602378949</v>
      </c>
      <c r="L776" s="486">
        <v>1.2938452959060669</v>
      </c>
      <c r="M776" s="17" t="str">
        <f t="shared" si="318"/>
        <v>194.692560237895,1.29384529590607</v>
      </c>
    </row>
    <row r="777" spans="1:13" x14ac:dyDescent="0.25">
      <c r="A777" s="85">
        <f t="shared" si="308"/>
        <v>487</v>
      </c>
      <c r="B777" s="296">
        <f t="shared" si="309"/>
        <v>104087.68573417491</v>
      </c>
      <c r="C777" s="296">
        <f t="shared" si="310"/>
        <v>489249.38045691728</v>
      </c>
      <c r="D777" s="85">
        <f t="shared" si="311"/>
        <v>4</v>
      </c>
      <c r="E777" s="17">
        <f t="shared" si="312"/>
        <v>0.39394466065277811</v>
      </c>
      <c r="F777" s="17">
        <f t="shared" si="313"/>
        <v>-7.1477338438853621E-2</v>
      </c>
      <c r="G777" s="17" t="str">
        <f t="shared" si="314"/>
        <v>104087.685734175,489249.380456917</v>
      </c>
      <c r="H777" s="16">
        <v>487</v>
      </c>
      <c r="I777" s="16">
        <f t="shared" si="315"/>
        <v>487</v>
      </c>
      <c r="J777" s="209">
        <f t="shared" si="316"/>
        <v>0.40037657969358664</v>
      </c>
      <c r="K777" s="209">
        <f t="shared" si="317"/>
        <v>195.09293681758848</v>
      </c>
      <c r="L777" s="486">
        <v>1.292519211769104</v>
      </c>
      <c r="M777" s="17" t="str">
        <f t="shared" si="318"/>
        <v>195.092936817588,1.2925192117691</v>
      </c>
    </row>
    <row r="778" spans="1:13" x14ac:dyDescent="0.25">
      <c r="A778" s="85">
        <f t="shared" si="308"/>
        <v>488</v>
      </c>
      <c r="B778" s="296">
        <f t="shared" si="309"/>
        <v>104088.07967883558</v>
      </c>
      <c r="C778" s="296">
        <f t="shared" si="310"/>
        <v>489249.30897957884</v>
      </c>
      <c r="D778" s="85">
        <f t="shared" si="311"/>
        <v>4</v>
      </c>
      <c r="E778" s="17">
        <f t="shared" si="312"/>
        <v>0.39394466066733003</v>
      </c>
      <c r="F778" s="17">
        <f t="shared" si="313"/>
        <v>-7.1477338438853621E-2</v>
      </c>
      <c r="G778" s="17" t="str">
        <f t="shared" si="314"/>
        <v>104088.079678836,489249.308979579</v>
      </c>
      <c r="H778" s="16">
        <v>488</v>
      </c>
      <c r="I778" s="16">
        <f t="shared" si="315"/>
        <v>488</v>
      </c>
      <c r="J778" s="209">
        <f t="shared" si="316"/>
        <v>0.40037657970790475</v>
      </c>
      <c r="K778" s="209">
        <f t="shared" si="317"/>
        <v>195.49331339729639</v>
      </c>
      <c r="L778" s="486">
        <v>1.286138653755188</v>
      </c>
      <c r="M778" s="17" t="str">
        <f t="shared" si="318"/>
        <v>195.493313397296,1.28613865375519</v>
      </c>
    </row>
    <row r="779" spans="1:13" x14ac:dyDescent="0.25">
      <c r="A779" s="85">
        <f t="shared" si="308"/>
        <v>489</v>
      </c>
      <c r="B779" s="296">
        <f t="shared" si="309"/>
        <v>104088.47362349623</v>
      </c>
      <c r="C779" s="296">
        <f t="shared" si="310"/>
        <v>489249.23750224046</v>
      </c>
      <c r="D779" s="85">
        <f t="shared" si="311"/>
        <v>4</v>
      </c>
      <c r="E779" s="17">
        <f t="shared" si="312"/>
        <v>0.39394466065277811</v>
      </c>
      <c r="F779" s="17">
        <f t="shared" si="313"/>
        <v>-7.1477338380645961E-2</v>
      </c>
      <c r="G779" s="17" t="str">
        <f t="shared" si="314"/>
        <v>104088.473623496,489249.23750224</v>
      </c>
      <c r="H779" s="16">
        <v>489</v>
      </c>
      <c r="I779" s="16">
        <f t="shared" si="315"/>
        <v>489</v>
      </c>
      <c r="J779" s="209">
        <f t="shared" si="316"/>
        <v>0.40037657968319512</v>
      </c>
      <c r="K779" s="209">
        <f t="shared" si="317"/>
        <v>195.89368997697957</v>
      </c>
      <c r="L779" s="486">
        <v>1.2868912220001221</v>
      </c>
      <c r="M779" s="17" t="str">
        <f t="shared" si="318"/>
        <v>195.89368997698,1.28689122200012</v>
      </c>
    </row>
    <row r="780" spans="1:13" x14ac:dyDescent="0.25">
      <c r="A780" s="85">
        <f t="shared" si="308"/>
        <v>490</v>
      </c>
      <c r="B780" s="296">
        <f t="shared" si="309"/>
        <v>104088.8675681569</v>
      </c>
      <c r="C780" s="296">
        <f t="shared" si="310"/>
        <v>489249.16602490202</v>
      </c>
      <c r="D780" s="85">
        <f t="shared" si="311"/>
        <v>4</v>
      </c>
      <c r="E780" s="17">
        <f t="shared" si="312"/>
        <v>0.39394466066733003</v>
      </c>
      <c r="F780" s="17">
        <f t="shared" si="313"/>
        <v>-7.1477338438853621E-2</v>
      </c>
      <c r="G780" s="17" t="str">
        <f t="shared" si="314"/>
        <v>104088.867568157,489249.166024902</v>
      </c>
      <c r="H780" s="16">
        <v>490</v>
      </c>
      <c r="I780" s="16">
        <f t="shared" si="315"/>
        <v>490</v>
      </c>
      <c r="J780" s="209">
        <f t="shared" si="316"/>
        <v>0.40037657970790475</v>
      </c>
      <c r="K780" s="209">
        <f t="shared" si="317"/>
        <v>196.29406655668748</v>
      </c>
      <c r="L780" s="486">
        <v>1.3001952171325679</v>
      </c>
      <c r="M780" s="17" t="str">
        <f t="shared" si="318"/>
        <v>196.294066556687,1.30019521713257</v>
      </c>
    </row>
    <row r="781" spans="1:13" x14ac:dyDescent="0.25">
      <c r="A781" s="85">
        <f t="shared" si="308"/>
        <v>491</v>
      </c>
      <c r="B781" s="296">
        <f t="shared" si="309"/>
        <v>104089.26151281755</v>
      </c>
      <c r="C781" s="296">
        <f t="shared" si="310"/>
        <v>489249.09454756358</v>
      </c>
      <c r="D781" s="85">
        <f t="shared" si="311"/>
        <v>4</v>
      </c>
      <c r="E781" s="17">
        <f t="shared" si="312"/>
        <v>0.39394466065277811</v>
      </c>
      <c r="F781" s="17">
        <f t="shared" si="313"/>
        <v>-7.1477338438853621E-2</v>
      </c>
      <c r="G781" s="17" t="str">
        <f t="shared" si="314"/>
        <v>104089.261512818,489249.094547564</v>
      </c>
      <c r="H781" s="16">
        <v>491</v>
      </c>
      <c r="I781" s="16">
        <f t="shared" si="315"/>
        <v>491</v>
      </c>
      <c r="J781" s="209">
        <f t="shared" si="316"/>
        <v>0.40037657969358664</v>
      </c>
      <c r="K781" s="209">
        <f t="shared" si="317"/>
        <v>196.69444313638107</v>
      </c>
      <c r="L781" s="486">
        <v>1.297349691390991</v>
      </c>
      <c r="M781" s="17" t="str">
        <f t="shared" si="318"/>
        <v>196.694443136381,1.29734969139099</v>
      </c>
    </row>
    <row r="782" spans="1:13" x14ac:dyDescent="0.25">
      <c r="A782" s="85">
        <f t="shared" si="308"/>
        <v>492</v>
      </c>
      <c r="B782" s="296">
        <f t="shared" si="309"/>
        <v>104089.65545747822</v>
      </c>
      <c r="C782" s="296">
        <f t="shared" si="310"/>
        <v>489249.02307022514</v>
      </c>
      <c r="D782" s="85">
        <f t="shared" si="311"/>
        <v>4</v>
      </c>
      <c r="E782" s="17">
        <f t="shared" si="312"/>
        <v>0.39394466066733003</v>
      </c>
      <c r="F782" s="17">
        <f t="shared" si="313"/>
        <v>-7.1477338438853621E-2</v>
      </c>
      <c r="G782" s="17" t="str">
        <f t="shared" si="314"/>
        <v>104089.655457478,489249.023070225</v>
      </c>
      <c r="H782" s="16">
        <v>492</v>
      </c>
      <c r="I782" s="16">
        <f t="shared" si="315"/>
        <v>492</v>
      </c>
      <c r="J782" s="209">
        <f t="shared" si="316"/>
        <v>0.40037657970790475</v>
      </c>
      <c r="K782" s="209">
        <f t="shared" si="317"/>
        <v>197.09481971608898</v>
      </c>
      <c r="L782" s="486">
        <v>1.282065868377686</v>
      </c>
      <c r="M782" s="17" t="str">
        <f t="shared" si="318"/>
        <v>197.094819716089,1.28206586837769</v>
      </c>
    </row>
    <row r="783" spans="1:13" x14ac:dyDescent="0.25">
      <c r="A783" s="85">
        <f t="shared" si="308"/>
        <v>493</v>
      </c>
      <c r="B783" s="296">
        <f t="shared" si="309"/>
        <v>104090.04940213887</v>
      </c>
      <c r="C783" s="296">
        <f t="shared" si="310"/>
        <v>489248.9515928867</v>
      </c>
      <c r="D783" s="85">
        <f t="shared" si="311"/>
        <v>4</v>
      </c>
      <c r="E783" s="17">
        <f t="shared" si="312"/>
        <v>0.39394466065277811</v>
      </c>
      <c r="F783" s="17">
        <f t="shared" si="313"/>
        <v>-7.1477338438853621E-2</v>
      </c>
      <c r="G783" s="17" t="str">
        <f t="shared" si="314"/>
        <v>104090.049402139,489248.951592887</v>
      </c>
      <c r="H783" s="16">
        <v>493</v>
      </c>
      <c r="I783" s="16">
        <f t="shared" si="315"/>
        <v>493</v>
      </c>
      <c r="J783" s="209">
        <f t="shared" si="316"/>
        <v>0.40037657969358664</v>
      </c>
      <c r="K783" s="209">
        <f t="shared" si="317"/>
        <v>197.49519629578256</v>
      </c>
      <c r="L783" s="486">
        <v>1.265184640884399</v>
      </c>
      <c r="M783" s="17" t="str">
        <f t="shared" si="318"/>
        <v>197.495196295783,1.2651846408844</v>
      </c>
    </row>
    <row r="784" spans="1:13" x14ac:dyDescent="0.25">
      <c r="A784" s="85">
        <f t="shared" si="308"/>
        <v>494</v>
      </c>
      <c r="B784" s="296">
        <f t="shared" si="309"/>
        <v>104090.44334679954</v>
      </c>
      <c r="C784" s="296">
        <f t="shared" si="310"/>
        <v>489248.88011554832</v>
      </c>
      <c r="D784" s="85">
        <f t="shared" si="311"/>
        <v>4</v>
      </c>
      <c r="E784" s="17">
        <f t="shared" si="312"/>
        <v>0.39394466066733003</v>
      </c>
      <c r="F784" s="17">
        <f t="shared" si="313"/>
        <v>-7.1477338380645961E-2</v>
      </c>
      <c r="G784" s="17" t="str">
        <f t="shared" si="314"/>
        <v>104090.4433468,489248.880115548</v>
      </c>
      <c r="H784" s="16">
        <v>494</v>
      </c>
      <c r="I784" s="16">
        <f t="shared" si="315"/>
        <v>494</v>
      </c>
      <c r="J784" s="209">
        <f t="shared" si="316"/>
        <v>0.40037657969751322</v>
      </c>
      <c r="K784" s="209">
        <f t="shared" si="317"/>
        <v>197.89557287548007</v>
      </c>
      <c r="L784" s="486">
        <v>1.2638577222824099</v>
      </c>
      <c r="M784" s="17" t="str">
        <f t="shared" si="318"/>
        <v>197.89557287548,1.26385772228241</v>
      </c>
    </row>
    <row r="785" spans="1:13" x14ac:dyDescent="0.25">
      <c r="A785" s="85">
        <f t="shared" si="308"/>
        <v>495</v>
      </c>
      <c r="B785" s="296">
        <f t="shared" si="309"/>
        <v>104090.83729146019</v>
      </c>
      <c r="C785" s="296">
        <f t="shared" si="310"/>
        <v>489248.80863820988</v>
      </c>
      <c r="D785" s="85">
        <f t="shared" si="311"/>
        <v>4</v>
      </c>
      <c r="E785" s="17">
        <f t="shared" si="312"/>
        <v>0.39394466065277811</v>
      </c>
      <c r="F785" s="17">
        <f t="shared" si="313"/>
        <v>-7.1477338438853621E-2</v>
      </c>
      <c r="G785" s="17" t="str">
        <f t="shared" si="314"/>
        <v>104090.83729146,489248.80863821</v>
      </c>
      <c r="H785" s="16">
        <v>495</v>
      </c>
      <c r="I785" s="16">
        <f t="shared" si="315"/>
        <v>495</v>
      </c>
      <c r="J785" s="209">
        <f t="shared" si="316"/>
        <v>0.40037657969358664</v>
      </c>
      <c r="K785" s="209">
        <f t="shared" si="317"/>
        <v>198.29594945517366</v>
      </c>
      <c r="L785" s="486">
        <v>1.2606843709945681</v>
      </c>
      <c r="M785" s="17" t="str">
        <f t="shared" si="318"/>
        <v>198.295949455174,1.26068437099457</v>
      </c>
    </row>
    <row r="786" spans="1:13" x14ac:dyDescent="0.25">
      <c r="A786" s="85">
        <f t="shared" si="308"/>
        <v>496</v>
      </c>
      <c r="B786" s="296">
        <f t="shared" si="309"/>
        <v>104091.23123612086</v>
      </c>
      <c r="C786" s="296">
        <f t="shared" si="310"/>
        <v>489248.73716087145</v>
      </c>
      <c r="D786" s="85">
        <f t="shared" si="311"/>
        <v>4</v>
      </c>
      <c r="E786" s="17">
        <f t="shared" si="312"/>
        <v>0.39394466066733003</v>
      </c>
      <c r="F786" s="17">
        <f t="shared" si="313"/>
        <v>-7.1477338438853621E-2</v>
      </c>
      <c r="G786" s="17" t="str">
        <f t="shared" si="314"/>
        <v>104091.231236121,489248.737160871</v>
      </c>
      <c r="H786" s="16">
        <v>496</v>
      </c>
      <c r="I786" s="16">
        <f t="shared" si="315"/>
        <v>496</v>
      </c>
      <c r="J786" s="209">
        <f t="shared" si="316"/>
        <v>0.40037657970790475</v>
      </c>
      <c r="K786" s="209">
        <f t="shared" si="317"/>
        <v>198.69632603488157</v>
      </c>
      <c r="L786" s="486">
        <v>1.259487390518188</v>
      </c>
      <c r="M786" s="17" t="str">
        <f t="shared" si="318"/>
        <v>198.696326034882,1.25948739051819</v>
      </c>
    </row>
    <row r="787" spans="1:13" x14ac:dyDescent="0.25">
      <c r="A787" s="85">
        <f t="shared" si="308"/>
        <v>497</v>
      </c>
      <c r="B787" s="296">
        <f t="shared" si="309"/>
        <v>104091.62518078151</v>
      </c>
      <c r="C787" s="296">
        <f t="shared" si="310"/>
        <v>489248.66568353301</v>
      </c>
      <c r="D787" s="85">
        <f t="shared" si="311"/>
        <v>4</v>
      </c>
      <c r="E787" s="17">
        <f t="shared" si="312"/>
        <v>0.39394466065277811</v>
      </c>
      <c r="F787" s="17">
        <f t="shared" si="313"/>
        <v>-7.1477338438853621E-2</v>
      </c>
      <c r="G787" s="17" t="str">
        <f t="shared" si="314"/>
        <v>104091.625180782,489248.665683533</v>
      </c>
      <c r="H787" s="16">
        <v>497</v>
      </c>
      <c r="I787" s="16">
        <f t="shared" si="315"/>
        <v>497</v>
      </c>
      <c r="J787" s="209">
        <f t="shared" si="316"/>
        <v>0.40037657969358664</v>
      </c>
      <c r="K787" s="209">
        <f t="shared" si="317"/>
        <v>199.09670261457515</v>
      </c>
      <c r="L787" s="486">
        <v>1.2606328725814819</v>
      </c>
      <c r="M787" s="17" t="str">
        <f t="shared" si="318"/>
        <v>199.096702614575,1.26063287258148</v>
      </c>
    </row>
    <row r="788" spans="1:13" x14ac:dyDescent="0.25">
      <c r="A788" s="85">
        <f t="shared" si="308"/>
        <v>498</v>
      </c>
      <c r="B788" s="296">
        <f t="shared" si="309"/>
        <v>104092.01912544218</v>
      </c>
      <c r="C788" s="296">
        <f t="shared" si="310"/>
        <v>489248.59420619457</v>
      </c>
      <c r="D788" s="85">
        <f t="shared" si="311"/>
        <v>4</v>
      </c>
      <c r="E788" s="17">
        <f t="shared" si="312"/>
        <v>0.39394466066733003</v>
      </c>
      <c r="F788" s="17">
        <f t="shared" si="313"/>
        <v>-7.1477338438853621E-2</v>
      </c>
      <c r="G788" s="17" t="str">
        <f t="shared" si="314"/>
        <v>104092.019125442,489248.594206195</v>
      </c>
      <c r="H788" s="16">
        <v>498</v>
      </c>
      <c r="I788" s="16">
        <f t="shared" si="315"/>
        <v>498</v>
      </c>
      <c r="J788" s="209">
        <f t="shared" si="316"/>
        <v>0.40037657970790475</v>
      </c>
      <c r="K788" s="209">
        <f t="shared" si="317"/>
        <v>199.49707919428306</v>
      </c>
      <c r="L788" s="486">
        <v>1.266512870788574</v>
      </c>
      <c r="M788" s="17" t="str">
        <f t="shared" si="318"/>
        <v>199.497079194283,1.26651287078857</v>
      </c>
    </row>
    <row r="789" spans="1:13" x14ac:dyDescent="0.25">
      <c r="A789" s="85">
        <f t="shared" si="308"/>
        <v>499</v>
      </c>
      <c r="B789" s="296">
        <f t="shared" si="309"/>
        <v>104092.41307010285</v>
      </c>
      <c r="C789" s="296">
        <f t="shared" si="310"/>
        <v>489248.52272885613</v>
      </c>
      <c r="D789" s="85">
        <f t="shared" si="311"/>
        <v>4</v>
      </c>
      <c r="E789" s="17">
        <f t="shared" si="312"/>
        <v>0.39394466066733003</v>
      </c>
      <c r="F789" s="17">
        <f t="shared" si="313"/>
        <v>-7.1477338438853621E-2</v>
      </c>
      <c r="G789" s="17" t="str">
        <f t="shared" si="314"/>
        <v>104092.413070103,489248.522728856</v>
      </c>
      <c r="H789" s="16">
        <v>499</v>
      </c>
      <c r="I789" s="16">
        <f t="shared" si="315"/>
        <v>499</v>
      </c>
      <c r="J789" s="209">
        <f t="shared" si="316"/>
        <v>0.40037657970790475</v>
      </c>
      <c r="K789" s="209">
        <f t="shared" si="317"/>
        <v>199.89745577399097</v>
      </c>
      <c r="L789" s="486">
        <v>1.266928553581238</v>
      </c>
      <c r="M789" s="17" t="str">
        <f t="shared" si="318"/>
        <v>199.897455773991,1.26692855358124</v>
      </c>
    </row>
    <row r="790" spans="1:13" x14ac:dyDescent="0.25">
      <c r="A790" s="85">
        <f t="shared" si="308"/>
        <v>500</v>
      </c>
      <c r="B790" s="296">
        <f t="shared" si="309"/>
        <v>104092.8070147635</v>
      </c>
      <c r="C790" s="296">
        <f t="shared" si="310"/>
        <v>489248.45125151775</v>
      </c>
      <c r="D790" s="85">
        <f t="shared" si="311"/>
        <v>4</v>
      </c>
      <c r="E790" s="17">
        <f t="shared" si="312"/>
        <v>0.39394466065277811</v>
      </c>
      <c r="F790" s="17">
        <f t="shared" si="313"/>
        <v>-7.1477338380645961E-2</v>
      </c>
      <c r="G790" s="17" t="str">
        <f t="shared" si="314"/>
        <v>104092.807014764,489248.451251518</v>
      </c>
      <c r="H790" s="16">
        <v>500</v>
      </c>
      <c r="I790" s="16">
        <f t="shared" si="315"/>
        <v>500</v>
      </c>
      <c r="J790" s="209">
        <f t="shared" si="316"/>
        <v>0.40037657968319512</v>
      </c>
      <c r="K790" s="209">
        <f t="shared" si="317"/>
        <v>200.29783235367415</v>
      </c>
      <c r="L790" s="486">
        <v>1.2752571105957029</v>
      </c>
      <c r="M790" s="17" t="str">
        <f t="shared" si="318"/>
        <v>200.297832353674,1.2752571105957</v>
      </c>
    </row>
    <row r="791" spans="1:13" x14ac:dyDescent="0.25">
      <c r="A791" s="85">
        <f t="shared" si="308"/>
        <v>501</v>
      </c>
      <c r="B791" s="296">
        <f t="shared" si="309"/>
        <v>104093.20095942417</v>
      </c>
      <c r="C791" s="296">
        <f t="shared" si="310"/>
        <v>489248.37977417931</v>
      </c>
      <c r="D791" s="85">
        <f t="shared" si="311"/>
        <v>4</v>
      </c>
      <c r="E791" s="17">
        <f t="shared" si="312"/>
        <v>0.39394466066733003</v>
      </c>
      <c r="F791" s="17">
        <f t="shared" si="313"/>
        <v>-7.1477338438853621E-2</v>
      </c>
      <c r="G791" s="17" t="str">
        <f t="shared" si="314"/>
        <v>104093.200959424,489248.379774179</v>
      </c>
      <c r="H791" s="16">
        <v>501</v>
      </c>
      <c r="I791" s="16">
        <f t="shared" si="315"/>
        <v>501</v>
      </c>
      <c r="J791" s="209">
        <f t="shared" si="316"/>
        <v>0.40037657970790475</v>
      </c>
      <c r="K791" s="209">
        <f t="shared" si="317"/>
        <v>200.69820893338206</v>
      </c>
      <c r="L791" s="486">
        <v>1.2544188499450679</v>
      </c>
      <c r="M791" s="17" t="str">
        <f t="shared" si="318"/>
        <v>200.698208933382,1.25441884994507</v>
      </c>
    </row>
    <row r="792" spans="1:13" x14ac:dyDescent="0.25">
      <c r="A792" s="85">
        <f t="shared" si="308"/>
        <v>502</v>
      </c>
      <c r="B792" s="296">
        <f t="shared" si="309"/>
        <v>104093.59490408482</v>
      </c>
      <c r="C792" s="296">
        <f t="shared" si="310"/>
        <v>489248.30829684087</v>
      </c>
      <c r="D792" s="85">
        <f t="shared" si="311"/>
        <v>4</v>
      </c>
      <c r="E792" s="17">
        <f t="shared" si="312"/>
        <v>0.39394466065277811</v>
      </c>
      <c r="F792" s="17">
        <f t="shared" si="313"/>
        <v>-7.1477338438853621E-2</v>
      </c>
      <c r="G792" s="17" t="str">
        <f t="shared" si="314"/>
        <v>104093.594904085,489248.308296841</v>
      </c>
      <c r="H792" s="16">
        <v>502</v>
      </c>
      <c r="I792" s="16">
        <f t="shared" si="315"/>
        <v>502</v>
      </c>
      <c r="J792" s="209">
        <f t="shared" si="316"/>
        <v>0.40037657969358664</v>
      </c>
      <c r="K792" s="209">
        <f t="shared" si="317"/>
        <v>201.09858551307565</v>
      </c>
      <c r="L792" s="486">
        <v>1.2319707870483401</v>
      </c>
      <c r="M792" s="17" t="str">
        <f t="shared" si="318"/>
        <v>201.098585513076,1.23197078704834</v>
      </c>
    </row>
    <row r="793" spans="1:13" x14ac:dyDescent="0.25">
      <c r="A793" s="85">
        <f t="shared" si="308"/>
        <v>503</v>
      </c>
      <c r="B793" s="296">
        <f t="shared" si="309"/>
        <v>104093.98884874549</v>
      </c>
      <c r="C793" s="296">
        <f t="shared" si="310"/>
        <v>489248.23681950243</v>
      </c>
      <c r="D793" s="85">
        <f t="shared" si="311"/>
        <v>4</v>
      </c>
      <c r="E793" s="17">
        <f t="shared" si="312"/>
        <v>0.39394466066733003</v>
      </c>
      <c r="F793" s="17">
        <f t="shared" si="313"/>
        <v>-7.1477338438853621E-2</v>
      </c>
      <c r="G793" s="17" t="str">
        <f t="shared" si="314"/>
        <v>104093.988848745,489248.236819502</v>
      </c>
      <c r="H793" s="16">
        <v>503</v>
      </c>
      <c r="I793" s="16">
        <f t="shared" si="315"/>
        <v>503</v>
      </c>
      <c r="J793" s="209">
        <f t="shared" si="316"/>
        <v>0.40037657970790475</v>
      </c>
      <c r="K793" s="209">
        <f t="shared" si="317"/>
        <v>201.49896209278356</v>
      </c>
      <c r="L793" s="486">
        <v>1.232634544372559</v>
      </c>
      <c r="M793" s="17" t="str">
        <f t="shared" si="318"/>
        <v>201.498962092784,1.23263454437256</v>
      </c>
    </row>
    <row r="794" spans="1:13" x14ac:dyDescent="0.25">
      <c r="A794" s="85">
        <f t="shared" si="308"/>
        <v>504</v>
      </c>
      <c r="B794" s="296">
        <f t="shared" si="309"/>
        <v>104094.38279340614</v>
      </c>
      <c r="C794" s="296">
        <f t="shared" si="310"/>
        <v>489248.16534216399</v>
      </c>
      <c r="D794" s="85">
        <f t="shared" si="311"/>
        <v>4</v>
      </c>
      <c r="E794" s="17">
        <f t="shared" si="312"/>
        <v>0.39394466065277811</v>
      </c>
      <c r="F794" s="17">
        <f t="shared" si="313"/>
        <v>-7.1477338438853621E-2</v>
      </c>
      <c r="G794" s="17" t="str">
        <f t="shared" si="314"/>
        <v>104094.382793406,489248.165342164</v>
      </c>
      <c r="H794" s="16">
        <v>504</v>
      </c>
      <c r="I794" s="16">
        <f t="shared" si="315"/>
        <v>504</v>
      </c>
      <c r="J794" s="209">
        <f t="shared" si="316"/>
        <v>0.40037657969358664</v>
      </c>
      <c r="K794" s="209">
        <f t="shared" si="317"/>
        <v>201.89933867247714</v>
      </c>
      <c r="L794" s="486">
        <v>1.232243418693542</v>
      </c>
      <c r="M794" s="17" t="str">
        <f t="shared" si="318"/>
        <v>201.899338672477,1.23224341869354</v>
      </c>
    </row>
    <row r="795" spans="1:13" x14ac:dyDescent="0.25">
      <c r="A795" s="85">
        <f t="shared" si="308"/>
        <v>505</v>
      </c>
      <c r="B795" s="296">
        <f t="shared" si="309"/>
        <v>104094.77673806681</v>
      </c>
      <c r="C795" s="296">
        <f t="shared" si="310"/>
        <v>489248.09386482561</v>
      </c>
      <c r="D795" s="85">
        <f t="shared" si="311"/>
        <v>4</v>
      </c>
      <c r="E795" s="17">
        <f t="shared" si="312"/>
        <v>0.39394466066733003</v>
      </c>
      <c r="F795" s="17">
        <f t="shared" si="313"/>
        <v>-7.1477338380645961E-2</v>
      </c>
      <c r="G795" s="17" t="str">
        <f t="shared" si="314"/>
        <v>104094.776738067,489248.093864826</v>
      </c>
      <c r="H795" s="16">
        <v>505</v>
      </c>
      <c r="I795" s="16">
        <f t="shared" si="315"/>
        <v>505</v>
      </c>
      <c r="J795" s="209">
        <f t="shared" si="316"/>
        <v>0.40037657969751322</v>
      </c>
      <c r="K795" s="209">
        <f t="shared" si="317"/>
        <v>202.29971525217465</v>
      </c>
      <c r="L795" s="486">
        <v>1.2654532194137571</v>
      </c>
      <c r="M795" s="17" t="str">
        <f t="shared" si="318"/>
        <v>202.299715252175,1.26545321941376</v>
      </c>
    </row>
    <row r="796" spans="1:13" x14ac:dyDescent="0.25">
      <c r="A796" s="85">
        <f t="shared" si="308"/>
        <v>506</v>
      </c>
      <c r="B796" s="296">
        <f t="shared" si="309"/>
        <v>104095.17068272746</v>
      </c>
      <c r="C796" s="296">
        <f t="shared" si="310"/>
        <v>489248.02238748717</v>
      </c>
      <c r="D796" s="85">
        <f t="shared" si="311"/>
        <v>4</v>
      </c>
      <c r="E796" s="17">
        <f t="shared" si="312"/>
        <v>0.39394466065277811</v>
      </c>
      <c r="F796" s="17">
        <f t="shared" si="313"/>
        <v>-7.1477338438853621E-2</v>
      </c>
      <c r="G796" s="17" t="str">
        <f t="shared" si="314"/>
        <v>104095.170682727,489248.022387487</v>
      </c>
      <c r="H796" s="16">
        <v>506</v>
      </c>
      <c r="I796" s="16">
        <f t="shared" si="315"/>
        <v>506</v>
      </c>
      <c r="J796" s="209">
        <f t="shared" si="316"/>
        <v>0.40037657969358664</v>
      </c>
      <c r="K796" s="209">
        <f t="shared" si="317"/>
        <v>202.70009183186824</v>
      </c>
      <c r="L796" s="486">
        <v>1.2859441041946409</v>
      </c>
      <c r="M796" s="17" t="str">
        <f t="shared" si="318"/>
        <v>202.700091831868,1.28594410419464</v>
      </c>
    </row>
    <row r="797" spans="1:13" x14ac:dyDescent="0.25">
      <c r="A797" s="85">
        <f t="shared" si="308"/>
        <v>507</v>
      </c>
      <c r="B797" s="296">
        <f t="shared" si="309"/>
        <v>104095.56462738813</v>
      </c>
      <c r="C797" s="296">
        <f t="shared" si="310"/>
        <v>489247.95091014873</v>
      </c>
      <c r="D797" s="85">
        <f t="shared" si="311"/>
        <v>4</v>
      </c>
      <c r="E797" s="17">
        <f t="shared" si="312"/>
        <v>0.39394466066733003</v>
      </c>
      <c r="F797" s="17">
        <f t="shared" si="313"/>
        <v>-7.1477338438853621E-2</v>
      </c>
      <c r="G797" s="17" t="str">
        <f t="shared" si="314"/>
        <v>104095.564627388,489247.950910149</v>
      </c>
      <c r="H797" s="16">
        <v>507</v>
      </c>
      <c r="I797" s="16">
        <f t="shared" si="315"/>
        <v>507</v>
      </c>
      <c r="J797" s="209">
        <f t="shared" si="316"/>
        <v>0.40037657970790475</v>
      </c>
      <c r="K797" s="209">
        <f t="shared" si="317"/>
        <v>203.10046841157614</v>
      </c>
      <c r="L797" s="486">
        <v>1.292096734046936</v>
      </c>
      <c r="M797" s="17" t="str">
        <f t="shared" si="318"/>
        <v>203.100468411576,1.29209673404694</v>
      </c>
    </row>
    <row r="798" spans="1:13" x14ac:dyDescent="0.25">
      <c r="A798" s="85">
        <f t="shared" si="308"/>
        <v>508</v>
      </c>
      <c r="B798" s="296">
        <f t="shared" si="309"/>
        <v>104095.95857204878</v>
      </c>
      <c r="C798" s="296">
        <f t="shared" si="310"/>
        <v>489247.8794328103</v>
      </c>
      <c r="D798" s="85">
        <f t="shared" si="311"/>
        <v>4</v>
      </c>
      <c r="E798" s="17">
        <f t="shared" si="312"/>
        <v>0.39394466065277811</v>
      </c>
      <c r="F798" s="17">
        <f t="shared" si="313"/>
        <v>-7.1477338438853621E-2</v>
      </c>
      <c r="G798" s="17" t="str">
        <f t="shared" si="314"/>
        <v>104095.958572049,489247.87943281</v>
      </c>
      <c r="H798" s="16">
        <v>508</v>
      </c>
      <c r="I798" s="16">
        <f t="shared" si="315"/>
        <v>508</v>
      </c>
      <c r="J798" s="209">
        <f t="shared" si="316"/>
        <v>0.40037657969358664</v>
      </c>
      <c r="K798" s="209">
        <f t="shared" si="317"/>
        <v>203.50084499126973</v>
      </c>
      <c r="L798" s="486">
        <v>1.2935880422592161</v>
      </c>
      <c r="M798" s="17" t="str">
        <f t="shared" si="318"/>
        <v>203.50084499127,1.29358804225922</v>
      </c>
    </row>
    <row r="799" spans="1:13" x14ac:dyDescent="0.25">
      <c r="A799" s="85">
        <f t="shared" si="308"/>
        <v>509</v>
      </c>
      <c r="B799" s="296">
        <f t="shared" si="309"/>
        <v>104096.35251670945</v>
      </c>
      <c r="C799" s="296">
        <f t="shared" si="310"/>
        <v>489247.80795547186</v>
      </c>
      <c r="D799" s="85">
        <f t="shared" si="311"/>
        <v>4</v>
      </c>
      <c r="E799" s="17">
        <f t="shared" si="312"/>
        <v>0.39394466066733003</v>
      </c>
      <c r="F799" s="17">
        <f t="shared" si="313"/>
        <v>-7.1477338438853621E-2</v>
      </c>
      <c r="G799" s="17" t="str">
        <f t="shared" si="314"/>
        <v>104096.352516709,489247.807955472</v>
      </c>
      <c r="H799" s="16">
        <v>509</v>
      </c>
      <c r="I799" s="16">
        <f t="shared" si="315"/>
        <v>509</v>
      </c>
      <c r="J799" s="209">
        <f t="shared" si="316"/>
        <v>0.40037657970790475</v>
      </c>
      <c r="K799" s="209">
        <f t="shared" si="317"/>
        <v>203.90122157097764</v>
      </c>
      <c r="L799" s="486">
        <v>1.284120917320251</v>
      </c>
      <c r="M799" s="17" t="str">
        <f t="shared" si="318"/>
        <v>203.901221570978,1.28412091732025</v>
      </c>
    </row>
    <row r="800" spans="1:13" x14ac:dyDescent="0.25">
      <c r="A800" s="85">
        <f t="shared" si="308"/>
        <v>510</v>
      </c>
      <c r="B800" s="296">
        <f t="shared" si="309"/>
        <v>104096.74646137012</v>
      </c>
      <c r="C800" s="296">
        <f t="shared" si="310"/>
        <v>489247.73647813348</v>
      </c>
      <c r="D800" s="85">
        <f t="shared" si="311"/>
        <v>4</v>
      </c>
      <c r="E800" s="17">
        <f t="shared" si="312"/>
        <v>0.39394466066733003</v>
      </c>
      <c r="F800" s="17">
        <f t="shared" si="313"/>
        <v>-7.1477338380645961E-2</v>
      </c>
      <c r="G800" s="17" t="str">
        <f t="shared" si="314"/>
        <v>104096.74646137,489247.736478133</v>
      </c>
      <c r="H800" s="16">
        <v>510</v>
      </c>
      <c r="I800" s="16">
        <f t="shared" si="315"/>
        <v>510</v>
      </c>
      <c r="J800" s="209">
        <f t="shared" si="316"/>
        <v>0.40037657969751322</v>
      </c>
      <c r="K800" s="209">
        <f t="shared" si="317"/>
        <v>204.30159815067515</v>
      </c>
      <c r="L800" s="486">
        <v>1.280453085899353</v>
      </c>
      <c r="M800" s="17" t="str">
        <f t="shared" si="318"/>
        <v>204.301598150675,1.28045308589935</v>
      </c>
    </row>
    <row r="801" spans="1:13" x14ac:dyDescent="0.25">
      <c r="A801" s="85">
        <f t="shared" si="308"/>
        <v>511</v>
      </c>
      <c r="B801" s="296">
        <f t="shared" si="309"/>
        <v>104097.14040603077</v>
      </c>
      <c r="C801" s="296">
        <f t="shared" si="310"/>
        <v>489247.66500079504</v>
      </c>
      <c r="D801" s="85">
        <f t="shared" si="311"/>
        <v>4</v>
      </c>
      <c r="E801" s="17">
        <f t="shared" si="312"/>
        <v>0.39394466065277811</v>
      </c>
      <c r="F801" s="17">
        <f t="shared" si="313"/>
        <v>-7.1477338438853621E-2</v>
      </c>
      <c r="G801" s="17" t="str">
        <f t="shared" si="314"/>
        <v>104097.140406031,489247.665000795</v>
      </c>
      <c r="H801" s="16">
        <v>511</v>
      </c>
      <c r="I801" s="16">
        <f t="shared" si="315"/>
        <v>511</v>
      </c>
      <c r="J801" s="209">
        <f t="shared" si="316"/>
        <v>0.40037657969358664</v>
      </c>
      <c r="K801" s="209">
        <f t="shared" si="317"/>
        <v>204.70197473036873</v>
      </c>
      <c r="L801" s="486">
        <v>1.278944730758667</v>
      </c>
      <c r="M801" s="17" t="str">
        <f t="shared" si="318"/>
        <v>204.701974730369,1.27894473075867</v>
      </c>
    </row>
    <row r="802" spans="1:13" x14ac:dyDescent="0.25">
      <c r="A802" s="85">
        <f t="shared" si="308"/>
        <v>512</v>
      </c>
      <c r="B802" s="296">
        <f t="shared" si="309"/>
        <v>104097.53435069144</v>
      </c>
      <c r="C802" s="296">
        <f t="shared" si="310"/>
        <v>489247.5935234566</v>
      </c>
      <c r="D802" s="85">
        <f t="shared" si="311"/>
        <v>4</v>
      </c>
      <c r="E802" s="17">
        <f t="shared" si="312"/>
        <v>0.39394466066733003</v>
      </c>
      <c r="F802" s="17">
        <f t="shared" si="313"/>
        <v>-7.1477338438853621E-2</v>
      </c>
      <c r="G802" s="17" t="str">
        <f t="shared" si="314"/>
        <v>104097.534350691,489247.593523457</v>
      </c>
      <c r="H802" s="16">
        <v>512</v>
      </c>
      <c r="I802" s="16">
        <f t="shared" si="315"/>
        <v>512</v>
      </c>
      <c r="J802" s="209">
        <f t="shared" si="316"/>
        <v>0.40037657970790475</v>
      </c>
      <c r="K802" s="209">
        <f t="shared" si="317"/>
        <v>205.10235131007664</v>
      </c>
      <c r="L802" s="486">
        <v>1.2790845632553101</v>
      </c>
      <c r="M802" s="17" t="str">
        <f t="shared" si="318"/>
        <v>205.102351310077,1.27908456325531</v>
      </c>
    </row>
    <row r="803" spans="1:13" x14ac:dyDescent="0.25">
      <c r="A803" s="85">
        <f t="shared" si="308"/>
        <v>513</v>
      </c>
      <c r="B803" s="296">
        <f t="shared" si="309"/>
        <v>104097.92829535209</v>
      </c>
      <c r="C803" s="296">
        <f t="shared" si="310"/>
        <v>489247.52204611816</v>
      </c>
      <c r="D803" s="85">
        <f t="shared" si="311"/>
        <v>4</v>
      </c>
      <c r="E803" s="17">
        <f t="shared" si="312"/>
        <v>0.39394466065277811</v>
      </c>
      <c r="F803" s="17">
        <f t="shared" si="313"/>
        <v>-7.1477338438853621E-2</v>
      </c>
      <c r="G803" s="17" t="str">
        <f t="shared" si="314"/>
        <v>104097.928295352,489247.522046118</v>
      </c>
      <c r="H803" s="16">
        <v>513</v>
      </c>
      <c r="I803" s="16">
        <f t="shared" si="315"/>
        <v>513</v>
      </c>
      <c r="J803" s="209">
        <f t="shared" si="316"/>
        <v>0.40037657969358664</v>
      </c>
      <c r="K803" s="209">
        <f t="shared" si="317"/>
        <v>205.50272788977023</v>
      </c>
      <c r="L803" s="486">
        <v>1.2916978597640989</v>
      </c>
      <c r="M803" s="17" t="str">
        <f t="shared" si="318"/>
        <v>205.50272788977,1.2916978597641</v>
      </c>
    </row>
    <row r="804" spans="1:13" x14ac:dyDescent="0.25">
      <c r="A804" s="85">
        <f t="shared" si="308"/>
        <v>514</v>
      </c>
      <c r="B804" s="296">
        <f t="shared" si="309"/>
        <v>104098.32224001276</v>
      </c>
      <c r="C804" s="296">
        <f t="shared" si="310"/>
        <v>489247.45056877972</v>
      </c>
      <c r="D804" s="85">
        <f t="shared" si="311"/>
        <v>4</v>
      </c>
      <c r="E804" s="17">
        <f t="shared" si="312"/>
        <v>0.39394466066733003</v>
      </c>
      <c r="F804" s="17">
        <f t="shared" si="313"/>
        <v>-7.1477338438853621E-2</v>
      </c>
      <c r="G804" s="17" t="str">
        <f t="shared" si="314"/>
        <v>104098.322240013,489247.45056878</v>
      </c>
      <c r="H804" s="16">
        <v>514</v>
      </c>
      <c r="I804" s="16">
        <f t="shared" si="315"/>
        <v>514</v>
      </c>
      <c r="J804" s="209">
        <f t="shared" si="316"/>
        <v>0.40037657970790475</v>
      </c>
      <c r="K804" s="209">
        <f t="shared" si="317"/>
        <v>205.90310446947814</v>
      </c>
      <c r="L804" s="486">
        <v>1.286876320838928</v>
      </c>
      <c r="M804" s="17" t="str">
        <f t="shared" si="318"/>
        <v>205.903104469478,1.28687632083893</v>
      </c>
    </row>
    <row r="805" spans="1:13" x14ac:dyDescent="0.25">
      <c r="A805" s="85">
        <f t="shared" si="308"/>
        <v>515</v>
      </c>
      <c r="B805" s="296">
        <f t="shared" si="309"/>
        <v>104098.71618467341</v>
      </c>
      <c r="C805" s="296">
        <f t="shared" si="310"/>
        <v>489247.37909144128</v>
      </c>
      <c r="D805" s="85">
        <f t="shared" si="311"/>
        <v>4</v>
      </c>
      <c r="E805" s="17">
        <f t="shared" si="312"/>
        <v>0.39394466065277811</v>
      </c>
      <c r="F805" s="17">
        <f t="shared" si="313"/>
        <v>-7.1477338438853621E-2</v>
      </c>
      <c r="G805" s="17" t="str">
        <f t="shared" si="314"/>
        <v>104098.716184673,489247.379091441</v>
      </c>
      <c r="H805" s="16">
        <v>515</v>
      </c>
      <c r="I805" s="16">
        <f t="shared" si="315"/>
        <v>515</v>
      </c>
      <c r="J805" s="209">
        <f t="shared" si="316"/>
        <v>0.40037657969358664</v>
      </c>
      <c r="K805" s="209">
        <f t="shared" si="317"/>
        <v>206.30348104917172</v>
      </c>
      <c r="L805" s="486">
        <v>1.2822269201278691</v>
      </c>
      <c r="M805" s="17" t="str">
        <f t="shared" si="318"/>
        <v>206.303481049172,1.28222692012787</v>
      </c>
    </row>
    <row r="806" spans="1:13" x14ac:dyDescent="0.25">
      <c r="A806" s="85">
        <f t="shared" si="308"/>
        <v>516</v>
      </c>
      <c r="B806" s="296">
        <f t="shared" si="309"/>
        <v>104099.11012933408</v>
      </c>
      <c r="C806" s="296">
        <f t="shared" si="310"/>
        <v>489247.3076141029</v>
      </c>
      <c r="D806" s="85">
        <f t="shared" si="311"/>
        <v>4</v>
      </c>
      <c r="E806" s="17">
        <f t="shared" si="312"/>
        <v>0.39394466066733003</v>
      </c>
      <c r="F806" s="17">
        <f t="shared" si="313"/>
        <v>-7.1477338380645961E-2</v>
      </c>
      <c r="G806" s="17" t="str">
        <f t="shared" si="314"/>
        <v>104099.110129334,489247.307614103</v>
      </c>
      <c r="H806" s="16">
        <v>516</v>
      </c>
      <c r="I806" s="16">
        <f t="shared" si="315"/>
        <v>516</v>
      </c>
      <c r="J806" s="209">
        <f t="shared" si="316"/>
        <v>0.40037657969751322</v>
      </c>
      <c r="K806" s="209">
        <f t="shared" si="317"/>
        <v>206.70385762886923</v>
      </c>
      <c r="L806" s="486">
        <v>1.2819197177886961</v>
      </c>
      <c r="M806" s="17" t="str">
        <f t="shared" si="318"/>
        <v>206.703857628869,1.2819197177887</v>
      </c>
    </row>
    <row r="807" spans="1:13" x14ac:dyDescent="0.25">
      <c r="A807" s="85">
        <f t="shared" si="308"/>
        <v>517</v>
      </c>
      <c r="B807" s="296">
        <f t="shared" si="309"/>
        <v>104099.50407399473</v>
      </c>
      <c r="C807" s="296">
        <f t="shared" si="310"/>
        <v>489247.23613676446</v>
      </c>
      <c r="D807" s="85">
        <f t="shared" si="311"/>
        <v>4</v>
      </c>
      <c r="E807" s="17">
        <f t="shared" si="312"/>
        <v>0.39394466065277811</v>
      </c>
      <c r="F807" s="17">
        <f t="shared" si="313"/>
        <v>-7.1477338438853621E-2</v>
      </c>
      <c r="G807" s="17" t="str">
        <f t="shared" si="314"/>
        <v>104099.504073995,489247.236136764</v>
      </c>
      <c r="H807" s="16">
        <v>517</v>
      </c>
      <c r="I807" s="16">
        <f t="shared" si="315"/>
        <v>517</v>
      </c>
      <c r="J807" s="209">
        <f t="shared" si="316"/>
        <v>0.40037657969358664</v>
      </c>
      <c r="K807" s="209">
        <f t="shared" si="317"/>
        <v>207.10423420856281</v>
      </c>
      <c r="L807" s="486">
        <v>1.287753224372864</v>
      </c>
      <c r="M807" s="17" t="str">
        <f t="shared" si="318"/>
        <v>207.104234208563,1.28775322437286</v>
      </c>
    </row>
    <row r="808" spans="1:13" x14ac:dyDescent="0.25">
      <c r="A808" s="85">
        <f t="shared" si="308"/>
        <v>518</v>
      </c>
      <c r="B808" s="296">
        <f t="shared" si="309"/>
        <v>104099.8980186554</v>
      </c>
      <c r="C808" s="296">
        <f t="shared" si="310"/>
        <v>489247.16465942602</v>
      </c>
      <c r="D808" s="85">
        <f t="shared" si="311"/>
        <v>4</v>
      </c>
      <c r="E808" s="17">
        <f t="shared" si="312"/>
        <v>0.39394466066733003</v>
      </c>
      <c r="F808" s="17">
        <f t="shared" si="313"/>
        <v>-7.1477338438853621E-2</v>
      </c>
      <c r="G808" s="17" t="str">
        <f t="shared" si="314"/>
        <v>104099.898018655,489247.164659426</v>
      </c>
      <c r="H808" s="16">
        <v>518</v>
      </c>
      <c r="I808" s="16">
        <f t="shared" si="315"/>
        <v>518</v>
      </c>
      <c r="J808" s="209">
        <f t="shared" si="316"/>
        <v>0.40037657970790475</v>
      </c>
      <c r="K808" s="209">
        <f t="shared" si="317"/>
        <v>207.50461078827072</v>
      </c>
      <c r="L808" s="486">
        <v>1.2950601577758789</v>
      </c>
      <c r="M808" s="17" t="str">
        <f t="shared" si="318"/>
        <v>207.504610788271,1.29506015777588</v>
      </c>
    </row>
    <row r="809" spans="1:13" x14ac:dyDescent="0.25">
      <c r="A809" s="85">
        <f t="shared" si="308"/>
        <v>519</v>
      </c>
      <c r="B809" s="296">
        <f t="shared" si="309"/>
        <v>104100.29196331605</v>
      </c>
      <c r="C809" s="296">
        <f t="shared" si="310"/>
        <v>489247.09318208758</v>
      </c>
      <c r="D809" s="85">
        <f t="shared" si="311"/>
        <v>4</v>
      </c>
      <c r="E809" s="17">
        <f t="shared" si="312"/>
        <v>0.39394466065277811</v>
      </c>
      <c r="F809" s="17">
        <f t="shared" si="313"/>
        <v>-7.1477338438853621E-2</v>
      </c>
      <c r="G809" s="17" t="str">
        <f t="shared" si="314"/>
        <v>104100.291963316,489247.093182088</v>
      </c>
      <c r="H809" s="16">
        <v>519</v>
      </c>
      <c r="I809" s="16">
        <f t="shared" si="315"/>
        <v>519</v>
      </c>
      <c r="J809" s="209">
        <f t="shared" si="316"/>
        <v>0.40037657969358664</v>
      </c>
      <c r="K809" s="209">
        <f t="shared" si="317"/>
        <v>207.90498736796431</v>
      </c>
      <c r="L809" s="486">
        <v>1.27919065952301</v>
      </c>
      <c r="M809" s="17" t="str">
        <f t="shared" si="318"/>
        <v>207.904987367964,1.27919065952301</v>
      </c>
    </row>
    <row r="810" spans="1:13" x14ac:dyDescent="0.25">
      <c r="A810" s="85">
        <f t="shared" si="308"/>
        <v>520</v>
      </c>
      <c r="B810" s="296">
        <f t="shared" si="309"/>
        <v>104100.68590797672</v>
      </c>
      <c r="C810" s="296">
        <f t="shared" si="310"/>
        <v>489247.02170474915</v>
      </c>
      <c r="D810" s="85">
        <f t="shared" si="311"/>
        <v>4</v>
      </c>
      <c r="E810" s="17">
        <f t="shared" si="312"/>
        <v>0.39394466066733003</v>
      </c>
      <c r="F810" s="17">
        <f t="shared" si="313"/>
        <v>-7.1477338438853621E-2</v>
      </c>
      <c r="G810" s="17" t="str">
        <f t="shared" si="314"/>
        <v>104100.685907977,489247.021704749</v>
      </c>
      <c r="H810" s="16">
        <v>520</v>
      </c>
      <c r="I810" s="16">
        <f t="shared" si="315"/>
        <v>520</v>
      </c>
      <c r="J810" s="209">
        <f t="shared" si="316"/>
        <v>0.40037657970790475</v>
      </c>
      <c r="K810" s="209">
        <f t="shared" si="317"/>
        <v>208.30536394767222</v>
      </c>
      <c r="L810" s="486">
        <v>1.271824836730957</v>
      </c>
      <c r="M810" s="17" t="str">
        <f t="shared" si="318"/>
        <v>208.305363947672,1.27182483673096</v>
      </c>
    </row>
    <row r="811" spans="1:13" x14ac:dyDescent="0.25">
      <c r="A811" s="85">
        <f t="shared" si="308"/>
        <v>521</v>
      </c>
      <c r="B811" s="296">
        <f t="shared" si="309"/>
        <v>104101.07985263738</v>
      </c>
      <c r="C811" s="296">
        <f t="shared" si="310"/>
        <v>489246.95022741077</v>
      </c>
      <c r="D811" s="85">
        <f t="shared" si="311"/>
        <v>4</v>
      </c>
      <c r="E811" s="17">
        <f t="shared" si="312"/>
        <v>0.39394466066733003</v>
      </c>
      <c r="F811" s="17">
        <f t="shared" si="313"/>
        <v>-7.1477338380645961E-2</v>
      </c>
      <c r="G811" s="17" t="str">
        <f t="shared" si="314"/>
        <v>104101.079852637,489246.950227411</v>
      </c>
      <c r="H811" s="16">
        <v>521</v>
      </c>
      <c r="I811" s="16">
        <f t="shared" si="315"/>
        <v>521</v>
      </c>
      <c r="J811" s="209">
        <f t="shared" si="316"/>
        <v>0.40037657969751322</v>
      </c>
      <c r="K811" s="209">
        <f t="shared" si="317"/>
        <v>208.70574052736973</v>
      </c>
      <c r="L811" s="486">
        <v>1.2808283567428591</v>
      </c>
      <c r="M811" s="17" t="str">
        <f t="shared" si="318"/>
        <v>208.70574052737,1.28082835674286</v>
      </c>
    </row>
    <row r="812" spans="1:13" x14ac:dyDescent="0.25">
      <c r="A812" s="85">
        <f t="shared" si="308"/>
        <v>522</v>
      </c>
      <c r="B812" s="296">
        <f t="shared" si="309"/>
        <v>104101.47379729804</v>
      </c>
      <c r="C812" s="296">
        <f t="shared" si="310"/>
        <v>489246.87875007233</v>
      </c>
      <c r="D812" s="85">
        <f t="shared" si="311"/>
        <v>4</v>
      </c>
      <c r="E812" s="17">
        <f t="shared" si="312"/>
        <v>0.39394466065277811</v>
      </c>
      <c r="F812" s="17">
        <f t="shared" si="313"/>
        <v>-7.1477338438853621E-2</v>
      </c>
      <c r="G812" s="17" t="str">
        <f t="shared" si="314"/>
        <v>104101.473797298,489246.878750072</v>
      </c>
      <c r="H812" s="16">
        <v>522</v>
      </c>
      <c r="I812" s="16">
        <f t="shared" si="315"/>
        <v>522</v>
      </c>
      <c r="J812" s="209">
        <f t="shared" si="316"/>
        <v>0.40037657969358664</v>
      </c>
      <c r="K812" s="209">
        <f t="shared" si="317"/>
        <v>209.10611710706331</v>
      </c>
      <c r="L812" s="486">
        <v>1.2906849384307859</v>
      </c>
      <c r="M812" s="17" t="str">
        <f t="shared" si="318"/>
        <v>209.106117107063,1.29068493843079</v>
      </c>
    </row>
    <row r="813" spans="1:13" x14ac:dyDescent="0.25">
      <c r="A813" s="85">
        <f t="shared" si="308"/>
        <v>523</v>
      </c>
      <c r="B813" s="296">
        <f t="shared" si="309"/>
        <v>104101.8677419587</v>
      </c>
      <c r="C813" s="296">
        <f t="shared" si="310"/>
        <v>489246.80727273389</v>
      </c>
      <c r="D813" s="85">
        <f t="shared" si="311"/>
        <v>4</v>
      </c>
      <c r="E813" s="17">
        <f t="shared" si="312"/>
        <v>0.39394466066733003</v>
      </c>
      <c r="F813" s="17">
        <f t="shared" si="313"/>
        <v>-7.1477338438853621E-2</v>
      </c>
      <c r="G813" s="17" t="str">
        <f t="shared" si="314"/>
        <v>104101.867741959,489246.807272734</v>
      </c>
      <c r="H813" s="16">
        <v>523</v>
      </c>
      <c r="I813" s="16">
        <f t="shared" si="315"/>
        <v>523</v>
      </c>
      <c r="J813" s="209">
        <f t="shared" si="316"/>
        <v>0.40037657970790475</v>
      </c>
      <c r="K813" s="209">
        <f t="shared" si="317"/>
        <v>209.50649368677122</v>
      </c>
      <c r="L813" s="486">
        <v>1.2822145223617549</v>
      </c>
      <c r="M813" s="17" t="str">
        <f t="shared" si="318"/>
        <v>209.506493686771,1.28221452236175</v>
      </c>
    </row>
    <row r="814" spans="1:13" x14ac:dyDescent="0.25">
      <c r="A814" s="85">
        <f t="shared" si="308"/>
        <v>524</v>
      </c>
      <c r="B814" s="296">
        <f t="shared" si="309"/>
        <v>104102.26168661936</v>
      </c>
      <c r="C814" s="296">
        <f t="shared" si="310"/>
        <v>489246.73579539545</v>
      </c>
      <c r="D814" s="85">
        <f t="shared" si="311"/>
        <v>4</v>
      </c>
      <c r="E814" s="17">
        <f t="shared" si="312"/>
        <v>0.39394466065277811</v>
      </c>
      <c r="F814" s="17">
        <f t="shared" si="313"/>
        <v>-7.1477338438853621E-2</v>
      </c>
      <c r="G814" s="17" t="str">
        <f t="shared" si="314"/>
        <v>104102.261686619,489246.735795395</v>
      </c>
      <c r="H814" s="16">
        <v>524</v>
      </c>
      <c r="I814" s="16">
        <f t="shared" si="315"/>
        <v>524</v>
      </c>
      <c r="J814" s="209">
        <f t="shared" si="316"/>
        <v>0.40037657969358664</v>
      </c>
      <c r="K814" s="209">
        <f t="shared" si="317"/>
        <v>209.90687026646481</v>
      </c>
      <c r="L814" s="486">
        <v>1.262876629829407</v>
      </c>
      <c r="M814" s="17" t="str">
        <f t="shared" si="318"/>
        <v>209.906870266465,1.26287662982941</v>
      </c>
    </row>
    <row r="815" spans="1:13" x14ac:dyDescent="0.25">
      <c r="A815" s="85">
        <f t="shared" si="308"/>
        <v>525</v>
      </c>
      <c r="B815" s="296">
        <f t="shared" si="309"/>
        <v>104102.65563128002</v>
      </c>
      <c r="C815" s="296">
        <f t="shared" si="310"/>
        <v>489246.66431805701</v>
      </c>
      <c r="D815" s="85">
        <f t="shared" si="311"/>
        <v>4</v>
      </c>
      <c r="E815" s="17">
        <f t="shared" si="312"/>
        <v>0.39394466066733003</v>
      </c>
      <c r="F815" s="17">
        <f t="shared" si="313"/>
        <v>-7.1477338438853621E-2</v>
      </c>
      <c r="G815" s="17" t="str">
        <f t="shared" si="314"/>
        <v>104102.65563128,489246.664318057</v>
      </c>
      <c r="H815" s="16">
        <v>525</v>
      </c>
      <c r="I815" s="16">
        <f t="shared" si="315"/>
        <v>525</v>
      </c>
      <c r="J815" s="209">
        <f t="shared" si="316"/>
        <v>0.40037657970790475</v>
      </c>
      <c r="K815" s="209">
        <f t="shared" si="317"/>
        <v>210.30724684617272</v>
      </c>
      <c r="L815" s="486">
        <v>1.259432315826416</v>
      </c>
      <c r="M815" s="17" t="str">
        <f t="shared" si="318"/>
        <v>210.307246846173,1.25943231582642</v>
      </c>
    </row>
    <row r="816" spans="1:13" x14ac:dyDescent="0.25">
      <c r="A816" s="85">
        <f t="shared" si="308"/>
        <v>526</v>
      </c>
      <c r="B816" s="296">
        <f t="shared" si="309"/>
        <v>104103.04957594068</v>
      </c>
      <c r="C816" s="296">
        <f t="shared" si="310"/>
        <v>489246.59284071863</v>
      </c>
      <c r="D816" s="85">
        <f t="shared" si="311"/>
        <v>4</v>
      </c>
      <c r="E816" s="17">
        <f t="shared" si="312"/>
        <v>0.39394466065277811</v>
      </c>
      <c r="F816" s="17">
        <f t="shared" si="313"/>
        <v>-7.1477338380645961E-2</v>
      </c>
      <c r="G816" s="17" t="str">
        <f t="shared" si="314"/>
        <v>104103.049575941,489246.592840719</v>
      </c>
      <c r="H816" s="16">
        <v>526</v>
      </c>
      <c r="I816" s="16">
        <f t="shared" si="315"/>
        <v>526</v>
      </c>
      <c r="J816" s="209">
        <f t="shared" si="316"/>
        <v>0.40037657968319512</v>
      </c>
      <c r="K816" s="209">
        <f t="shared" si="317"/>
        <v>210.7076234258559</v>
      </c>
      <c r="L816" s="486">
        <v>1.2906403541564939</v>
      </c>
      <c r="M816" s="17" t="str">
        <f t="shared" si="318"/>
        <v>210.707623425856,1.29064035415649</v>
      </c>
    </row>
    <row r="817" spans="1:13" x14ac:dyDescent="0.25">
      <c r="A817" s="85">
        <f t="shared" si="308"/>
        <v>527</v>
      </c>
      <c r="B817" s="296">
        <f t="shared" si="309"/>
        <v>104103.44352060134</v>
      </c>
      <c r="C817" s="296">
        <f t="shared" si="310"/>
        <v>489246.52136338019</v>
      </c>
      <c r="D817" s="85">
        <f t="shared" si="311"/>
        <v>4</v>
      </c>
      <c r="E817" s="17">
        <f t="shared" si="312"/>
        <v>0.39394466066733003</v>
      </c>
      <c r="F817" s="17">
        <f t="shared" si="313"/>
        <v>-7.1477338438853621E-2</v>
      </c>
      <c r="G817" s="17" t="str">
        <f t="shared" si="314"/>
        <v>104103.443520601,489246.52136338</v>
      </c>
      <c r="H817" s="16">
        <v>527</v>
      </c>
      <c r="I817" s="16">
        <f t="shared" si="315"/>
        <v>527</v>
      </c>
      <c r="J817" s="209">
        <f t="shared" si="316"/>
        <v>0.40037657970790475</v>
      </c>
      <c r="K817" s="209">
        <f t="shared" si="317"/>
        <v>211.10800000556381</v>
      </c>
      <c r="L817" s="486">
        <v>1.293758273124695</v>
      </c>
      <c r="M817" s="17" t="str">
        <f t="shared" si="318"/>
        <v>211.108000005564,1.2937582731247</v>
      </c>
    </row>
    <row r="818" spans="1:13" x14ac:dyDescent="0.25">
      <c r="A818" s="85">
        <f t="shared" ref="A818:A881" si="319">IF(A817&lt;J$269,A817+1,"")</f>
        <v>528</v>
      </c>
      <c r="B818" s="296">
        <f t="shared" ref="B818:B881" si="320">IF(A818="","",IF(A817&lt;=C$270,B$273+(A817*E$274/C$269),IF(A817&lt;=D$270,B$274+(D$275*COS(RADIANS(G$275+((A817-C$270)*H$276/D$269))))-E$275,IF(A817&lt;=E$270,B$276+((A817-D$270)*E$277/E$269),IF(A817&lt;=F$270,B$277+(D$278*COS(RADIANS(G$278+((A817-E$270)*H$279/F$269))))-E$278,IF(A817&lt;=G$270,B$279+((A817-F$270)*E$280/G$269),IF(A817&lt;=H$270,B$280+(D$281*COS(RADIANS(G$281+((A817-G$270)*H$282/H$269))))-E$281,IF(A817&lt;=I$270,B$282+((A817-H$270)*E$283/I$269),"CHECK FORMULE"))))))))</f>
        <v>104103.837465262</v>
      </c>
      <c r="C818" s="296">
        <f t="shared" ref="C818:C881" si="321">IF(A818="","",IF(A817&lt;=C$270,C$273+(A817*F$274/C$269),IF(A817&lt;=D$270,C$274+(D$275*SIN(RADIANS(G$275+((A817-C$270)*H$276/D$269))))-F$275,IF(A817&lt;=E$270,C$276+((A817-D$270)*F$277/E$269),IF(A817&lt;=F$270,C$277+(D$278*SIN(RADIANS(G$278+((A817-E$270)*H$279/F$269))))-F$278,IF(A817&lt;=G$270,C$279+((A817-F$270)*F$280/G$269),IF(A817&lt;=H$270,C$280+(D$281*SIN(RADIANS(G$281+((A817-G$270)*H$282/H$269))))-F$281,IF(A817&lt;=I$270,C$282+((A817-H$270)*F$283/I$269),"CHECK FORMULE"))))))))</f>
        <v>489246.44988604175</v>
      </c>
      <c r="D818" s="85">
        <f t="shared" ref="D818:D881" si="322">_xlfn.SINGLE(_xlfn.XLOOKUP(B818,B$273:B$284,A$273:A$284,D817))</f>
        <v>4</v>
      </c>
      <c r="E818" s="17">
        <f t="shared" ref="E818:E881" si="323">IF(A818="","",B818-B817)</f>
        <v>0.39394466065277811</v>
      </c>
      <c r="F818" s="17">
        <f t="shared" ref="F818:F881" si="324">IF(A818="","",C818-C817)</f>
        <v>-7.1477338438853621E-2</v>
      </c>
      <c r="G818" s="17" t="str">
        <f t="shared" ref="G818:G881" si="325">IF(E818="","",B818&amp;","&amp;C818)</f>
        <v>104103.837465262,489246.449886042</v>
      </c>
      <c r="H818" s="16">
        <v>528</v>
      </c>
      <c r="I818" s="16">
        <f t="shared" ref="I818:I881" si="326">IF(J818="","",I817+1)</f>
        <v>528</v>
      </c>
      <c r="J818" s="209">
        <f t="shared" ref="J818:J881" si="327">IF(E818="","",(E818^2+F818^2)^0.5)</f>
        <v>0.40037657969358664</v>
      </c>
      <c r="K818" s="209">
        <f t="shared" ref="K818:K881" si="328">IF(E818="","",K817+J818)</f>
        <v>211.50837658525739</v>
      </c>
      <c r="L818" s="486">
        <v>1.2958580255508421</v>
      </c>
      <c r="M818" s="17" t="str">
        <f t="shared" ref="M818:M881" si="329">IF(L818="","",K818&amp;","&amp;L818)</f>
        <v>211.508376585257,1.29585802555084</v>
      </c>
    </row>
    <row r="819" spans="1:13" x14ac:dyDescent="0.25">
      <c r="A819" s="85">
        <f t="shared" si="319"/>
        <v>529</v>
      </c>
      <c r="B819" s="296">
        <f t="shared" si="320"/>
        <v>104104.23140992266</v>
      </c>
      <c r="C819" s="296">
        <f t="shared" si="321"/>
        <v>489246.37840870331</v>
      </c>
      <c r="D819" s="85">
        <f t="shared" si="322"/>
        <v>4</v>
      </c>
      <c r="E819" s="17">
        <f t="shared" si="323"/>
        <v>0.39394466066733003</v>
      </c>
      <c r="F819" s="17">
        <f t="shared" si="324"/>
        <v>-7.1477338438853621E-2</v>
      </c>
      <c r="G819" s="17" t="str">
        <f t="shared" si="325"/>
        <v>104104.231409923,489246.378408703</v>
      </c>
      <c r="H819" s="16">
        <v>529</v>
      </c>
      <c r="I819" s="16">
        <f t="shared" si="326"/>
        <v>529</v>
      </c>
      <c r="J819" s="209">
        <f t="shared" si="327"/>
        <v>0.40037657970790475</v>
      </c>
      <c r="K819" s="209">
        <f t="shared" si="328"/>
        <v>211.9087531649653</v>
      </c>
      <c r="L819" s="486">
        <v>1.297125935554504</v>
      </c>
      <c r="M819" s="17" t="str">
        <f t="shared" si="329"/>
        <v>211.908753164965,1.2971259355545</v>
      </c>
    </row>
    <row r="820" spans="1:13" x14ac:dyDescent="0.25">
      <c r="A820" s="85">
        <f t="shared" si="319"/>
        <v>530</v>
      </c>
      <c r="B820" s="296">
        <f t="shared" si="320"/>
        <v>104104.62535458332</v>
      </c>
      <c r="C820" s="296">
        <f t="shared" si="321"/>
        <v>489246.30693136487</v>
      </c>
      <c r="D820" s="85">
        <f t="shared" si="322"/>
        <v>4</v>
      </c>
      <c r="E820" s="17">
        <f t="shared" si="323"/>
        <v>0.39394466065277811</v>
      </c>
      <c r="F820" s="17">
        <f t="shared" si="324"/>
        <v>-7.1477338438853621E-2</v>
      </c>
      <c r="G820" s="17" t="str">
        <f t="shared" si="325"/>
        <v>104104.625354583,489246.306931365</v>
      </c>
      <c r="H820" s="16">
        <v>530</v>
      </c>
      <c r="I820" s="16">
        <f t="shared" si="326"/>
        <v>530</v>
      </c>
      <c r="J820" s="209">
        <f t="shared" si="327"/>
        <v>0.40037657969358664</v>
      </c>
      <c r="K820" s="209">
        <f t="shared" si="328"/>
        <v>212.30912974465889</v>
      </c>
      <c r="L820" s="486">
        <v>1.2975584268569951</v>
      </c>
      <c r="M820" s="17" t="str">
        <f t="shared" si="329"/>
        <v>212.309129744659,1.297558426857</v>
      </c>
    </row>
    <row r="821" spans="1:13" x14ac:dyDescent="0.25">
      <c r="A821" s="85">
        <f t="shared" si="319"/>
        <v>531</v>
      </c>
      <c r="B821" s="296">
        <f t="shared" si="320"/>
        <v>104105.01929924398</v>
      </c>
      <c r="C821" s="296">
        <f t="shared" si="321"/>
        <v>489246.23545402644</v>
      </c>
      <c r="D821" s="85">
        <f t="shared" si="322"/>
        <v>4</v>
      </c>
      <c r="E821" s="17">
        <f t="shared" si="323"/>
        <v>0.39394466066733003</v>
      </c>
      <c r="F821" s="17">
        <f t="shared" si="324"/>
        <v>-7.1477338438853621E-2</v>
      </c>
      <c r="G821" s="17" t="str">
        <f t="shared" si="325"/>
        <v>104105.019299244,489246.235454026</v>
      </c>
      <c r="H821" s="16">
        <v>531</v>
      </c>
      <c r="I821" s="16">
        <f t="shared" si="326"/>
        <v>531</v>
      </c>
      <c r="J821" s="209">
        <f t="shared" si="327"/>
        <v>0.40037657970790475</v>
      </c>
      <c r="K821" s="209">
        <f t="shared" si="328"/>
        <v>212.7095063243668</v>
      </c>
      <c r="L821" s="486">
        <v>1.3012517690658569</v>
      </c>
      <c r="M821" s="17" t="str">
        <f t="shared" si="329"/>
        <v>212.709506324367,1.30125176906586</v>
      </c>
    </row>
    <row r="822" spans="1:13" x14ac:dyDescent="0.25">
      <c r="A822" s="85">
        <f t="shared" si="319"/>
        <v>532</v>
      </c>
      <c r="B822" s="296">
        <f t="shared" si="320"/>
        <v>104105.41324390465</v>
      </c>
      <c r="C822" s="296">
        <f t="shared" si="321"/>
        <v>489246.16397668805</v>
      </c>
      <c r="D822" s="85">
        <f t="shared" si="322"/>
        <v>4</v>
      </c>
      <c r="E822" s="17">
        <f t="shared" si="323"/>
        <v>0.39394466066733003</v>
      </c>
      <c r="F822" s="17">
        <f t="shared" si="324"/>
        <v>-7.1477338380645961E-2</v>
      </c>
      <c r="G822" s="17" t="str">
        <f t="shared" si="325"/>
        <v>104105.413243905,489246.163976688</v>
      </c>
      <c r="H822" s="16">
        <v>532</v>
      </c>
      <c r="I822" s="16">
        <f t="shared" si="326"/>
        <v>532</v>
      </c>
      <c r="J822" s="209">
        <f t="shared" si="327"/>
        <v>0.40037657969751322</v>
      </c>
      <c r="K822" s="209">
        <f t="shared" si="328"/>
        <v>213.10988290406431</v>
      </c>
      <c r="L822" s="486">
        <v>1.2965959310531621</v>
      </c>
      <c r="M822" s="17" t="str">
        <f t="shared" si="329"/>
        <v>213.109882904064,1.29659593105316</v>
      </c>
    </row>
    <row r="823" spans="1:13" x14ac:dyDescent="0.25">
      <c r="A823" s="85">
        <f t="shared" si="319"/>
        <v>533</v>
      </c>
      <c r="B823" s="296">
        <f t="shared" si="320"/>
        <v>104105.8071885653</v>
      </c>
      <c r="C823" s="296">
        <f t="shared" si="321"/>
        <v>489246.09249934962</v>
      </c>
      <c r="D823" s="85">
        <f t="shared" si="322"/>
        <v>4</v>
      </c>
      <c r="E823" s="17">
        <f t="shared" si="323"/>
        <v>0.39394466065277811</v>
      </c>
      <c r="F823" s="17">
        <f t="shared" si="324"/>
        <v>-7.1477338438853621E-2</v>
      </c>
      <c r="G823" s="17" t="str">
        <f t="shared" si="325"/>
        <v>104105.807188565,489246.09249935</v>
      </c>
      <c r="H823" s="16">
        <v>533</v>
      </c>
      <c r="I823" s="16">
        <f t="shared" si="326"/>
        <v>533</v>
      </c>
      <c r="J823" s="209">
        <f t="shared" si="327"/>
        <v>0.40037657969358664</v>
      </c>
      <c r="K823" s="209">
        <f t="shared" si="328"/>
        <v>213.51025948375789</v>
      </c>
      <c r="L823" s="486">
        <v>1.2887769937515261</v>
      </c>
      <c r="M823" s="17" t="str">
        <f t="shared" si="329"/>
        <v>213.510259483758,1.28877699375153</v>
      </c>
    </row>
    <row r="824" spans="1:13" x14ac:dyDescent="0.25">
      <c r="A824" s="85">
        <f t="shared" si="319"/>
        <v>534</v>
      </c>
      <c r="B824" s="296">
        <f t="shared" si="320"/>
        <v>104106.20113322597</v>
      </c>
      <c r="C824" s="296">
        <f t="shared" si="321"/>
        <v>489246.02102201118</v>
      </c>
      <c r="D824" s="85">
        <f t="shared" si="322"/>
        <v>4</v>
      </c>
      <c r="E824" s="17">
        <f t="shared" si="323"/>
        <v>0.39394466066733003</v>
      </c>
      <c r="F824" s="17">
        <f t="shared" si="324"/>
        <v>-7.1477338438853621E-2</v>
      </c>
      <c r="G824" s="17" t="str">
        <f t="shared" si="325"/>
        <v>104106.201133226,489246.021022011</v>
      </c>
      <c r="H824" s="16">
        <v>534</v>
      </c>
      <c r="I824" s="16">
        <f t="shared" si="326"/>
        <v>534</v>
      </c>
      <c r="J824" s="209">
        <f t="shared" si="327"/>
        <v>0.40037657970790475</v>
      </c>
      <c r="K824" s="209">
        <f t="shared" si="328"/>
        <v>213.9106360634658</v>
      </c>
      <c r="L824" s="486">
        <v>1.29111111164093</v>
      </c>
      <c r="M824" s="17" t="str">
        <f t="shared" si="329"/>
        <v>213.910636063466,1.29111111164093</v>
      </c>
    </row>
    <row r="825" spans="1:13" x14ac:dyDescent="0.25">
      <c r="A825" s="85">
        <f t="shared" si="319"/>
        <v>535</v>
      </c>
      <c r="B825" s="296">
        <f t="shared" si="320"/>
        <v>104106.59507788662</v>
      </c>
      <c r="C825" s="296">
        <f t="shared" si="321"/>
        <v>489245.94954467274</v>
      </c>
      <c r="D825" s="85">
        <f t="shared" si="322"/>
        <v>4</v>
      </c>
      <c r="E825" s="17">
        <f t="shared" si="323"/>
        <v>0.39394466065277811</v>
      </c>
      <c r="F825" s="17">
        <f t="shared" si="324"/>
        <v>-7.1477338438853621E-2</v>
      </c>
      <c r="G825" s="17" t="str">
        <f t="shared" si="325"/>
        <v>104106.595077887,489245.949544673</v>
      </c>
      <c r="H825" s="16">
        <v>535</v>
      </c>
      <c r="I825" s="16">
        <f t="shared" si="326"/>
        <v>535</v>
      </c>
      <c r="J825" s="209">
        <f t="shared" si="327"/>
        <v>0.40037657969358664</v>
      </c>
      <c r="K825" s="209">
        <f t="shared" si="328"/>
        <v>214.31101264315939</v>
      </c>
      <c r="L825" s="486">
        <v>1.296237111091614</v>
      </c>
      <c r="M825" s="17" t="str">
        <f t="shared" si="329"/>
        <v>214.311012643159,1.29623711109161</v>
      </c>
    </row>
    <row r="826" spans="1:13" x14ac:dyDescent="0.25">
      <c r="A826" s="85">
        <f t="shared" si="319"/>
        <v>536</v>
      </c>
      <c r="B826" s="296">
        <f t="shared" si="320"/>
        <v>104106.98902254729</v>
      </c>
      <c r="C826" s="296">
        <f t="shared" si="321"/>
        <v>489245.8780673343</v>
      </c>
      <c r="D826" s="85">
        <f t="shared" si="322"/>
        <v>4</v>
      </c>
      <c r="E826" s="17">
        <f t="shared" si="323"/>
        <v>0.39394466066733003</v>
      </c>
      <c r="F826" s="17">
        <f t="shared" si="324"/>
        <v>-7.1477338438853621E-2</v>
      </c>
      <c r="G826" s="17" t="str">
        <f t="shared" si="325"/>
        <v>104106.989022547,489245.878067334</v>
      </c>
      <c r="H826" s="16">
        <v>536</v>
      </c>
      <c r="I826" s="16">
        <f t="shared" si="326"/>
        <v>536</v>
      </c>
      <c r="J826" s="209">
        <f t="shared" si="327"/>
        <v>0.40037657970790475</v>
      </c>
      <c r="K826" s="209">
        <f t="shared" si="328"/>
        <v>214.7113892228673</v>
      </c>
      <c r="L826" s="486">
        <v>1.295556306838989</v>
      </c>
      <c r="M826" s="17" t="str">
        <f t="shared" si="329"/>
        <v>214.711389222867,1.29555630683899</v>
      </c>
    </row>
    <row r="827" spans="1:13" x14ac:dyDescent="0.25">
      <c r="A827" s="85">
        <f t="shared" si="319"/>
        <v>537</v>
      </c>
      <c r="B827" s="296">
        <f t="shared" si="320"/>
        <v>104107.38296720794</v>
      </c>
      <c r="C827" s="296">
        <f t="shared" si="321"/>
        <v>489245.80658999592</v>
      </c>
      <c r="D827" s="85">
        <f t="shared" si="322"/>
        <v>4</v>
      </c>
      <c r="E827" s="17">
        <f t="shared" si="323"/>
        <v>0.39394466065277811</v>
      </c>
      <c r="F827" s="17">
        <f t="shared" si="324"/>
        <v>-7.1477338380645961E-2</v>
      </c>
      <c r="G827" s="17" t="str">
        <f t="shared" si="325"/>
        <v>104107.382967208,489245.806589996</v>
      </c>
      <c r="H827" s="16">
        <v>537</v>
      </c>
      <c r="I827" s="16">
        <f t="shared" si="326"/>
        <v>537</v>
      </c>
      <c r="J827" s="209">
        <f t="shared" si="327"/>
        <v>0.40037657968319512</v>
      </c>
      <c r="K827" s="209">
        <f t="shared" si="328"/>
        <v>215.11176580255048</v>
      </c>
      <c r="L827" s="486">
        <v>1.3003513813018801</v>
      </c>
      <c r="M827" s="17" t="str">
        <f t="shared" si="329"/>
        <v>215.11176580255,1.30035138130188</v>
      </c>
    </row>
    <row r="828" spans="1:13" x14ac:dyDescent="0.25">
      <c r="A828" s="85">
        <f t="shared" si="319"/>
        <v>538</v>
      </c>
      <c r="B828" s="296">
        <f t="shared" si="320"/>
        <v>104107.77691186861</v>
      </c>
      <c r="C828" s="296">
        <f t="shared" si="321"/>
        <v>489245.73511265748</v>
      </c>
      <c r="D828" s="85">
        <f t="shared" si="322"/>
        <v>4</v>
      </c>
      <c r="E828" s="17">
        <f t="shared" si="323"/>
        <v>0.39394466066733003</v>
      </c>
      <c r="F828" s="17">
        <f t="shared" si="324"/>
        <v>-7.1477338438853621E-2</v>
      </c>
      <c r="G828" s="17" t="str">
        <f t="shared" si="325"/>
        <v>104107.776911869,489245.735112657</v>
      </c>
      <c r="H828" s="16">
        <v>538</v>
      </c>
      <c r="I828" s="16">
        <f t="shared" si="326"/>
        <v>538</v>
      </c>
      <c r="J828" s="209">
        <f t="shared" si="327"/>
        <v>0.40037657970790475</v>
      </c>
      <c r="K828" s="209">
        <f t="shared" si="328"/>
        <v>215.51214238225839</v>
      </c>
      <c r="L828" s="486">
        <v>1.293612957000732</v>
      </c>
      <c r="M828" s="17" t="str">
        <f t="shared" si="329"/>
        <v>215.512142382258,1.29361295700073</v>
      </c>
    </row>
    <row r="829" spans="1:13" x14ac:dyDescent="0.25">
      <c r="A829" s="85">
        <f t="shared" si="319"/>
        <v>539</v>
      </c>
      <c r="B829" s="296">
        <f t="shared" si="320"/>
        <v>104108.17085652926</v>
      </c>
      <c r="C829" s="296">
        <f t="shared" si="321"/>
        <v>489245.66363531904</v>
      </c>
      <c r="D829" s="85">
        <f t="shared" si="322"/>
        <v>4</v>
      </c>
      <c r="E829" s="17">
        <f t="shared" si="323"/>
        <v>0.39394466065277811</v>
      </c>
      <c r="F829" s="17">
        <f t="shared" si="324"/>
        <v>-7.1477338438853621E-2</v>
      </c>
      <c r="G829" s="17" t="str">
        <f t="shared" si="325"/>
        <v>104108.170856529,489245.663635319</v>
      </c>
      <c r="H829" s="16">
        <v>539</v>
      </c>
      <c r="I829" s="16">
        <f t="shared" si="326"/>
        <v>539</v>
      </c>
      <c r="J829" s="209">
        <f t="shared" si="327"/>
        <v>0.40037657969358664</v>
      </c>
      <c r="K829" s="209">
        <f t="shared" si="328"/>
        <v>215.91251896195197</v>
      </c>
      <c r="L829" s="486">
        <v>1.2861852645874019</v>
      </c>
      <c r="M829" s="17" t="str">
        <f t="shared" si="329"/>
        <v>215.912518961952,1.2861852645874</v>
      </c>
    </row>
    <row r="830" spans="1:13" x14ac:dyDescent="0.25">
      <c r="A830" s="85">
        <f t="shared" si="319"/>
        <v>540</v>
      </c>
      <c r="B830" s="296">
        <f t="shared" si="320"/>
        <v>104108.56480118993</v>
      </c>
      <c r="C830" s="296">
        <f t="shared" si="321"/>
        <v>489245.5921579806</v>
      </c>
      <c r="D830" s="85">
        <f t="shared" si="322"/>
        <v>4</v>
      </c>
      <c r="E830" s="17">
        <f t="shared" si="323"/>
        <v>0.39394466066733003</v>
      </c>
      <c r="F830" s="17">
        <f t="shared" si="324"/>
        <v>-7.1477338438853621E-2</v>
      </c>
      <c r="G830" s="17" t="str">
        <f t="shared" si="325"/>
        <v>104108.56480119,489245.592157981</v>
      </c>
      <c r="H830" s="16">
        <v>540</v>
      </c>
      <c r="I830" s="16">
        <f t="shared" si="326"/>
        <v>540</v>
      </c>
      <c r="J830" s="209">
        <f t="shared" si="327"/>
        <v>0.40037657970790475</v>
      </c>
      <c r="K830" s="209">
        <f t="shared" si="328"/>
        <v>216.31289554165988</v>
      </c>
      <c r="L830" s="486">
        <v>1.287107110023499</v>
      </c>
      <c r="M830" s="17" t="str">
        <f t="shared" si="329"/>
        <v>216.31289554166,1.2871071100235</v>
      </c>
    </row>
    <row r="831" spans="1:13" x14ac:dyDescent="0.25">
      <c r="A831" s="85">
        <f t="shared" si="319"/>
        <v>541</v>
      </c>
      <c r="B831" s="296">
        <f t="shared" si="320"/>
        <v>104108.95874585058</v>
      </c>
      <c r="C831" s="296">
        <f t="shared" si="321"/>
        <v>489245.52068064216</v>
      </c>
      <c r="D831" s="85">
        <f t="shared" si="322"/>
        <v>4</v>
      </c>
      <c r="E831" s="17">
        <f t="shared" si="323"/>
        <v>0.39394466065277811</v>
      </c>
      <c r="F831" s="17">
        <f t="shared" si="324"/>
        <v>-7.1477338438853621E-2</v>
      </c>
      <c r="G831" s="17" t="str">
        <f t="shared" si="325"/>
        <v>104108.958745851,489245.520680642</v>
      </c>
      <c r="H831" s="16">
        <v>541</v>
      </c>
      <c r="I831" s="16">
        <f t="shared" si="326"/>
        <v>541</v>
      </c>
      <c r="J831" s="209">
        <f t="shared" si="327"/>
        <v>0.40037657969358664</v>
      </c>
      <c r="K831" s="209">
        <f t="shared" si="328"/>
        <v>216.71327212135347</v>
      </c>
      <c r="L831" s="486">
        <v>1.3026483058929439</v>
      </c>
      <c r="M831" s="17" t="str">
        <f t="shared" si="329"/>
        <v>216.713272121353,1.30264830589294</v>
      </c>
    </row>
    <row r="832" spans="1:13" x14ac:dyDescent="0.25">
      <c r="A832" s="85">
        <f t="shared" si="319"/>
        <v>542</v>
      </c>
      <c r="B832" s="296">
        <f t="shared" si="320"/>
        <v>104109.35269051125</v>
      </c>
      <c r="C832" s="296">
        <f t="shared" si="321"/>
        <v>489245.44920330378</v>
      </c>
      <c r="D832" s="85">
        <f t="shared" si="322"/>
        <v>4</v>
      </c>
      <c r="E832" s="17">
        <f t="shared" si="323"/>
        <v>0.39394466066733003</v>
      </c>
      <c r="F832" s="17">
        <f t="shared" si="324"/>
        <v>-7.1477338380645961E-2</v>
      </c>
      <c r="G832" s="17" t="str">
        <f t="shared" si="325"/>
        <v>104109.352690511,489245.449203304</v>
      </c>
      <c r="H832" s="16">
        <v>542</v>
      </c>
      <c r="I832" s="16">
        <f t="shared" si="326"/>
        <v>542</v>
      </c>
      <c r="J832" s="209">
        <f t="shared" si="327"/>
        <v>0.40037657969751322</v>
      </c>
      <c r="K832" s="209">
        <f t="shared" si="328"/>
        <v>217.11364870105098</v>
      </c>
      <c r="L832" s="486">
        <v>1.280579090118408</v>
      </c>
      <c r="M832" s="17" t="str">
        <f t="shared" si="329"/>
        <v>217.113648701051,1.28057909011841</v>
      </c>
    </row>
    <row r="833" spans="1:13" x14ac:dyDescent="0.25">
      <c r="A833" s="85">
        <f t="shared" si="319"/>
        <v>543</v>
      </c>
      <c r="B833" s="296">
        <f t="shared" si="320"/>
        <v>104109.7466351719</v>
      </c>
      <c r="C833" s="296">
        <f t="shared" si="321"/>
        <v>489245.37772596534</v>
      </c>
      <c r="D833" s="85">
        <f t="shared" si="322"/>
        <v>4</v>
      </c>
      <c r="E833" s="17">
        <f t="shared" si="323"/>
        <v>0.39394466065277811</v>
      </c>
      <c r="F833" s="17">
        <f t="shared" si="324"/>
        <v>-7.1477338438853621E-2</v>
      </c>
      <c r="G833" s="17" t="str">
        <f t="shared" si="325"/>
        <v>104109.746635172,489245.377725965</v>
      </c>
      <c r="H833" s="16">
        <v>543</v>
      </c>
      <c r="I833" s="16">
        <f t="shared" si="326"/>
        <v>543</v>
      </c>
      <c r="J833" s="209">
        <f t="shared" si="327"/>
        <v>0.40037657969358664</v>
      </c>
      <c r="K833" s="209">
        <f t="shared" si="328"/>
        <v>217.51402528074456</v>
      </c>
      <c r="L833" s="486">
        <v>1.309251666069031</v>
      </c>
      <c r="M833" s="17" t="str">
        <f t="shared" si="329"/>
        <v>217.514025280745,1.30925166606903</v>
      </c>
    </row>
    <row r="834" spans="1:13" x14ac:dyDescent="0.25">
      <c r="A834" s="85">
        <f t="shared" si="319"/>
        <v>544</v>
      </c>
      <c r="B834" s="296">
        <f t="shared" si="320"/>
        <v>104110.14057983257</v>
      </c>
      <c r="C834" s="296">
        <f t="shared" si="321"/>
        <v>489245.3062486269</v>
      </c>
      <c r="D834" s="85">
        <f t="shared" si="322"/>
        <v>4</v>
      </c>
      <c r="E834" s="17">
        <f t="shared" si="323"/>
        <v>0.39394466066733003</v>
      </c>
      <c r="F834" s="17">
        <f t="shared" si="324"/>
        <v>-7.1477338438853621E-2</v>
      </c>
      <c r="G834" s="17" t="str">
        <f t="shared" si="325"/>
        <v>104110.140579833,489245.306248627</v>
      </c>
      <c r="H834" s="16">
        <v>544</v>
      </c>
      <c r="I834" s="16">
        <f t="shared" si="326"/>
        <v>544</v>
      </c>
      <c r="J834" s="209">
        <f t="shared" si="327"/>
        <v>0.40037657970790475</v>
      </c>
      <c r="K834" s="209">
        <f t="shared" si="328"/>
        <v>217.91440186045247</v>
      </c>
      <c r="L834" s="486">
        <v>1.3256962299346919</v>
      </c>
      <c r="M834" s="17" t="str">
        <f t="shared" si="329"/>
        <v>217.914401860452,1.32569622993469</v>
      </c>
    </row>
    <row r="835" spans="1:13" x14ac:dyDescent="0.25">
      <c r="A835" s="85">
        <f t="shared" si="319"/>
        <v>545</v>
      </c>
      <c r="B835" s="296">
        <f t="shared" si="320"/>
        <v>104110.53452449324</v>
      </c>
      <c r="C835" s="296">
        <f t="shared" si="321"/>
        <v>489245.23477128847</v>
      </c>
      <c r="D835" s="85">
        <f t="shared" si="322"/>
        <v>4</v>
      </c>
      <c r="E835" s="17">
        <f t="shared" si="323"/>
        <v>0.39394466066733003</v>
      </c>
      <c r="F835" s="17">
        <f t="shared" si="324"/>
        <v>-7.1477338438853621E-2</v>
      </c>
      <c r="G835" s="17" t="str">
        <f t="shared" si="325"/>
        <v>104110.534524493,489245.234771288</v>
      </c>
      <c r="H835" s="16">
        <v>545</v>
      </c>
      <c r="I835" s="16">
        <f t="shared" si="326"/>
        <v>545</v>
      </c>
      <c r="J835" s="209">
        <f t="shared" si="327"/>
        <v>0.40037657970790475</v>
      </c>
      <c r="K835" s="209">
        <f t="shared" si="328"/>
        <v>218.31477844016038</v>
      </c>
      <c r="L835" s="486">
        <v>1.2888965606689451</v>
      </c>
      <c r="M835" s="17" t="str">
        <f t="shared" si="329"/>
        <v>218.31477844016,1.28889656066895</v>
      </c>
    </row>
    <row r="836" spans="1:13" x14ac:dyDescent="0.25">
      <c r="A836" s="85">
        <f t="shared" si="319"/>
        <v>546</v>
      </c>
      <c r="B836" s="296">
        <f t="shared" si="320"/>
        <v>104110.92846915389</v>
      </c>
      <c r="C836" s="296">
        <f t="shared" si="321"/>
        <v>489245.16329395003</v>
      </c>
      <c r="D836" s="85">
        <f t="shared" si="322"/>
        <v>4</v>
      </c>
      <c r="E836" s="17">
        <f t="shared" si="323"/>
        <v>0.39394466065277811</v>
      </c>
      <c r="F836" s="17">
        <f t="shared" si="324"/>
        <v>-7.1477338438853621E-2</v>
      </c>
      <c r="G836" s="17" t="str">
        <f t="shared" si="325"/>
        <v>104110.928469154,489245.16329395</v>
      </c>
      <c r="H836" s="16">
        <v>546</v>
      </c>
      <c r="I836" s="16">
        <f t="shared" si="326"/>
        <v>546</v>
      </c>
      <c r="J836" s="209">
        <f t="shared" si="327"/>
        <v>0.40037657969358664</v>
      </c>
      <c r="K836" s="209">
        <f t="shared" si="328"/>
        <v>218.71515501985397</v>
      </c>
      <c r="L836" s="486">
        <v>1.2813669443130491</v>
      </c>
      <c r="M836" s="17" t="str">
        <f t="shared" si="329"/>
        <v>218.715155019854,1.28136694431305</v>
      </c>
    </row>
    <row r="837" spans="1:13" x14ac:dyDescent="0.25">
      <c r="A837" s="85">
        <f t="shared" si="319"/>
        <v>547</v>
      </c>
      <c r="B837" s="296">
        <f t="shared" si="320"/>
        <v>104111.32241381456</v>
      </c>
      <c r="C837" s="296">
        <f t="shared" si="321"/>
        <v>489245.09181661159</v>
      </c>
      <c r="D837" s="85">
        <f t="shared" si="322"/>
        <v>4</v>
      </c>
      <c r="E837" s="17">
        <f t="shared" si="323"/>
        <v>0.39394466066733003</v>
      </c>
      <c r="F837" s="17">
        <f t="shared" si="324"/>
        <v>-7.1477338438853621E-2</v>
      </c>
      <c r="G837" s="17" t="str">
        <f t="shared" si="325"/>
        <v>104111.322413815,489245.091816612</v>
      </c>
      <c r="H837" s="16">
        <v>547</v>
      </c>
      <c r="I837" s="16">
        <f t="shared" si="326"/>
        <v>547</v>
      </c>
      <c r="J837" s="209">
        <f t="shared" si="327"/>
        <v>0.40037657970790475</v>
      </c>
      <c r="K837" s="209">
        <f t="shared" si="328"/>
        <v>219.11553159956188</v>
      </c>
      <c r="L837" s="486">
        <v>1.2679926156997681</v>
      </c>
      <c r="M837" s="17" t="str">
        <f t="shared" si="329"/>
        <v>219.115531599562,1.26799261569977</v>
      </c>
    </row>
    <row r="838" spans="1:13" x14ac:dyDescent="0.25">
      <c r="A838" s="85">
        <f t="shared" si="319"/>
        <v>548</v>
      </c>
      <c r="B838" s="296">
        <f t="shared" si="320"/>
        <v>104111.71635847521</v>
      </c>
      <c r="C838" s="296">
        <f t="shared" si="321"/>
        <v>489245.02033927321</v>
      </c>
      <c r="D838" s="85">
        <f t="shared" si="322"/>
        <v>4</v>
      </c>
      <c r="E838" s="17">
        <f t="shared" si="323"/>
        <v>0.39394466065277811</v>
      </c>
      <c r="F838" s="17">
        <f t="shared" si="324"/>
        <v>-7.1477338380645961E-2</v>
      </c>
      <c r="G838" s="17" t="str">
        <f t="shared" si="325"/>
        <v>104111.716358475,489245.020339273</v>
      </c>
      <c r="H838" s="16">
        <v>548</v>
      </c>
      <c r="I838" s="16">
        <f t="shared" si="326"/>
        <v>548</v>
      </c>
      <c r="J838" s="209">
        <f t="shared" si="327"/>
        <v>0.40037657968319512</v>
      </c>
      <c r="K838" s="209">
        <f t="shared" si="328"/>
        <v>219.51590817924506</v>
      </c>
      <c r="L838" s="486">
        <v>1.2725092172622681</v>
      </c>
      <c r="M838" s="17" t="str">
        <f t="shared" si="329"/>
        <v>219.515908179245,1.27250921726227</v>
      </c>
    </row>
    <row r="839" spans="1:13" x14ac:dyDescent="0.25">
      <c r="A839" s="85">
        <f t="shared" si="319"/>
        <v>549</v>
      </c>
      <c r="B839" s="296">
        <f t="shared" si="320"/>
        <v>104112.11030313588</v>
      </c>
      <c r="C839" s="296">
        <f t="shared" si="321"/>
        <v>489244.94886193477</v>
      </c>
      <c r="D839" s="85">
        <f t="shared" si="322"/>
        <v>4</v>
      </c>
      <c r="E839" s="17">
        <f t="shared" si="323"/>
        <v>0.39394466066733003</v>
      </c>
      <c r="F839" s="17">
        <f t="shared" si="324"/>
        <v>-7.1477338438853621E-2</v>
      </c>
      <c r="G839" s="17" t="str">
        <f t="shared" si="325"/>
        <v>104112.110303136,489244.948861935</v>
      </c>
      <c r="H839" s="16">
        <v>549</v>
      </c>
      <c r="I839" s="16">
        <f t="shared" si="326"/>
        <v>549</v>
      </c>
      <c r="J839" s="209">
        <f t="shared" si="327"/>
        <v>0.40037657970790475</v>
      </c>
      <c r="K839" s="209">
        <f t="shared" si="328"/>
        <v>219.91628475895297</v>
      </c>
      <c r="L839" s="486">
        <v>1.2752349376678469</v>
      </c>
      <c r="M839" s="17" t="str">
        <f t="shared" si="329"/>
        <v>219.916284758953,1.27523493766785</v>
      </c>
    </row>
    <row r="840" spans="1:13" x14ac:dyDescent="0.25">
      <c r="A840" s="85">
        <f t="shared" si="319"/>
        <v>550</v>
      </c>
      <c r="B840" s="296">
        <f t="shared" si="320"/>
        <v>104112.50424779653</v>
      </c>
      <c r="C840" s="296">
        <f t="shared" si="321"/>
        <v>489244.87738459633</v>
      </c>
      <c r="D840" s="85">
        <f t="shared" si="322"/>
        <v>4</v>
      </c>
      <c r="E840" s="17">
        <f t="shared" si="323"/>
        <v>0.39394466065277811</v>
      </c>
      <c r="F840" s="17">
        <f t="shared" si="324"/>
        <v>-7.1477338438853621E-2</v>
      </c>
      <c r="G840" s="17" t="str">
        <f t="shared" si="325"/>
        <v>104112.504247797,489244.877384596</v>
      </c>
      <c r="H840" s="16">
        <v>550</v>
      </c>
      <c r="I840" s="16">
        <f t="shared" si="326"/>
        <v>550</v>
      </c>
      <c r="J840" s="209">
        <f t="shared" si="327"/>
        <v>0.40037657969358664</v>
      </c>
      <c r="K840" s="209">
        <f t="shared" si="328"/>
        <v>220.31666133864655</v>
      </c>
      <c r="L840" s="486">
        <v>1.270074605941772</v>
      </c>
      <c r="M840" s="17" t="str">
        <f t="shared" si="329"/>
        <v>220.316661338647,1.27007460594177</v>
      </c>
    </row>
    <row r="841" spans="1:13" x14ac:dyDescent="0.25">
      <c r="A841" s="85">
        <f t="shared" si="319"/>
        <v>551</v>
      </c>
      <c r="B841" s="296">
        <f t="shared" si="320"/>
        <v>104112.8981924572</v>
      </c>
      <c r="C841" s="296">
        <f t="shared" si="321"/>
        <v>489244.80590725789</v>
      </c>
      <c r="D841" s="85">
        <f t="shared" si="322"/>
        <v>4</v>
      </c>
      <c r="E841" s="17">
        <f t="shared" si="323"/>
        <v>0.39394466066733003</v>
      </c>
      <c r="F841" s="17">
        <f t="shared" si="324"/>
        <v>-7.1477338438853621E-2</v>
      </c>
      <c r="G841" s="17" t="str">
        <f t="shared" si="325"/>
        <v>104112.898192457,489244.805907258</v>
      </c>
      <c r="H841" s="16">
        <v>551</v>
      </c>
      <c r="I841" s="16">
        <f t="shared" si="326"/>
        <v>551</v>
      </c>
      <c r="J841" s="209">
        <f t="shared" si="327"/>
        <v>0.40037657970790475</v>
      </c>
      <c r="K841" s="209">
        <f t="shared" si="328"/>
        <v>220.71703791835446</v>
      </c>
      <c r="L841" s="486">
        <v>1.2801669836044309</v>
      </c>
      <c r="M841" s="17" t="str">
        <f t="shared" si="329"/>
        <v>220.717037918354,1.28016698360443</v>
      </c>
    </row>
    <row r="842" spans="1:13" x14ac:dyDescent="0.25">
      <c r="A842" s="85">
        <f t="shared" si="319"/>
        <v>552</v>
      </c>
      <c r="B842" s="296">
        <f t="shared" si="320"/>
        <v>104113.29213711785</v>
      </c>
      <c r="C842" s="296">
        <f t="shared" si="321"/>
        <v>489244.73442991945</v>
      </c>
      <c r="D842" s="85">
        <f t="shared" si="322"/>
        <v>4</v>
      </c>
      <c r="E842" s="17">
        <f t="shared" si="323"/>
        <v>0.39394466065277811</v>
      </c>
      <c r="F842" s="17">
        <f t="shared" si="324"/>
        <v>-7.1477338438853621E-2</v>
      </c>
      <c r="G842" s="17" t="str">
        <f t="shared" si="325"/>
        <v>104113.292137118,489244.734429919</v>
      </c>
      <c r="H842" s="16">
        <v>552</v>
      </c>
      <c r="I842" s="16">
        <f t="shared" si="326"/>
        <v>552</v>
      </c>
      <c r="J842" s="209">
        <f t="shared" si="327"/>
        <v>0.40037657969358664</v>
      </c>
      <c r="K842" s="209">
        <f t="shared" si="328"/>
        <v>221.11741449804805</v>
      </c>
      <c r="L842" s="486">
        <v>1.281224250793457</v>
      </c>
      <c r="M842" s="17" t="str">
        <f t="shared" si="329"/>
        <v>221.117414498048,1.28122425079346</v>
      </c>
    </row>
    <row r="843" spans="1:13" x14ac:dyDescent="0.25">
      <c r="A843" s="85">
        <f t="shared" si="319"/>
        <v>553</v>
      </c>
      <c r="B843" s="296">
        <f t="shared" si="320"/>
        <v>104113.68608177852</v>
      </c>
      <c r="C843" s="296">
        <f t="shared" si="321"/>
        <v>489244.66295258107</v>
      </c>
      <c r="D843" s="85">
        <f t="shared" si="322"/>
        <v>4</v>
      </c>
      <c r="E843" s="17">
        <f t="shared" si="323"/>
        <v>0.39394466066733003</v>
      </c>
      <c r="F843" s="17">
        <f t="shared" si="324"/>
        <v>-7.1477338380645961E-2</v>
      </c>
      <c r="G843" s="17" t="str">
        <f t="shared" si="325"/>
        <v>104113.686081779,489244.662952581</v>
      </c>
      <c r="H843" s="16">
        <v>553</v>
      </c>
      <c r="I843" s="16">
        <f t="shared" si="326"/>
        <v>553</v>
      </c>
      <c r="J843" s="209">
        <f t="shared" si="327"/>
        <v>0.40037657969751322</v>
      </c>
      <c r="K843" s="209">
        <f t="shared" si="328"/>
        <v>221.51779107774556</v>
      </c>
      <c r="L843" s="486">
        <v>1.280692934989929</v>
      </c>
      <c r="M843" s="17" t="str">
        <f t="shared" si="329"/>
        <v>221.517791077746,1.28069293498993</v>
      </c>
    </row>
    <row r="844" spans="1:13" x14ac:dyDescent="0.25">
      <c r="A844" s="85">
        <f t="shared" si="319"/>
        <v>554</v>
      </c>
      <c r="B844" s="296">
        <f t="shared" si="320"/>
        <v>104114.08002643917</v>
      </c>
      <c r="C844" s="296">
        <f t="shared" si="321"/>
        <v>489244.59147524263</v>
      </c>
      <c r="D844" s="85">
        <f t="shared" si="322"/>
        <v>4</v>
      </c>
      <c r="E844" s="17">
        <f t="shared" si="323"/>
        <v>0.39394466065277811</v>
      </c>
      <c r="F844" s="17">
        <f t="shared" si="324"/>
        <v>-7.1477338438853621E-2</v>
      </c>
      <c r="G844" s="17" t="str">
        <f t="shared" si="325"/>
        <v>104114.080026439,489244.591475243</v>
      </c>
      <c r="H844" s="16">
        <v>554</v>
      </c>
      <c r="I844" s="16">
        <f t="shared" si="326"/>
        <v>554</v>
      </c>
      <c r="J844" s="209">
        <f t="shared" si="327"/>
        <v>0.40037657969358664</v>
      </c>
      <c r="K844" s="209">
        <f t="shared" si="328"/>
        <v>221.91816765743914</v>
      </c>
      <c r="L844" s="486">
        <v>1.2813248634338379</v>
      </c>
      <c r="M844" s="17" t="str">
        <f t="shared" si="329"/>
        <v>221.918167657439,1.28132486343384</v>
      </c>
    </row>
    <row r="845" spans="1:13" x14ac:dyDescent="0.25">
      <c r="A845" s="85">
        <f t="shared" si="319"/>
        <v>555</v>
      </c>
      <c r="B845" s="296">
        <f t="shared" si="320"/>
        <v>104114.47397109984</v>
      </c>
      <c r="C845" s="296">
        <f t="shared" si="321"/>
        <v>489244.51999790419</v>
      </c>
      <c r="D845" s="85">
        <f t="shared" si="322"/>
        <v>4</v>
      </c>
      <c r="E845" s="17">
        <f t="shared" si="323"/>
        <v>0.39394466066733003</v>
      </c>
      <c r="F845" s="17">
        <f t="shared" si="324"/>
        <v>-7.1477338438853621E-2</v>
      </c>
      <c r="G845" s="17" t="str">
        <f t="shared" si="325"/>
        <v>104114.4739711,489244.519997904</v>
      </c>
      <c r="H845" s="16">
        <v>555</v>
      </c>
      <c r="I845" s="16">
        <f t="shared" si="326"/>
        <v>555</v>
      </c>
      <c r="J845" s="209">
        <f t="shared" si="327"/>
        <v>0.40037657970790475</v>
      </c>
      <c r="K845" s="209">
        <f t="shared" si="328"/>
        <v>222.31854423714705</v>
      </c>
      <c r="L845" s="486">
        <v>1.288130640983582</v>
      </c>
      <c r="M845" s="17" t="str">
        <f t="shared" si="329"/>
        <v>222.318544237147,1.28813064098358</v>
      </c>
    </row>
    <row r="846" spans="1:13" x14ac:dyDescent="0.25">
      <c r="A846" s="85">
        <f t="shared" si="319"/>
        <v>556</v>
      </c>
      <c r="B846" s="296">
        <f t="shared" si="320"/>
        <v>104114.86791576051</v>
      </c>
      <c r="C846" s="296">
        <f t="shared" si="321"/>
        <v>489244.44852056575</v>
      </c>
      <c r="D846" s="85">
        <f t="shared" si="322"/>
        <v>4</v>
      </c>
      <c r="E846" s="17">
        <f t="shared" si="323"/>
        <v>0.39394466066733003</v>
      </c>
      <c r="F846" s="17">
        <f t="shared" si="324"/>
        <v>-7.1477338438853621E-2</v>
      </c>
      <c r="G846" s="17" t="str">
        <f t="shared" si="325"/>
        <v>104114.867915761,489244.448520566</v>
      </c>
      <c r="H846" s="16">
        <v>556</v>
      </c>
      <c r="I846" s="16">
        <f t="shared" si="326"/>
        <v>556</v>
      </c>
      <c r="J846" s="209">
        <f t="shared" si="327"/>
        <v>0.40037657970790475</v>
      </c>
      <c r="K846" s="209">
        <f t="shared" si="328"/>
        <v>222.71892081685496</v>
      </c>
      <c r="L846" s="486">
        <v>1.2738968133926389</v>
      </c>
      <c r="M846" s="17" t="str">
        <f t="shared" si="329"/>
        <v>222.718920816855,1.27389681339264</v>
      </c>
    </row>
    <row r="847" spans="1:13" x14ac:dyDescent="0.25">
      <c r="A847" s="85">
        <f t="shared" si="319"/>
        <v>557</v>
      </c>
      <c r="B847" s="296">
        <f t="shared" si="320"/>
        <v>104115.26186042116</v>
      </c>
      <c r="C847" s="296">
        <f t="shared" si="321"/>
        <v>489244.37704322732</v>
      </c>
      <c r="D847" s="85">
        <f t="shared" si="322"/>
        <v>4</v>
      </c>
      <c r="E847" s="17">
        <f t="shared" si="323"/>
        <v>0.39394466065277811</v>
      </c>
      <c r="F847" s="17">
        <f t="shared" si="324"/>
        <v>-7.1477338438853621E-2</v>
      </c>
      <c r="G847" s="17" t="str">
        <f t="shared" si="325"/>
        <v>104115.261860421,489244.377043227</v>
      </c>
      <c r="H847" s="16">
        <v>557</v>
      </c>
      <c r="I847" s="16">
        <f t="shared" si="326"/>
        <v>557</v>
      </c>
      <c r="J847" s="209">
        <f t="shared" si="327"/>
        <v>0.40037657969358664</v>
      </c>
      <c r="K847" s="209">
        <f t="shared" si="328"/>
        <v>223.11929739654855</v>
      </c>
      <c r="L847" s="486">
        <v>1.2852320671081541</v>
      </c>
      <c r="M847" s="17" t="str">
        <f t="shared" si="329"/>
        <v>223.119297396549,1.28523206710815</v>
      </c>
    </row>
    <row r="848" spans="1:13" x14ac:dyDescent="0.25">
      <c r="A848" s="85">
        <f t="shared" si="319"/>
        <v>558</v>
      </c>
      <c r="B848" s="296">
        <f t="shared" si="320"/>
        <v>104115.65580508183</v>
      </c>
      <c r="C848" s="296">
        <f t="shared" si="321"/>
        <v>489244.30556588894</v>
      </c>
      <c r="D848" s="85">
        <f t="shared" si="322"/>
        <v>4</v>
      </c>
      <c r="E848" s="17">
        <f t="shared" si="323"/>
        <v>0.39394466066733003</v>
      </c>
      <c r="F848" s="17">
        <f t="shared" si="324"/>
        <v>-7.1477338380645961E-2</v>
      </c>
      <c r="G848" s="17" t="str">
        <f t="shared" si="325"/>
        <v>104115.655805082,489244.305565889</v>
      </c>
      <c r="H848" s="16">
        <v>558</v>
      </c>
      <c r="I848" s="16">
        <f t="shared" si="326"/>
        <v>558</v>
      </c>
      <c r="J848" s="209">
        <f t="shared" si="327"/>
        <v>0.40037657969751322</v>
      </c>
      <c r="K848" s="209">
        <f t="shared" si="328"/>
        <v>223.51967397624605</v>
      </c>
      <c r="L848" s="486">
        <v>1.2877732515335081</v>
      </c>
      <c r="M848" s="17" t="str">
        <f t="shared" si="329"/>
        <v>223.519673976246,1.28777325153351</v>
      </c>
    </row>
    <row r="849" spans="1:13" x14ac:dyDescent="0.25">
      <c r="A849" s="85">
        <f t="shared" si="319"/>
        <v>559</v>
      </c>
      <c r="B849" s="296">
        <f t="shared" si="320"/>
        <v>104116.04974974248</v>
      </c>
      <c r="C849" s="296">
        <f t="shared" si="321"/>
        <v>489244.2340885505</v>
      </c>
      <c r="D849" s="85">
        <f t="shared" si="322"/>
        <v>4</v>
      </c>
      <c r="E849" s="17">
        <f t="shared" si="323"/>
        <v>0.39394466065277811</v>
      </c>
      <c r="F849" s="17">
        <f t="shared" si="324"/>
        <v>-7.1477338438853621E-2</v>
      </c>
      <c r="G849" s="17" t="str">
        <f t="shared" si="325"/>
        <v>104116.049749742,489244.23408855</v>
      </c>
      <c r="H849" s="16">
        <v>559</v>
      </c>
      <c r="I849" s="16">
        <f t="shared" si="326"/>
        <v>559</v>
      </c>
      <c r="J849" s="209">
        <f t="shared" si="327"/>
        <v>0.40037657969358664</v>
      </c>
      <c r="K849" s="209">
        <f t="shared" si="328"/>
        <v>223.92005055593964</v>
      </c>
      <c r="L849" s="486">
        <v>1.281540155410767</v>
      </c>
      <c r="M849" s="17" t="str">
        <f t="shared" si="329"/>
        <v>223.92005055594,1.28154015541077</v>
      </c>
    </row>
    <row r="850" spans="1:13" x14ac:dyDescent="0.25">
      <c r="A850" s="85">
        <f t="shared" si="319"/>
        <v>560</v>
      </c>
      <c r="B850" s="296">
        <f t="shared" si="320"/>
        <v>104116.44369440315</v>
      </c>
      <c r="C850" s="296">
        <f t="shared" si="321"/>
        <v>489244.16261121206</v>
      </c>
      <c r="D850" s="85">
        <f t="shared" si="322"/>
        <v>4</v>
      </c>
      <c r="E850" s="17">
        <f t="shared" si="323"/>
        <v>0.39394466066733003</v>
      </c>
      <c r="F850" s="17">
        <f t="shared" si="324"/>
        <v>-7.1477338438853621E-2</v>
      </c>
      <c r="G850" s="17" t="str">
        <f t="shared" si="325"/>
        <v>104116.443694403,489244.162611212</v>
      </c>
      <c r="H850" s="16">
        <v>560</v>
      </c>
      <c r="I850" s="16">
        <f t="shared" si="326"/>
        <v>560</v>
      </c>
      <c r="J850" s="209">
        <f t="shared" si="327"/>
        <v>0.40037657970790475</v>
      </c>
      <c r="K850" s="209">
        <f t="shared" si="328"/>
        <v>224.32042713564755</v>
      </c>
      <c r="L850" s="486">
        <v>1.284071087837219</v>
      </c>
      <c r="M850" s="17" t="str">
        <f t="shared" si="329"/>
        <v>224.320427135648,1.28407108783722</v>
      </c>
    </row>
    <row r="851" spans="1:13" x14ac:dyDescent="0.25">
      <c r="A851" s="85">
        <f t="shared" si="319"/>
        <v>561</v>
      </c>
      <c r="B851" s="296">
        <f t="shared" si="320"/>
        <v>104116.8376390638</v>
      </c>
      <c r="C851" s="296">
        <f t="shared" si="321"/>
        <v>489244.09113387362</v>
      </c>
      <c r="D851" s="85">
        <f t="shared" si="322"/>
        <v>4</v>
      </c>
      <c r="E851" s="17">
        <f t="shared" si="323"/>
        <v>0.39394466065277811</v>
      </c>
      <c r="F851" s="17">
        <f t="shared" si="324"/>
        <v>-7.1477338438853621E-2</v>
      </c>
      <c r="G851" s="17" t="str">
        <f t="shared" si="325"/>
        <v>104116.837639064,489244.091133874</v>
      </c>
      <c r="H851" s="16">
        <v>561</v>
      </c>
      <c r="I851" s="16">
        <f t="shared" si="326"/>
        <v>561</v>
      </c>
      <c r="J851" s="209">
        <f t="shared" si="327"/>
        <v>0.40037657969358664</v>
      </c>
      <c r="K851" s="209">
        <f t="shared" si="328"/>
        <v>224.72080371534113</v>
      </c>
      <c r="L851" s="486">
        <v>1.269708395004272</v>
      </c>
      <c r="M851" s="17" t="str">
        <f t="shared" si="329"/>
        <v>224.720803715341,1.26970839500427</v>
      </c>
    </row>
    <row r="852" spans="1:13" x14ac:dyDescent="0.25">
      <c r="A852" s="85">
        <f t="shared" si="319"/>
        <v>562</v>
      </c>
      <c r="B852" s="296">
        <f t="shared" si="320"/>
        <v>104117.23158372447</v>
      </c>
      <c r="C852" s="296">
        <f t="shared" si="321"/>
        <v>489244.01965653518</v>
      </c>
      <c r="D852" s="85">
        <f t="shared" si="322"/>
        <v>4</v>
      </c>
      <c r="E852" s="17">
        <f t="shared" si="323"/>
        <v>0.39394466066733003</v>
      </c>
      <c r="F852" s="17">
        <f t="shared" si="324"/>
        <v>-7.1477338438853621E-2</v>
      </c>
      <c r="G852" s="17" t="str">
        <f t="shared" si="325"/>
        <v>104117.231583724,489244.019656535</v>
      </c>
      <c r="H852" s="16">
        <v>562</v>
      </c>
      <c r="I852" s="16">
        <f t="shared" si="326"/>
        <v>562</v>
      </c>
      <c r="J852" s="209">
        <f t="shared" si="327"/>
        <v>0.40037657970790475</v>
      </c>
      <c r="K852" s="209">
        <f t="shared" si="328"/>
        <v>225.12118029504904</v>
      </c>
      <c r="L852" s="486">
        <v>1.264977812767029</v>
      </c>
      <c r="M852" s="17" t="str">
        <f t="shared" si="329"/>
        <v>225.121180295049,1.26497781276703</v>
      </c>
    </row>
    <row r="853" spans="1:13" x14ac:dyDescent="0.25">
      <c r="A853" s="85">
        <f t="shared" si="319"/>
        <v>563</v>
      </c>
      <c r="B853" s="296">
        <f t="shared" si="320"/>
        <v>104117.62552838512</v>
      </c>
      <c r="C853" s="296">
        <f t="shared" si="321"/>
        <v>489243.94817919674</v>
      </c>
      <c r="D853" s="85">
        <f t="shared" si="322"/>
        <v>4</v>
      </c>
      <c r="E853" s="17">
        <f t="shared" si="323"/>
        <v>0.39394466065277811</v>
      </c>
      <c r="F853" s="17">
        <f t="shared" si="324"/>
        <v>-7.1477338438853621E-2</v>
      </c>
      <c r="G853" s="17" t="str">
        <f t="shared" si="325"/>
        <v>104117.625528385,489243.948179197</v>
      </c>
      <c r="H853" s="16">
        <v>563</v>
      </c>
      <c r="I853" s="16">
        <f t="shared" si="326"/>
        <v>563</v>
      </c>
      <c r="J853" s="209">
        <f t="shared" si="327"/>
        <v>0.40037657969358664</v>
      </c>
      <c r="K853" s="209">
        <f t="shared" si="328"/>
        <v>225.52155687474263</v>
      </c>
      <c r="L853" s="692">
        <v>1.2625719308853149</v>
      </c>
      <c r="M853" s="17" t="str">
        <f t="shared" si="329"/>
        <v>225.521556874743,1.26257193088531</v>
      </c>
    </row>
    <row r="854" spans="1:13" x14ac:dyDescent="0.25">
      <c r="A854" s="85">
        <f t="shared" si="319"/>
        <v>564</v>
      </c>
      <c r="B854" s="296">
        <f t="shared" si="320"/>
        <v>104118.01947304579</v>
      </c>
      <c r="C854" s="296">
        <f t="shared" si="321"/>
        <v>489243.87670185836</v>
      </c>
      <c r="D854" s="85">
        <f t="shared" si="322"/>
        <v>4</v>
      </c>
      <c r="E854" s="17">
        <f t="shared" si="323"/>
        <v>0.39394466066733003</v>
      </c>
      <c r="F854" s="17">
        <f t="shared" si="324"/>
        <v>-7.1477338380645961E-2</v>
      </c>
      <c r="G854" s="17" t="str">
        <f t="shared" si="325"/>
        <v>104118.019473046,489243.876701858</v>
      </c>
      <c r="H854" s="16">
        <v>564</v>
      </c>
      <c r="I854" s="16">
        <f t="shared" si="326"/>
        <v>564</v>
      </c>
      <c r="J854" s="209">
        <f t="shared" si="327"/>
        <v>0.40037657969751322</v>
      </c>
      <c r="K854" s="209">
        <f t="shared" si="328"/>
        <v>225.92193345444014</v>
      </c>
      <c r="L854" s="692">
        <v>1.2603011131286621</v>
      </c>
      <c r="M854" s="17" t="str">
        <f t="shared" si="329"/>
        <v>225.92193345444,1.26030111312866</v>
      </c>
    </row>
    <row r="855" spans="1:13" x14ac:dyDescent="0.25">
      <c r="A855" s="85">
        <f t="shared" si="319"/>
        <v>565</v>
      </c>
      <c r="B855" s="296">
        <f t="shared" si="320"/>
        <v>104118.41341770644</v>
      </c>
      <c r="C855" s="296">
        <f t="shared" si="321"/>
        <v>489243.80522451992</v>
      </c>
      <c r="D855" s="85">
        <f t="shared" si="322"/>
        <v>4</v>
      </c>
      <c r="E855" s="17">
        <f t="shared" si="323"/>
        <v>0.39394466065277811</v>
      </c>
      <c r="F855" s="17">
        <f t="shared" si="324"/>
        <v>-7.1477338438853621E-2</v>
      </c>
      <c r="G855" s="17" t="str">
        <f t="shared" si="325"/>
        <v>104118.413417706,489243.80522452</v>
      </c>
      <c r="H855" s="16">
        <v>565</v>
      </c>
      <c r="I855" s="16">
        <f t="shared" si="326"/>
        <v>565</v>
      </c>
      <c r="J855" s="209">
        <f t="shared" si="327"/>
        <v>0.40037657969358664</v>
      </c>
      <c r="K855" s="209">
        <f t="shared" si="328"/>
        <v>226.32231003413372</v>
      </c>
      <c r="L855" s="692">
        <v>1.2763903141021731</v>
      </c>
      <c r="M855" s="17" t="str">
        <f t="shared" si="329"/>
        <v>226.322310034134,1.27639031410217</v>
      </c>
    </row>
    <row r="856" spans="1:13" x14ac:dyDescent="0.25">
      <c r="A856" s="85">
        <f t="shared" si="319"/>
        <v>566</v>
      </c>
      <c r="B856" s="296">
        <f t="shared" si="320"/>
        <v>104118.80736236711</v>
      </c>
      <c r="C856" s="296">
        <f t="shared" si="321"/>
        <v>489243.73374718148</v>
      </c>
      <c r="D856" s="85">
        <f t="shared" si="322"/>
        <v>5</v>
      </c>
      <c r="E856" s="17">
        <f t="shared" si="323"/>
        <v>0.39394466066733003</v>
      </c>
      <c r="F856" s="17">
        <f t="shared" si="324"/>
        <v>-7.1477338438853621E-2</v>
      </c>
      <c r="G856" s="17" t="str">
        <f t="shared" si="325"/>
        <v>104118.807362367,489243.733747181</v>
      </c>
      <c r="H856" s="16">
        <v>566</v>
      </c>
      <c r="I856" s="16">
        <f t="shared" si="326"/>
        <v>566</v>
      </c>
      <c r="J856" s="209">
        <f t="shared" si="327"/>
        <v>0.40037657970790475</v>
      </c>
      <c r="K856" s="209">
        <f t="shared" si="328"/>
        <v>226.72268661384163</v>
      </c>
      <c r="L856" s="692">
        <v>1.271496534347534</v>
      </c>
      <c r="M856" s="17" t="str">
        <f t="shared" si="329"/>
        <v>226.722686613842,1.27149653434753</v>
      </c>
    </row>
    <row r="857" spans="1:13" x14ac:dyDescent="0.25">
      <c r="A857" s="85" t="str">
        <f t="shared" si="319"/>
        <v/>
      </c>
      <c r="B857" s="296" t="str">
        <f t="shared" si="320"/>
        <v/>
      </c>
      <c r="C857" s="296" t="str">
        <f t="shared" si="321"/>
        <v/>
      </c>
      <c r="D857" s="85">
        <f t="shared" si="322"/>
        <v>5</v>
      </c>
      <c r="E857" s="17" t="str">
        <f t="shared" si="323"/>
        <v/>
      </c>
      <c r="F857" s="17" t="str">
        <f t="shared" si="324"/>
        <v/>
      </c>
      <c r="G857" s="17" t="str">
        <f t="shared" si="325"/>
        <v/>
      </c>
      <c r="H857" s="16">
        <v>567</v>
      </c>
      <c r="I857" s="16" t="str">
        <f t="shared" si="326"/>
        <v/>
      </c>
      <c r="J857" s="209" t="str">
        <f t="shared" si="327"/>
        <v/>
      </c>
      <c r="K857" s="209" t="str">
        <f t="shared" si="328"/>
        <v/>
      </c>
      <c r="L857" s="692"/>
      <c r="M857" s="17" t="str">
        <f t="shared" si="329"/>
        <v/>
      </c>
    </row>
    <row r="858" spans="1:13" x14ac:dyDescent="0.25">
      <c r="A858" s="85" t="str">
        <f t="shared" si="319"/>
        <v/>
      </c>
      <c r="B858" s="296" t="str">
        <f t="shared" si="320"/>
        <v/>
      </c>
      <c r="C858" s="296" t="str">
        <f t="shared" si="321"/>
        <v/>
      </c>
      <c r="D858" s="85">
        <f t="shared" si="322"/>
        <v>5</v>
      </c>
      <c r="E858" s="17" t="str">
        <f t="shared" si="323"/>
        <v/>
      </c>
      <c r="F858" s="17" t="str">
        <f t="shared" si="324"/>
        <v/>
      </c>
      <c r="G858" s="17" t="str">
        <f t="shared" si="325"/>
        <v/>
      </c>
      <c r="H858" s="16">
        <v>568</v>
      </c>
      <c r="I858" s="16" t="str">
        <f t="shared" si="326"/>
        <v/>
      </c>
      <c r="J858" s="209" t="str">
        <f t="shared" si="327"/>
        <v/>
      </c>
      <c r="K858" s="209" t="str">
        <f t="shared" si="328"/>
        <v/>
      </c>
      <c r="L858" s="692"/>
      <c r="M858" s="17" t="str">
        <f t="shared" si="329"/>
        <v/>
      </c>
    </row>
    <row r="859" spans="1:13" x14ac:dyDescent="0.25">
      <c r="A859" s="85" t="str">
        <f t="shared" si="319"/>
        <v/>
      </c>
      <c r="B859" s="296" t="str">
        <f t="shared" si="320"/>
        <v/>
      </c>
      <c r="C859" s="296" t="str">
        <f t="shared" si="321"/>
        <v/>
      </c>
      <c r="D859" s="85">
        <f t="shared" si="322"/>
        <v>5</v>
      </c>
      <c r="E859" s="17" t="str">
        <f t="shared" si="323"/>
        <v/>
      </c>
      <c r="F859" s="17" t="str">
        <f t="shared" si="324"/>
        <v/>
      </c>
      <c r="G859" s="17" t="str">
        <f t="shared" si="325"/>
        <v/>
      </c>
      <c r="H859" s="16">
        <v>569</v>
      </c>
      <c r="I859" s="16" t="str">
        <f t="shared" si="326"/>
        <v/>
      </c>
      <c r="J859" s="209" t="str">
        <f t="shared" si="327"/>
        <v/>
      </c>
      <c r="K859" s="209" t="str">
        <f t="shared" si="328"/>
        <v/>
      </c>
      <c r="L859" s="692"/>
      <c r="M859" s="17" t="str">
        <f t="shared" si="329"/>
        <v/>
      </c>
    </row>
    <row r="860" spans="1:13" x14ac:dyDescent="0.25">
      <c r="A860" s="85" t="str">
        <f t="shared" si="319"/>
        <v/>
      </c>
      <c r="B860" s="296" t="str">
        <f t="shared" si="320"/>
        <v/>
      </c>
      <c r="C860" s="296" t="str">
        <f t="shared" si="321"/>
        <v/>
      </c>
      <c r="D860" s="85">
        <f t="shared" si="322"/>
        <v>5</v>
      </c>
      <c r="E860" s="17" t="str">
        <f t="shared" si="323"/>
        <v/>
      </c>
      <c r="F860" s="17" t="str">
        <f t="shared" si="324"/>
        <v/>
      </c>
      <c r="G860" s="17" t="str">
        <f t="shared" si="325"/>
        <v/>
      </c>
      <c r="H860" s="16">
        <v>570</v>
      </c>
      <c r="I860" s="16" t="str">
        <f t="shared" si="326"/>
        <v/>
      </c>
      <c r="J860" s="209" t="str">
        <f t="shared" si="327"/>
        <v/>
      </c>
      <c r="K860" s="209" t="str">
        <f t="shared" si="328"/>
        <v/>
      </c>
      <c r="L860" s="692"/>
      <c r="M860" s="17" t="str">
        <f t="shared" si="329"/>
        <v/>
      </c>
    </row>
    <row r="861" spans="1:13" x14ac:dyDescent="0.25">
      <c r="A861" s="85" t="str">
        <f t="shared" si="319"/>
        <v/>
      </c>
      <c r="B861" s="296" t="str">
        <f t="shared" si="320"/>
        <v/>
      </c>
      <c r="C861" s="296" t="str">
        <f t="shared" si="321"/>
        <v/>
      </c>
      <c r="D861" s="85">
        <f t="shared" si="322"/>
        <v>5</v>
      </c>
      <c r="E861" s="17" t="str">
        <f t="shared" si="323"/>
        <v/>
      </c>
      <c r="F861" s="17" t="str">
        <f t="shared" si="324"/>
        <v/>
      </c>
      <c r="G861" s="17" t="str">
        <f t="shared" si="325"/>
        <v/>
      </c>
      <c r="H861" s="16">
        <v>571</v>
      </c>
      <c r="I861" s="16" t="str">
        <f t="shared" si="326"/>
        <v/>
      </c>
      <c r="J861" s="209" t="str">
        <f t="shared" si="327"/>
        <v/>
      </c>
      <c r="K861" s="209" t="str">
        <f t="shared" si="328"/>
        <v/>
      </c>
      <c r="L861" s="692"/>
      <c r="M861" s="17" t="str">
        <f t="shared" si="329"/>
        <v/>
      </c>
    </row>
    <row r="862" spans="1:13" x14ac:dyDescent="0.25">
      <c r="A862" s="85" t="str">
        <f t="shared" si="319"/>
        <v/>
      </c>
      <c r="B862" s="296" t="str">
        <f t="shared" si="320"/>
        <v/>
      </c>
      <c r="C862" s="296" t="str">
        <f t="shared" si="321"/>
        <v/>
      </c>
      <c r="D862" s="85">
        <f t="shared" si="322"/>
        <v>5</v>
      </c>
      <c r="E862" s="17" t="str">
        <f t="shared" si="323"/>
        <v/>
      </c>
      <c r="F862" s="17" t="str">
        <f t="shared" si="324"/>
        <v/>
      </c>
      <c r="G862" s="17" t="str">
        <f t="shared" si="325"/>
        <v/>
      </c>
      <c r="H862" s="16">
        <v>572</v>
      </c>
      <c r="I862" s="16" t="str">
        <f t="shared" si="326"/>
        <v/>
      </c>
      <c r="J862" s="209" t="str">
        <f t="shared" si="327"/>
        <v/>
      </c>
      <c r="K862" s="209" t="str">
        <f t="shared" si="328"/>
        <v/>
      </c>
      <c r="L862" s="692"/>
      <c r="M862" s="17" t="str">
        <f t="shared" si="329"/>
        <v/>
      </c>
    </row>
    <row r="863" spans="1:13" x14ac:dyDescent="0.25">
      <c r="A863" s="85" t="str">
        <f t="shared" si="319"/>
        <v/>
      </c>
      <c r="B863" s="296" t="str">
        <f t="shared" si="320"/>
        <v/>
      </c>
      <c r="C863" s="296" t="str">
        <f t="shared" si="321"/>
        <v/>
      </c>
      <c r="D863" s="85">
        <f t="shared" si="322"/>
        <v>5</v>
      </c>
      <c r="E863" s="17" t="str">
        <f t="shared" si="323"/>
        <v/>
      </c>
      <c r="F863" s="17" t="str">
        <f t="shared" si="324"/>
        <v/>
      </c>
      <c r="G863" s="17" t="str">
        <f t="shared" si="325"/>
        <v/>
      </c>
      <c r="H863" s="16">
        <v>573</v>
      </c>
      <c r="I863" s="16" t="str">
        <f t="shared" si="326"/>
        <v/>
      </c>
      <c r="J863" s="209" t="str">
        <f t="shared" si="327"/>
        <v/>
      </c>
      <c r="K863" s="209" t="str">
        <f t="shared" si="328"/>
        <v/>
      </c>
      <c r="L863" s="692"/>
      <c r="M863" s="17" t="str">
        <f t="shared" si="329"/>
        <v/>
      </c>
    </row>
    <row r="864" spans="1:13" x14ac:dyDescent="0.25">
      <c r="A864" s="85" t="str">
        <f t="shared" si="319"/>
        <v/>
      </c>
      <c r="B864" s="296" t="str">
        <f t="shared" si="320"/>
        <v/>
      </c>
      <c r="C864" s="296" t="str">
        <f t="shared" si="321"/>
        <v/>
      </c>
      <c r="D864" s="85">
        <f t="shared" si="322"/>
        <v>5</v>
      </c>
      <c r="E864" s="17" t="str">
        <f t="shared" si="323"/>
        <v/>
      </c>
      <c r="F864" s="17" t="str">
        <f t="shared" si="324"/>
        <v/>
      </c>
      <c r="G864" s="17" t="str">
        <f t="shared" si="325"/>
        <v/>
      </c>
      <c r="H864" s="16">
        <v>574</v>
      </c>
      <c r="I864" s="16" t="str">
        <f t="shared" si="326"/>
        <v/>
      </c>
      <c r="J864" s="209" t="str">
        <f t="shared" si="327"/>
        <v/>
      </c>
      <c r="K864" s="209" t="str">
        <f t="shared" si="328"/>
        <v/>
      </c>
      <c r="L864" s="692"/>
      <c r="M864" s="17" t="str">
        <f t="shared" si="329"/>
        <v/>
      </c>
    </row>
    <row r="865" spans="1:13" x14ac:dyDescent="0.25">
      <c r="A865" s="85" t="str">
        <f t="shared" si="319"/>
        <v/>
      </c>
      <c r="B865" s="296" t="str">
        <f t="shared" si="320"/>
        <v/>
      </c>
      <c r="C865" s="296" t="str">
        <f t="shared" si="321"/>
        <v/>
      </c>
      <c r="D865" s="85">
        <f t="shared" si="322"/>
        <v>5</v>
      </c>
      <c r="E865" s="17" t="str">
        <f t="shared" si="323"/>
        <v/>
      </c>
      <c r="F865" s="17" t="str">
        <f t="shared" si="324"/>
        <v/>
      </c>
      <c r="G865" s="17" t="str">
        <f t="shared" si="325"/>
        <v/>
      </c>
      <c r="H865" s="16">
        <v>575</v>
      </c>
      <c r="I865" s="16" t="str">
        <f t="shared" si="326"/>
        <v/>
      </c>
      <c r="J865" s="209" t="str">
        <f t="shared" si="327"/>
        <v/>
      </c>
      <c r="K865" s="209" t="str">
        <f t="shared" si="328"/>
        <v/>
      </c>
      <c r="L865" s="692"/>
      <c r="M865" s="17" t="str">
        <f t="shared" si="329"/>
        <v/>
      </c>
    </row>
    <row r="866" spans="1:13" x14ac:dyDescent="0.25">
      <c r="A866" s="85" t="str">
        <f t="shared" si="319"/>
        <v/>
      </c>
      <c r="B866" s="296" t="str">
        <f t="shared" si="320"/>
        <v/>
      </c>
      <c r="C866" s="296" t="str">
        <f t="shared" si="321"/>
        <v/>
      </c>
      <c r="D866" s="85">
        <f t="shared" si="322"/>
        <v>5</v>
      </c>
      <c r="E866" s="17" t="str">
        <f t="shared" si="323"/>
        <v/>
      </c>
      <c r="F866" s="17" t="str">
        <f t="shared" si="324"/>
        <v/>
      </c>
      <c r="G866" s="17" t="str">
        <f t="shared" si="325"/>
        <v/>
      </c>
      <c r="H866" s="16">
        <v>576</v>
      </c>
      <c r="I866" s="16" t="str">
        <f t="shared" si="326"/>
        <v/>
      </c>
      <c r="J866" s="209" t="str">
        <f t="shared" si="327"/>
        <v/>
      </c>
      <c r="K866" s="209" t="str">
        <f t="shared" si="328"/>
        <v/>
      </c>
      <c r="L866" s="692"/>
      <c r="M866" s="17" t="str">
        <f t="shared" si="329"/>
        <v/>
      </c>
    </row>
    <row r="867" spans="1:13" x14ac:dyDescent="0.25">
      <c r="A867" s="85" t="str">
        <f t="shared" si="319"/>
        <v/>
      </c>
      <c r="B867" s="296" t="str">
        <f t="shared" si="320"/>
        <v/>
      </c>
      <c r="C867" s="296" t="str">
        <f t="shared" si="321"/>
        <v/>
      </c>
      <c r="D867" s="85">
        <f t="shared" si="322"/>
        <v>5</v>
      </c>
      <c r="E867" s="17" t="str">
        <f t="shared" si="323"/>
        <v/>
      </c>
      <c r="F867" s="17" t="str">
        <f t="shared" si="324"/>
        <v/>
      </c>
      <c r="G867" s="17" t="str">
        <f t="shared" si="325"/>
        <v/>
      </c>
      <c r="H867" s="16">
        <v>577</v>
      </c>
      <c r="I867" s="16" t="str">
        <f t="shared" si="326"/>
        <v/>
      </c>
      <c r="J867" s="209" t="str">
        <f t="shared" si="327"/>
        <v/>
      </c>
      <c r="K867" s="209" t="str">
        <f t="shared" si="328"/>
        <v/>
      </c>
      <c r="L867" s="692"/>
      <c r="M867" s="17" t="str">
        <f t="shared" si="329"/>
        <v/>
      </c>
    </row>
    <row r="868" spans="1:13" x14ac:dyDescent="0.25">
      <c r="A868" s="85" t="str">
        <f t="shared" si="319"/>
        <v/>
      </c>
      <c r="B868" s="296" t="str">
        <f t="shared" si="320"/>
        <v/>
      </c>
      <c r="C868" s="296" t="str">
        <f t="shared" si="321"/>
        <v/>
      </c>
      <c r="D868" s="85">
        <f t="shared" si="322"/>
        <v>5</v>
      </c>
      <c r="E868" s="17" t="str">
        <f t="shared" si="323"/>
        <v/>
      </c>
      <c r="F868" s="17" t="str">
        <f t="shared" si="324"/>
        <v/>
      </c>
      <c r="G868" s="17" t="str">
        <f t="shared" si="325"/>
        <v/>
      </c>
      <c r="H868" s="16">
        <v>578</v>
      </c>
      <c r="I868" s="16" t="str">
        <f t="shared" si="326"/>
        <v/>
      </c>
      <c r="J868" s="209" t="str">
        <f t="shared" si="327"/>
        <v/>
      </c>
      <c r="K868" s="209" t="str">
        <f t="shared" si="328"/>
        <v/>
      </c>
      <c r="L868" s="692"/>
      <c r="M868" s="17" t="str">
        <f t="shared" si="329"/>
        <v/>
      </c>
    </row>
    <row r="869" spans="1:13" x14ac:dyDescent="0.25">
      <c r="A869" s="85" t="str">
        <f t="shared" si="319"/>
        <v/>
      </c>
      <c r="B869" s="296" t="str">
        <f t="shared" si="320"/>
        <v/>
      </c>
      <c r="C869" s="296" t="str">
        <f t="shared" si="321"/>
        <v/>
      </c>
      <c r="D869" s="85">
        <f t="shared" si="322"/>
        <v>5</v>
      </c>
      <c r="E869" s="17" t="str">
        <f t="shared" si="323"/>
        <v/>
      </c>
      <c r="F869" s="17" t="str">
        <f t="shared" si="324"/>
        <v/>
      </c>
      <c r="G869" s="17" t="str">
        <f t="shared" si="325"/>
        <v/>
      </c>
      <c r="H869" s="16">
        <v>579</v>
      </c>
      <c r="I869" s="16" t="str">
        <f t="shared" si="326"/>
        <v/>
      </c>
      <c r="J869" s="209" t="str">
        <f t="shared" si="327"/>
        <v/>
      </c>
      <c r="K869" s="209" t="str">
        <f t="shared" si="328"/>
        <v/>
      </c>
      <c r="L869" s="692"/>
      <c r="M869" s="17" t="str">
        <f t="shared" si="329"/>
        <v/>
      </c>
    </row>
    <row r="870" spans="1:13" x14ac:dyDescent="0.25">
      <c r="A870" s="85" t="str">
        <f t="shared" si="319"/>
        <v/>
      </c>
      <c r="B870" s="296" t="str">
        <f t="shared" si="320"/>
        <v/>
      </c>
      <c r="C870" s="296" t="str">
        <f t="shared" si="321"/>
        <v/>
      </c>
      <c r="D870" s="85">
        <f t="shared" si="322"/>
        <v>5</v>
      </c>
      <c r="E870" s="17" t="str">
        <f t="shared" si="323"/>
        <v/>
      </c>
      <c r="F870" s="17" t="str">
        <f t="shared" si="324"/>
        <v/>
      </c>
      <c r="G870" s="17" t="str">
        <f t="shared" si="325"/>
        <v/>
      </c>
      <c r="H870" s="16">
        <v>580</v>
      </c>
      <c r="I870" s="16" t="str">
        <f t="shared" si="326"/>
        <v/>
      </c>
      <c r="J870" s="209" t="str">
        <f t="shared" si="327"/>
        <v/>
      </c>
      <c r="K870" s="209" t="str">
        <f t="shared" si="328"/>
        <v/>
      </c>
      <c r="L870" s="692"/>
      <c r="M870" s="17" t="str">
        <f t="shared" si="329"/>
        <v/>
      </c>
    </row>
    <row r="871" spans="1:13" x14ac:dyDescent="0.25">
      <c r="A871" s="85" t="str">
        <f t="shared" si="319"/>
        <v/>
      </c>
      <c r="B871" s="296" t="str">
        <f t="shared" si="320"/>
        <v/>
      </c>
      <c r="C871" s="296" t="str">
        <f t="shared" si="321"/>
        <v/>
      </c>
      <c r="D871" s="85">
        <f t="shared" si="322"/>
        <v>5</v>
      </c>
      <c r="E871" s="17" t="str">
        <f t="shared" si="323"/>
        <v/>
      </c>
      <c r="F871" s="17" t="str">
        <f t="shared" si="324"/>
        <v/>
      </c>
      <c r="G871" s="17" t="str">
        <f t="shared" si="325"/>
        <v/>
      </c>
      <c r="H871" s="16">
        <v>581</v>
      </c>
      <c r="I871" s="16" t="str">
        <f t="shared" si="326"/>
        <v/>
      </c>
      <c r="J871" s="209" t="str">
        <f t="shared" si="327"/>
        <v/>
      </c>
      <c r="K871" s="209" t="str">
        <f t="shared" si="328"/>
        <v/>
      </c>
      <c r="L871" s="692"/>
      <c r="M871" s="17" t="str">
        <f t="shared" si="329"/>
        <v/>
      </c>
    </row>
    <row r="872" spans="1:13" x14ac:dyDescent="0.25">
      <c r="A872" s="85" t="str">
        <f t="shared" si="319"/>
        <v/>
      </c>
      <c r="B872" s="296" t="str">
        <f t="shared" si="320"/>
        <v/>
      </c>
      <c r="C872" s="296" t="str">
        <f t="shared" si="321"/>
        <v/>
      </c>
      <c r="D872" s="85">
        <f t="shared" si="322"/>
        <v>5</v>
      </c>
      <c r="E872" s="17" t="str">
        <f t="shared" si="323"/>
        <v/>
      </c>
      <c r="F872" s="17" t="str">
        <f t="shared" si="324"/>
        <v/>
      </c>
      <c r="G872" s="17" t="str">
        <f t="shared" si="325"/>
        <v/>
      </c>
      <c r="H872" s="16">
        <v>582</v>
      </c>
      <c r="I872" s="16" t="str">
        <f t="shared" si="326"/>
        <v/>
      </c>
      <c r="J872" s="209" t="str">
        <f t="shared" si="327"/>
        <v/>
      </c>
      <c r="K872" s="209" t="str">
        <f t="shared" si="328"/>
        <v/>
      </c>
      <c r="L872" s="692"/>
      <c r="M872" s="17" t="str">
        <f t="shared" si="329"/>
        <v/>
      </c>
    </row>
    <row r="873" spans="1:13" x14ac:dyDescent="0.25">
      <c r="A873" s="85" t="str">
        <f t="shared" si="319"/>
        <v/>
      </c>
      <c r="B873" s="296" t="str">
        <f t="shared" si="320"/>
        <v/>
      </c>
      <c r="C873" s="296" t="str">
        <f t="shared" si="321"/>
        <v/>
      </c>
      <c r="D873" s="85">
        <f t="shared" si="322"/>
        <v>5</v>
      </c>
      <c r="E873" s="17" t="str">
        <f t="shared" si="323"/>
        <v/>
      </c>
      <c r="F873" s="17" t="str">
        <f t="shared" si="324"/>
        <v/>
      </c>
      <c r="G873" s="17" t="str">
        <f t="shared" si="325"/>
        <v/>
      </c>
      <c r="H873" s="16">
        <v>583</v>
      </c>
      <c r="I873" s="16" t="str">
        <f t="shared" si="326"/>
        <v/>
      </c>
      <c r="J873" s="209" t="str">
        <f t="shared" si="327"/>
        <v/>
      </c>
      <c r="K873" s="209" t="str">
        <f t="shared" si="328"/>
        <v/>
      </c>
      <c r="L873" s="692"/>
      <c r="M873" s="17" t="str">
        <f t="shared" si="329"/>
        <v/>
      </c>
    </row>
    <row r="874" spans="1:13" x14ac:dyDescent="0.25">
      <c r="A874" s="85" t="str">
        <f t="shared" si="319"/>
        <v/>
      </c>
      <c r="B874" s="296" t="str">
        <f t="shared" si="320"/>
        <v/>
      </c>
      <c r="C874" s="296" t="str">
        <f t="shared" si="321"/>
        <v/>
      </c>
      <c r="D874" s="85">
        <f t="shared" si="322"/>
        <v>5</v>
      </c>
      <c r="E874" s="17" t="str">
        <f t="shared" si="323"/>
        <v/>
      </c>
      <c r="F874" s="17" t="str">
        <f t="shared" si="324"/>
        <v/>
      </c>
      <c r="G874" s="17" t="str">
        <f t="shared" si="325"/>
        <v/>
      </c>
      <c r="H874" s="16">
        <v>584</v>
      </c>
      <c r="I874" s="16" t="str">
        <f t="shared" si="326"/>
        <v/>
      </c>
      <c r="J874" s="209" t="str">
        <f t="shared" si="327"/>
        <v/>
      </c>
      <c r="K874" s="209" t="str">
        <f t="shared" si="328"/>
        <v/>
      </c>
      <c r="L874" s="692"/>
      <c r="M874" s="17" t="str">
        <f t="shared" si="329"/>
        <v/>
      </c>
    </row>
    <row r="875" spans="1:13" x14ac:dyDescent="0.25">
      <c r="A875" s="85" t="str">
        <f t="shared" si="319"/>
        <v/>
      </c>
      <c r="B875" s="296" t="str">
        <f t="shared" si="320"/>
        <v/>
      </c>
      <c r="C875" s="296" t="str">
        <f t="shared" si="321"/>
        <v/>
      </c>
      <c r="D875" s="85">
        <f t="shared" si="322"/>
        <v>5</v>
      </c>
      <c r="E875" s="17" t="str">
        <f t="shared" si="323"/>
        <v/>
      </c>
      <c r="F875" s="17" t="str">
        <f t="shared" si="324"/>
        <v/>
      </c>
      <c r="G875" s="17" t="str">
        <f t="shared" si="325"/>
        <v/>
      </c>
      <c r="H875" s="16">
        <v>585</v>
      </c>
      <c r="I875" s="16" t="str">
        <f t="shared" si="326"/>
        <v/>
      </c>
      <c r="J875" s="209" t="str">
        <f t="shared" si="327"/>
        <v/>
      </c>
      <c r="K875" s="209" t="str">
        <f t="shared" si="328"/>
        <v/>
      </c>
      <c r="L875" s="692"/>
      <c r="M875" s="17" t="str">
        <f t="shared" si="329"/>
        <v/>
      </c>
    </row>
    <row r="876" spans="1:13" x14ac:dyDescent="0.25">
      <c r="A876" s="85" t="str">
        <f t="shared" si="319"/>
        <v/>
      </c>
      <c r="B876" s="296" t="str">
        <f t="shared" si="320"/>
        <v/>
      </c>
      <c r="C876" s="296" t="str">
        <f t="shared" si="321"/>
        <v/>
      </c>
      <c r="D876" s="85">
        <f t="shared" si="322"/>
        <v>5</v>
      </c>
      <c r="E876" s="17" t="str">
        <f t="shared" si="323"/>
        <v/>
      </c>
      <c r="F876" s="17" t="str">
        <f t="shared" si="324"/>
        <v/>
      </c>
      <c r="G876" s="17" t="str">
        <f t="shared" si="325"/>
        <v/>
      </c>
      <c r="H876" s="16">
        <v>586</v>
      </c>
      <c r="I876" s="16" t="str">
        <f t="shared" si="326"/>
        <v/>
      </c>
      <c r="J876" s="209" t="str">
        <f t="shared" si="327"/>
        <v/>
      </c>
      <c r="K876" s="209" t="str">
        <f t="shared" si="328"/>
        <v/>
      </c>
      <c r="L876" s="692"/>
      <c r="M876" s="17" t="str">
        <f t="shared" si="329"/>
        <v/>
      </c>
    </row>
    <row r="877" spans="1:13" x14ac:dyDescent="0.25">
      <c r="A877" s="85" t="str">
        <f t="shared" si="319"/>
        <v/>
      </c>
      <c r="B877" s="296" t="str">
        <f t="shared" si="320"/>
        <v/>
      </c>
      <c r="C877" s="296" t="str">
        <f t="shared" si="321"/>
        <v/>
      </c>
      <c r="D877" s="85">
        <f t="shared" si="322"/>
        <v>5</v>
      </c>
      <c r="E877" s="17" t="str">
        <f t="shared" si="323"/>
        <v/>
      </c>
      <c r="F877" s="17" t="str">
        <f t="shared" si="324"/>
        <v/>
      </c>
      <c r="G877" s="17" t="str">
        <f t="shared" si="325"/>
        <v/>
      </c>
      <c r="H877" s="16">
        <v>587</v>
      </c>
      <c r="I877" s="16" t="str">
        <f t="shared" si="326"/>
        <v/>
      </c>
      <c r="J877" s="209" t="str">
        <f t="shared" si="327"/>
        <v/>
      </c>
      <c r="K877" s="209" t="str">
        <f t="shared" si="328"/>
        <v/>
      </c>
      <c r="L877" s="692"/>
      <c r="M877" s="17" t="str">
        <f t="shared" si="329"/>
        <v/>
      </c>
    </row>
    <row r="878" spans="1:13" x14ac:dyDescent="0.25">
      <c r="A878" s="85" t="str">
        <f t="shared" si="319"/>
        <v/>
      </c>
      <c r="B878" s="296" t="str">
        <f t="shared" si="320"/>
        <v/>
      </c>
      <c r="C878" s="296" t="str">
        <f t="shared" si="321"/>
        <v/>
      </c>
      <c r="D878" s="85">
        <f t="shared" si="322"/>
        <v>5</v>
      </c>
      <c r="E878" s="17" t="str">
        <f t="shared" si="323"/>
        <v/>
      </c>
      <c r="F878" s="17" t="str">
        <f t="shared" si="324"/>
        <v/>
      </c>
      <c r="G878" s="17" t="str">
        <f t="shared" si="325"/>
        <v/>
      </c>
      <c r="H878" s="16">
        <v>588</v>
      </c>
      <c r="I878" s="16" t="str">
        <f t="shared" si="326"/>
        <v/>
      </c>
      <c r="J878" s="209" t="str">
        <f t="shared" si="327"/>
        <v/>
      </c>
      <c r="K878" s="209" t="str">
        <f t="shared" si="328"/>
        <v/>
      </c>
      <c r="L878" s="692"/>
      <c r="M878" s="17" t="str">
        <f t="shared" si="329"/>
        <v/>
      </c>
    </row>
    <row r="879" spans="1:13" x14ac:dyDescent="0.25">
      <c r="A879" s="85" t="str">
        <f t="shared" si="319"/>
        <v/>
      </c>
      <c r="B879" s="296" t="str">
        <f t="shared" si="320"/>
        <v/>
      </c>
      <c r="C879" s="296" t="str">
        <f t="shared" si="321"/>
        <v/>
      </c>
      <c r="D879" s="85">
        <f t="shared" si="322"/>
        <v>5</v>
      </c>
      <c r="E879" s="17" t="str">
        <f t="shared" si="323"/>
        <v/>
      </c>
      <c r="F879" s="17" t="str">
        <f t="shared" si="324"/>
        <v/>
      </c>
      <c r="G879" s="17" t="str">
        <f t="shared" si="325"/>
        <v/>
      </c>
      <c r="H879" s="16">
        <v>589</v>
      </c>
      <c r="I879" s="16" t="str">
        <f t="shared" si="326"/>
        <v/>
      </c>
      <c r="J879" s="209" t="str">
        <f t="shared" si="327"/>
        <v/>
      </c>
      <c r="K879" s="209" t="str">
        <f t="shared" si="328"/>
        <v/>
      </c>
      <c r="L879" s="692"/>
      <c r="M879" s="17" t="str">
        <f t="shared" si="329"/>
        <v/>
      </c>
    </row>
    <row r="880" spans="1:13" x14ac:dyDescent="0.25">
      <c r="A880" s="85" t="str">
        <f t="shared" si="319"/>
        <v/>
      </c>
      <c r="B880" s="296" t="str">
        <f t="shared" si="320"/>
        <v/>
      </c>
      <c r="C880" s="296" t="str">
        <f t="shared" si="321"/>
        <v/>
      </c>
      <c r="D880" s="85">
        <f t="shared" si="322"/>
        <v>5</v>
      </c>
      <c r="E880" s="17" t="str">
        <f t="shared" si="323"/>
        <v/>
      </c>
      <c r="F880" s="17" t="str">
        <f t="shared" si="324"/>
        <v/>
      </c>
      <c r="G880" s="17" t="str">
        <f t="shared" si="325"/>
        <v/>
      </c>
      <c r="H880" s="16">
        <v>590</v>
      </c>
      <c r="I880" s="16" t="str">
        <f t="shared" si="326"/>
        <v/>
      </c>
      <c r="J880" s="209" t="str">
        <f t="shared" si="327"/>
        <v/>
      </c>
      <c r="K880" s="209" t="str">
        <f t="shared" si="328"/>
        <v/>
      </c>
      <c r="L880" s="692"/>
      <c r="M880" s="17" t="str">
        <f t="shared" si="329"/>
        <v/>
      </c>
    </row>
    <row r="881" spans="1:13" x14ac:dyDescent="0.25">
      <c r="A881" s="85" t="str">
        <f t="shared" si="319"/>
        <v/>
      </c>
      <c r="B881" s="296" t="str">
        <f t="shared" si="320"/>
        <v/>
      </c>
      <c r="C881" s="296" t="str">
        <f t="shared" si="321"/>
        <v/>
      </c>
      <c r="D881" s="85">
        <f t="shared" si="322"/>
        <v>5</v>
      </c>
      <c r="E881" s="17" t="str">
        <f t="shared" si="323"/>
        <v/>
      </c>
      <c r="F881" s="17" t="str">
        <f t="shared" si="324"/>
        <v/>
      </c>
      <c r="G881" s="17" t="str">
        <f t="shared" si="325"/>
        <v/>
      </c>
      <c r="H881" s="16">
        <v>591</v>
      </c>
      <c r="I881" s="16" t="str">
        <f t="shared" si="326"/>
        <v/>
      </c>
      <c r="J881" s="209" t="str">
        <f t="shared" si="327"/>
        <v/>
      </c>
      <c r="K881" s="209" t="str">
        <f t="shared" si="328"/>
        <v/>
      </c>
      <c r="L881" s="692"/>
      <c r="M881" s="17" t="str">
        <f t="shared" si="329"/>
        <v/>
      </c>
    </row>
    <row r="882" spans="1:13" x14ac:dyDescent="0.25">
      <c r="A882" s="85" t="str">
        <f t="shared" ref="A882:A945" si="330">IF(A881&lt;J$269,A881+1,"")</f>
        <v/>
      </c>
      <c r="B882" s="296" t="str">
        <f t="shared" ref="B882:B945" si="331">IF(A882="","",IF(A881&lt;=C$270,B$273+(A881*E$274/C$269),IF(A881&lt;=D$270,B$274+(D$275*COS(RADIANS(G$275+((A881-C$270)*H$276/D$269))))-E$275,IF(A881&lt;=E$270,B$276+((A881-D$270)*E$277/E$269),IF(A881&lt;=F$270,B$277+(D$278*COS(RADIANS(G$278+((A881-E$270)*H$279/F$269))))-E$278,IF(A881&lt;=G$270,B$279+((A881-F$270)*E$280/G$269),IF(A881&lt;=H$270,B$280+(D$281*COS(RADIANS(G$281+((A881-G$270)*H$282/H$269))))-E$281,IF(A881&lt;=I$270,B$282+((A881-H$270)*E$283/I$269),"CHECK FORMULE"))))))))</f>
        <v/>
      </c>
      <c r="C882" s="296" t="str">
        <f t="shared" ref="C882:C945" si="332">IF(A882="","",IF(A881&lt;=C$270,C$273+(A881*F$274/C$269),IF(A881&lt;=D$270,C$274+(D$275*SIN(RADIANS(G$275+((A881-C$270)*H$276/D$269))))-F$275,IF(A881&lt;=E$270,C$276+((A881-D$270)*F$277/E$269),IF(A881&lt;=F$270,C$277+(D$278*SIN(RADIANS(G$278+((A881-E$270)*H$279/F$269))))-F$278,IF(A881&lt;=G$270,C$279+((A881-F$270)*F$280/G$269),IF(A881&lt;=H$270,C$280+(D$281*SIN(RADIANS(G$281+((A881-G$270)*H$282/H$269))))-F$281,IF(A881&lt;=I$270,C$282+((A881-H$270)*F$283/I$269),"CHECK FORMULE"))))))))</f>
        <v/>
      </c>
      <c r="D882" s="85">
        <f t="shared" ref="D882:D945" si="333">_xlfn.SINGLE(_xlfn.XLOOKUP(B882,B$273:B$284,A$273:A$284,D881))</f>
        <v>5</v>
      </c>
      <c r="E882" s="17" t="str">
        <f t="shared" ref="E882:E945" si="334">IF(A882="","",B882-B881)</f>
        <v/>
      </c>
      <c r="F882" s="17" t="str">
        <f t="shared" ref="F882:F945" si="335">IF(A882="","",C882-C881)</f>
        <v/>
      </c>
      <c r="G882" s="17" t="str">
        <f t="shared" ref="G882:G945" si="336">IF(E882="","",B882&amp;","&amp;C882)</f>
        <v/>
      </c>
      <c r="H882" s="16">
        <v>592</v>
      </c>
      <c r="I882" s="16" t="str">
        <f t="shared" ref="I882:I945" si="337">IF(J882="","",I881+1)</f>
        <v/>
      </c>
      <c r="J882" s="209" t="str">
        <f t="shared" ref="J882:J945" si="338">IF(E882="","",(E882^2+F882^2)^0.5)</f>
        <v/>
      </c>
      <c r="K882" s="209" t="str">
        <f t="shared" ref="K882:K945" si="339">IF(E882="","",K881+J882)</f>
        <v/>
      </c>
      <c r="L882" s="692"/>
      <c r="M882" s="17" t="str">
        <f t="shared" ref="M882:M945" si="340">IF(L882="","",K882&amp;","&amp;L882)</f>
        <v/>
      </c>
    </row>
    <row r="883" spans="1:13" x14ac:dyDescent="0.25">
      <c r="A883" s="85" t="str">
        <f t="shared" si="330"/>
        <v/>
      </c>
      <c r="B883" s="296" t="str">
        <f t="shared" si="331"/>
        <v/>
      </c>
      <c r="C883" s="296" t="str">
        <f t="shared" si="332"/>
        <v/>
      </c>
      <c r="D883" s="85">
        <f t="shared" si="333"/>
        <v>5</v>
      </c>
      <c r="E883" s="17" t="str">
        <f t="shared" si="334"/>
        <v/>
      </c>
      <c r="F883" s="17" t="str">
        <f t="shared" si="335"/>
        <v/>
      </c>
      <c r="G883" s="17" t="str">
        <f t="shared" si="336"/>
        <v/>
      </c>
      <c r="H883" s="16">
        <v>593</v>
      </c>
      <c r="I883" s="16" t="str">
        <f t="shared" si="337"/>
        <v/>
      </c>
      <c r="J883" s="209" t="str">
        <f t="shared" si="338"/>
        <v/>
      </c>
      <c r="K883" s="209" t="str">
        <f t="shared" si="339"/>
        <v/>
      </c>
      <c r="L883" s="692"/>
      <c r="M883" s="17" t="str">
        <f t="shared" si="340"/>
        <v/>
      </c>
    </row>
    <row r="884" spans="1:13" x14ac:dyDescent="0.25">
      <c r="A884" s="85" t="str">
        <f t="shared" si="330"/>
        <v/>
      </c>
      <c r="B884" s="296" t="str">
        <f t="shared" si="331"/>
        <v/>
      </c>
      <c r="C884" s="296" t="str">
        <f t="shared" si="332"/>
        <v/>
      </c>
      <c r="D884" s="85">
        <f t="shared" si="333"/>
        <v>5</v>
      </c>
      <c r="E884" s="17" t="str">
        <f t="shared" si="334"/>
        <v/>
      </c>
      <c r="F884" s="17" t="str">
        <f t="shared" si="335"/>
        <v/>
      </c>
      <c r="G884" s="17" t="str">
        <f t="shared" si="336"/>
        <v/>
      </c>
      <c r="H884" s="16">
        <v>594</v>
      </c>
      <c r="I884" s="16" t="str">
        <f t="shared" si="337"/>
        <v/>
      </c>
      <c r="J884" s="209" t="str">
        <f t="shared" si="338"/>
        <v/>
      </c>
      <c r="K884" s="209" t="str">
        <f t="shared" si="339"/>
        <v/>
      </c>
      <c r="L884" s="692"/>
      <c r="M884" s="17" t="str">
        <f t="shared" si="340"/>
        <v/>
      </c>
    </row>
    <row r="885" spans="1:13" x14ac:dyDescent="0.25">
      <c r="A885" s="85" t="str">
        <f t="shared" si="330"/>
        <v/>
      </c>
      <c r="B885" s="296" t="str">
        <f t="shared" si="331"/>
        <v/>
      </c>
      <c r="C885" s="296" t="str">
        <f t="shared" si="332"/>
        <v/>
      </c>
      <c r="D885" s="85">
        <f t="shared" si="333"/>
        <v>5</v>
      </c>
      <c r="E885" s="17" t="str">
        <f t="shared" si="334"/>
        <v/>
      </c>
      <c r="F885" s="17" t="str">
        <f t="shared" si="335"/>
        <v/>
      </c>
      <c r="G885" s="17" t="str">
        <f t="shared" si="336"/>
        <v/>
      </c>
      <c r="H885" s="16">
        <v>595</v>
      </c>
      <c r="I885" s="16" t="str">
        <f t="shared" si="337"/>
        <v/>
      </c>
      <c r="J885" s="209" t="str">
        <f t="shared" si="338"/>
        <v/>
      </c>
      <c r="K885" s="209" t="str">
        <f t="shared" si="339"/>
        <v/>
      </c>
      <c r="L885" s="692"/>
      <c r="M885" s="17" t="str">
        <f t="shared" si="340"/>
        <v/>
      </c>
    </row>
    <row r="886" spans="1:13" x14ac:dyDescent="0.25">
      <c r="A886" s="85" t="str">
        <f t="shared" si="330"/>
        <v/>
      </c>
      <c r="B886" s="296" t="str">
        <f t="shared" si="331"/>
        <v/>
      </c>
      <c r="C886" s="296" t="str">
        <f t="shared" si="332"/>
        <v/>
      </c>
      <c r="D886" s="85">
        <f t="shared" si="333"/>
        <v>5</v>
      </c>
      <c r="E886" s="17" t="str">
        <f t="shared" si="334"/>
        <v/>
      </c>
      <c r="F886" s="17" t="str">
        <f t="shared" si="335"/>
        <v/>
      </c>
      <c r="G886" s="17" t="str">
        <f t="shared" si="336"/>
        <v/>
      </c>
      <c r="H886" s="16">
        <v>596</v>
      </c>
      <c r="I886" s="16" t="str">
        <f t="shared" si="337"/>
        <v/>
      </c>
      <c r="J886" s="209" t="str">
        <f t="shared" si="338"/>
        <v/>
      </c>
      <c r="K886" s="209" t="str">
        <f t="shared" si="339"/>
        <v/>
      </c>
      <c r="L886" s="692"/>
      <c r="M886" s="17" t="str">
        <f t="shared" si="340"/>
        <v/>
      </c>
    </row>
    <row r="887" spans="1:13" x14ac:dyDescent="0.25">
      <c r="A887" s="85" t="str">
        <f t="shared" si="330"/>
        <v/>
      </c>
      <c r="B887" s="296" t="str">
        <f t="shared" si="331"/>
        <v/>
      </c>
      <c r="C887" s="296" t="str">
        <f t="shared" si="332"/>
        <v/>
      </c>
      <c r="D887" s="85">
        <f t="shared" si="333"/>
        <v>5</v>
      </c>
      <c r="E887" s="17" t="str">
        <f t="shared" si="334"/>
        <v/>
      </c>
      <c r="F887" s="17" t="str">
        <f t="shared" si="335"/>
        <v/>
      </c>
      <c r="G887" s="17" t="str">
        <f t="shared" si="336"/>
        <v/>
      </c>
      <c r="H887" s="16">
        <v>597</v>
      </c>
      <c r="I887" s="16" t="str">
        <f t="shared" si="337"/>
        <v/>
      </c>
      <c r="J887" s="209" t="str">
        <f t="shared" si="338"/>
        <v/>
      </c>
      <c r="K887" s="209" t="str">
        <f t="shared" si="339"/>
        <v/>
      </c>
      <c r="L887" s="692"/>
      <c r="M887" s="17" t="str">
        <f t="shared" si="340"/>
        <v/>
      </c>
    </row>
    <row r="888" spans="1:13" x14ac:dyDescent="0.25">
      <c r="A888" s="85" t="str">
        <f t="shared" si="330"/>
        <v/>
      </c>
      <c r="B888" s="296" t="str">
        <f t="shared" si="331"/>
        <v/>
      </c>
      <c r="C888" s="296" t="str">
        <f t="shared" si="332"/>
        <v/>
      </c>
      <c r="D888" s="85">
        <f t="shared" si="333"/>
        <v>5</v>
      </c>
      <c r="E888" s="17" t="str">
        <f t="shared" si="334"/>
        <v/>
      </c>
      <c r="F888" s="17" t="str">
        <f t="shared" si="335"/>
        <v/>
      </c>
      <c r="G888" s="17" t="str">
        <f t="shared" si="336"/>
        <v/>
      </c>
      <c r="H888" s="16">
        <v>598</v>
      </c>
      <c r="I888" s="16" t="str">
        <f t="shared" si="337"/>
        <v/>
      </c>
      <c r="J888" s="209" t="str">
        <f t="shared" si="338"/>
        <v/>
      </c>
      <c r="K888" s="209" t="str">
        <f t="shared" si="339"/>
        <v/>
      </c>
      <c r="L888" s="692"/>
      <c r="M888" s="17" t="str">
        <f t="shared" si="340"/>
        <v/>
      </c>
    </row>
    <row r="889" spans="1:13" x14ac:dyDescent="0.25">
      <c r="A889" s="85" t="str">
        <f t="shared" si="330"/>
        <v/>
      </c>
      <c r="B889" s="296" t="str">
        <f t="shared" si="331"/>
        <v/>
      </c>
      <c r="C889" s="296" t="str">
        <f t="shared" si="332"/>
        <v/>
      </c>
      <c r="D889" s="85">
        <f t="shared" si="333"/>
        <v>5</v>
      </c>
      <c r="E889" s="17" t="str">
        <f t="shared" si="334"/>
        <v/>
      </c>
      <c r="F889" s="17" t="str">
        <f t="shared" si="335"/>
        <v/>
      </c>
      <c r="G889" s="17" t="str">
        <f t="shared" si="336"/>
        <v/>
      </c>
      <c r="H889" s="16">
        <v>599</v>
      </c>
      <c r="I889" s="16" t="str">
        <f t="shared" si="337"/>
        <v/>
      </c>
      <c r="J889" s="209" t="str">
        <f t="shared" si="338"/>
        <v/>
      </c>
      <c r="K889" s="209" t="str">
        <f t="shared" si="339"/>
        <v/>
      </c>
      <c r="L889" s="692"/>
      <c r="M889" s="17" t="str">
        <f t="shared" si="340"/>
        <v/>
      </c>
    </row>
    <row r="890" spans="1:13" x14ac:dyDescent="0.25">
      <c r="A890" s="85" t="str">
        <f t="shared" si="330"/>
        <v/>
      </c>
      <c r="B890" s="296" t="str">
        <f t="shared" si="331"/>
        <v/>
      </c>
      <c r="C890" s="296" t="str">
        <f t="shared" si="332"/>
        <v/>
      </c>
      <c r="D890" s="85">
        <f t="shared" si="333"/>
        <v>5</v>
      </c>
      <c r="E890" s="17" t="str">
        <f t="shared" si="334"/>
        <v/>
      </c>
      <c r="F890" s="17" t="str">
        <f t="shared" si="335"/>
        <v/>
      </c>
      <c r="G890" s="17" t="str">
        <f t="shared" si="336"/>
        <v/>
      </c>
      <c r="H890" s="16">
        <v>600</v>
      </c>
      <c r="I890" s="16" t="str">
        <f t="shared" si="337"/>
        <v/>
      </c>
      <c r="J890" s="209" t="str">
        <f t="shared" si="338"/>
        <v/>
      </c>
      <c r="K890" s="209" t="str">
        <f t="shared" si="339"/>
        <v/>
      </c>
      <c r="L890" s="692"/>
      <c r="M890" s="17" t="str">
        <f t="shared" si="340"/>
        <v/>
      </c>
    </row>
    <row r="891" spans="1:13" x14ac:dyDescent="0.25">
      <c r="A891" s="85" t="str">
        <f t="shared" si="330"/>
        <v/>
      </c>
      <c r="B891" s="296" t="str">
        <f t="shared" si="331"/>
        <v/>
      </c>
      <c r="C891" s="296" t="str">
        <f t="shared" si="332"/>
        <v/>
      </c>
      <c r="D891" s="85">
        <f t="shared" si="333"/>
        <v>5</v>
      </c>
      <c r="E891" s="17" t="str">
        <f t="shared" si="334"/>
        <v/>
      </c>
      <c r="F891" s="17" t="str">
        <f t="shared" si="335"/>
        <v/>
      </c>
      <c r="G891" s="17" t="str">
        <f t="shared" si="336"/>
        <v/>
      </c>
      <c r="H891" s="16">
        <v>601</v>
      </c>
      <c r="I891" s="16" t="str">
        <f t="shared" si="337"/>
        <v/>
      </c>
      <c r="J891" s="209" t="str">
        <f t="shared" si="338"/>
        <v/>
      </c>
      <c r="K891" s="209" t="str">
        <f t="shared" si="339"/>
        <v/>
      </c>
      <c r="L891" s="692"/>
      <c r="M891" s="17" t="str">
        <f t="shared" si="340"/>
        <v/>
      </c>
    </row>
    <row r="892" spans="1:13" x14ac:dyDescent="0.25">
      <c r="A892" s="85" t="str">
        <f t="shared" si="330"/>
        <v/>
      </c>
      <c r="B892" s="296" t="str">
        <f t="shared" si="331"/>
        <v/>
      </c>
      <c r="C892" s="296" t="str">
        <f t="shared" si="332"/>
        <v/>
      </c>
      <c r="D892" s="85">
        <f t="shared" si="333"/>
        <v>5</v>
      </c>
      <c r="E892" s="17" t="str">
        <f t="shared" si="334"/>
        <v/>
      </c>
      <c r="F892" s="17" t="str">
        <f t="shared" si="335"/>
        <v/>
      </c>
      <c r="G892" s="17" t="str">
        <f t="shared" si="336"/>
        <v/>
      </c>
      <c r="H892" s="16">
        <v>602</v>
      </c>
      <c r="I892" s="16" t="str">
        <f t="shared" si="337"/>
        <v/>
      </c>
      <c r="J892" s="209" t="str">
        <f t="shared" si="338"/>
        <v/>
      </c>
      <c r="K892" s="209" t="str">
        <f t="shared" si="339"/>
        <v/>
      </c>
      <c r="L892" s="692"/>
      <c r="M892" s="17" t="str">
        <f t="shared" si="340"/>
        <v/>
      </c>
    </row>
    <row r="893" spans="1:13" x14ac:dyDescent="0.25">
      <c r="A893" s="85" t="str">
        <f t="shared" si="330"/>
        <v/>
      </c>
      <c r="B893" s="296" t="str">
        <f t="shared" si="331"/>
        <v/>
      </c>
      <c r="C893" s="296" t="str">
        <f t="shared" si="332"/>
        <v/>
      </c>
      <c r="D893" s="85">
        <f t="shared" si="333"/>
        <v>5</v>
      </c>
      <c r="E893" s="17" t="str">
        <f t="shared" si="334"/>
        <v/>
      </c>
      <c r="F893" s="17" t="str">
        <f t="shared" si="335"/>
        <v/>
      </c>
      <c r="G893" s="17" t="str">
        <f t="shared" si="336"/>
        <v/>
      </c>
      <c r="H893" s="16">
        <v>603</v>
      </c>
      <c r="I893" s="16" t="str">
        <f t="shared" si="337"/>
        <v/>
      </c>
      <c r="J893" s="209" t="str">
        <f t="shared" si="338"/>
        <v/>
      </c>
      <c r="K893" s="209" t="str">
        <f t="shared" si="339"/>
        <v/>
      </c>
      <c r="L893" s="692"/>
      <c r="M893" s="17" t="str">
        <f t="shared" si="340"/>
        <v/>
      </c>
    </row>
    <row r="894" spans="1:13" x14ac:dyDescent="0.25">
      <c r="A894" s="85" t="str">
        <f t="shared" si="330"/>
        <v/>
      </c>
      <c r="B894" s="296" t="str">
        <f t="shared" si="331"/>
        <v/>
      </c>
      <c r="C894" s="296" t="str">
        <f t="shared" si="332"/>
        <v/>
      </c>
      <c r="D894" s="85">
        <f t="shared" si="333"/>
        <v>5</v>
      </c>
      <c r="E894" s="17" t="str">
        <f t="shared" si="334"/>
        <v/>
      </c>
      <c r="F894" s="17" t="str">
        <f t="shared" si="335"/>
        <v/>
      </c>
      <c r="G894" s="17" t="str">
        <f t="shared" si="336"/>
        <v/>
      </c>
      <c r="H894" s="16">
        <v>604</v>
      </c>
      <c r="I894" s="16" t="str">
        <f t="shared" si="337"/>
        <v/>
      </c>
      <c r="J894" s="209" t="str">
        <f t="shared" si="338"/>
        <v/>
      </c>
      <c r="K894" s="209" t="str">
        <f t="shared" si="339"/>
        <v/>
      </c>
      <c r="L894" s="692"/>
      <c r="M894" s="17" t="str">
        <f t="shared" si="340"/>
        <v/>
      </c>
    </row>
    <row r="895" spans="1:13" x14ac:dyDescent="0.25">
      <c r="A895" s="85" t="str">
        <f t="shared" si="330"/>
        <v/>
      </c>
      <c r="B895" s="296" t="str">
        <f t="shared" si="331"/>
        <v/>
      </c>
      <c r="C895" s="296" t="str">
        <f t="shared" si="332"/>
        <v/>
      </c>
      <c r="D895" s="85">
        <f t="shared" si="333"/>
        <v>5</v>
      </c>
      <c r="E895" s="17" t="str">
        <f t="shared" si="334"/>
        <v/>
      </c>
      <c r="F895" s="17" t="str">
        <f t="shared" si="335"/>
        <v/>
      </c>
      <c r="G895" s="17" t="str">
        <f t="shared" si="336"/>
        <v/>
      </c>
      <c r="H895" s="16">
        <v>605</v>
      </c>
      <c r="I895" s="16" t="str">
        <f t="shared" si="337"/>
        <v/>
      </c>
      <c r="J895" s="209" t="str">
        <f t="shared" si="338"/>
        <v/>
      </c>
      <c r="K895" s="209" t="str">
        <f t="shared" si="339"/>
        <v/>
      </c>
      <c r="L895" s="692"/>
      <c r="M895" s="17" t="str">
        <f t="shared" si="340"/>
        <v/>
      </c>
    </row>
    <row r="896" spans="1:13" x14ac:dyDescent="0.25">
      <c r="A896" s="85" t="str">
        <f t="shared" si="330"/>
        <v/>
      </c>
      <c r="B896" s="296" t="str">
        <f t="shared" si="331"/>
        <v/>
      </c>
      <c r="C896" s="296" t="str">
        <f t="shared" si="332"/>
        <v/>
      </c>
      <c r="D896" s="85">
        <f t="shared" si="333"/>
        <v>5</v>
      </c>
      <c r="E896" s="17" t="str">
        <f t="shared" si="334"/>
        <v/>
      </c>
      <c r="F896" s="17" t="str">
        <f t="shared" si="335"/>
        <v/>
      </c>
      <c r="G896" s="17" t="str">
        <f t="shared" si="336"/>
        <v/>
      </c>
      <c r="H896" s="16">
        <v>606</v>
      </c>
      <c r="I896" s="16" t="str">
        <f t="shared" si="337"/>
        <v/>
      </c>
      <c r="J896" s="209" t="str">
        <f t="shared" si="338"/>
        <v/>
      </c>
      <c r="K896" s="209" t="str">
        <f t="shared" si="339"/>
        <v/>
      </c>
      <c r="L896" s="692"/>
      <c r="M896" s="17" t="str">
        <f t="shared" si="340"/>
        <v/>
      </c>
    </row>
    <row r="897" spans="1:13" x14ac:dyDescent="0.25">
      <c r="A897" s="85" t="str">
        <f t="shared" si="330"/>
        <v/>
      </c>
      <c r="B897" s="296" t="str">
        <f t="shared" si="331"/>
        <v/>
      </c>
      <c r="C897" s="296" t="str">
        <f t="shared" si="332"/>
        <v/>
      </c>
      <c r="D897" s="85">
        <f t="shared" si="333"/>
        <v>5</v>
      </c>
      <c r="E897" s="17" t="str">
        <f t="shared" si="334"/>
        <v/>
      </c>
      <c r="F897" s="17" t="str">
        <f t="shared" si="335"/>
        <v/>
      </c>
      <c r="G897" s="17" t="str">
        <f t="shared" si="336"/>
        <v/>
      </c>
      <c r="H897" s="16">
        <v>607</v>
      </c>
      <c r="I897" s="16" t="str">
        <f t="shared" si="337"/>
        <v/>
      </c>
      <c r="J897" s="209" t="str">
        <f t="shared" si="338"/>
        <v/>
      </c>
      <c r="K897" s="209" t="str">
        <f t="shared" si="339"/>
        <v/>
      </c>
      <c r="L897" s="692"/>
      <c r="M897" s="17" t="str">
        <f t="shared" si="340"/>
        <v/>
      </c>
    </row>
    <row r="898" spans="1:13" x14ac:dyDescent="0.25">
      <c r="A898" s="85" t="str">
        <f t="shared" si="330"/>
        <v/>
      </c>
      <c r="B898" s="296" t="str">
        <f t="shared" si="331"/>
        <v/>
      </c>
      <c r="C898" s="296" t="str">
        <f t="shared" si="332"/>
        <v/>
      </c>
      <c r="D898" s="85">
        <f t="shared" si="333"/>
        <v>5</v>
      </c>
      <c r="E898" s="17" t="str">
        <f t="shared" si="334"/>
        <v/>
      </c>
      <c r="F898" s="17" t="str">
        <f t="shared" si="335"/>
        <v/>
      </c>
      <c r="G898" s="17" t="str">
        <f t="shared" si="336"/>
        <v/>
      </c>
      <c r="H898" s="16">
        <v>608</v>
      </c>
      <c r="I898" s="16" t="str">
        <f t="shared" si="337"/>
        <v/>
      </c>
      <c r="J898" s="209" t="str">
        <f t="shared" si="338"/>
        <v/>
      </c>
      <c r="K898" s="209" t="str">
        <f t="shared" si="339"/>
        <v/>
      </c>
      <c r="L898" s="692"/>
      <c r="M898" s="17" t="str">
        <f t="shared" si="340"/>
        <v/>
      </c>
    </row>
    <row r="899" spans="1:13" x14ac:dyDescent="0.25">
      <c r="A899" s="85" t="str">
        <f t="shared" si="330"/>
        <v/>
      </c>
      <c r="B899" s="296" t="str">
        <f t="shared" si="331"/>
        <v/>
      </c>
      <c r="C899" s="296" t="str">
        <f t="shared" si="332"/>
        <v/>
      </c>
      <c r="D899" s="85">
        <f t="shared" si="333"/>
        <v>5</v>
      </c>
      <c r="E899" s="17" t="str">
        <f t="shared" si="334"/>
        <v/>
      </c>
      <c r="F899" s="17" t="str">
        <f t="shared" si="335"/>
        <v/>
      </c>
      <c r="G899" s="17" t="str">
        <f t="shared" si="336"/>
        <v/>
      </c>
      <c r="H899" s="16">
        <v>609</v>
      </c>
      <c r="I899" s="16" t="str">
        <f t="shared" si="337"/>
        <v/>
      </c>
      <c r="J899" s="209" t="str">
        <f t="shared" si="338"/>
        <v/>
      </c>
      <c r="K899" s="209" t="str">
        <f t="shared" si="339"/>
        <v/>
      </c>
      <c r="L899" s="692"/>
      <c r="M899" s="17" t="str">
        <f t="shared" si="340"/>
        <v/>
      </c>
    </row>
    <row r="900" spans="1:13" x14ac:dyDescent="0.25">
      <c r="A900" s="85" t="str">
        <f t="shared" si="330"/>
        <v/>
      </c>
      <c r="B900" s="296" t="str">
        <f t="shared" si="331"/>
        <v/>
      </c>
      <c r="C900" s="296" t="str">
        <f t="shared" si="332"/>
        <v/>
      </c>
      <c r="D900" s="85">
        <f t="shared" si="333"/>
        <v>5</v>
      </c>
      <c r="E900" s="17" t="str">
        <f t="shared" si="334"/>
        <v/>
      </c>
      <c r="F900" s="17" t="str">
        <f t="shared" si="335"/>
        <v/>
      </c>
      <c r="G900" s="17" t="str">
        <f t="shared" si="336"/>
        <v/>
      </c>
      <c r="H900" s="16">
        <v>610</v>
      </c>
      <c r="I900" s="16" t="str">
        <f t="shared" si="337"/>
        <v/>
      </c>
      <c r="J900" s="209" t="str">
        <f t="shared" si="338"/>
        <v/>
      </c>
      <c r="K900" s="209" t="str">
        <f t="shared" si="339"/>
        <v/>
      </c>
      <c r="L900" s="692"/>
      <c r="M900" s="17" t="str">
        <f t="shared" si="340"/>
        <v/>
      </c>
    </row>
    <row r="901" spans="1:13" x14ac:dyDescent="0.25">
      <c r="A901" s="85" t="str">
        <f t="shared" si="330"/>
        <v/>
      </c>
      <c r="B901" s="296" t="str">
        <f t="shared" si="331"/>
        <v/>
      </c>
      <c r="C901" s="296" t="str">
        <f t="shared" si="332"/>
        <v/>
      </c>
      <c r="D901" s="85">
        <f t="shared" si="333"/>
        <v>5</v>
      </c>
      <c r="E901" s="17" t="str">
        <f t="shared" si="334"/>
        <v/>
      </c>
      <c r="F901" s="17" t="str">
        <f t="shared" si="335"/>
        <v/>
      </c>
      <c r="G901" s="17" t="str">
        <f t="shared" si="336"/>
        <v/>
      </c>
      <c r="H901" s="16">
        <v>611</v>
      </c>
      <c r="I901" s="16" t="str">
        <f t="shared" si="337"/>
        <v/>
      </c>
      <c r="J901" s="209" t="str">
        <f t="shared" si="338"/>
        <v/>
      </c>
      <c r="K901" s="209" t="str">
        <f t="shared" si="339"/>
        <v/>
      </c>
      <c r="L901" s="692"/>
      <c r="M901" s="17" t="str">
        <f t="shared" si="340"/>
        <v/>
      </c>
    </row>
    <row r="902" spans="1:13" x14ac:dyDescent="0.25">
      <c r="A902" s="85" t="str">
        <f t="shared" si="330"/>
        <v/>
      </c>
      <c r="B902" s="296" t="str">
        <f t="shared" si="331"/>
        <v/>
      </c>
      <c r="C902" s="296" t="str">
        <f t="shared" si="332"/>
        <v/>
      </c>
      <c r="D902" s="85">
        <f t="shared" si="333"/>
        <v>5</v>
      </c>
      <c r="E902" s="17" t="str">
        <f t="shared" si="334"/>
        <v/>
      </c>
      <c r="F902" s="17" t="str">
        <f t="shared" si="335"/>
        <v/>
      </c>
      <c r="G902" s="17" t="str">
        <f t="shared" si="336"/>
        <v/>
      </c>
      <c r="H902" s="16">
        <v>612</v>
      </c>
      <c r="I902" s="16" t="str">
        <f t="shared" si="337"/>
        <v/>
      </c>
      <c r="J902" s="209" t="str">
        <f t="shared" si="338"/>
        <v/>
      </c>
      <c r="K902" s="209" t="str">
        <f t="shared" si="339"/>
        <v/>
      </c>
      <c r="L902" s="692"/>
      <c r="M902" s="17" t="str">
        <f t="shared" si="340"/>
        <v/>
      </c>
    </row>
    <row r="903" spans="1:13" x14ac:dyDescent="0.25">
      <c r="A903" s="85" t="str">
        <f t="shared" si="330"/>
        <v/>
      </c>
      <c r="B903" s="296" t="str">
        <f t="shared" si="331"/>
        <v/>
      </c>
      <c r="C903" s="296" t="str">
        <f t="shared" si="332"/>
        <v/>
      </c>
      <c r="D903" s="85">
        <f t="shared" si="333"/>
        <v>5</v>
      </c>
      <c r="E903" s="17" t="str">
        <f t="shared" si="334"/>
        <v/>
      </c>
      <c r="F903" s="17" t="str">
        <f t="shared" si="335"/>
        <v/>
      </c>
      <c r="G903" s="17" t="str">
        <f t="shared" si="336"/>
        <v/>
      </c>
      <c r="H903" s="16">
        <v>613</v>
      </c>
      <c r="I903" s="16" t="str">
        <f t="shared" si="337"/>
        <v/>
      </c>
      <c r="J903" s="209" t="str">
        <f t="shared" si="338"/>
        <v/>
      </c>
      <c r="K903" s="209" t="str">
        <f t="shared" si="339"/>
        <v/>
      </c>
      <c r="L903" s="692"/>
      <c r="M903" s="17" t="str">
        <f t="shared" si="340"/>
        <v/>
      </c>
    </row>
    <row r="904" spans="1:13" x14ac:dyDescent="0.25">
      <c r="A904" s="85" t="str">
        <f t="shared" si="330"/>
        <v/>
      </c>
      <c r="B904" s="296" t="str">
        <f t="shared" si="331"/>
        <v/>
      </c>
      <c r="C904" s="296" t="str">
        <f t="shared" si="332"/>
        <v/>
      </c>
      <c r="D904" s="85">
        <f t="shared" si="333"/>
        <v>5</v>
      </c>
      <c r="E904" s="17" t="str">
        <f t="shared" si="334"/>
        <v/>
      </c>
      <c r="F904" s="17" t="str">
        <f t="shared" si="335"/>
        <v/>
      </c>
      <c r="G904" s="17" t="str">
        <f t="shared" si="336"/>
        <v/>
      </c>
      <c r="H904" s="16">
        <v>614</v>
      </c>
      <c r="I904" s="16" t="str">
        <f t="shared" si="337"/>
        <v/>
      </c>
      <c r="J904" s="209" t="str">
        <f t="shared" si="338"/>
        <v/>
      </c>
      <c r="K904" s="209" t="str">
        <f t="shared" si="339"/>
        <v/>
      </c>
      <c r="L904" s="692"/>
      <c r="M904" s="17" t="str">
        <f t="shared" si="340"/>
        <v/>
      </c>
    </row>
    <row r="905" spans="1:13" x14ac:dyDescent="0.25">
      <c r="A905" s="85" t="str">
        <f t="shared" si="330"/>
        <v/>
      </c>
      <c r="B905" s="296" t="str">
        <f t="shared" si="331"/>
        <v/>
      </c>
      <c r="C905" s="296" t="str">
        <f t="shared" si="332"/>
        <v/>
      </c>
      <c r="D905" s="85">
        <f t="shared" si="333"/>
        <v>5</v>
      </c>
      <c r="E905" s="17" t="str">
        <f t="shared" si="334"/>
        <v/>
      </c>
      <c r="F905" s="17" t="str">
        <f t="shared" si="335"/>
        <v/>
      </c>
      <c r="G905" s="17" t="str">
        <f t="shared" si="336"/>
        <v/>
      </c>
      <c r="H905" s="16">
        <v>615</v>
      </c>
      <c r="I905" s="16" t="str">
        <f t="shared" si="337"/>
        <v/>
      </c>
      <c r="J905" s="209" t="str">
        <f t="shared" si="338"/>
        <v/>
      </c>
      <c r="K905" s="209" t="str">
        <f t="shared" si="339"/>
        <v/>
      </c>
      <c r="L905" s="692"/>
      <c r="M905" s="17" t="str">
        <f t="shared" si="340"/>
        <v/>
      </c>
    </row>
    <row r="906" spans="1:13" x14ac:dyDescent="0.25">
      <c r="A906" s="85" t="str">
        <f t="shared" si="330"/>
        <v/>
      </c>
      <c r="B906" s="296" t="str">
        <f t="shared" si="331"/>
        <v/>
      </c>
      <c r="C906" s="296" t="str">
        <f t="shared" si="332"/>
        <v/>
      </c>
      <c r="D906" s="85">
        <f t="shared" si="333"/>
        <v>5</v>
      </c>
      <c r="E906" s="17" t="str">
        <f t="shared" si="334"/>
        <v/>
      </c>
      <c r="F906" s="17" t="str">
        <f t="shared" si="335"/>
        <v/>
      </c>
      <c r="G906" s="17" t="str">
        <f t="shared" si="336"/>
        <v/>
      </c>
      <c r="H906" s="16">
        <v>616</v>
      </c>
      <c r="I906" s="16" t="str">
        <f t="shared" si="337"/>
        <v/>
      </c>
      <c r="J906" s="209" t="str">
        <f t="shared" si="338"/>
        <v/>
      </c>
      <c r="K906" s="209" t="str">
        <f t="shared" si="339"/>
        <v/>
      </c>
      <c r="L906" s="692"/>
      <c r="M906" s="17" t="str">
        <f t="shared" si="340"/>
        <v/>
      </c>
    </row>
    <row r="907" spans="1:13" x14ac:dyDescent="0.25">
      <c r="A907" s="85" t="str">
        <f t="shared" si="330"/>
        <v/>
      </c>
      <c r="B907" s="296" t="str">
        <f t="shared" si="331"/>
        <v/>
      </c>
      <c r="C907" s="296" t="str">
        <f t="shared" si="332"/>
        <v/>
      </c>
      <c r="D907" s="85">
        <f t="shared" si="333"/>
        <v>5</v>
      </c>
      <c r="E907" s="17" t="str">
        <f t="shared" si="334"/>
        <v/>
      </c>
      <c r="F907" s="17" t="str">
        <f t="shared" si="335"/>
        <v/>
      </c>
      <c r="G907" s="17" t="str">
        <f t="shared" si="336"/>
        <v/>
      </c>
      <c r="H907" s="16">
        <v>617</v>
      </c>
      <c r="I907" s="16" t="str">
        <f t="shared" si="337"/>
        <v/>
      </c>
      <c r="J907" s="209" t="str">
        <f t="shared" si="338"/>
        <v/>
      </c>
      <c r="K907" s="209" t="str">
        <f t="shared" si="339"/>
        <v/>
      </c>
      <c r="L907" s="692"/>
      <c r="M907" s="17" t="str">
        <f t="shared" si="340"/>
        <v/>
      </c>
    </row>
    <row r="908" spans="1:13" x14ac:dyDescent="0.25">
      <c r="A908" s="85" t="str">
        <f t="shared" si="330"/>
        <v/>
      </c>
      <c r="B908" s="296" t="str">
        <f t="shared" si="331"/>
        <v/>
      </c>
      <c r="C908" s="296" t="str">
        <f t="shared" si="332"/>
        <v/>
      </c>
      <c r="D908" s="85">
        <f t="shared" si="333"/>
        <v>5</v>
      </c>
      <c r="E908" s="17" t="str">
        <f t="shared" si="334"/>
        <v/>
      </c>
      <c r="F908" s="17" t="str">
        <f t="shared" si="335"/>
        <v/>
      </c>
      <c r="G908" s="17" t="str">
        <f t="shared" si="336"/>
        <v/>
      </c>
      <c r="H908" s="16">
        <v>618</v>
      </c>
      <c r="I908" s="16" t="str">
        <f t="shared" si="337"/>
        <v/>
      </c>
      <c r="J908" s="209" t="str">
        <f t="shared" si="338"/>
        <v/>
      </c>
      <c r="K908" s="209" t="str">
        <f t="shared" si="339"/>
        <v/>
      </c>
      <c r="L908" s="692"/>
      <c r="M908" s="17" t="str">
        <f t="shared" si="340"/>
        <v/>
      </c>
    </row>
    <row r="909" spans="1:13" x14ac:dyDescent="0.25">
      <c r="A909" s="85" t="str">
        <f t="shared" si="330"/>
        <v/>
      </c>
      <c r="B909" s="296" t="str">
        <f t="shared" si="331"/>
        <v/>
      </c>
      <c r="C909" s="296" t="str">
        <f t="shared" si="332"/>
        <v/>
      </c>
      <c r="D909" s="85">
        <f t="shared" si="333"/>
        <v>5</v>
      </c>
      <c r="E909" s="17" t="str">
        <f t="shared" si="334"/>
        <v/>
      </c>
      <c r="F909" s="17" t="str">
        <f t="shared" si="335"/>
        <v/>
      </c>
      <c r="G909" s="17" t="str">
        <f t="shared" si="336"/>
        <v/>
      </c>
      <c r="H909" s="16">
        <v>619</v>
      </c>
      <c r="I909" s="16" t="str">
        <f t="shared" si="337"/>
        <v/>
      </c>
      <c r="J909" s="209" t="str">
        <f t="shared" si="338"/>
        <v/>
      </c>
      <c r="K909" s="209" t="str">
        <f t="shared" si="339"/>
        <v/>
      </c>
      <c r="L909" s="692"/>
      <c r="M909" s="17" t="str">
        <f t="shared" si="340"/>
        <v/>
      </c>
    </row>
    <row r="910" spans="1:13" x14ac:dyDescent="0.25">
      <c r="A910" s="85" t="str">
        <f t="shared" si="330"/>
        <v/>
      </c>
      <c r="B910" s="296" t="str">
        <f t="shared" si="331"/>
        <v/>
      </c>
      <c r="C910" s="296" t="str">
        <f t="shared" si="332"/>
        <v/>
      </c>
      <c r="D910" s="85">
        <f t="shared" si="333"/>
        <v>5</v>
      </c>
      <c r="E910" s="17" t="str">
        <f t="shared" si="334"/>
        <v/>
      </c>
      <c r="F910" s="17" t="str">
        <f t="shared" si="335"/>
        <v/>
      </c>
      <c r="G910" s="17" t="str">
        <f t="shared" si="336"/>
        <v/>
      </c>
      <c r="H910" s="16">
        <v>620</v>
      </c>
      <c r="I910" s="16" t="str">
        <f t="shared" si="337"/>
        <v/>
      </c>
      <c r="J910" s="209" t="str">
        <f t="shared" si="338"/>
        <v/>
      </c>
      <c r="K910" s="209" t="str">
        <f t="shared" si="339"/>
        <v/>
      </c>
      <c r="L910" s="692"/>
      <c r="M910" s="17" t="str">
        <f t="shared" si="340"/>
        <v/>
      </c>
    </row>
    <row r="911" spans="1:13" x14ac:dyDescent="0.25">
      <c r="A911" s="85" t="str">
        <f t="shared" si="330"/>
        <v/>
      </c>
      <c r="B911" s="296" t="str">
        <f t="shared" si="331"/>
        <v/>
      </c>
      <c r="C911" s="296" t="str">
        <f t="shared" si="332"/>
        <v/>
      </c>
      <c r="D911" s="85">
        <f t="shared" si="333"/>
        <v>5</v>
      </c>
      <c r="E911" s="17" t="str">
        <f t="shared" si="334"/>
        <v/>
      </c>
      <c r="F911" s="17" t="str">
        <f t="shared" si="335"/>
        <v/>
      </c>
      <c r="G911" s="17" t="str">
        <f t="shared" si="336"/>
        <v/>
      </c>
      <c r="H911" s="16">
        <v>621</v>
      </c>
      <c r="I911" s="16" t="str">
        <f t="shared" si="337"/>
        <v/>
      </c>
      <c r="J911" s="209" t="str">
        <f t="shared" si="338"/>
        <v/>
      </c>
      <c r="K911" s="209" t="str">
        <f t="shared" si="339"/>
        <v/>
      </c>
      <c r="L911" s="692"/>
      <c r="M911" s="17" t="str">
        <f t="shared" si="340"/>
        <v/>
      </c>
    </row>
    <row r="912" spans="1:13" x14ac:dyDescent="0.25">
      <c r="A912" s="85" t="str">
        <f t="shared" si="330"/>
        <v/>
      </c>
      <c r="B912" s="296" t="str">
        <f t="shared" si="331"/>
        <v/>
      </c>
      <c r="C912" s="296" t="str">
        <f t="shared" si="332"/>
        <v/>
      </c>
      <c r="D912" s="85">
        <f t="shared" si="333"/>
        <v>5</v>
      </c>
      <c r="E912" s="17" t="str">
        <f t="shared" si="334"/>
        <v/>
      </c>
      <c r="F912" s="17" t="str">
        <f t="shared" si="335"/>
        <v/>
      </c>
      <c r="G912" s="17" t="str">
        <f t="shared" si="336"/>
        <v/>
      </c>
      <c r="H912" s="16">
        <v>622</v>
      </c>
      <c r="I912" s="16" t="str">
        <f t="shared" si="337"/>
        <v/>
      </c>
      <c r="J912" s="209" t="str">
        <f t="shared" si="338"/>
        <v/>
      </c>
      <c r="K912" s="209" t="str">
        <f t="shared" si="339"/>
        <v/>
      </c>
      <c r="L912" s="692"/>
      <c r="M912" s="17" t="str">
        <f t="shared" si="340"/>
        <v/>
      </c>
    </row>
    <row r="913" spans="1:13" x14ac:dyDescent="0.25">
      <c r="A913" s="85" t="str">
        <f t="shared" si="330"/>
        <v/>
      </c>
      <c r="B913" s="296" t="str">
        <f t="shared" si="331"/>
        <v/>
      </c>
      <c r="C913" s="296" t="str">
        <f t="shared" si="332"/>
        <v/>
      </c>
      <c r="D913" s="85">
        <f t="shared" si="333"/>
        <v>5</v>
      </c>
      <c r="E913" s="17" t="str">
        <f t="shared" si="334"/>
        <v/>
      </c>
      <c r="F913" s="17" t="str">
        <f t="shared" si="335"/>
        <v/>
      </c>
      <c r="G913" s="17" t="str">
        <f t="shared" si="336"/>
        <v/>
      </c>
      <c r="H913" s="16">
        <v>623</v>
      </c>
      <c r="I913" s="16" t="str">
        <f t="shared" si="337"/>
        <v/>
      </c>
      <c r="J913" s="209" t="str">
        <f t="shared" si="338"/>
        <v/>
      </c>
      <c r="K913" s="209" t="str">
        <f t="shared" si="339"/>
        <v/>
      </c>
      <c r="L913" s="692"/>
      <c r="M913" s="17" t="str">
        <f t="shared" si="340"/>
        <v/>
      </c>
    </row>
    <row r="914" spans="1:13" x14ac:dyDescent="0.25">
      <c r="A914" s="85" t="str">
        <f t="shared" si="330"/>
        <v/>
      </c>
      <c r="B914" s="296" t="str">
        <f t="shared" si="331"/>
        <v/>
      </c>
      <c r="C914" s="296" t="str">
        <f t="shared" si="332"/>
        <v/>
      </c>
      <c r="D914" s="85">
        <f t="shared" si="333"/>
        <v>5</v>
      </c>
      <c r="E914" s="17" t="str">
        <f t="shared" si="334"/>
        <v/>
      </c>
      <c r="F914" s="17" t="str">
        <f t="shared" si="335"/>
        <v/>
      </c>
      <c r="G914" s="17" t="str">
        <f t="shared" si="336"/>
        <v/>
      </c>
      <c r="H914" s="16">
        <v>624</v>
      </c>
      <c r="I914" s="16" t="str">
        <f t="shared" si="337"/>
        <v/>
      </c>
      <c r="J914" s="209" t="str">
        <f t="shared" si="338"/>
        <v/>
      </c>
      <c r="K914" s="209" t="str">
        <f t="shared" si="339"/>
        <v/>
      </c>
      <c r="L914" s="692"/>
      <c r="M914" s="17" t="str">
        <f t="shared" si="340"/>
        <v/>
      </c>
    </row>
    <row r="915" spans="1:13" x14ac:dyDescent="0.25">
      <c r="A915" s="85" t="str">
        <f t="shared" si="330"/>
        <v/>
      </c>
      <c r="B915" s="296" t="str">
        <f t="shared" si="331"/>
        <v/>
      </c>
      <c r="C915" s="296" t="str">
        <f t="shared" si="332"/>
        <v/>
      </c>
      <c r="D915" s="85">
        <f t="shared" si="333"/>
        <v>5</v>
      </c>
      <c r="E915" s="17" t="str">
        <f t="shared" si="334"/>
        <v/>
      </c>
      <c r="F915" s="17" t="str">
        <f t="shared" si="335"/>
        <v/>
      </c>
      <c r="G915" s="17" t="str">
        <f t="shared" si="336"/>
        <v/>
      </c>
      <c r="H915" s="16">
        <v>625</v>
      </c>
      <c r="I915" s="16" t="str">
        <f t="shared" si="337"/>
        <v/>
      </c>
      <c r="J915" s="209" t="str">
        <f t="shared" si="338"/>
        <v/>
      </c>
      <c r="K915" s="209" t="str">
        <f t="shared" si="339"/>
        <v/>
      </c>
      <c r="L915" s="692"/>
      <c r="M915" s="17" t="str">
        <f t="shared" si="340"/>
        <v/>
      </c>
    </row>
    <row r="916" spans="1:13" x14ac:dyDescent="0.25">
      <c r="A916" s="85" t="str">
        <f t="shared" si="330"/>
        <v/>
      </c>
      <c r="B916" s="296" t="str">
        <f t="shared" si="331"/>
        <v/>
      </c>
      <c r="C916" s="296" t="str">
        <f t="shared" si="332"/>
        <v/>
      </c>
      <c r="D916" s="85">
        <f t="shared" si="333"/>
        <v>5</v>
      </c>
      <c r="E916" s="17" t="str">
        <f t="shared" si="334"/>
        <v/>
      </c>
      <c r="F916" s="17" t="str">
        <f t="shared" si="335"/>
        <v/>
      </c>
      <c r="G916" s="17" t="str">
        <f t="shared" si="336"/>
        <v/>
      </c>
      <c r="H916" s="16">
        <v>626</v>
      </c>
      <c r="I916" s="16" t="str">
        <f t="shared" si="337"/>
        <v/>
      </c>
      <c r="J916" s="209" t="str">
        <f t="shared" si="338"/>
        <v/>
      </c>
      <c r="K916" s="209" t="str">
        <f t="shared" si="339"/>
        <v/>
      </c>
      <c r="L916" s="692"/>
      <c r="M916" s="17" t="str">
        <f t="shared" si="340"/>
        <v/>
      </c>
    </row>
    <row r="917" spans="1:13" x14ac:dyDescent="0.25">
      <c r="A917" s="85" t="str">
        <f t="shared" si="330"/>
        <v/>
      </c>
      <c r="B917" s="296" t="str">
        <f t="shared" si="331"/>
        <v/>
      </c>
      <c r="C917" s="296" t="str">
        <f t="shared" si="332"/>
        <v/>
      </c>
      <c r="D917" s="85">
        <f t="shared" si="333"/>
        <v>5</v>
      </c>
      <c r="E917" s="17" t="str">
        <f t="shared" si="334"/>
        <v/>
      </c>
      <c r="F917" s="17" t="str">
        <f t="shared" si="335"/>
        <v/>
      </c>
      <c r="G917" s="17" t="str">
        <f t="shared" si="336"/>
        <v/>
      </c>
      <c r="H917" s="16">
        <v>627</v>
      </c>
      <c r="I917" s="16" t="str">
        <f t="shared" si="337"/>
        <v/>
      </c>
      <c r="J917" s="209" t="str">
        <f t="shared" si="338"/>
        <v/>
      </c>
      <c r="K917" s="209" t="str">
        <f t="shared" si="339"/>
        <v/>
      </c>
      <c r="L917" s="692"/>
      <c r="M917" s="17" t="str">
        <f t="shared" si="340"/>
        <v/>
      </c>
    </row>
    <row r="918" spans="1:13" x14ac:dyDescent="0.25">
      <c r="A918" s="85" t="str">
        <f t="shared" si="330"/>
        <v/>
      </c>
      <c r="B918" s="296" t="str">
        <f t="shared" si="331"/>
        <v/>
      </c>
      <c r="C918" s="296" t="str">
        <f t="shared" si="332"/>
        <v/>
      </c>
      <c r="D918" s="85">
        <f t="shared" si="333"/>
        <v>5</v>
      </c>
      <c r="E918" s="17" t="str">
        <f t="shared" si="334"/>
        <v/>
      </c>
      <c r="F918" s="17" t="str">
        <f t="shared" si="335"/>
        <v/>
      </c>
      <c r="G918" s="17" t="str">
        <f t="shared" si="336"/>
        <v/>
      </c>
      <c r="H918" s="16">
        <v>628</v>
      </c>
      <c r="I918" s="16" t="str">
        <f t="shared" si="337"/>
        <v/>
      </c>
      <c r="J918" s="209" t="str">
        <f t="shared" si="338"/>
        <v/>
      </c>
      <c r="K918" s="209" t="str">
        <f t="shared" si="339"/>
        <v/>
      </c>
      <c r="L918" s="692"/>
      <c r="M918" s="17" t="str">
        <f t="shared" si="340"/>
        <v/>
      </c>
    </row>
    <row r="919" spans="1:13" x14ac:dyDescent="0.25">
      <c r="A919" s="85" t="str">
        <f t="shared" si="330"/>
        <v/>
      </c>
      <c r="B919" s="296" t="str">
        <f t="shared" si="331"/>
        <v/>
      </c>
      <c r="C919" s="296" t="str">
        <f t="shared" si="332"/>
        <v/>
      </c>
      <c r="D919" s="85">
        <f t="shared" si="333"/>
        <v>5</v>
      </c>
      <c r="E919" s="17" t="str">
        <f t="shared" si="334"/>
        <v/>
      </c>
      <c r="F919" s="17" t="str">
        <f t="shared" si="335"/>
        <v/>
      </c>
      <c r="G919" s="17" t="str">
        <f t="shared" si="336"/>
        <v/>
      </c>
      <c r="H919" s="16">
        <v>629</v>
      </c>
      <c r="I919" s="16" t="str">
        <f t="shared" si="337"/>
        <v/>
      </c>
      <c r="J919" s="209" t="str">
        <f t="shared" si="338"/>
        <v/>
      </c>
      <c r="K919" s="209" t="str">
        <f t="shared" si="339"/>
        <v/>
      </c>
      <c r="L919" s="692"/>
      <c r="M919" s="17" t="str">
        <f t="shared" si="340"/>
        <v/>
      </c>
    </row>
    <row r="920" spans="1:13" x14ac:dyDescent="0.25">
      <c r="A920" s="85" t="str">
        <f t="shared" si="330"/>
        <v/>
      </c>
      <c r="B920" s="296" t="str">
        <f t="shared" si="331"/>
        <v/>
      </c>
      <c r="C920" s="296" t="str">
        <f t="shared" si="332"/>
        <v/>
      </c>
      <c r="D920" s="85">
        <f t="shared" si="333"/>
        <v>5</v>
      </c>
      <c r="E920" s="17" t="str">
        <f t="shared" si="334"/>
        <v/>
      </c>
      <c r="F920" s="17" t="str">
        <f t="shared" si="335"/>
        <v/>
      </c>
      <c r="G920" s="17" t="str">
        <f t="shared" si="336"/>
        <v/>
      </c>
      <c r="H920" s="16">
        <v>630</v>
      </c>
      <c r="I920" s="16" t="str">
        <f t="shared" si="337"/>
        <v/>
      </c>
      <c r="J920" s="209" t="str">
        <f t="shared" si="338"/>
        <v/>
      </c>
      <c r="K920" s="209" t="str">
        <f t="shared" si="339"/>
        <v/>
      </c>
      <c r="L920" s="692"/>
      <c r="M920" s="17" t="str">
        <f t="shared" si="340"/>
        <v/>
      </c>
    </row>
    <row r="921" spans="1:13" x14ac:dyDescent="0.25">
      <c r="A921" s="85" t="str">
        <f t="shared" si="330"/>
        <v/>
      </c>
      <c r="B921" s="296" t="str">
        <f t="shared" si="331"/>
        <v/>
      </c>
      <c r="C921" s="296" t="str">
        <f t="shared" si="332"/>
        <v/>
      </c>
      <c r="D921" s="85">
        <f t="shared" si="333"/>
        <v>5</v>
      </c>
      <c r="E921" s="17" t="str">
        <f t="shared" si="334"/>
        <v/>
      </c>
      <c r="F921" s="17" t="str">
        <f t="shared" si="335"/>
        <v/>
      </c>
      <c r="G921" s="17" t="str">
        <f t="shared" si="336"/>
        <v/>
      </c>
      <c r="H921" s="16">
        <v>631</v>
      </c>
      <c r="I921" s="16" t="str">
        <f t="shared" si="337"/>
        <v/>
      </c>
      <c r="J921" s="209" t="str">
        <f t="shared" si="338"/>
        <v/>
      </c>
      <c r="K921" s="209" t="str">
        <f t="shared" si="339"/>
        <v/>
      </c>
      <c r="L921" s="692"/>
      <c r="M921" s="17" t="str">
        <f t="shared" si="340"/>
        <v/>
      </c>
    </row>
    <row r="922" spans="1:13" x14ac:dyDescent="0.25">
      <c r="A922" s="85" t="str">
        <f t="shared" si="330"/>
        <v/>
      </c>
      <c r="B922" s="296" t="str">
        <f t="shared" si="331"/>
        <v/>
      </c>
      <c r="C922" s="296" t="str">
        <f t="shared" si="332"/>
        <v/>
      </c>
      <c r="D922" s="85">
        <f t="shared" si="333"/>
        <v>5</v>
      </c>
      <c r="E922" s="17" t="str">
        <f t="shared" si="334"/>
        <v/>
      </c>
      <c r="F922" s="17" t="str">
        <f t="shared" si="335"/>
        <v/>
      </c>
      <c r="G922" s="17" t="str">
        <f t="shared" si="336"/>
        <v/>
      </c>
      <c r="H922" s="16">
        <v>632</v>
      </c>
      <c r="I922" s="16" t="str">
        <f t="shared" si="337"/>
        <v/>
      </c>
      <c r="J922" s="209" t="str">
        <f t="shared" si="338"/>
        <v/>
      </c>
      <c r="K922" s="209" t="str">
        <f t="shared" si="339"/>
        <v/>
      </c>
      <c r="L922" s="692"/>
      <c r="M922" s="17" t="str">
        <f t="shared" si="340"/>
        <v/>
      </c>
    </row>
    <row r="923" spans="1:13" x14ac:dyDescent="0.25">
      <c r="A923" s="85" t="str">
        <f t="shared" si="330"/>
        <v/>
      </c>
      <c r="B923" s="296" t="str">
        <f t="shared" si="331"/>
        <v/>
      </c>
      <c r="C923" s="296" t="str">
        <f t="shared" si="332"/>
        <v/>
      </c>
      <c r="D923" s="85">
        <f t="shared" si="333"/>
        <v>5</v>
      </c>
      <c r="E923" s="17" t="str">
        <f t="shared" si="334"/>
        <v/>
      </c>
      <c r="F923" s="17" t="str">
        <f t="shared" si="335"/>
        <v/>
      </c>
      <c r="G923" s="17" t="str">
        <f t="shared" si="336"/>
        <v/>
      </c>
      <c r="H923" s="16">
        <v>633</v>
      </c>
      <c r="I923" s="16" t="str">
        <f t="shared" si="337"/>
        <v/>
      </c>
      <c r="J923" s="209" t="str">
        <f t="shared" si="338"/>
        <v/>
      </c>
      <c r="K923" s="209" t="str">
        <f t="shared" si="339"/>
        <v/>
      </c>
      <c r="L923" s="692"/>
      <c r="M923" s="17" t="str">
        <f t="shared" si="340"/>
        <v/>
      </c>
    </row>
    <row r="924" spans="1:13" x14ac:dyDescent="0.25">
      <c r="A924" s="85" t="str">
        <f t="shared" si="330"/>
        <v/>
      </c>
      <c r="B924" s="296" t="str">
        <f t="shared" si="331"/>
        <v/>
      </c>
      <c r="C924" s="296" t="str">
        <f t="shared" si="332"/>
        <v/>
      </c>
      <c r="D924" s="85">
        <f t="shared" si="333"/>
        <v>5</v>
      </c>
      <c r="E924" s="17" t="str">
        <f t="shared" si="334"/>
        <v/>
      </c>
      <c r="F924" s="17" t="str">
        <f t="shared" si="335"/>
        <v/>
      </c>
      <c r="G924" s="17" t="str">
        <f t="shared" si="336"/>
        <v/>
      </c>
      <c r="H924" s="16">
        <v>634</v>
      </c>
      <c r="I924" s="16" t="str">
        <f t="shared" si="337"/>
        <v/>
      </c>
      <c r="J924" s="209" t="str">
        <f t="shared" si="338"/>
        <v/>
      </c>
      <c r="K924" s="209" t="str">
        <f t="shared" si="339"/>
        <v/>
      </c>
      <c r="L924" s="692"/>
      <c r="M924" s="17" t="str">
        <f t="shared" si="340"/>
        <v/>
      </c>
    </row>
    <row r="925" spans="1:13" x14ac:dyDescent="0.25">
      <c r="A925" s="85" t="str">
        <f t="shared" si="330"/>
        <v/>
      </c>
      <c r="B925" s="296" t="str">
        <f t="shared" si="331"/>
        <v/>
      </c>
      <c r="C925" s="296" t="str">
        <f t="shared" si="332"/>
        <v/>
      </c>
      <c r="D925" s="85">
        <f t="shared" si="333"/>
        <v>5</v>
      </c>
      <c r="E925" s="17" t="str">
        <f t="shared" si="334"/>
        <v/>
      </c>
      <c r="F925" s="17" t="str">
        <f t="shared" si="335"/>
        <v/>
      </c>
      <c r="G925" s="17" t="str">
        <f t="shared" si="336"/>
        <v/>
      </c>
      <c r="H925" s="16">
        <v>635</v>
      </c>
      <c r="I925" s="16" t="str">
        <f t="shared" si="337"/>
        <v/>
      </c>
      <c r="J925" s="209" t="str">
        <f t="shared" si="338"/>
        <v/>
      </c>
      <c r="K925" s="209" t="str">
        <f t="shared" si="339"/>
        <v/>
      </c>
      <c r="L925" s="692"/>
      <c r="M925" s="17" t="str">
        <f t="shared" si="340"/>
        <v/>
      </c>
    </row>
    <row r="926" spans="1:13" x14ac:dyDescent="0.25">
      <c r="A926" s="85" t="str">
        <f t="shared" si="330"/>
        <v/>
      </c>
      <c r="B926" s="296" t="str">
        <f t="shared" si="331"/>
        <v/>
      </c>
      <c r="C926" s="296" t="str">
        <f t="shared" si="332"/>
        <v/>
      </c>
      <c r="D926" s="85">
        <f t="shared" si="333"/>
        <v>5</v>
      </c>
      <c r="E926" s="17" t="str">
        <f t="shared" si="334"/>
        <v/>
      </c>
      <c r="F926" s="17" t="str">
        <f t="shared" si="335"/>
        <v/>
      </c>
      <c r="G926" s="17" t="str">
        <f t="shared" si="336"/>
        <v/>
      </c>
      <c r="H926" s="16">
        <v>636</v>
      </c>
      <c r="I926" s="16" t="str">
        <f t="shared" si="337"/>
        <v/>
      </c>
      <c r="J926" s="209" t="str">
        <f t="shared" si="338"/>
        <v/>
      </c>
      <c r="K926" s="209" t="str">
        <f t="shared" si="339"/>
        <v/>
      </c>
      <c r="L926" s="692"/>
      <c r="M926" s="17" t="str">
        <f t="shared" si="340"/>
        <v/>
      </c>
    </row>
    <row r="927" spans="1:13" x14ac:dyDescent="0.25">
      <c r="A927" s="85" t="str">
        <f t="shared" si="330"/>
        <v/>
      </c>
      <c r="B927" s="296" t="str">
        <f t="shared" si="331"/>
        <v/>
      </c>
      <c r="C927" s="296" t="str">
        <f t="shared" si="332"/>
        <v/>
      </c>
      <c r="D927" s="85">
        <f t="shared" si="333"/>
        <v>5</v>
      </c>
      <c r="E927" s="17" t="str">
        <f t="shared" si="334"/>
        <v/>
      </c>
      <c r="F927" s="17" t="str">
        <f t="shared" si="335"/>
        <v/>
      </c>
      <c r="G927" s="17" t="str">
        <f t="shared" si="336"/>
        <v/>
      </c>
      <c r="H927" s="16">
        <v>637</v>
      </c>
      <c r="I927" s="16" t="str">
        <f t="shared" si="337"/>
        <v/>
      </c>
      <c r="J927" s="209" t="str">
        <f t="shared" si="338"/>
        <v/>
      </c>
      <c r="K927" s="209" t="str">
        <f t="shared" si="339"/>
        <v/>
      </c>
      <c r="L927" s="692"/>
      <c r="M927" s="17" t="str">
        <f t="shared" si="340"/>
        <v/>
      </c>
    </row>
    <row r="928" spans="1:13" x14ac:dyDescent="0.25">
      <c r="A928" s="85" t="str">
        <f t="shared" si="330"/>
        <v/>
      </c>
      <c r="B928" s="296" t="str">
        <f t="shared" si="331"/>
        <v/>
      </c>
      <c r="C928" s="296" t="str">
        <f t="shared" si="332"/>
        <v/>
      </c>
      <c r="D928" s="85">
        <f t="shared" si="333"/>
        <v>5</v>
      </c>
      <c r="E928" s="17" t="str">
        <f t="shared" si="334"/>
        <v/>
      </c>
      <c r="F928" s="17" t="str">
        <f t="shared" si="335"/>
        <v/>
      </c>
      <c r="G928" s="17" t="str">
        <f t="shared" si="336"/>
        <v/>
      </c>
      <c r="H928" s="16">
        <v>638</v>
      </c>
      <c r="I928" s="16" t="str">
        <f t="shared" si="337"/>
        <v/>
      </c>
      <c r="J928" s="209" t="str">
        <f t="shared" si="338"/>
        <v/>
      </c>
      <c r="K928" s="209" t="str">
        <f t="shared" si="339"/>
        <v/>
      </c>
      <c r="L928" s="692"/>
      <c r="M928" s="17" t="str">
        <f t="shared" si="340"/>
        <v/>
      </c>
    </row>
    <row r="929" spans="1:13" x14ac:dyDescent="0.25">
      <c r="A929" s="85" t="str">
        <f t="shared" si="330"/>
        <v/>
      </c>
      <c r="B929" s="296" t="str">
        <f t="shared" si="331"/>
        <v/>
      </c>
      <c r="C929" s="296" t="str">
        <f t="shared" si="332"/>
        <v/>
      </c>
      <c r="D929" s="85">
        <f t="shared" si="333"/>
        <v>5</v>
      </c>
      <c r="E929" s="17" t="str">
        <f t="shared" si="334"/>
        <v/>
      </c>
      <c r="F929" s="17" t="str">
        <f t="shared" si="335"/>
        <v/>
      </c>
      <c r="G929" s="17" t="str">
        <f t="shared" si="336"/>
        <v/>
      </c>
      <c r="H929" s="16">
        <v>639</v>
      </c>
      <c r="I929" s="16" t="str">
        <f t="shared" si="337"/>
        <v/>
      </c>
      <c r="J929" s="209" t="str">
        <f t="shared" si="338"/>
        <v/>
      </c>
      <c r="K929" s="209" t="str">
        <f t="shared" si="339"/>
        <v/>
      </c>
      <c r="L929" s="692"/>
      <c r="M929" s="17" t="str">
        <f t="shared" si="340"/>
        <v/>
      </c>
    </row>
    <row r="930" spans="1:13" x14ac:dyDescent="0.25">
      <c r="A930" s="85" t="str">
        <f t="shared" si="330"/>
        <v/>
      </c>
      <c r="B930" s="296" t="str">
        <f t="shared" si="331"/>
        <v/>
      </c>
      <c r="C930" s="296" t="str">
        <f t="shared" si="332"/>
        <v/>
      </c>
      <c r="D930" s="85">
        <f t="shared" si="333"/>
        <v>5</v>
      </c>
      <c r="E930" s="17" t="str">
        <f t="shared" si="334"/>
        <v/>
      </c>
      <c r="F930" s="17" t="str">
        <f t="shared" si="335"/>
        <v/>
      </c>
      <c r="G930" s="17" t="str">
        <f t="shared" si="336"/>
        <v/>
      </c>
      <c r="H930" s="16">
        <v>640</v>
      </c>
      <c r="I930" s="16" t="str">
        <f t="shared" si="337"/>
        <v/>
      </c>
      <c r="J930" s="209" t="str">
        <f t="shared" si="338"/>
        <v/>
      </c>
      <c r="K930" s="209" t="str">
        <f t="shared" si="339"/>
        <v/>
      </c>
      <c r="L930" s="692"/>
      <c r="M930" s="17" t="str">
        <f t="shared" si="340"/>
        <v/>
      </c>
    </row>
    <row r="931" spans="1:13" x14ac:dyDescent="0.25">
      <c r="A931" s="85" t="str">
        <f t="shared" si="330"/>
        <v/>
      </c>
      <c r="B931" s="296" t="str">
        <f t="shared" si="331"/>
        <v/>
      </c>
      <c r="C931" s="296" t="str">
        <f t="shared" si="332"/>
        <v/>
      </c>
      <c r="D931" s="85">
        <f t="shared" si="333"/>
        <v>5</v>
      </c>
      <c r="E931" s="17" t="str">
        <f t="shared" si="334"/>
        <v/>
      </c>
      <c r="F931" s="17" t="str">
        <f t="shared" si="335"/>
        <v/>
      </c>
      <c r="G931" s="17" t="str">
        <f t="shared" si="336"/>
        <v/>
      </c>
      <c r="H931" s="16">
        <v>641</v>
      </c>
      <c r="I931" s="16" t="str">
        <f t="shared" si="337"/>
        <v/>
      </c>
      <c r="J931" s="209" t="str">
        <f t="shared" si="338"/>
        <v/>
      </c>
      <c r="K931" s="209" t="str">
        <f t="shared" si="339"/>
        <v/>
      </c>
      <c r="L931" s="692"/>
      <c r="M931" s="17" t="str">
        <f t="shared" si="340"/>
        <v/>
      </c>
    </row>
    <row r="932" spans="1:13" x14ac:dyDescent="0.25">
      <c r="A932" s="85" t="str">
        <f t="shared" si="330"/>
        <v/>
      </c>
      <c r="B932" s="296" t="str">
        <f t="shared" si="331"/>
        <v/>
      </c>
      <c r="C932" s="296" t="str">
        <f t="shared" si="332"/>
        <v/>
      </c>
      <c r="D932" s="85">
        <f t="shared" si="333"/>
        <v>5</v>
      </c>
      <c r="E932" s="17" t="str">
        <f t="shared" si="334"/>
        <v/>
      </c>
      <c r="F932" s="17" t="str">
        <f t="shared" si="335"/>
        <v/>
      </c>
      <c r="G932" s="17" t="str">
        <f t="shared" si="336"/>
        <v/>
      </c>
      <c r="H932" s="16">
        <v>642</v>
      </c>
      <c r="I932" s="16" t="str">
        <f t="shared" si="337"/>
        <v/>
      </c>
      <c r="J932" s="209" t="str">
        <f t="shared" si="338"/>
        <v/>
      </c>
      <c r="K932" s="209" t="str">
        <f t="shared" si="339"/>
        <v/>
      </c>
      <c r="L932" s="692"/>
      <c r="M932" s="17" t="str">
        <f t="shared" si="340"/>
        <v/>
      </c>
    </row>
    <row r="933" spans="1:13" x14ac:dyDescent="0.25">
      <c r="A933" s="85" t="str">
        <f t="shared" si="330"/>
        <v/>
      </c>
      <c r="B933" s="296" t="str">
        <f t="shared" si="331"/>
        <v/>
      </c>
      <c r="C933" s="296" t="str">
        <f t="shared" si="332"/>
        <v/>
      </c>
      <c r="D933" s="85">
        <f t="shared" si="333"/>
        <v>5</v>
      </c>
      <c r="E933" s="17" t="str">
        <f t="shared" si="334"/>
        <v/>
      </c>
      <c r="F933" s="17" t="str">
        <f t="shared" si="335"/>
        <v/>
      </c>
      <c r="G933" s="17" t="str">
        <f t="shared" si="336"/>
        <v/>
      </c>
      <c r="H933" s="16">
        <v>643</v>
      </c>
      <c r="I933" s="16" t="str">
        <f t="shared" si="337"/>
        <v/>
      </c>
      <c r="J933" s="209" t="str">
        <f t="shared" si="338"/>
        <v/>
      </c>
      <c r="K933" s="209" t="str">
        <f t="shared" si="339"/>
        <v/>
      </c>
      <c r="L933" s="692"/>
      <c r="M933" s="17" t="str">
        <f t="shared" si="340"/>
        <v/>
      </c>
    </row>
    <row r="934" spans="1:13" x14ac:dyDescent="0.25">
      <c r="A934" s="85" t="str">
        <f t="shared" si="330"/>
        <v/>
      </c>
      <c r="B934" s="296" t="str">
        <f t="shared" si="331"/>
        <v/>
      </c>
      <c r="C934" s="296" t="str">
        <f t="shared" si="332"/>
        <v/>
      </c>
      <c r="D934" s="85">
        <f t="shared" si="333"/>
        <v>5</v>
      </c>
      <c r="E934" s="17" t="str">
        <f t="shared" si="334"/>
        <v/>
      </c>
      <c r="F934" s="17" t="str">
        <f t="shared" si="335"/>
        <v/>
      </c>
      <c r="G934" s="17" t="str">
        <f t="shared" si="336"/>
        <v/>
      </c>
      <c r="H934" s="16">
        <v>644</v>
      </c>
      <c r="I934" s="16" t="str">
        <f t="shared" si="337"/>
        <v/>
      </c>
      <c r="J934" s="209" t="str">
        <f t="shared" si="338"/>
        <v/>
      </c>
      <c r="K934" s="209" t="str">
        <f t="shared" si="339"/>
        <v/>
      </c>
      <c r="L934" s="692"/>
      <c r="M934" s="17" t="str">
        <f t="shared" si="340"/>
        <v/>
      </c>
    </row>
    <row r="935" spans="1:13" x14ac:dyDescent="0.25">
      <c r="A935" s="85" t="str">
        <f t="shared" si="330"/>
        <v/>
      </c>
      <c r="B935" s="296" t="str">
        <f t="shared" si="331"/>
        <v/>
      </c>
      <c r="C935" s="296" t="str">
        <f t="shared" si="332"/>
        <v/>
      </c>
      <c r="D935" s="85">
        <f t="shared" si="333"/>
        <v>5</v>
      </c>
      <c r="E935" s="17" t="str">
        <f t="shared" si="334"/>
        <v/>
      </c>
      <c r="F935" s="17" t="str">
        <f t="shared" si="335"/>
        <v/>
      </c>
      <c r="G935" s="17" t="str">
        <f t="shared" si="336"/>
        <v/>
      </c>
      <c r="H935" s="16">
        <v>645</v>
      </c>
      <c r="I935" s="16" t="str">
        <f t="shared" si="337"/>
        <v/>
      </c>
      <c r="J935" s="209" t="str">
        <f t="shared" si="338"/>
        <v/>
      </c>
      <c r="K935" s="209" t="str">
        <f t="shared" si="339"/>
        <v/>
      </c>
      <c r="L935" s="692"/>
      <c r="M935" s="17" t="str">
        <f t="shared" si="340"/>
        <v/>
      </c>
    </row>
    <row r="936" spans="1:13" x14ac:dyDescent="0.25">
      <c r="A936" s="85" t="str">
        <f t="shared" si="330"/>
        <v/>
      </c>
      <c r="B936" s="296" t="str">
        <f t="shared" si="331"/>
        <v/>
      </c>
      <c r="C936" s="296" t="str">
        <f t="shared" si="332"/>
        <v/>
      </c>
      <c r="D936" s="85">
        <f t="shared" si="333"/>
        <v>5</v>
      </c>
      <c r="E936" s="17" t="str">
        <f t="shared" si="334"/>
        <v/>
      </c>
      <c r="F936" s="17" t="str">
        <f t="shared" si="335"/>
        <v/>
      </c>
      <c r="G936" s="17" t="str">
        <f t="shared" si="336"/>
        <v/>
      </c>
      <c r="H936" s="16">
        <v>646</v>
      </c>
      <c r="I936" s="16" t="str">
        <f t="shared" si="337"/>
        <v/>
      </c>
      <c r="J936" s="209" t="str">
        <f t="shared" si="338"/>
        <v/>
      </c>
      <c r="K936" s="209" t="str">
        <f t="shared" si="339"/>
        <v/>
      </c>
      <c r="L936" s="692"/>
      <c r="M936" s="17" t="str">
        <f t="shared" si="340"/>
        <v/>
      </c>
    </row>
    <row r="937" spans="1:13" x14ac:dyDescent="0.25">
      <c r="A937" s="85" t="str">
        <f t="shared" si="330"/>
        <v/>
      </c>
      <c r="B937" s="296" t="str">
        <f t="shared" si="331"/>
        <v/>
      </c>
      <c r="C937" s="296" t="str">
        <f t="shared" si="332"/>
        <v/>
      </c>
      <c r="D937" s="85">
        <f t="shared" si="333"/>
        <v>5</v>
      </c>
      <c r="E937" s="17" t="str">
        <f t="shared" si="334"/>
        <v/>
      </c>
      <c r="F937" s="17" t="str">
        <f t="shared" si="335"/>
        <v/>
      </c>
      <c r="G937" s="17" t="str">
        <f t="shared" si="336"/>
        <v/>
      </c>
      <c r="H937" s="16">
        <v>647</v>
      </c>
      <c r="I937" s="16" t="str">
        <f t="shared" si="337"/>
        <v/>
      </c>
      <c r="J937" s="209" t="str">
        <f t="shared" si="338"/>
        <v/>
      </c>
      <c r="K937" s="209" t="str">
        <f t="shared" si="339"/>
        <v/>
      </c>
      <c r="L937" s="692"/>
      <c r="M937" s="17" t="str">
        <f t="shared" si="340"/>
        <v/>
      </c>
    </row>
    <row r="938" spans="1:13" x14ac:dyDescent="0.25">
      <c r="A938" s="85" t="str">
        <f t="shared" si="330"/>
        <v/>
      </c>
      <c r="B938" s="296" t="str">
        <f t="shared" si="331"/>
        <v/>
      </c>
      <c r="C938" s="296" t="str">
        <f t="shared" si="332"/>
        <v/>
      </c>
      <c r="D938" s="85">
        <f t="shared" si="333"/>
        <v>5</v>
      </c>
      <c r="E938" s="17" t="str">
        <f t="shared" si="334"/>
        <v/>
      </c>
      <c r="F938" s="17" t="str">
        <f t="shared" si="335"/>
        <v/>
      </c>
      <c r="G938" s="17" t="str">
        <f t="shared" si="336"/>
        <v/>
      </c>
      <c r="H938" s="16">
        <v>648</v>
      </c>
      <c r="I938" s="16" t="str">
        <f t="shared" si="337"/>
        <v/>
      </c>
      <c r="J938" s="209" t="str">
        <f t="shared" si="338"/>
        <v/>
      </c>
      <c r="K938" s="209" t="str">
        <f t="shared" si="339"/>
        <v/>
      </c>
      <c r="L938" s="692"/>
      <c r="M938" s="17" t="str">
        <f t="shared" si="340"/>
        <v/>
      </c>
    </row>
    <row r="939" spans="1:13" x14ac:dyDescent="0.25">
      <c r="A939" s="85" t="str">
        <f t="shared" si="330"/>
        <v/>
      </c>
      <c r="B939" s="296" t="str">
        <f t="shared" si="331"/>
        <v/>
      </c>
      <c r="C939" s="296" t="str">
        <f t="shared" si="332"/>
        <v/>
      </c>
      <c r="D939" s="85">
        <f t="shared" si="333"/>
        <v>5</v>
      </c>
      <c r="E939" s="17" t="str">
        <f t="shared" si="334"/>
        <v/>
      </c>
      <c r="F939" s="17" t="str">
        <f t="shared" si="335"/>
        <v/>
      </c>
      <c r="G939" s="17" t="str">
        <f t="shared" si="336"/>
        <v/>
      </c>
      <c r="H939" s="16">
        <v>649</v>
      </c>
      <c r="I939" s="16" t="str">
        <f t="shared" si="337"/>
        <v/>
      </c>
      <c r="J939" s="209" t="str">
        <f t="shared" si="338"/>
        <v/>
      </c>
      <c r="K939" s="209" t="str">
        <f t="shared" si="339"/>
        <v/>
      </c>
      <c r="L939" s="692"/>
      <c r="M939" s="17" t="str">
        <f t="shared" si="340"/>
        <v/>
      </c>
    </row>
    <row r="940" spans="1:13" x14ac:dyDescent="0.25">
      <c r="A940" s="85" t="str">
        <f t="shared" si="330"/>
        <v/>
      </c>
      <c r="B940" s="296" t="str">
        <f t="shared" si="331"/>
        <v/>
      </c>
      <c r="C940" s="296" t="str">
        <f t="shared" si="332"/>
        <v/>
      </c>
      <c r="D940" s="85">
        <f t="shared" si="333"/>
        <v>5</v>
      </c>
      <c r="E940" s="17" t="str">
        <f t="shared" si="334"/>
        <v/>
      </c>
      <c r="F940" s="17" t="str">
        <f t="shared" si="335"/>
        <v/>
      </c>
      <c r="G940" s="17" t="str">
        <f t="shared" si="336"/>
        <v/>
      </c>
      <c r="H940" s="16">
        <v>650</v>
      </c>
      <c r="I940" s="16" t="str">
        <f t="shared" si="337"/>
        <v/>
      </c>
      <c r="J940" s="209" t="str">
        <f t="shared" si="338"/>
        <v/>
      </c>
      <c r="K940" s="209" t="str">
        <f t="shared" si="339"/>
        <v/>
      </c>
      <c r="L940" s="692"/>
      <c r="M940" s="17" t="str">
        <f t="shared" si="340"/>
        <v/>
      </c>
    </row>
    <row r="941" spans="1:13" x14ac:dyDescent="0.25">
      <c r="A941" s="85" t="str">
        <f t="shared" si="330"/>
        <v/>
      </c>
      <c r="B941" s="296" t="str">
        <f t="shared" si="331"/>
        <v/>
      </c>
      <c r="C941" s="296" t="str">
        <f t="shared" si="332"/>
        <v/>
      </c>
      <c r="D941" s="85">
        <f t="shared" si="333"/>
        <v>5</v>
      </c>
      <c r="E941" s="17" t="str">
        <f t="shared" si="334"/>
        <v/>
      </c>
      <c r="F941" s="17" t="str">
        <f t="shared" si="335"/>
        <v/>
      </c>
      <c r="G941" s="17" t="str">
        <f t="shared" si="336"/>
        <v/>
      </c>
      <c r="H941" s="16">
        <v>651</v>
      </c>
      <c r="I941" s="16" t="str">
        <f t="shared" si="337"/>
        <v/>
      </c>
      <c r="J941" s="209" t="str">
        <f t="shared" si="338"/>
        <v/>
      </c>
      <c r="K941" s="209" t="str">
        <f t="shared" si="339"/>
        <v/>
      </c>
      <c r="L941" s="692"/>
      <c r="M941" s="17" t="str">
        <f t="shared" si="340"/>
        <v/>
      </c>
    </row>
    <row r="942" spans="1:13" x14ac:dyDescent="0.25">
      <c r="A942" s="85" t="str">
        <f t="shared" si="330"/>
        <v/>
      </c>
      <c r="B942" s="296" t="str">
        <f t="shared" si="331"/>
        <v/>
      </c>
      <c r="C942" s="296" t="str">
        <f t="shared" si="332"/>
        <v/>
      </c>
      <c r="D942" s="85">
        <f t="shared" si="333"/>
        <v>5</v>
      </c>
      <c r="E942" s="17" t="str">
        <f t="shared" si="334"/>
        <v/>
      </c>
      <c r="F942" s="17" t="str">
        <f t="shared" si="335"/>
        <v/>
      </c>
      <c r="G942" s="17" t="str">
        <f t="shared" si="336"/>
        <v/>
      </c>
      <c r="H942" s="16">
        <v>652</v>
      </c>
      <c r="I942" s="16" t="str">
        <f t="shared" si="337"/>
        <v/>
      </c>
      <c r="J942" s="209" t="str">
        <f t="shared" si="338"/>
        <v/>
      </c>
      <c r="K942" s="209" t="str">
        <f t="shared" si="339"/>
        <v/>
      </c>
      <c r="L942" s="692"/>
      <c r="M942" s="17" t="str">
        <f t="shared" si="340"/>
        <v/>
      </c>
    </row>
    <row r="943" spans="1:13" x14ac:dyDescent="0.25">
      <c r="A943" s="85" t="str">
        <f t="shared" si="330"/>
        <v/>
      </c>
      <c r="B943" s="296" t="str">
        <f t="shared" si="331"/>
        <v/>
      </c>
      <c r="C943" s="296" t="str">
        <f t="shared" si="332"/>
        <v/>
      </c>
      <c r="D943" s="85">
        <f t="shared" si="333"/>
        <v>5</v>
      </c>
      <c r="E943" s="17" t="str">
        <f t="shared" si="334"/>
        <v/>
      </c>
      <c r="F943" s="17" t="str">
        <f t="shared" si="335"/>
        <v/>
      </c>
      <c r="G943" s="17" t="str">
        <f t="shared" si="336"/>
        <v/>
      </c>
      <c r="H943" s="16">
        <v>653</v>
      </c>
      <c r="I943" s="16" t="str">
        <f t="shared" si="337"/>
        <v/>
      </c>
      <c r="J943" s="209" t="str">
        <f t="shared" si="338"/>
        <v/>
      </c>
      <c r="K943" s="209" t="str">
        <f t="shared" si="339"/>
        <v/>
      </c>
      <c r="L943" s="692"/>
      <c r="M943" s="17" t="str">
        <f t="shared" si="340"/>
        <v/>
      </c>
    </row>
    <row r="944" spans="1:13" x14ac:dyDescent="0.25">
      <c r="A944" s="85" t="str">
        <f t="shared" si="330"/>
        <v/>
      </c>
      <c r="B944" s="296" t="str">
        <f t="shared" si="331"/>
        <v/>
      </c>
      <c r="C944" s="296" t="str">
        <f t="shared" si="332"/>
        <v/>
      </c>
      <c r="D944" s="85">
        <f t="shared" si="333"/>
        <v>5</v>
      </c>
      <c r="E944" s="17" t="str">
        <f t="shared" si="334"/>
        <v/>
      </c>
      <c r="F944" s="17" t="str">
        <f t="shared" si="335"/>
        <v/>
      </c>
      <c r="G944" s="17" t="str">
        <f t="shared" si="336"/>
        <v/>
      </c>
      <c r="H944" s="16">
        <v>654</v>
      </c>
      <c r="I944" s="16" t="str">
        <f t="shared" si="337"/>
        <v/>
      </c>
      <c r="J944" s="209" t="str">
        <f t="shared" si="338"/>
        <v/>
      </c>
      <c r="K944" s="209" t="str">
        <f t="shared" si="339"/>
        <v/>
      </c>
      <c r="L944" s="692"/>
      <c r="M944" s="17" t="str">
        <f t="shared" si="340"/>
        <v/>
      </c>
    </row>
    <row r="945" spans="1:13" x14ac:dyDescent="0.25">
      <c r="A945" s="85" t="str">
        <f t="shared" si="330"/>
        <v/>
      </c>
      <c r="B945" s="296" t="str">
        <f t="shared" si="331"/>
        <v/>
      </c>
      <c r="C945" s="296" t="str">
        <f t="shared" si="332"/>
        <v/>
      </c>
      <c r="D945" s="85">
        <f t="shared" si="333"/>
        <v>5</v>
      </c>
      <c r="E945" s="17" t="str">
        <f t="shared" si="334"/>
        <v/>
      </c>
      <c r="F945" s="17" t="str">
        <f t="shared" si="335"/>
        <v/>
      </c>
      <c r="G945" s="17" t="str">
        <f t="shared" si="336"/>
        <v/>
      </c>
      <c r="H945" s="16">
        <v>655</v>
      </c>
      <c r="I945" s="16" t="str">
        <f t="shared" si="337"/>
        <v/>
      </c>
      <c r="J945" s="209" t="str">
        <f t="shared" si="338"/>
        <v/>
      </c>
      <c r="K945" s="209" t="str">
        <f t="shared" si="339"/>
        <v/>
      </c>
      <c r="L945" s="692"/>
      <c r="M945" s="17" t="str">
        <f t="shared" si="340"/>
        <v/>
      </c>
    </row>
    <row r="946" spans="1:13" x14ac:dyDescent="0.25">
      <c r="A946" s="85" t="str">
        <f t="shared" ref="A946:A1009" si="341">IF(A945&lt;J$269,A945+1,"")</f>
        <v/>
      </c>
      <c r="B946" s="296" t="str">
        <f t="shared" ref="B946:B1009" si="342">IF(A946="","",IF(A945&lt;=C$270,B$273+(A945*E$274/C$269),IF(A945&lt;=D$270,B$274+(D$275*COS(RADIANS(G$275+((A945-C$270)*H$276/D$269))))-E$275,IF(A945&lt;=E$270,B$276+((A945-D$270)*E$277/E$269),IF(A945&lt;=F$270,B$277+(D$278*COS(RADIANS(G$278+((A945-E$270)*H$279/F$269))))-E$278,IF(A945&lt;=G$270,B$279+((A945-F$270)*E$280/G$269),IF(A945&lt;=H$270,B$280+(D$281*COS(RADIANS(G$281+((A945-G$270)*H$282/H$269))))-E$281,IF(A945&lt;=I$270,B$282+((A945-H$270)*E$283/I$269),"CHECK FORMULE"))))))))</f>
        <v/>
      </c>
      <c r="C946" s="296" t="str">
        <f t="shared" ref="C946:C1009" si="343">IF(A946="","",IF(A945&lt;=C$270,C$273+(A945*F$274/C$269),IF(A945&lt;=D$270,C$274+(D$275*SIN(RADIANS(G$275+((A945-C$270)*H$276/D$269))))-F$275,IF(A945&lt;=E$270,C$276+((A945-D$270)*F$277/E$269),IF(A945&lt;=F$270,C$277+(D$278*SIN(RADIANS(G$278+((A945-E$270)*H$279/F$269))))-F$278,IF(A945&lt;=G$270,C$279+((A945-F$270)*F$280/G$269),IF(A945&lt;=H$270,C$280+(D$281*SIN(RADIANS(G$281+((A945-G$270)*H$282/H$269))))-F$281,IF(A945&lt;=I$270,C$282+((A945-H$270)*F$283/I$269),"CHECK FORMULE"))))))))</f>
        <v/>
      </c>
      <c r="D946" s="85">
        <f t="shared" ref="D946:D1009" si="344">_xlfn.SINGLE(_xlfn.XLOOKUP(B946,B$273:B$284,A$273:A$284,D945))</f>
        <v>5</v>
      </c>
      <c r="E946" s="17" t="str">
        <f t="shared" ref="E946:E1009" si="345">IF(A946="","",B946-B945)</f>
        <v/>
      </c>
      <c r="F946" s="17" t="str">
        <f t="shared" ref="F946:F1009" si="346">IF(A946="","",C946-C945)</f>
        <v/>
      </c>
      <c r="G946" s="17" t="str">
        <f t="shared" ref="G946:G1009" si="347">IF(E946="","",B946&amp;","&amp;C946)</f>
        <v/>
      </c>
      <c r="H946" s="16">
        <v>656</v>
      </c>
      <c r="I946" s="16" t="str">
        <f t="shared" ref="I946:I1009" si="348">IF(J946="","",I945+1)</f>
        <v/>
      </c>
      <c r="J946" s="209" t="str">
        <f t="shared" ref="J946:J1009" si="349">IF(E946="","",(E946^2+F946^2)^0.5)</f>
        <v/>
      </c>
      <c r="K946" s="209" t="str">
        <f t="shared" ref="K946:K1009" si="350">IF(E946="","",K945+J946)</f>
        <v/>
      </c>
      <c r="L946" s="692"/>
      <c r="M946" s="17" t="str">
        <f t="shared" ref="M946:M1009" si="351">IF(L946="","",K946&amp;","&amp;L946)</f>
        <v/>
      </c>
    </row>
    <row r="947" spans="1:13" x14ac:dyDescent="0.25">
      <c r="A947" s="85" t="str">
        <f t="shared" si="341"/>
        <v/>
      </c>
      <c r="B947" s="296" t="str">
        <f t="shared" si="342"/>
        <v/>
      </c>
      <c r="C947" s="296" t="str">
        <f t="shared" si="343"/>
        <v/>
      </c>
      <c r="D947" s="85">
        <f t="shared" si="344"/>
        <v>5</v>
      </c>
      <c r="E947" s="17" t="str">
        <f t="shared" si="345"/>
        <v/>
      </c>
      <c r="F947" s="17" t="str">
        <f t="shared" si="346"/>
        <v/>
      </c>
      <c r="G947" s="17" t="str">
        <f t="shared" si="347"/>
        <v/>
      </c>
      <c r="H947" s="16">
        <v>657</v>
      </c>
      <c r="I947" s="16" t="str">
        <f t="shared" si="348"/>
        <v/>
      </c>
      <c r="J947" s="209" t="str">
        <f t="shared" si="349"/>
        <v/>
      </c>
      <c r="K947" s="209" t="str">
        <f t="shared" si="350"/>
        <v/>
      </c>
      <c r="L947" s="692"/>
      <c r="M947" s="17" t="str">
        <f t="shared" si="351"/>
        <v/>
      </c>
    </row>
    <row r="948" spans="1:13" x14ac:dyDescent="0.25">
      <c r="A948" s="85" t="str">
        <f t="shared" si="341"/>
        <v/>
      </c>
      <c r="B948" s="296" t="str">
        <f t="shared" si="342"/>
        <v/>
      </c>
      <c r="C948" s="296" t="str">
        <f t="shared" si="343"/>
        <v/>
      </c>
      <c r="D948" s="85">
        <f t="shared" si="344"/>
        <v>5</v>
      </c>
      <c r="E948" s="17" t="str">
        <f t="shared" si="345"/>
        <v/>
      </c>
      <c r="F948" s="17" t="str">
        <f t="shared" si="346"/>
        <v/>
      </c>
      <c r="G948" s="17" t="str">
        <f t="shared" si="347"/>
        <v/>
      </c>
      <c r="H948" s="16">
        <v>658</v>
      </c>
      <c r="I948" s="16" t="str">
        <f t="shared" si="348"/>
        <v/>
      </c>
      <c r="J948" s="209" t="str">
        <f t="shared" si="349"/>
        <v/>
      </c>
      <c r="K948" s="209" t="str">
        <f t="shared" si="350"/>
        <v/>
      </c>
      <c r="L948" s="692"/>
      <c r="M948" s="17" t="str">
        <f t="shared" si="351"/>
        <v/>
      </c>
    </row>
    <row r="949" spans="1:13" x14ac:dyDescent="0.25">
      <c r="A949" s="85" t="str">
        <f t="shared" si="341"/>
        <v/>
      </c>
      <c r="B949" s="296" t="str">
        <f t="shared" si="342"/>
        <v/>
      </c>
      <c r="C949" s="296" t="str">
        <f t="shared" si="343"/>
        <v/>
      </c>
      <c r="D949" s="85">
        <f t="shared" si="344"/>
        <v>5</v>
      </c>
      <c r="E949" s="17" t="str">
        <f t="shared" si="345"/>
        <v/>
      </c>
      <c r="F949" s="17" t="str">
        <f t="shared" si="346"/>
        <v/>
      </c>
      <c r="G949" s="17" t="str">
        <f t="shared" si="347"/>
        <v/>
      </c>
      <c r="H949" s="16">
        <v>659</v>
      </c>
      <c r="I949" s="16" t="str">
        <f t="shared" si="348"/>
        <v/>
      </c>
      <c r="J949" s="209" t="str">
        <f t="shared" si="349"/>
        <v/>
      </c>
      <c r="K949" s="209" t="str">
        <f t="shared" si="350"/>
        <v/>
      </c>
      <c r="L949" s="692"/>
      <c r="M949" s="17" t="str">
        <f t="shared" si="351"/>
        <v/>
      </c>
    </row>
    <row r="950" spans="1:13" x14ac:dyDescent="0.25">
      <c r="A950" s="85" t="str">
        <f t="shared" si="341"/>
        <v/>
      </c>
      <c r="B950" s="296" t="str">
        <f t="shared" si="342"/>
        <v/>
      </c>
      <c r="C950" s="296" t="str">
        <f t="shared" si="343"/>
        <v/>
      </c>
      <c r="D950" s="85">
        <f t="shared" si="344"/>
        <v>5</v>
      </c>
      <c r="E950" s="17" t="str">
        <f t="shared" si="345"/>
        <v/>
      </c>
      <c r="F950" s="17" t="str">
        <f t="shared" si="346"/>
        <v/>
      </c>
      <c r="G950" s="17" t="str">
        <f t="shared" si="347"/>
        <v/>
      </c>
      <c r="H950" s="16">
        <v>660</v>
      </c>
      <c r="I950" s="16" t="str">
        <f t="shared" si="348"/>
        <v/>
      </c>
      <c r="J950" s="209" t="str">
        <f t="shared" si="349"/>
        <v/>
      </c>
      <c r="K950" s="209" t="str">
        <f t="shared" si="350"/>
        <v/>
      </c>
      <c r="L950" s="692"/>
      <c r="M950" s="17" t="str">
        <f t="shared" si="351"/>
        <v/>
      </c>
    </row>
    <row r="951" spans="1:13" x14ac:dyDescent="0.25">
      <c r="A951" s="85" t="str">
        <f t="shared" si="341"/>
        <v/>
      </c>
      <c r="B951" s="296" t="str">
        <f t="shared" si="342"/>
        <v/>
      </c>
      <c r="C951" s="296" t="str">
        <f t="shared" si="343"/>
        <v/>
      </c>
      <c r="D951" s="85">
        <f t="shared" si="344"/>
        <v>5</v>
      </c>
      <c r="E951" s="17" t="str">
        <f t="shared" si="345"/>
        <v/>
      </c>
      <c r="F951" s="17" t="str">
        <f t="shared" si="346"/>
        <v/>
      </c>
      <c r="G951" s="17" t="str">
        <f t="shared" si="347"/>
        <v/>
      </c>
      <c r="H951" s="16">
        <v>661</v>
      </c>
      <c r="I951" s="16" t="str">
        <f t="shared" si="348"/>
        <v/>
      </c>
      <c r="J951" s="209" t="str">
        <f t="shared" si="349"/>
        <v/>
      </c>
      <c r="K951" s="209" t="str">
        <f t="shared" si="350"/>
        <v/>
      </c>
      <c r="L951" s="692"/>
      <c r="M951" s="17" t="str">
        <f t="shared" si="351"/>
        <v/>
      </c>
    </row>
    <row r="952" spans="1:13" x14ac:dyDescent="0.25">
      <c r="A952" s="85" t="str">
        <f t="shared" si="341"/>
        <v/>
      </c>
      <c r="B952" s="296" t="str">
        <f t="shared" si="342"/>
        <v/>
      </c>
      <c r="C952" s="296" t="str">
        <f t="shared" si="343"/>
        <v/>
      </c>
      <c r="D952" s="85">
        <f t="shared" si="344"/>
        <v>5</v>
      </c>
      <c r="E952" s="17" t="str">
        <f t="shared" si="345"/>
        <v/>
      </c>
      <c r="F952" s="17" t="str">
        <f t="shared" si="346"/>
        <v/>
      </c>
      <c r="G952" s="17" t="str">
        <f t="shared" si="347"/>
        <v/>
      </c>
      <c r="H952" s="16">
        <v>662</v>
      </c>
      <c r="I952" s="16" t="str">
        <f t="shared" si="348"/>
        <v/>
      </c>
      <c r="J952" s="209" t="str">
        <f t="shared" si="349"/>
        <v/>
      </c>
      <c r="K952" s="209" t="str">
        <f t="shared" si="350"/>
        <v/>
      </c>
      <c r="L952" s="692"/>
      <c r="M952" s="17" t="str">
        <f t="shared" si="351"/>
        <v/>
      </c>
    </row>
    <row r="953" spans="1:13" x14ac:dyDescent="0.25">
      <c r="A953" s="85" t="str">
        <f t="shared" si="341"/>
        <v/>
      </c>
      <c r="B953" s="296" t="str">
        <f t="shared" si="342"/>
        <v/>
      </c>
      <c r="C953" s="296" t="str">
        <f t="shared" si="343"/>
        <v/>
      </c>
      <c r="D953" s="85">
        <f t="shared" si="344"/>
        <v>5</v>
      </c>
      <c r="E953" s="17" t="str">
        <f t="shared" si="345"/>
        <v/>
      </c>
      <c r="F953" s="17" t="str">
        <f t="shared" si="346"/>
        <v/>
      </c>
      <c r="G953" s="17" t="str">
        <f t="shared" si="347"/>
        <v/>
      </c>
      <c r="H953" s="16">
        <v>663</v>
      </c>
      <c r="I953" s="16" t="str">
        <f t="shared" si="348"/>
        <v/>
      </c>
      <c r="J953" s="209" t="str">
        <f t="shared" si="349"/>
        <v/>
      </c>
      <c r="K953" s="209" t="str">
        <f t="shared" si="350"/>
        <v/>
      </c>
      <c r="L953" s="692"/>
      <c r="M953" s="17" t="str">
        <f t="shared" si="351"/>
        <v/>
      </c>
    </row>
    <row r="954" spans="1:13" x14ac:dyDescent="0.25">
      <c r="A954" s="85" t="str">
        <f t="shared" si="341"/>
        <v/>
      </c>
      <c r="B954" s="296" t="str">
        <f t="shared" si="342"/>
        <v/>
      </c>
      <c r="C954" s="296" t="str">
        <f t="shared" si="343"/>
        <v/>
      </c>
      <c r="D954" s="85">
        <f t="shared" si="344"/>
        <v>5</v>
      </c>
      <c r="E954" s="17" t="str">
        <f t="shared" si="345"/>
        <v/>
      </c>
      <c r="F954" s="17" t="str">
        <f t="shared" si="346"/>
        <v/>
      </c>
      <c r="G954" s="17" t="str">
        <f t="shared" si="347"/>
        <v/>
      </c>
      <c r="H954" s="16">
        <v>664</v>
      </c>
      <c r="I954" s="16" t="str">
        <f t="shared" si="348"/>
        <v/>
      </c>
      <c r="J954" s="209" t="str">
        <f t="shared" si="349"/>
        <v/>
      </c>
      <c r="K954" s="209" t="str">
        <f t="shared" si="350"/>
        <v/>
      </c>
      <c r="L954" s="692"/>
      <c r="M954" s="17" t="str">
        <f t="shared" si="351"/>
        <v/>
      </c>
    </row>
    <row r="955" spans="1:13" x14ac:dyDescent="0.25">
      <c r="A955" s="85" t="str">
        <f t="shared" si="341"/>
        <v/>
      </c>
      <c r="B955" s="296" t="str">
        <f t="shared" si="342"/>
        <v/>
      </c>
      <c r="C955" s="296" t="str">
        <f t="shared" si="343"/>
        <v/>
      </c>
      <c r="D955" s="85">
        <f t="shared" si="344"/>
        <v>5</v>
      </c>
      <c r="E955" s="17" t="str">
        <f t="shared" si="345"/>
        <v/>
      </c>
      <c r="F955" s="17" t="str">
        <f t="shared" si="346"/>
        <v/>
      </c>
      <c r="G955" s="17" t="str">
        <f t="shared" si="347"/>
        <v/>
      </c>
      <c r="H955" s="16">
        <v>665</v>
      </c>
      <c r="I955" s="16" t="str">
        <f t="shared" si="348"/>
        <v/>
      </c>
      <c r="J955" s="209" t="str">
        <f t="shared" si="349"/>
        <v/>
      </c>
      <c r="K955" s="209" t="str">
        <f t="shared" si="350"/>
        <v/>
      </c>
      <c r="L955" s="692"/>
      <c r="M955" s="17" t="str">
        <f t="shared" si="351"/>
        <v/>
      </c>
    </row>
    <row r="956" spans="1:13" x14ac:dyDescent="0.25">
      <c r="A956" s="85" t="str">
        <f t="shared" si="341"/>
        <v/>
      </c>
      <c r="B956" s="296" t="str">
        <f t="shared" si="342"/>
        <v/>
      </c>
      <c r="C956" s="296" t="str">
        <f t="shared" si="343"/>
        <v/>
      </c>
      <c r="D956" s="85">
        <f t="shared" si="344"/>
        <v>5</v>
      </c>
      <c r="E956" s="17" t="str">
        <f t="shared" si="345"/>
        <v/>
      </c>
      <c r="F956" s="17" t="str">
        <f t="shared" si="346"/>
        <v/>
      </c>
      <c r="G956" s="17" t="str">
        <f t="shared" si="347"/>
        <v/>
      </c>
      <c r="H956" s="16">
        <v>666</v>
      </c>
      <c r="I956" s="16" t="str">
        <f t="shared" si="348"/>
        <v/>
      </c>
      <c r="J956" s="209" t="str">
        <f t="shared" si="349"/>
        <v/>
      </c>
      <c r="K956" s="209" t="str">
        <f t="shared" si="350"/>
        <v/>
      </c>
      <c r="L956" s="692"/>
      <c r="M956" s="17" t="str">
        <f t="shared" si="351"/>
        <v/>
      </c>
    </row>
    <row r="957" spans="1:13" x14ac:dyDescent="0.25">
      <c r="A957" s="85" t="str">
        <f t="shared" si="341"/>
        <v/>
      </c>
      <c r="B957" s="296" t="str">
        <f t="shared" si="342"/>
        <v/>
      </c>
      <c r="C957" s="296" t="str">
        <f t="shared" si="343"/>
        <v/>
      </c>
      <c r="D957" s="85">
        <f t="shared" si="344"/>
        <v>5</v>
      </c>
      <c r="E957" s="17" t="str">
        <f t="shared" si="345"/>
        <v/>
      </c>
      <c r="F957" s="17" t="str">
        <f t="shared" si="346"/>
        <v/>
      </c>
      <c r="G957" s="17" t="str">
        <f t="shared" si="347"/>
        <v/>
      </c>
      <c r="H957" s="16">
        <v>667</v>
      </c>
      <c r="I957" s="16" t="str">
        <f t="shared" si="348"/>
        <v/>
      </c>
      <c r="J957" s="209" t="str">
        <f t="shared" si="349"/>
        <v/>
      </c>
      <c r="K957" s="209" t="str">
        <f t="shared" si="350"/>
        <v/>
      </c>
      <c r="L957" s="692"/>
      <c r="M957" s="17" t="str">
        <f t="shared" si="351"/>
        <v/>
      </c>
    </row>
    <row r="958" spans="1:13" x14ac:dyDescent="0.25">
      <c r="A958" s="85" t="str">
        <f t="shared" si="341"/>
        <v/>
      </c>
      <c r="B958" s="296" t="str">
        <f t="shared" si="342"/>
        <v/>
      </c>
      <c r="C958" s="296" t="str">
        <f t="shared" si="343"/>
        <v/>
      </c>
      <c r="D958" s="85">
        <f t="shared" si="344"/>
        <v>5</v>
      </c>
      <c r="E958" s="17" t="str">
        <f t="shared" si="345"/>
        <v/>
      </c>
      <c r="F958" s="17" t="str">
        <f t="shared" si="346"/>
        <v/>
      </c>
      <c r="G958" s="17" t="str">
        <f t="shared" si="347"/>
        <v/>
      </c>
      <c r="H958" s="16">
        <v>668</v>
      </c>
      <c r="I958" s="16" t="str">
        <f t="shared" si="348"/>
        <v/>
      </c>
      <c r="J958" s="209" t="str">
        <f t="shared" si="349"/>
        <v/>
      </c>
      <c r="K958" s="209" t="str">
        <f t="shared" si="350"/>
        <v/>
      </c>
      <c r="L958" s="692"/>
      <c r="M958" s="17" t="str">
        <f t="shared" si="351"/>
        <v/>
      </c>
    </row>
    <row r="959" spans="1:13" x14ac:dyDescent="0.25">
      <c r="A959" s="85" t="str">
        <f t="shared" si="341"/>
        <v/>
      </c>
      <c r="B959" s="296" t="str">
        <f t="shared" si="342"/>
        <v/>
      </c>
      <c r="C959" s="296" t="str">
        <f t="shared" si="343"/>
        <v/>
      </c>
      <c r="D959" s="85">
        <f t="shared" si="344"/>
        <v>5</v>
      </c>
      <c r="E959" s="17" t="str">
        <f t="shared" si="345"/>
        <v/>
      </c>
      <c r="F959" s="17" t="str">
        <f t="shared" si="346"/>
        <v/>
      </c>
      <c r="G959" s="17" t="str">
        <f t="shared" si="347"/>
        <v/>
      </c>
      <c r="H959" s="16">
        <v>669</v>
      </c>
      <c r="I959" s="16" t="str">
        <f t="shared" si="348"/>
        <v/>
      </c>
      <c r="J959" s="209" t="str">
        <f t="shared" si="349"/>
        <v/>
      </c>
      <c r="K959" s="209" t="str">
        <f t="shared" si="350"/>
        <v/>
      </c>
      <c r="L959" s="692"/>
      <c r="M959" s="17" t="str">
        <f t="shared" si="351"/>
        <v/>
      </c>
    </row>
    <row r="960" spans="1:13" x14ac:dyDescent="0.25">
      <c r="A960" s="85" t="str">
        <f t="shared" si="341"/>
        <v/>
      </c>
      <c r="B960" s="296" t="str">
        <f t="shared" si="342"/>
        <v/>
      </c>
      <c r="C960" s="296" t="str">
        <f t="shared" si="343"/>
        <v/>
      </c>
      <c r="D960" s="85">
        <f t="shared" si="344"/>
        <v>5</v>
      </c>
      <c r="E960" s="17" t="str">
        <f t="shared" si="345"/>
        <v/>
      </c>
      <c r="F960" s="17" t="str">
        <f t="shared" si="346"/>
        <v/>
      </c>
      <c r="G960" s="17" t="str">
        <f t="shared" si="347"/>
        <v/>
      </c>
      <c r="H960" s="16">
        <v>670</v>
      </c>
      <c r="I960" s="16" t="str">
        <f t="shared" si="348"/>
        <v/>
      </c>
      <c r="J960" s="209" t="str">
        <f t="shared" si="349"/>
        <v/>
      </c>
      <c r="K960" s="209" t="str">
        <f t="shared" si="350"/>
        <v/>
      </c>
      <c r="L960" s="692"/>
      <c r="M960" s="17" t="str">
        <f t="shared" si="351"/>
        <v/>
      </c>
    </row>
    <row r="961" spans="1:13" x14ac:dyDescent="0.25">
      <c r="A961" s="85" t="str">
        <f t="shared" si="341"/>
        <v/>
      </c>
      <c r="B961" s="296" t="str">
        <f t="shared" si="342"/>
        <v/>
      </c>
      <c r="C961" s="296" t="str">
        <f t="shared" si="343"/>
        <v/>
      </c>
      <c r="D961" s="85">
        <f t="shared" si="344"/>
        <v>5</v>
      </c>
      <c r="E961" s="17" t="str">
        <f t="shared" si="345"/>
        <v/>
      </c>
      <c r="F961" s="17" t="str">
        <f t="shared" si="346"/>
        <v/>
      </c>
      <c r="G961" s="17" t="str">
        <f t="shared" si="347"/>
        <v/>
      </c>
      <c r="H961" s="16">
        <v>671</v>
      </c>
      <c r="I961" s="16" t="str">
        <f t="shared" si="348"/>
        <v/>
      </c>
      <c r="J961" s="209" t="str">
        <f t="shared" si="349"/>
        <v/>
      </c>
      <c r="K961" s="209" t="str">
        <f t="shared" si="350"/>
        <v/>
      </c>
      <c r="L961" s="692"/>
      <c r="M961" s="17" t="str">
        <f t="shared" si="351"/>
        <v/>
      </c>
    </row>
    <row r="962" spans="1:13" x14ac:dyDescent="0.25">
      <c r="A962" s="85" t="str">
        <f t="shared" si="341"/>
        <v/>
      </c>
      <c r="B962" s="296" t="str">
        <f t="shared" si="342"/>
        <v/>
      </c>
      <c r="C962" s="296" t="str">
        <f t="shared" si="343"/>
        <v/>
      </c>
      <c r="D962" s="85">
        <f t="shared" si="344"/>
        <v>5</v>
      </c>
      <c r="E962" s="17" t="str">
        <f t="shared" si="345"/>
        <v/>
      </c>
      <c r="F962" s="17" t="str">
        <f t="shared" si="346"/>
        <v/>
      </c>
      <c r="G962" s="17" t="str">
        <f t="shared" si="347"/>
        <v/>
      </c>
      <c r="H962" s="16">
        <v>672</v>
      </c>
      <c r="I962" s="16" t="str">
        <f t="shared" si="348"/>
        <v/>
      </c>
      <c r="J962" s="209" t="str">
        <f t="shared" si="349"/>
        <v/>
      </c>
      <c r="K962" s="209" t="str">
        <f t="shared" si="350"/>
        <v/>
      </c>
      <c r="L962" s="692"/>
      <c r="M962" s="17" t="str">
        <f t="shared" si="351"/>
        <v/>
      </c>
    </row>
    <row r="963" spans="1:13" x14ac:dyDescent="0.25">
      <c r="A963" s="85" t="str">
        <f t="shared" si="341"/>
        <v/>
      </c>
      <c r="B963" s="296" t="str">
        <f t="shared" si="342"/>
        <v/>
      </c>
      <c r="C963" s="296" t="str">
        <f t="shared" si="343"/>
        <v/>
      </c>
      <c r="D963" s="85">
        <f t="shared" si="344"/>
        <v>5</v>
      </c>
      <c r="E963" s="17" t="str">
        <f t="shared" si="345"/>
        <v/>
      </c>
      <c r="F963" s="17" t="str">
        <f t="shared" si="346"/>
        <v/>
      </c>
      <c r="G963" s="17" t="str">
        <f t="shared" si="347"/>
        <v/>
      </c>
      <c r="H963" s="16">
        <v>673</v>
      </c>
      <c r="I963" s="16" t="str">
        <f t="shared" si="348"/>
        <v/>
      </c>
      <c r="J963" s="209" t="str">
        <f t="shared" si="349"/>
        <v/>
      </c>
      <c r="K963" s="209" t="str">
        <f t="shared" si="350"/>
        <v/>
      </c>
      <c r="L963" s="692"/>
      <c r="M963" s="17" t="str">
        <f t="shared" si="351"/>
        <v/>
      </c>
    </row>
    <row r="964" spans="1:13" x14ac:dyDescent="0.25">
      <c r="A964" s="85" t="str">
        <f t="shared" si="341"/>
        <v/>
      </c>
      <c r="B964" s="296" t="str">
        <f t="shared" si="342"/>
        <v/>
      </c>
      <c r="C964" s="296" t="str">
        <f t="shared" si="343"/>
        <v/>
      </c>
      <c r="D964" s="85">
        <f t="shared" si="344"/>
        <v>5</v>
      </c>
      <c r="E964" s="17" t="str">
        <f t="shared" si="345"/>
        <v/>
      </c>
      <c r="F964" s="17" t="str">
        <f t="shared" si="346"/>
        <v/>
      </c>
      <c r="G964" s="17" t="str">
        <f t="shared" si="347"/>
        <v/>
      </c>
      <c r="H964" s="16">
        <v>674</v>
      </c>
      <c r="I964" s="16" t="str">
        <f t="shared" si="348"/>
        <v/>
      </c>
      <c r="J964" s="209" t="str">
        <f t="shared" si="349"/>
        <v/>
      </c>
      <c r="K964" s="209" t="str">
        <f t="shared" si="350"/>
        <v/>
      </c>
      <c r="L964" s="692"/>
      <c r="M964" s="17" t="str">
        <f t="shared" si="351"/>
        <v/>
      </c>
    </row>
    <row r="965" spans="1:13" x14ac:dyDescent="0.25">
      <c r="A965" s="85" t="str">
        <f t="shared" si="341"/>
        <v/>
      </c>
      <c r="B965" s="296" t="str">
        <f t="shared" si="342"/>
        <v/>
      </c>
      <c r="C965" s="296" t="str">
        <f t="shared" si="343"/>
        <v/>
      </c>
      <c r="D965" s="85">
        <f t="shared" si="344"/>
        <v>5</v>
      </c>
      <c r="E965" s="17" t="str">
        <f t="shared" si="345"/>
        <v/>
      </c>
      <c r="F965" s="17" t="str">
        <f t="shared" si="346"/>
        <v/>
      </c>
      <c r="G965" s="17" t="str">
        <f t="shared" si="347"/>
        <v/>
      </c>
      <c r="H965" s="16">
        <v>675</v>
      </c>
      <c r="I965" s="16" t="str">
        <f t="shared" si="348"/>
        <v/>
      </c>
      <c r="J965" s="209" t="str">
        <f t="shared" si="349"/>
        <v/>
      </c>
      <c r="K965" s="209" t="str">
        <f t="shared" si="350"/>
        <v/>
      </c>
      <c r="L965" s="692"/>
      <c r="M965" s="17" t="str">
        <f t="shared" si="351"/>
        <v/>
      </c>
    </row>
    <row r="966" spans="1:13" x14ac:dyDescent="0.25">
      <c r="A966" s="85" t="str">
        <f t="shared" si="341"/>
        <v/>
      </c>
      <c r="B966" s="296" t="str">
        <f t="shared" si="342"/>
        <v/>
      </c>
      <c r="C966" s="296" t="str">
        <f t="shared" si="343"/>
        <v/>
      </c>
      <c r="D966" s="85">
        <f t="shared" si="344"/>
        <v>5</v>
      </c>
      <c r="E966" s="17" t="str">
        <f t="shared" si="345"/>
        <v/>
      </c>
      <c r="F966" s="17" t="str">
        <f t="shared" si="346"/>
        <v/>
      </c>
      <c r="G966" s="17" t="str">
        <f t="shared" si="347"/>
        <v/>
      </c>
      <c r="H966" s="16">
        <v>676</v>
      </c>
      <c r="I966" s="16" t="str">
        <f t="shared" si="348"/>
        <v/>
      </c>
      <c r="J966" s="209" t="str">
        <f t="shared" si="349"/>
        <v/>
      </c>
      <c r="K966" s="209" t="str">
        <f t="shared" si="350"/>
        <v/>
      </c>
      <c r="L966" s="692"/>
      <c r="M966" s="17" t="str">
        <f t="shared" si="351"/>
        <v/>
      </c>
    </row>
    <row r="967" spans="1:13" x14ac:dyDescent="0.25">
      <c r="A967" s="85" t="str">
        <f t="shared" si="341"/>
        <v/>
      </c>
      <c r="B967" s="296" t="str">
        <f t="shared" si="342"/>
        <v/>
      </c>
      <c r="C967" s="296" t="str">
        <f t="shared" si="343"/>
        <v/>
      </c>
      <c r="D967" s="85">
        <f t="shared" si="344"/>
        <v>5</v>
      </c>
      <c r="E967" s="17" t="str">
        <f t="shared" si="345"/>
        <v/>
      </c>
      <c r="F967" s="17" t="str">
        <f t="shared" si="346"/>
        <v/>
      </c>
      <c r="G967" s="17" t="str">
        <f t="shared" si="347"/>
        <v/>
      </c>
      <c r="H967" s="16">
        <v>677</v>
      </c>
      <c r="I967" s="16" t="str">
        <f t="shared" si="348"/>
        <v/>
      </c>
      <c r="J967" s="209" t="str">
        <f t="shared" si="349"/>
        <v/>
      </c>
      <c r="K967" s="209" t="str">
        <f t="shared" si="350"/>
        <v/>
      </c>
      <c r="L967" s="692"/>
      <c r="M967" s="17" t="str">
        <f t="shared" si="351"/>
        <v/>
      </c>
    </row>
    <row r="968" spans="1:13" x14ac:dyDescent="0.25">
      <c r="A968" s="85" t="str">
        <f t="shared" si="341"/>
        <v/>
      </c>
      <c r="B968" s="296" t="str">
        <f t="shared" si="342"/>
        <v/>
      </c>
      <c r="C968" s="296" t="str">
        <f t="shared" si="343"/>
        <v/>
      </c>
      <c r="D968" s="85">
        <f t="shared" si="344"/>
        <v>5</v>
      </c>
      <c r="E968" s="17" t="str">
        <f t="shared" si="345"/>
        <v/>
      </c>
      <c r="F968" s="17" t="str">
        <f t="shared" si="346"/>
        <v/>
      </c>
      <c r="G968" s="17" t="str">
        <f t="shared" si="347"/>
        <v/>
      </c>
      <c r="H968" s="16">
        <v>678</v>
      </c>
      <c r="I968" s="16" t="str">
        <f t="shared" si="348"/>
        <v/>
      </c>
      <c r="J968" s="209" t="str">
        <f t="shared" si="349"/>
        <v/>
      </c>
      <c r="K968" s="209" t="str">
        <f t="shared" si="350"/>
        <v/>
      </c>
      <c r="L968" s="692"/>
      <c r="M968" s="17" t="str">
        <f t="shared" si="351"/>
        <v/>
      </c>
    </row>
    <row r="969" spans="1:13" x14ac:dyDescent="0.25">
      <c r="A969" s="85" t="str">
        <f t="shared" si="341"/>
        <v/>
      </c>
      <c r="B969" s="296" t="str">
        <f t="shared" si="342"/>
        <v/>
      </c>
      <c r="C969" s="296" t="str">
        <f t="shared" si="343"/>
        <v/>
      </c>
      <c r="D969" s="85">
        <f t="shared" si="344"/>
        <v>5</v>
      </c>
      <c r="E969" s="17" t="str">
        <f t="shared" si="345"/>
        <v/>
      </c>
      <c r="F969" s="17" t="str">
        <f t="shared" si="346"/>
        <v/>
      </c>
      <c r="G969" s="17" t="str">
        <f t="shared" si="347"/>
        <v/>
      </c>
      <c r="H969" s="16">
        <v>679</v>
      </c>
      <c r="I969" s="16" t="str">
        <f t="shared" si="348"/>
        <v/>
      </c>
      <c r="J969" s="209" t="str">
        <f t="shared" si="349"/>
        <v/>
      </c>
      <c r="K969" s="209" t="str">
        <f t="shared" si="350"/>
        <v/>
      </c>
      <c r="L969" s="692"/>
      <c r="M969" s="17" t="str">
        <f t="shared" si="351"/>
        <v/>
      </c>
    </row>
    <row r="970" spans="1:13" x14ac:dyDescent="0.25">
      <c r="A970" s="85" t="str">
        <f t="shared" si="341"/>
        <v/>
      </c>
      <c r="B970" s="296" t="str">
        <f t="shared" si="342"/>
        <v/>
      </c>
      <c r="C970" s="296" t="str">
        <f t="shared" si="343"/>
        <v/>
      </c>
      <c r="D970" s="85">
        <f t="shared" si="344"/>
        <v>5</v>
      </c>
      <c r="E970" s="17" t="str">
        <f t="shared" si="345"/>
        <v/>
      </c>
      <c r="F970" s="17" t="str">
        <f t="shared" si="346"/>
        <v/>
      </c>
      <c r="G970" s="17" t="str">
        <f t="shared" si="347"/>
        <v/>
      </c>
      <c r="H970" s="16">
        <v>680</v>
      </c>
      <c r="I970" s="16" t="str">
        <f t="shared" si="348"/>
        <v/>
      </c>
      <c r="J970" s="209" t="str">
        <f t="shared" si="349"/>
        <v/>
      </c>
      <c r="K970" s="209" t="str">
        <f t="shared" si="350"/>
        <v/>
      </c>
      <c r="L970" s="692"/>
      <c r="M970" s="17" t="str">
        <f t="shared" si="351"/>
        <v/>
      </c>
    </row>
    <row r="971" spans="1:13" x14ac:dyDescent="0.25">
      <c r="A971" s="85" t="str">
        <f t="shared" si="341"/>
        <v/>
      </c>
      <c r="B971" s="296" t="str">
        <f t="shared" si="342"/>
        <v/>
      </c>
      <c r="C971" s="296" t="str">
        <f t="shared" si="343"/>
        <v/>
      </c>
      <c r="D971" s="85">
        <f t="shared" si="344"/>
        <v>5</v>
      </c>
      <c r="E971" s="17" t="str">
        <f t="shared" si="345"/>
        <v/>
      </c>
      <c r="F971" s="17" t="str">
        <f t="shared" si="346"/>
        <v/>
      </c>
      <c r="G971" s="17" t="str">
        <f t="shared" si="347"/>
        <v/>
      </c>
      <c r="H971" s="16">
        <v>681</v>
      </c>
      <c r="I971" s="16" t="str">
        <f t="shared" si="348"/>
        <v/>
      </c>
      <c r="J971" s="209" t="str">
        <f t="shared" si="349"/>
        <v/>
      </c>
      <c r="K971" s="209" t="str">
        <f t="shared" si="350"/>
        <v/>
      </c>
      <c r="L971" s="692"/>
      <c r="M971" s="17" t="str">
        <f t="shared" si="351"/>
        <v/>
      </c>
    </row>
    <row r="972" spans="1:13" x14ac:dyDescent="0.25">
      <c r="A972" s="85" t="str">
        <f t="shared" si="341"/>
        <v/>
      </c>
      <c r="B972" s="296" t="str">
        <f t="shared" si="342"/>
        <v/>
      </c>
      <c r="C972" s="296" t="str">
        <f t="shared" si="343"/>
        <v/>
      </c>
      <c r="D972" s="85">
        <f t="shared" si="344"/>
        <v>5</v>
      </c>
      <c r="E972" s="17" t="str">
        <f t="shared" si="345"/>
        <v/>
      </c>
      <c r="F972" s="17" t="str">
        <f t="shared" si="346"/>
        <v/>
      </c>
      <c r="G972" s="17" t="str">
        <f t="shared" si="347"/>
        <v/>
      </c>
      <c r="H972" s="16">
        <v>682</v>
      </c>
      <c r="I972" s="16" t="str">
        <f t="shared" si="348"/>
        <v/>
      </c>
      <c r="J972" s="209" t="str">
        <f t="shared" si="349"/>
        <v/>
      </c>
      <c r="K972" s="209" t="str">
        <f t="shared" si="350"/>
        <v/>
      </c>
      <c r="L972" s="692"/>
      <c r="M972" s="17" t="str">
        <f t="shared" si="351"/>
        <v/>
      </c>
    </row>
    <row r="973" spans="1:13" x14ac:dyDescent="0.25">
      <c r="A973" s="85" t="str">
        <f t="shared" si="341"/>
        <v/>
      </c>
      <c r="B973" s="296" t="str">
        <f t="shared" si="342"/>
        <v/>
      </c>
      <c r="C973" s="296" t="str">
        <f t="shared" si="343"/>
        <v/>
      </c>
      <c r="D973" s="85">
        <f t="shared" si="344"/>
        <v>5</v>
      </c>
      <c r="E973" s="17" t="str">
        <f t="shared" si="345"/>
        <v/>
      </c>
      <c r="F973" s="17" t="str">
        <f t="shared" si="346"/>
        <v/>
      </c>
      <c r="G973" s="17" t="str">
        <f t="shared" si="347"/>
        <v/>
      </c>
      <c r="H973" s="16">
        <v>683</v>
      </c>
      <c r="I973" s="16" t="str">
        <f t="shared" si="348"/>
        <v/>
      </c>
      <c r="J973" s="209" t="str">
        <f t="shared" si="349"/>
        <v/>
      </c>
      <c r="K973" s="209" t="str">
        <f t="shared" si="350"/>
        <v/>
      </c>
      <c r="L973" s="692"/>
      <c r="M973" s="17" t="str">
        <f t="shared" si="351"/>
        <v/>
      </c>
    </row>
    <row r="974" spans="1:13" x14ac:dyDescent="0.25">
      <c r="A974" s="85" t="str">
        <f t="shared" si="341"/>
        <v/>
      </c>
      <c r="B974" s="296" t="str">
        <f t="shared" si="342"/>
        <v/>
      </c>
      <c r="C974" s="296" t="str">
        <f t="shared" si="343"/>
        <v/>
      </c>
      <c r="D974" s="85">
        <f t="shared" si="344"/>
        <v>5</v>
      </c>
      <c r="E974" s="17" t="str">
        <f t="shared" si="345"/>
        <v/>
      </c>
      <c r="F974" s="17" t="str">
        <f t="shared" si="346"/>
        <v/>
      </c>
      <c r="G974" s="17" t="str">
        <f t="shared" si="347"/>
        <v/>
      </c>
      <c r="H974" s="16">
        <v>684</v>
      </c>
      <c r="I974" s="16" t="str">
        <f t="shared" si="348"/>
        <v/>
      </c>
      <c r="J974" s="209" t="str">
        <f t="shared" si="349"/>
        <v/>
      </c>
      <c r="K974" s="209" t="str">
        <f t="shared" si="350"/>
        <v/>
      </c>
      <c r="L974" s="692"/>
      <c r="M974" s="17" t="str">
        <f t="shared" si="351"/>
        <v/>
      </c>
    </row>
    <row r="975" spans="1:13" x14ac:dyDescent="0.25">
      <c r="A975" s="85" t="str">
        <f t="shared" si="341"/>
        <v/>
      </c>
      <c r="B975" s="296" t="str">
        <f t="shared" si="342"/>
        <v/>
      </c>
      <c r="C975" s="296" t="str">
        <f t="shared" si="343"/>
        <v/>
      </c>
      <c r="D975" s="85">
        <f t="shared" si="344"/>
        <v>5</v>
      </c>
      <c r="E975" s="17" t="str">
        <f t="shared" si="345"/>
        <v/>
      </c>
      <c r="F975" s="17" t="str">
        <f t="shared" si="346"/>
        <v/>
      </c>
      <c r="G975" s="17" t="str">
        <f t="shared" si="347"/>
        <v/>
      </c>
      <c r="H975" s="16">
        <v>685</v>
      </c>
      <c r="I975" s="16" t="str">
        <f t="shared" si="348"/>
        <v/>
      </c>
      <c r="J975" s="209" t="str">
        <f t="shared" si="349"/>
        <v/>
      </c>
      <c r="K975" s="209" t="str">
        <f t="shared" si="350"/>
        <v/>
      </c>
      <c r="L975" s="692"/>
      <c r="M975" s="17" t="str">
        <f t="shared" si="351"/>
        <v/>
      </c>
    </row>
    <row r="976" spans="1:13" x14ac:dyDescent="0.25">
      <c r="A976" s="85" t="str">
        <f t="shared" si="341"/>
        <v/>
      </c>
      <c r="B976" s="296" t="str">
        <f t="shared" si="342"/>
        <v/>
      </c>
      <c r="C976" s="296" t="str">
        <f t="shared" si="343"/>
        <v/>
      </c>
      <c r="D976" s="85">
        <f t="shared" si="344"/>
        <v>5</v>
      </c>
      <c r="E976" s="17" t="str">
        <f t="shared" si="345"/>
        <v/>
      </c>
      <c r="F976" s="17" t="str">
        <f t="shared" si="346"/>
        <v/>
      </c>
      <c r="G976" s="17" t="str">
        <f t="shared" si="347"/>
        <v/>
      </c>
      <c r="H976" s="16">
        <v>686</v>
      </c>
      <c r="I976" s="16" t="str">
        <f t="shared" si="348"/>
        <v/>
      </c>
      <c r="J976" s="209" t="str">
        <f t="shared" si="349"/>
        <v/>
      </c>
      <c r="K976" s="209" t="str">
        <f t="shared" si="350"/>
        <v/>
      </c>
      <c r="L976" s="692"/>
      <c r="M976" s="17" t="str">
        <f t="shared" si="351"/>
        <v/>
      </c>
    </row>
    <row r="977" spans="1:13" x14ac:dyDescent="0.25">
      <c r="A977" s="85" t="str">
        <f t="shared" si="341"/>
        <v/>
      </c>
      <c r="B977" s="296" t="str">
        <f t="shared" si="342"/>
        <v/>
      </c>
      <c r="C977" s="296" t="str">
        <f t="shared" si="343"/>
        <v/>
      </c>
      <c r="D977" s="85">
        <f t="shared" si="344"/>
        <v>5</v>
      </c>
      <c r="E977" s="17" t="str">
        <f t="shared" si="345"/>
        <v/>
      </c>
      <c r="F977" s="17" t="str">
        <f t="shared" si="346"/>
        <v/>
      </c>
      <c r="G977" s="17" t="str">
        <f t="shared" si="347"/>
        <v/>
      </c>
      <c r="H977" s="16">
        <v>687</v>
      </c>
      <c r="I977" s="16" t="str">
        <f t="shared" si="348"/>
        <v/>
      </c>
      <c r="J977" s="209" t="str">
        <f t="shared" si="349"/>
        <v/>
      </c>
      <c r="K977" s="209" t="str">
        <f t="shared" si="350"/>
        <v/>
      </c>
      <c r="L977" s="692"/>
      <c r="M977" s="17" t="str">
        <f t="shared" si="351"/>
        <v/>
      </c>
    </row>
    <row r="978" spans="1:13" x14ac:dyDescent="0.25">
      <c r="A978" s="85" t="str">
        <f t="shared" si="341"/>
        <v/>
      </c>
      <c r="B978" s="296" t="str">
        <f t="shared" si="342"/>
        <v/>
      </c>
      <c r="C978" s="296" t="str">
        <f t="shared" si="343"/>
        <v/>
      </c>
      <c r="D978" s="85">
        <f t="shared" si="344"/>
        <v>5</v>
      </c>
      <c r="E978" s="17" t="str">
        <f t="shared" si="345"/>
        <v/>
      </c>
      <c r="F978" s="17" t="str">
        <f t="shared" si="346"/>
        <v/>
      </c>
      <c r="G978" s="17" t="str">
        <f t="shared" si="347"/>
        <v/>
      </c>
      <c r="H978" s="16">
        <v>688</v>
      </c>
      <c r="I978" s="16" t="str">
        <f t="shared" si="348"/>
        <v/>
      </c>
      <c r="J978" s="209" t="str">
        <f t="shared" si="349"/>
        <v/>
      </c>
      <c r="K978" s="209" t="str">
        <f t="shared" si="350"/>
        <v/>
      </c>
      <c r="L978" s="692"/>
      <c r="M978" s="17" t="str">
        <f t="shared" si="351"/>
        <v/>
      </c>
    </row>
    <row r="979" spans="1:13" x14ac:dyDescent="0.25">
      <c r="A979" s="85" t="str">
        <f t="shared" si="341"/>
        <v/>
      </c>
      <c r="B979" s="296" t="str">
        <f t="shared" si="342"/>
        <v/>
      </c>
      <c r="C979" s="296" t="str">
        <f t="shared" si="343"/>
        <v/>
      </c>
      <c r="D979" s="85">
        <f t="shared" si="344"/>
        <v>5</v>
      </c>
      <c r="E979" s="17" t="str">
        <f t="shared" si="345"/>
        <v/>
      </c>
      <c r="F979" s="17" t="str">
        <f t="shared" si="346"/>
        <v/>
      </c>
      <c r="G979" s="17" t="str">
        <f t="shared" si="347"/>
        <v/>
      </c>
      <c r="H979" s="16">
        <v>689</v>
      </c>
      <c r="I979" s="16" t="str">
        <f t="shared" si="348"/>
        <v/>
      </c>
      <c r="J979" s="209" t="str">
        <f t="shared" si="349"/>
        <v/>
      </c>
      <c r="K979" s="209" t="str">
        <f t="shared" si="350"/>
        <v/>
      </c>
      <c r="L979" s="692"/>
      <c r="M979" s="17" t="str">
        <f t="shared" si="351"/>
        <v/>
      </c>
    </row>
    <row r="980" spans="1:13" x14ac:dyDescent="0.25">
      <c r="A980" s="85" t="str">
        <f t="shared" si="341"/>
        <v/>
      </c>
      <c r="B980" s="296" t="str">
        <f t="shared" si="342"/>
        <v/>
      </c>
      <c r="C980" s="296" t="str">
        <f t="shared" si="343"/>
        <v/>
      </c>
      <c r="D980" s="85">
        <f t="shared" si="344"/>
        <v>5</v>
      </c>
      <c r="E980" s="17" t="str">
        <f t="shared" si="345"/>
        <v/>
      </c>
      <c r="F980" s="17" t="str">
        <f t="shared" si="346"/>
        <v/>
      </c>
      <c r="G980" s="17" t="str">
        <f t="shared" si="347"/>
        <v/>
      </c>
      <c r="H980" s="16">
        <v>690</v>
      </c>
      <c r="I980" s="16" t="str">
        <f t="shared" si="348"/>
        <v/>
      </c>
      <c r="J980" s="209" t="str">
        <f t="shared" si="349"/>
        <v/>
      </c>
      <c r="K980" s="209" t="str">
        <f t="shared" si="350"/>
        <v/>
      </c>
      <c r="L980" s="692"/>
      <c r="M980" s="17" t="str">
        <f t="shared" si="351"/>
        <v/>
      </c>
    </row>
    <row r="981" spans="1:13" x14ac:dyDescent="0.25">
      <c r="A981" s="85" t="str">
        <f t="shared" si="341"/>
        <v/>
      </c>
      <c r="B981" s="296" t="str">
        <f t="shared" si="342"/>
        <v/>
      </c>
      <c r="C981" s="296" t="str">
        <f t="shared" si="343"/>
        <v/>
      </c>
      <c r="D981" s="85">
        <f t="shared" si="344"/>
        <v>5</v>
      </c>
      <c r="E981" s="17" t="str">
        <f t="shared" si="345"/>
        <v/>
      </c>
      <c r="F981" s="17" t="str">
        <f t="shared" si="346"/>
        <v/>
      </c>
      <c r="G981" s="17" t="str">
        <f t="shared" si="347"/>
        <v/>
      </c>
      <c r="H981" s="16">
        <v>691</v>
      </c>
      <c r="I981" s="16" t="str">
        <f t="shared" si="348"/>
        <v/>
      </c>
      <c r="J981" s="209" t="str">
        <f t="shared" si="349"/>
        <v/>
      </c>
      <c r="K981" s="209" t="str">
        <f t="shared" si="350"/>
        <v/>
      </c>
      <c r="L981" s="692"/>
      <c r="M981" s="17" t="str">
        <f t="shared" si="351"/>
        <v/>
      </c>
    </row>
    <row r="982" spans="1:13" x14ac:dyDescent="0.25">
      <c r="A982" s="85" t="str">
        <f t="shared" si="341"/>
        <v/>
      </c>
      <c r="B982" s="296" t="str">
        <f t="shared" si="342"/>
        <v/>
      </c>
      <c r="C982" s="296" t="str">
        <f t="shared" si="343"/>
        <v/>
      </c>
      <c r="D982" s="85">
        <f t="shared" si="344"/>
        <v>5</v>
      </c>
      <c r="E982" s="17" t="str">
        <f t="shared" si="345"/>
        <v/>
      </c>
      <c r="F982" s="17" t="str">
        <f t="shared" si="346"/>
        <v/>
      </c>
      <c r="G982" s="17" t="str">
        <f t="shared" si="347"/>
        <v/>
      </c>
      <c r="H982" s="16">
        <v>692</v>
      </c>
      <c r="I982" s="16" t="str">
        <f t="shared" si="348"/>
        <v/>
      </c>
      <c r="J982" s="209" t="str">
        <f t="shared" si="349"/>
        <v/>
      </c>
      <c r="K982" s="209" t="str">
        <f t="shared" si="350"/>
        <v/>
      </c>
      <c r="L982" s="692"/>
      <c r="M982" s="17" t="str">
        <f t="shared" si="351"/>
        <v/>
      </c>
    </row>
    <row r="983" spans="1:13" x14ac:dyDescent="0.25">
      <c r="A983" s="85" t="str">
        <f t="shared" si="341"/>
        <v/>
      </c>
      <c r="B983" s="296" t="str">
        <f t="shared" si="342"/>
        <v/>
      </c>
      <c r="C983" s="296" t="str">
        <f t="shared" si="343"/>
        <v/>
      </c>
      <c r="D983" s="85">
        <f t="shared" si="344"/>
        <v>5</v>
      </c>
      <c r="E983" s="17" t="str">
        <f t="shared" si="345"/>
        <v/>
      </c>
      <c r="F983" s="17" t="str">
        <f t="shared" si="346"/>
        <v/>
      </c>
      <c r="G983" s="17" t="str">
        <f t="shared" si="347"/>
        <v/>
      </c>
      <c r="H983" s="16">
        <v>693</v>
      </c>
      <c r="I983" s="16" t="str">
        <f t="shared" si="348"/>
        <v/>
      </c>
      <c r="J983" s="209" t="str">
        <f t="shared" si="349"/>
        <v/>
      </c>
      <c r="K983" s="209" t="str">
        <f t="shared" si="350"/>
        <v/>
      </c>
      <c r="L983" s="692"/>
      <c r="M983" s="17" t="str">
        <f t="shared" si="351"/>
        <v/>
      </c>
    </row>
    <row r="984" spans="1:13" x14ac:dyDescent="0.25">
      <c r="A984" s="85" t="str">
        <f t="shared" si="341"/>
        <v/>
      </c>
      <c r="B984" s="296" t="str">
        <f t="shared" si="342"/>
        <v/>
      </c>
      <c r="C984" s="296" t="str">
        <f t="shared" si="343"/>
        <v/>
      </c>
      <c r="D984" s="85">
        <f t="shared" si="344"/>
        <v>5</v>
      </c>
      <c r="E984" s="17" t="str">
        <f t="shared" si="345"/>
        <v/>
      </c>
      <c r="F984" s="17" t="str">
        <f t="shared" si="346"/>
        <v/>
      </c>
      <c r="G984" s="17" t="str">
        <f t="shared" si="347"/>
        <v/>
      </c>
      <c r="H984" s="16">
        <v>694</v>
      </c>
      <c r="I984" s="16" t="str">
        <f t="shared" si="348"/>
        <v/>
      </c>
      <c r="J984" s="209" t="str">
        <f t="shared" si="349"/>
        <v/>
      </c>
      <c r="K984" s="209" t="str">
        <f t="shared" si="350"/>
        <v/>
      </c>
      <c r="L984" s="692"/>
      <c r="M984" s="17" t="str">
        <f t="shared" si="351"/>
        <v/>
      </c>
    </row>
    <row r="985" spans="1:13" x14ac:dyDescent="0.25">
      <c r="A985" s="85" t="str">
        <f t="shared" si="341"/>
        <v/>
      </c>
      <c r="B985" s="296" t="str">
        <f t="shared" si="342"/>
        <v/>
      </c>
      <c r="C985" s="296" t="str">
        <f t="shared" si="343"/>
        <v/>
      </c>
      <c r="D985" s="85">
        <f t="shared" si="344"/>
        <v>5</v>
      </c>
      <c r="E985" s="17" t="str">
        <f t="shared" si="345"/>
        <v/>
      </c>
      <c r="F985" s="17" t="str">
        <f t="shared" si="346"/>
        <v/>
      </c>
      <c r="G985" s="17" t="str">
        <f t="shared" si="347"/>
        <v/>
      </c>
      <c r="H985" s="16">
        <v>695</v>
      </c>
      <c r="I985" s="16" t="str">
        <f t="shared" si="348"/>
        <v/>
      </c>
      <c r="J985" s="209" t="str">
        <f t="shared" si="349"/>
        <v/>
      </c>
      <c r="K985" s="209" t="str">
        <f t="shared" si="350"/>
        <v/>
      </c>
      <c r="L985" s="692"/>
      <c r="M985" s="17" t="str">
        <f t="shared" si="351"/>
        <v/>
      </c>
    </row>
    <row r="986" spans="1:13" x14ac:dyDescent="0.25">
      <c r="A986" s="85" t="str">
        <f t="shared" si="341"/>
        <v/>
      </c>
      <c r="B986" s="296" t="str">
        <f t="shared" si="342"/>
        <v/>
      </c>
      <c r="C986" s="296" t="str">
        <f t="shared" si="343"/>
        <v/>
      </c>
      <c r="D986" s="85">
        <f t="shared" si="344"/>
        <v>5</v>
      </c>
      <c r="E986" s="17" t="str">
        <f t="shared" si="345"/>
        <v/>
      </c>
      <c r="F986" s="17" t="str">
        <f t="shared" si="346"/>
        <v/>
      </c>
      <c r="G986" s="17" t="str">
        <f t="shared" si="347"/>
        <v/>
      </c>
      <c r="H986" s="16">
        <v>696</v>
      </c>
      <c r="I986" s="16" t="str">
        <f t="shared" si="348"/>
        <v/>
      </c>
      <c r="J986" s="209" t="str">
        <f t="shared" si="349"/>
        <v/>
      </c>
      <c r="K986" s="209" t="str">
        <f t="shared" si="350"/>
        <v/>
      </c>
      <c r="L986" s="692"/>
      <c r="M986" s="17" t="str">
        <f t="shared" si="351"/>
        <v/>
      </c>
    </row>
    <row r="987" spans="1:13" x14ac:dyDescent="0.25">
      <c r="A987" s="85" t="str">
        <f t="shared" si="341"/>
        <v/>
      </c>
      <c r="B987" s="296" t="str">
        <f t="shared" si="342"/>
        <v/>
      </c>
      <c r="C987" s="296" t="str">
        <f t="shared" si="343"/>
        <v/>
      </c>
      <c r="D987" s="85">
        <f t="shared" si="344"/>
        <v>5</v>
      </c>
      <c r="E987" s="17" t="str">
        <f t="shared" si="345"/>
        <v/>
      </c>
      <c r="F987" s="17" t="str">
        <f t="shared" si="346"/>
        <v/>
      </c>
      <c r="G987" s="17" t="str">
        <f t="shared" si="347"/>
        <v/>
      </c>
      <c r="H987" s="16">
        <v>697</v>
      </c>
      <c r="I987" s="16" t="str">
        <f t="shared" si="348"/>
        <v/>
      </c>
      <c r="J987" s="209" t="str">
        <f t="shared" si="349"/>
        <v/>
      </c>
      <c r="K987" s="209" t="str">
        <f t="shared" si="350"/>
        <v/>
      </c>
      <c r="L987" s="692"/>
      <c r="M987" s="17" t="str">
        <f t="shared" si="351"/>
        <v/>
      </c>
    </row>
    <row r="988" spans="1:13" x14ac:dyDescent="0.25">
      <c r="A988" s="85" t="str">
        <f t="shared" si="341"/>
        <v/>
      </c>
      <c r="B988" s="296" t="str">
        <f t="shared" si="342"/>
        <v/>
      </c>
      <c r="C988" s="296" t="str">
        <f t="shared" si="343"/>
        <v/>
      </c>
      <c r="D988" s="85">
        <f t="shared" si="344"/>
        <v>5</v>
      </c>
      <c r="E988" s="17" t="str">
        <f t="shared" si="345"/>
        <v/>
      </c>
      <c r="F988" s="17" t="str">
        <f t="shared" si="346"/>
        <v/>
      </c>
      <c r="G988" s="17" t="str">
        <f t="shared" si="347"/>
        <v/>
      </c>
      <c r="H988" s="16">
        <v>698</v>
      </c>
      <c r="I988" s="16" t="str">
        <f t="shared" si="348"/>
        <v/>
      </c>
      <c r="J988" s="209" t="str">
        <f t="shared" si="349"/>
        <v/>
      </c>
      <c r="K988" s="209" t="str">
        <f t="shared" si="350"/>
        <v/>
      </c>
      <c r="L988" s="692"/>
      <c r="M988" s="17" t="str">
        <f t="shared" si="351"/>
        <v/>
      </c>
    </row>
    <row r="989" spans="1:13" x14ac:dyDescent="0.25">
      <c r="A989" s="85" t="str">
        <f t="shared" si="341"/>
        <v/>
      </c>
      <c r="B989" s="296" t="str">
        <f t="shared" si="342"/>
        <v/>
      </c>
      <c r="C989" s="296" t="str">
        <f t="shared" si="343"/>
        <v/>
      </c>
      <c r="D989" s="85">
        <f t="shared" si="344"/>
        <v>5</v>
      </c>
      <c r="E989" s="17" t="str">
        <f t="shared" si="345"/>
        <v/>
      </c>
      <c r="F989" s="17" t="str">
        <f t="shared" si="346"/>
        <v/>
      </c>
      <c r="G989" s="17" t="str">
        <f t="shared" si="347"/>
        <v/>
      </c>
      <c r="H989" s="16">
        <v>699</v>
      </c>
      <c r="I989" s="16" t="str">
        <f t="shared" si="348"/>
        <v/>
      </c>
      <c r="J989" s="209" t="str">
        <f t="shared" si="349"/>
        <v/>
      </c>
      <c r="K989" s="209" t="str">
        <f t="shared" si="350"/>
        <v/>
      </c>
      <c r="L989" s="692"/>
      <c r="M989" s="17" t="str">
        <f t="shared" si="351"/>
        <v/>
      </c>
    </row>
    <row r="990" spans="1:13" x14ac:dyDescent="0.25">
      <c r="A990" s="85" t="str">
        <f t="shared" si="341"/>
        <v/>
      </c>
      <c r="B990" s="296" t="str">
        <f t="shared" si="342"/>
        <v/>
      </c>
      <c r="C990" s="296" t="str">
        <f t="shared" si="343"/>
        <v/>
      </c>
      <c r="D990" s="85">
        <f t="shared" si="344"/>
        <v>5</v>
      </c>
      <c r="E990" s="17" t="str">
        <f t="shared" si="345"/>
        <v/>
      </c>
      <c r="F990" s="17" t="str">
        <f t="shared" si="346"/>
        <v/>
      </c>
      <c r="G990" s="17" t="str">
        <f t="shared" si="347"/>
        <v/>
      </c>
      <c r="H990" s="16">
        <v>700</v>
      </c>
      <c r="I990" s="16" t="str">
        <f t="shared" si="348"/>
        <v/>
      </c>
      <c r="J990" s="209" t="str">
        <f t="shared" si="349"/>
        <v/>
      </c>
      <c r="K990" s="209" t="str">
        <f t="shared" si="350"/>
        <v/>
      </c>
      <c r="L990" s="692"/>
      <c r="M990" s="17" t="str">
        <f t="shared" si="351"/>
        <v/>
      </c>
    </row>
    <row r="991" spans="1:13" x14ac:dyDescent="0.25">
      <c r="A991" s="85" t="str">
        <f t="shared" si="341"/>
        <v/>
      </c>
      <c r="B991" s="296" t="str">
        <f t="shared" si="342"/>
        <v/>
      </c>
      <c r="C991" s="296" t="str">
        <f t="shared" si="343"/>
        <v/>
      </c>
      <c r="D991" s="85">
        <f t="shared" si="344"/>
        <v>5</v>
      </c>
      <c r="E991" s="17" t="str">
        <f t="shared" si="345"/>
        <v/>
      </c>
      <c r="F991" s="17" t="str">
        <f t="shared" si="346"/>
        <v/>
      </c>
      <c r="G991" s="17" t="str">
        <f t="shared" si="347"/>
        <v/>
      </c>
      <c r="H991" s="16">
        <v>701</v>
      </c>
      <c r="I991" s="16" t="str">
        <f t="shared" si="348"/>
        <v/>
      </c>
      <c r="J991" s="209" t="str">
        <f t="shared" si="349"/>
        <v/>
      </c>
      <c r="K991" s="209" t="str">
        <f t="shared" si="350"/>
        <v/>
      </c>
      <c r="L991" s="692"/>
      <c r="M991" s="17" t="str">
        <f t="shared" si="351"/>
        <v/>
      </c>
    </row>
    <row r="992" spans="1:13" x14ac:dyDescent="0.25">
      <c r="A992" s="85" t="str">
        <f t="shared" si="341"/>
        <v/>
      </c>
      <c r="B992" s="296" t="str">
        <f t="shared" si="342"/>
        <v/>
      </c>
      <c r="C992" s="296" t="str">
        <f t="shared" si="343"/>
        <v/>
      </c>
      <c r="D992" s="85">
        <f t="shared" si="344"/>
        <v>5</v>
      </c>
      <c r="E992" s="17" t="str">
        <f t="shared" si="345"/>
        <v/>
      </c>
      <c r="F992" s="17" t="str">
        <f t="shared" si="346"/>
        <v/>
      </c>
      <c r="G992" s="17" t="str">
        <f t="shared" si="347"/>
        <v/>
      </c>
      <c r="H992" s="16">
        <v>702</v>
      </c>
      <c r="I992" s="16" t="str">
        <f t="shared" si="348"/>
        <v/>
      </c>
      <c r="J992" s="209" t="str">
        <f t="shared" si="349"/>
        <v/>
      </c>
      <c r="K992" s="209" t="str">
        <f t="shared" si="350"/>
        <v/>
      </c>
      <c r="L992" s="692"/>
      <c r="M992" s="17" t="str">
        <f t="shared" si="351"/>
        <v/>
      </c>
    </row>
    <row r="993" spans="1:13" x14ac:dyDescent="0.25">
      <c r="A993" s="85" t="str">
        <f t="shared" si="341"/>
        <v/>
      </c>
      <c r="B993" s="296" t="str">
        <f t="shared" si="342"/>
        <v/>
      </c>
      <c r="C993" s="296" t="str">
        <f t="shared" si="343"/>
        <v/>
      </c>
      <c r="D993" s="85">
        <f t="shared" si="344"/>
        <v>5</v>
      </c>
      <c r="E993" s="17" t="str">
        <f t="shared" si="345"/>
        <v/>
      </c>
      <c r="F993" s="17" t="str">
        <f t="shared" si="346"/>
        <v/>
      </c>
      <c r="G993" s="17" t="str">
        <f t="shared" si="347"/>
        <v/>
      </c>
      <c r="H993" s="16">
        <v>703</v>
      </c>
      <c r="I993" s="16" t="str">
        <f t="shared" si="348"/>
        <v/>
      </c>
      <c r="J993" s="209" t="str">
        <f t="shared" si="349"/>
        <v/>
      </c>
      <c r="K993" s="209" t="str">
        <f t="shared" si="350"/>
        <v/>
      </c>
      <c r="L993" s="692"/>
      <c r="M993" s="17" t="str">
        <f t="shared" si="351"/>
        <v/>
      </c>
    </row>
    <row r="994" spans="1:13" x14ac:dyDescent="0.25">
      <c r="A994" s="85" t="str">
        <f t="shared" si="341"/>
        <v/>
      </c>
      <c r="B994" s="296" t="str">
        <f t="shared" si="342"/>
        <v/>
      </c>
      <c r="C994" s="296" t="str">
        <f t="shared" si="343"/>
        <v/>
      </c>
      <c r="D994" s="85">
        <f t="shared" si="344"/>
        <v>5</v>
      </c>
      <c r="E994" s="17" t="str">
        <f t="shared" si="345"/>
        <v/>
      </c>
      <c r="F994" s="17" t="str">
        <f t="shared" si="346"/>
        <v/>
      </c>
      <c r="G994" s="17" t="str">
        <f t="shared" si="347"/>
        <v/>
      </c>
      <c r="H994" s="16">
        <v>704</v>
      </c>
      <c r="I994" s="16" t="str">
        <f t="shared" si="348"/>
        <v/>
      </c>
      <c r="J994" s="209" t="str">
        <f t="shared" si="349"/>
        <v/>
      </c>
      <c r="K994" s="209" t="str">
        <f t="shared" si="350"/>
        <v/>
      </c>
      <c r="L994" s="692"/>
      <c r="M994" s="17" t="str">
        <f t="shared" si="351"/>
        <v/>
      </c>
    </row>
    <row r="995" spans="1:13" x14ac:dyDescent="0.25">
      <c r="A995" s="85" t="str">
        <f t="shared" si="341"/>
        <v/>
      </c>
      <c r="B995" s="296" t="str">
        <f t="shared" si="342"/>
        <v/>
      </c>
      <c r="C995" s="296" t="str">
        <f t="shared" si="343"/>
        <v/>
      </c>
      <c r="D995" s="85">
        <f t="shared" si="344"/>
        <v>5</v>
      </c>
      <c r="E995" s="17" t="str">
        <f t="shared" si="345"/>
        <v/>
      </c>
      <c r="F995" s="17" t="str">
        <f t="shared" si="346"/>
        <v/>
      </c>
      <c r="G995" s="17" t="str">
        <f t="shared" si="347"/>
        <v/>
      </c>
      <c r="H995" s="16">
        <v>705</v>
      </c>
      <c r="I995" s="16" t="str">
        <f t="shared" si="348"/>
        <v/>
      </c>
      <c r="J995" s="209" t="str">
        <f t="shared" si="349"/>
        <v/>
      </c>
      <c r="K995" s="209" t="str">
        <f t="shared" si="350"/>
        <v/>
      </c>
      <c r="L995" s="692"/>
      <c r="M995" s="17" t="str">
        <f t="shared" si="351"/>
        <v/>
      </c>
    </row>
    <row r="996" spans="1:13" x14ac:dyDescent="0.25">
      <c r="A996" s="85" t="str">
        <f t="shared" si="341"/>
        <v/>
      </c>
      <c r="B996" s="296" t="str">
        <f t="shared" si="342"/>
        <v/>
      </c>
      <c r="C996" s="296" t="str">
        <f t="shared" si="343"/>
        <v/>
      </c>
      <c r="D996" s="85">
        <f t="shared" si="344"/>
        <v>5</v>
      </c>
      <c r="E996" s="17" t="str">
        <f t="shared" si="345"/>
        <v/>
      </c>
      <c r="F996" s="17" t="str">
        <f t="shared" si="346"/>
        <v/>
      </c>
      <c r="G996" s="17" t="str">
        <f t="shared" si="347"/>
        <v/>
      </c>
      <c r="H996" s="16">
        <v>706</v>
      </c>
      <c r="I996" s="16" t="str">
        <f t="shared" si="348"/>
        <v/>
      </c>
      <c r="J996" s="209" t="str">
        <f t="shared" si="349"/>
        <v/>
      </c>
      <c r="K996" s="209" t="str">
        <f t="shared" si="350"/>
        <v/>
      </c>
      <c r="L996" s="692"/>
      <c r="M996" s="17" t="str">
        <f t="shared" si="351"/>
        <v/>
      </c>
    </row>
    <row r="997" spans="1:13" x14ac:dyDescent="0.25">
      <c r="A997" s="85" t="str">
        <f t="shared" si="341"/>
        <v/>
      </c>
      <c r="B997" s="296" t="str">
        <f t="shared" si="342"/>
        <v/>
      </c>
      <c r="C997" s="296" t="str">
        <f t="shared" si="343"/>
        <v/>
      </c>
      <c r="D997" s="85">
        <f t="shared" si="344"/>
        <v>5</v>
      </c>
      <c r="E997" s="17" t="str">
        <f t="shared" si="345"/>
        <v/>
      </c>
      <c r="F997" s="17" t="str">
        <f t="shared" si="346"/>
        <v/>
      </c>
      <c r="G997" s="17" t="str">
        <f t="shared" si="347"/>
        <v/>
      </c>
      <c r="H997" s="16">
        <v>707</v>
      </c>
      <c r="I997" s="16" t="str">
        <f t="shared" si="348"/>
        <v/>
      </c>
      <c r="J997" s="209" t="str">
        <f t="shared" si="349"/>
        <v/>
      </c>
      <c r="K997" s="209" t="str">
        <f t="shared" si="350"/>
        <v/>
      </c>
      <c r="L997" s="692"/>
      <c r="M997" s="17" t="str">
        <f t="shared" si="351"/>
        <v/>
      </c>
    </row>
    <row r="998" spans="1:13" x14ac:dyDescent="0.25">
      <c r="A998" s="85" t="str">
        <f t="shared" si="341"/>
        <v/>
      </c>
      <c r="B998" s="296" t="str">
        <f t="shared" si="342"/>
        <v/>
      </c>
      <c r="C998" s="296" t="str">
        <f t="shared" si="343"/>
        <v/>
      </c>
      <c r="D998" s="85">
        <f t="shared" si="344"/>
        <v>5</v>
      </c>
      <c r="E998" s="17" t="str">
        <f t="shared" si="345"/>
        <v/>
      </c>
      <c r="F998" s="17" t="str">
        <f t="shared" si="346"/>
        <v/>
      </c>
      <c r="G998" s="17" t="str">
        <f t="shared" si="347"/>
        <v/>
      </c>
      <c r="H998" s="16">
        <v>708</v>
      </c>
      <c r="I998" s="16" t="str">
        <f t="shared" si="348"/>
        <v/>
      </c>
      <c r="J998" s="209" t="str">
        <f t="shared" si="349"/>
        <v/>
      </c>
      <c r="K998" s="209" t="str">
        <f t="shared" si="350"/>
        <v/>
      </c>
      <c r="L998" s="692"/>
      <c r="M998" s="17" t="str">
        <f t="shared" si="351"/>
        <v/>
      </c>
    </row>
    <row r="999" spans="1:13" x14ac:dyDescent="0.25">
      <c r="A999" s="85" t="str">
        <f t="shared" si="341"/>
        <v/>
      </c>
      <c r="B999" s="296" t="str">
        <f t="shared" si="342"/>
        <v/>
      </c>
      <c r="C999" s="296" t="str">
        <f t="shared" si="343"/>
        <v/>
      </c>
      <c r="D999" s="85">
        <f t="shared" si="344"/>
        <v>5</v>
      </c>
      <c r="E999" s="17" t="str">
        <f t="shared" si="345"/>
        <v/>
      </c>
      <c r="F999" s="17" t="str">
        <f t="shared" si="346"/>
        <v/>
      </c>
      <c r="G999" s="17" t="str">
        <f t="shared" si="347"/>
        <v/>
      </c>
      <c r="H999" s="16">
        <v>709</v>
      </c>
      <c r="I999" s="16" t="str">
        <f t="shared" si="348"/>
        <v/>
      </c>
      <c r="J999" s="209" t="str">
        <f t="shared" si="349"/>
        <v/>
      </c>
      <c r="K999" s="209" t="str">
        <f t="shared" si="350"/>
        <v/>
      </c>
      <c r="L999" s="692"/>
      <c r="M999" s="17" t="str">
        <f t="shared" si="351"/>
        <v/>
      </c>
    </row>
    <row r="1000" spans="1:13" x14ac:dyDescent="0.25">
      <c r="A1000" s="85" t="str">
        <f t="shared" si="341"/>
        <v/>
      </c>
      <c r="B1000" s="296" t="str">
        <f t="shared" si="342"/>
        <v/>
      </c>
      <c r="C1000" s="296" t="str">
        <f t="shared" si="343"/>
        <v/>
      </c>
      <c r="D1000" s="85">
        <f t="shared" si="344"/>
        <v>5</v>
      </c>
      <c r="E1000" s="17" t="str">
        <f t="shared" si="345"/>
        <v/>
      </c>
      <c r="F1000" s="17" t="str">
        <f t="shared" si="346"/>
        <v/>
      </c>
      <c r="G1000" s="17" t="str">
        <f t="shared" si="347"/>
        <v/>
      </c>
      <c r="H1000" s="16">
        <v>710</v>
      </c>
      <c r="I1000" s="16" t="str">
        <f t="shared" si="348"/>
        <v/>
      </c>
      <c r="J1000" s="209" t="str">
        <f t="shared" si="349"/>
        <v/>
      </c>
      <c r="K1000" s="209" t="str">
        <f t="shared" si="350"/>
        <v/>
      </c>
      <c r="L1000" s="692"/>
      <c r="M1000" s="17" t="str">
        <f t="shared" si="351"/>
        <v/>
      </c>
    </row>
    <row r="1001" spans="1:13" x14ac:dyDescent="0.25">
      <c r="A1001" s="85" t="str">
        <f t="shared" si="341"/>
        <v/>
      </c>
      <c r="B1001" s="296" t="str">
        <f t="shared" si="342"/>
        <v/>
      </c>
      <c r="C1001" s="296" t="str">
        <f t="shared" si="343"/>
        <v/>
      </c>
      <c r="D1001" s="85">
        <f t="shared" si="344"/>
        <v>5</v>
      </c>
      <c r="E1001" s="17" t="str">
        <f t="shared" si="345"/>
        <v/>
      </c>
      <c r="F1001" s="17" t="str">
        <f t="shared" si="346"/>
        <v/>
      </c>
      <c r="G1001" s="17" t="str">
        <f t="shared" si="347"/>
        <v/>
      </c>
      <c r="H1001" s="16">
        <v>711</v>
      </c>
      <c r="I1001" s="16" t="str">
        <f t="shared" si="348"/>
        <v/>
      </c>
      <c r="J1001" s="209" t="str">
        <f t="shared" si="349"/>
        <v/>
      </c>
      <c r="K1001" s="209" t="str">
        <f t="shared" si="350"/>
        <v/>
      </c>
      <c r="L1001" s="692"/>
      <c r="M1001" s="17" t="str">
        <f t="shared" si="351"/>
        <v/>
      </c>
    </row>
    <row r="1002" spans="1:13" x14ac:dyDescent="0.25">
      <c r="A1002" s="85" t="str">
        <f t="shared" si="341"/>
        <v/>
      </c>
      <c r="B1002" s="296" t="str">
        <f t="shared" si="342"/>
        <v/>
      </c>
      <c r="C1002" s="296" t="str">
        <f t="shared" si="343"/>
        <v/>
      </c>
      <c r="D1002" s="85">
        <f t="shared" si="344"/>
        <v>5</v>
      </c>
      <c r="E1002" s="17" t="str">
        <f t="shared" si="345"/>
        <v/>
      </c>
      <c r="F1002" s="17" t="str">
        <f t="shared" si="346"/>
        <v/>
      </c>
      <c r="G1002" s="17" t="str">
        <f t="shared" si="347"/>
        <v/>
      </c>
      <c r="H1002" s="16">
        <v>712</v>
      </c>
      <c r="I1002" s="16" t="str">
        <f t="shared" si="348"/>
        <v/>
      </c>
      <c r="J1002" s="209" t="str">
        <f t="shared" si="349"/>
        <v/>
      </c>
      <c r="K1002" s="209" t="str">
        <f t="shared" si="350"/>
        <v/>
      </c>
      <c r="L1002" s="692"/>
      <c r="M1002" s="17" t="str">
        <f t="shared" si="351"/>
        <v/>
      </c>
    </row>
    <row r="1003" spans="1:13" x14ac:dyDescent="0.25">
      <c r="A1003" s="85" t="str">
        <f t="shared" si="341"/>
        <v/>
      </c>
      <c r="B1003" s="296" t="str">
        <f t="shared" si="342"/>
        <v/>
      </c>
      <c r="C1003" s="296" t="str">
        <f t="shared" si="343"/>
        <v/>
      </c>
      <c r="D1003" s="85">
        <f t="shared" si="344"/>
        <v>5</v>
      </c>
      <c r="E1003" s="17" t="str">
        <f t="shared" si="345"/>
        <v/>
      </c>
      <c r="F1003" s="17" t="str">
        <f t="shared" si="346"/>
        <v/>
      </c>
      <c r="G1003" s="17" t="str">
        <f t="shared" si="347"/>
        <v/>
      </c>
      <c r="H1003" s="16">
        <v>713</v>
      </c>
      <c r="I1003" s="16" t="str">
        <f t="shared" si="348"/>
        <v/>
      </c>
      <c r="J1003" s="209" t="str">
        <f t="shared" si="349"/>
        <v/>
      </c>
      <c r="K1003" s="209" t="str">
        <f t="shared" si="350"/>
        <v/>
      </c>
      <c r="L1003" s="692"/>
      <c r="M1003" s="17" t="str">
        <f t="shared" si="351"/>
        <v/>
      </c>
    </row>
    <row r="1004" spans="1:13" x14ac:dyDescent="0.25">
      <c r="A1004" s="85" t="str">
        <f t="shared" si="341"/>
        <v/>
      </c>
      <c r="B1004" s="296" t="str">
        <f t="shared" si="342"/>
        <v/>
      </c>
      <c r="C1004" s="296" t="str">
        <f t="shared" si="343"/>
        <v/>
      </c>
      <c r="D1004" s="85">
        <f t="shared" si="344"/>
        <v>5</v>
      </c>
      <c r="E1004" s="17" t="str">
        <f t="shared" si="345"/>
        <v/>
      </c>
      <c r="F1004" s="17" t="str">
        <f t="shared" si="346"/>
        <v/>
      </c>
      <c r="G1004" s="17" t="str">
        <f t="shared" si="347"/>
        <v/>
      </c>
      <c r="H1004" s="16">
        <v>714</v>
      </c>
      <c r="I1004" s="16" t="str">
        <f t="shared" si="348"/>
        <v/>
      </c>
      <c r="J1004" s="209" t="str">
        <f t="shared" si="349"/>
        <v/>
      </c>
      <c r="K1004" s="209" t="str">
        <f t="shared" si="350"/>
        <v/>
      </c>
      <c r="L1004" s="692"/>
      <c r="M1004" s="17" t="str">
        <f t="shared" si="351"/>
        <v/>
      </c>
    </row>
    <row r="1005" spans="1:13" x14ac:dyDescent="0.25">
      <c r="A1005" s="85" t="str">
        <f t="shared" si="341"/>
        <v/>
      </c>
      <c r="B1005" s="296" t="str">
        <f t="shared" si="342"/>
        <v/>
      </c>
      <c r="C1005" s="296" t="str">
        <f t="shared" si="343"/>
        <v/>
      </c>
      <c r="D1005" s="85">
        <f t="shared" si="344"/>
        <v>5</v>
      </c>
      <c r="E1005" s="17" t="str">
        <f t="shared" si="345"/>
        <v/>
      </c>
      <c r="F1005" s="17" t="str">
        <f t="shared" si="346"/>
        <v/>
      </c>
      <c r="G1005" s="17" t="str">
        <f t="shared" si="347"/>
        <v/>
      </c>
      <c r="H1005" s="16">
        <v>715</v>
      </c>
      <c r="I1005" s="16" t="str">
        <f t="shared" si="348"/>
        <v/>
      </c>
      <c r="J1005" s="209" t="str">
        <f t="shared" si="349"/>
        <v/>
      </c>
      <c r="K1005" s="209" t="str">
        <f t="shared" si="350"/>
        <v/>
      </c>
      <c r="L1005" s="692"/>
      <c r="M1005" s="17" t="str">
        <f t="shared" si="351"/>
        <v/>
      </c>
    </row>
    <row r="1006" spans="1:13" x14ac:dyDescent="0.25">
      <c r="A1006" s="85" t="str">
        <f t="shared" si="341"/>
        <v/>
      </c>
      <c r="B1006" s="296" t="str">
        <f t="shared" si="342"/>
        <v/>
      </c>
      <c r="C1006" s="296" t="str">
        <f t="shared" si="343"/>
        <v/>
      </c>
      <c r="D1006" s="85">
        <f t="shared" si="344"/>
        <v>5</v>
      </c>
      <c r="E1006" s="17" t="str">
        <f t="shared" si="345"/>
        <v/>
      </c>
      <c r="F1006" s="17" t="str">
        <f t="shared" si="346"/>
        <v/>
      </c>
      <c r="G1006" s="17" t="str">
        <f t="shared" si="347"/>
        <v/>
      </c>
      <c r="H1006" s="16">
        <v>716</v>
      </c>
      <c r="I1006" s="16" t="str">
        <f t="shared" si="348"/>
        <v/>
      </c>
      <c r="J1006" s="209" t="str">
        <f t="shared" si="349"/>
        <v/>
      </c>
      <c r="K1006" s="209" t="str">
        <f t="shared" si="350"/>
        <v/>
      </c>
      <c r="L1006" s="692"/>
      <c r="M1006" s="17" t="str">
        <f t="shared" si="351"/>
        <v/>
      </c>
    </row>
    <row r="1007" spans="1:13" x14ac:dyDescent="0.25">
      <c r="A1007" s="85" t="str">
        <f t="shared" si="341"/>
        <v/>
      </c>
      <c r="B1007" s="296" t="str">
        <f t="shared" si="342"/>
        <v/>
      </c>
      <c r="C1007" s="296" t="str">
        <f t="shared" si="343"/>
        <v/>
      </c>
      <c r="D1007" s="85">
        <f t="shared" si="344"/>
        <v>5</v>
      </c>
      <c r="E1007" s="17" t="str">
        <f t="shared" si="345"/>
        <v/>
      </c>
      <c r="F1007" s="17" t="str">
        <f t="shared" si="346"/>
        <v/>
      </c>
      <c r="G1007" s="17" t="str">
        <f t="shared" si="347"/>
        <v/>
      </c>
      <c r="H1007" s="16">
        <v>717</v>
      </c>
      <c r="I1007" s="16" t="str">
        <f t="shared" si="348"/>
        <v/>
      </c>
      <c r="J1007" s="209" t="str">
        <f t="shared" si="349"/>
        <v/>
      </c>
      <c r="K1007" s="209" t="str">
        <f t="shared" si="350"/>
        <v/>
      </c>
      <c r="L1007" s="692"/>
      <c r="M1007" s="17" t="str">
        <f t="shared" si="351"/>
        <v/>
      </c>
    </row>
    <row r="1008" spans="1:13" x14ac:dyDescent="0.25">
      <c r="A1008" s="85" t="str">
        <f t="shared" si="341"/>
        <v/>
      </c>
      <c r="B1008" s="296" t="str">
        <f t="shared" si="342"/>
        <v/>
      </c>
      <c r="C1008" s="296" t="str">
        <f t="shared" si="343"/>
        <v/>
      </c>
      <c r="D1008" s="85">
        <f t="shared" si="344"/>
        <v>5</v>
      </c>
      <c r="E1008" s="17" t="str">
        <f t="shared" si="345"/>
        <v/>
      </c>
      <c r="F1008" s="17" t="str">
        <f t="shared" si="346"/>
        <v/>
      </c>
      <c r="G1008" s="17" t="str">
        <f t="shared" si="347"/>
        <v/>
      </c>
      <c r="H1008" s="16">
        <v>718</v>
      </c>
      <c r="I1008" s="16" t="str">
        <f t="shared" si="348"/>
        <v/>
      </c>
      <c r="J1008" s="209" t="str">
        <f t="shared" si="349"/>
        <v/>
      </c>
      <c r="K1008" s="209" t="str">
        <f t="shared" si="350"/>
        <v/>
      </c>
      <c r="L1008" s="692"/>
      <c r="M1008" s="17" t="str">
        <f t="shared" si="351"/>
        <v/>
      </c>
    </row>
    <row r="1009" spans="1:13" x14ac:dyDescent="0.25">
      <c r="A1009" s="85" t="str">
        <f t="shared" si="341"/>
        <v/>
      </c>
      <c r="B1009" s="296" t="str">
        <f t="shared" si="342"/>
        <v/>
      </c>
      <c r="C1009" s="296" t="str">
        <f t="shared" si="343"/>
        <v/>
      </c>
      <c r="D1009" s="85">
        <f t="shared" si="344"/>
        <v>5</v>
      </c>
      <c r="E1009" s="17" t="str">
        <f t="shared" si="345"/>
        <v/>
      </c>
      <c r="F1009" s="17" t="str">
        <f t="shared" si="346"/>
        <v/>
      </c>
      <c r="G1009" s="17" t="str">
        <f t="shared" si="347"/>
        <v/>
      </c>
      <c r="H1009" s="16">
        <v>719</v>
      </c>
      <c r="I1009" s="16" t="str">
        <f t="shared" si="348"/>
        <v/>
      </c>
      <c r="J1009" s="209" t="str">
        <f t="shared" si="349"/>
        <v/>
      </c>
      <c r="K1009" s="209" t="str">
        <f t="shared" si="350"/>
        <v/>
      </c>
      <c r="L1009" s="692"/>
      <c r="M1009" s="17" t="str">
        <f t="shared" si="351"/>
        <v/>
      </c>
    </row>
    <row r="1010" spans="1:13" x14ac:dyDescent="0.25">
      <c r="A1010" s="85" t="str">
        <f t="shared" ref="A1010:A1073" si="352">IF(A1009&lt;J$269,A1009+1,"")</f>
        <v/>
      </c>
      <c r="B1010" s="296" t="str">
        <f t="shared" ref="B1010:B1073" si="353">IF(A1010="","",IF(A1009&lt;=C$270,B$273+(A1009*E$274/C$269),IF(A1009&lt;=D$270,B$274+(D$275*COS(RADIANS(G$275+((A1009-C$270)*H$276/D$269))))-E$275,IF(A1009&lt;=E$270,B$276+((A1009-D$270)*E$277/E$269),IF(A1009&lt;=F$270,B$277+(D$278*COS(RADIANS(G$278+((A1009-E$270)*H$279/F$269))))-E$278,IF(A1009&lt;=G$270,B$279+((A1009-F$270)*E$280/G$269),IF(A1009&lt;=H$270,B$280+(D$281*COS(RADIANS(G$281+((A1009-G$270)*H$282/H$269))))-E$281,IF(A1009&lt;=I$270,B$282+((A1009-H$270)*E$283/I$269),"CHECK FORMULE"))))))))</f>
        <v/>
      </c>
      <c r="C1010" s="296" t="str">
        <f t="shared" ref="C1010:C1073" si="354">IF(A1010="","",IF(A1009&lt;=C$270,C$273+(A1009*F$274/C$269),IF(A1009&lt;=D$270,C$274+(D$275*SIN(RADIANS(G$275+((A1009-C$270)*H$276/D$269))))-F$275,IF(A1009&lt;=E$270,C$276+((A1009-D$270)*F$277/E$269),IF(A1009&lt;=F$270,C$277+(D$278*SIN(RADIANS(G$278+((A1009-E$270)*H$279/F$269))))-F$278,IF(A1009&lt;=G$270,C$279+((A1009-F$270)*F$280/G$269),IF(A1009&lt;=H$270,C$280+(D$281*SIN(RADIANS(G$281+((A1009-G$270)*H$282/H$269))))-F$281,IF(A1009&lt;=I$270,C$282+((A1009-H$270)*F$283/I$269),"CHECK FORMULE"))))))))</f>
        <v/>
      </c>
      <c r="D1010" s="85">
        <f t="shared" ref="D1010:D1073" si="355">_xlfn.SINGLE(_xlfn.XLOOKUP(B1010,B$273:B$284,A$273:A$284,D1009))</f>
        <v>5</v>
      </c>
      <c r="E1010" s="17" t="str">
        <f t="shared" ref="E1010:E1073" si="356">IF(A1010="","",B1010-B1009)</f>
        <v/>
      </c>
      <c r="F1010" s="17" t="str">
        <f t="shared" ref="F1010:F1073" si="357">IF(A1010="","",C1010-C1009)</f>
        <v/>
      </c>
      <c r="G1010" s="17" t="str">
        <f t="shared" ref="G1010:G1073" si="358">IF(E1010="","",B1010&amp;","&amp;C1010)</f>
        <v/>
      </c>
      <c r="H1010" s="16">
        <v>720</v>
      </c>
      <c r="I1010" s="16" t="str">
        <f t="shared" ref="I1010:I1073" si="359">IF(J1010="","",I1009+1)</f>
        <v/>
      </c>
      <c r="J1010" s="209" t="str">
        <f t="shared" ref="J1010:J1073" si="360">IF(E1010="","",(E1010^2+F1010^2)^0.5)</f>
        <v/>
      </c>
      <c r="K1010" s="209" t="str">
        <f t="shared" ref="K1010:K1073" si="361">IF(E1010="","",K1009+J1010)</f>
        <v/>
      </c>
      <c r="L1010" s="692"/>
      <c r="M1010" s="17" t="str">
        <f t="shared" ref="M1010:M1073" si="362">IF(L1010="","",K1010&amp;","&amp;L1010)</f>
        <v/>
      </c>
    </row>
    <row r="1011" spans="1:13" x14ac:dyDescent="0.25">
      <c r="A1011" s="85" t="str">
        <f t="shared" si="352"/>
        <v/>
      </c>
      <c r="B1011" s="296" t="str">
        <f t="shared" si="353"/>
        <v/>
      </c>
      <c r="C1011" s="296" t="str">
        <f t="shared" si="354"/>
        <v/>
      </c>
      <c r="D1011" s="85">
        <f t="shared" si="355"/>
        <v>5</v>
      </c>
      <c r="E1011" s="17" t="str">
        <f t="shared" si="356"/>
        <v/>
      </c>
      <c r="F1011" s="17" t="str">
        <f t="shared" si="357"/>
        <v/>
      </c>
      <c r="G1011" s="17" t="str">
        <f t="shared" si="358"/>
        <v/>
      </c>
      <c r="H1011" s="16">
        <v>721</v>
      </c>
      <c r="I1011" s="16" t="str">
        <f t="shared" si="359"/>
        <v/>
      </c>
      <c r="J1011" s="209" t="str">
        <f t="shared" si="360"/>
        <v/>
      </c>
      <c r="K1011" s="209" t="str">
        <f t="shared" si="361"/>
        <v/>
      </c>
      <c r="L1011" s="692"/>
      <c r="M1011" s="17" t="str">
        <f t="shared" si="362"/>
        <v/>
      </c>
    </row>
    <row r="1012" spans="1:13" x14ac:dyDescent="0.25">
      <c r="A1012" s="85" t="str">
        <f t="shared" si="352"/>
        <v/>
      </c>
      <c r="B1012" s="296" t="str">
        <f t="shared" si="353"/>
        <v/>
      </c>
      <c r="C1012" s="296" t="str">
        <f t="shared" si="354"/>
        <v/>
      </c>
      <c r="D1012" s="85">
        <f t="shared" si="355"/>
        <v>5</v>
      </c>
      <c r="E1012" s="17" t="str">
        <f t="shared" si="356"/>
        <v/>
      </c>
      <c r="F1012" s="17" t="str">
        <f t="shared" si="357"/>
        <v/>
      </c>
      <c r="G1012" s="17" t="str">
        <f t="shared" si="358"/>
        <v/>
      </c>
      <c r="H1012" s="16">
        <v>722</v>
      </c>
      <c r="I1012" s="16" t="str">
        <f t="shared" si="359"/>
        <v/>
      </c>
      <c r="J1012" s="209" t="str">
        <f t="shared" si="360"/>
        <v/>
      </c>
      <c r="K1012" s="209" t="str">
        <f t="shared" si="361"/>
        <v/>
      </c>
      <c r="L1012" s="692"/>
      <c r="M1012" s="17" t="str">
        <f t="shared" si="362"/>
        <v/>
      </c>
    </row>
    <row r="1013" spans="1:13" x14ac:dyDescent="0.25">
      <c r="A1013" s="85" t="str">
        <f t="shared" si="352"/>
        <v/>
      </c>
      <c r="B1013" s="296" t="str">
        <f t="shared" si="353"/>
        <v/>
      </c>
      <c r="C1013" s="296" t="str">
        <f t="shared" si="354"/>
        <v/>
      </c>
      <c r="D1013" s="85">
        <f t="shared" si="355"/>
        <v>5</v>
      </c>
      <c r="E1013" s="17" t="str">
        <f t="shared" si="356"/>
        <v/>
      </c>
      <c r="F1013" s="17" t="str">
        <f t="shared" si="357"/>
        <v/>
      </c>
      <c r="G1013" s="17" t="str">
        <f t="shared" si="358"/>
        <v/>
      </c>
      <c r="H1013" s="16">
        <v>723</v>
      </c>
      <c r="I1013" s="16" t="str">
        <f t="shared" si="359"/>
        <v/>
      </c>
      <c r="J1013" s="209" t="str">
        <f t="shared" si="360"/>
        <v/>
      </c>
      <c r="K1013" s="209" t="str">
        <f t="shared" si="361"/>
        <v/>
      </c>
      <c r="L1013" s="692"/>
      <c r="M1013" s="17" t="str">
        <f t="shared" si="362"/>
        <v/>
      </c>
    </row>
    <row r="1014" spans="1:13" x14ac:dyDescent="0.25">
      <c r="A1014" s="85" t="str">
        <f t="shared" si="352"/>
        <v/>
      </c>
      <c r="B1014" s="296" t="str">
        <f t="shared" si="353"/>
        <v/>
      </c>
      <c r="C1014" s="296" t="str">
        <f t="shared" si="354"/>
        <v/>
      </c>
      <c r="D1014" s="85">
        <f t="shared" si="355"/>
        <v>5</v>
      </c>
      <c r="E1014" s="17" t="str">
        <f t="shared" si="356"/>
        <v/>
      </c>
      <c r="F1014" s="17" t="str">
        <f t="shared" si="357"/>
        <v/>
      </c>
      <c r="G1014" s="17" t="str">
        <f t="shared" si="358"/>
        <v/>
      </c>
      <c r="H1014" s="16">
        <v>724</v>
      </c>
      <c r="I1014" s="16" t="str">
        <f t="shared" si="359"/>
        <v/>
      </c>
      <c r="J1014" s="209" t="str">
        <f t="shared" si="360"/>
        <v/>
      </c>
      <c r="K1014" s="209" t="str">
        <f t="shared" si="361"/>
        <v/>
      </c>
      <c r="L1014" s="692"/>
      <c r="M1014" s="17" t="str">
        <f t="shared" si="362"/>
        <v/>
      </c>
    </row>
    <row r="1015" spans="1:13" x14ac:dyDescent="0.25">
      <c r="A1015" s="85" t="str">
        <f t="shared" si="352"/>
        <v/>
      </c>
      <c r="B1015" s="296" t="str">
        <f t="shared" si="353"/>
        <v/>
      </c>
      <c r="C1015" s="296" t="str">
        <f t="shared" si="354"/>
        <v/>
      </c>
      <c r="D1015" s="85">
        <f t="shared" si="355"/>
        <v>5</v>
      </c>
      <c r="E1015" s="17" t="str">
        <f t="shared" si="356"/>
        <v/>
      </c>
      <c r="F1015" s="17" t="str">
        <f t="shared" si="357"/>
        <v/>
      </c>
      <c r="G1015" s="17" t="str">
        <f t="shared" si="358"/>
        <v/>
      </c>
      <c r="H1015" s="16">
        <v>725</v>
      </c>
      <c r="I1015" s="16" t="str">
        <f t="shared" si="359"/>
        <v/>
      </c>
      <c r="J1015" s="209" t="str">
        <f t="shared" si="360"/>
        <v/>
      </c>
      <c r="K1015" s="209" t="str">
        <f t="shared" si="361"/>
        <v/>
      </c>
      <c r="L1015" s="692"/>
      <c r="M1015" s="17" t="str">
        <f t="shared" si="362"/>
        <v/>
      </c>
    </row>
    <row r="1016" spans="1:13" x14ac:dyDescent="0.25">
      <c r="A1016" s="85" t="str">
        <f t="shared" si="352"/>
        <v/>
      </c>
      <c r="B1016" s="296" t="str">
        <f t="shared" si="353"/>
        <v/>
      </c>
      <c r="C1016" s="296" t="str">
        <f t="shared" si="354"/>
        <v/>
      </c>
      <c r="D1016" s="85">
        <f t="shared" si="355"/>
        <v>5</v>
      </c>
      <c r="E1016" s="17" t="str">
        <f t="shared" si="356"/>
        <v/>
      </c>
      <c r="F1016" s="17" t="str">
        <f t="shared" si="357"/>
        <v/>
      </c>
      <c r="G1016" s="17" t="str">
        <f t="shared" si="358"/>
        <v/>
      </c>
      <c r="H1016" s="16">
        <v>726</v>
      </c>
      <c r="I1016" s="16" t="str">
        <f t="shared" si="359"/>
        <v/>
      </c>
      <c r="J1016" s="209" t="str">
        <f t="shared" si="360"/>
        <v/>
      </c>
      <c r="K1016" s="209" t="str">
        <f t="shared" si="361"/>
        <v/>
      </c>
      <c r="L1016" s="692"/>
      <c r="M1016" s="17" t="str">
        <f t="shared" si="362"/>
        <v/>
      </c>
    </row>
    <row r="1017" spans="1:13" x14ac:dyDescent="0.25">
      <c r="A1017" s="85" t="str">
        <f t="shared" si="352"/>
        <v/>
      </c>
      <c r="B1017" s="296" t="str">
        <f t="shared" si="353"/>
        <v/>
      </c>
      <c r="C1017" s="296" t="str">
        <f t="shared" si="354"/>
        <v/>
      </c>
      <c r="D1017" s="85">
        <f t="shared" si="355"/>
        <v>5</v>
      </c>
      <c r="E1017" s="17" t="str">
        <f t="shared" si="356"/>
        <v/>
      </c>
      <c r="F1017" s="17" t="str">
        <f t="shared" si="357"/>
        <v/>
      </c>
      <c r="G1017" s="17" t="str">
        <f t="shared" si="358"/>
        <v/>
      </c>
      <c r="H1017" s="16">
        <v>727</v>
      </c>
      <c r="I1017" s="16" t="str">
        <f t="shared" si="359"/>
        <v/>
      </c>
      <c r="J1017" s="209" t="str">
        <f t="shared" si="360"/>
        <v/>
      </c>
      <c r="K1017" s="209" t="str">
        <f t="shared" si="361"/>
        <v/>
      </c>
      <c r="L1017" s="692"/>
      <c r="M1017" s="17" t="str">
        <f t="shared" si="362"/>
        <v/>
      </c>
    </row>
    <row r="1018" spans="1:13" x14ac:dyDescent="0.25">
      <c r="A1018" s="85" t="str">
        <f t="shared" si="352"/>
        <v/>
      </c>
      <c r="B1018" s="296" t="str">
        <f t="shared" si="353"/>
        <v/>
      </c>
      <c r="C1018" s="296" t="str">
        <f t="shared" si="354"/>
        <v/>
      </c>
      <c r="D1018" s="85">
        <f t="shared" si="355"/>
        <v>5</v>
      </c>
      <c r="E1018" s="17" t="str">
        <f t="shared" si="356"/>
        <v/>
      </c>
      <c r="F1018" s="17" t="str">
        <f t="shared" si="357"/>
        <v/>
      </c>
      <c r="G1018" s="17" t="str">
        <f t="shared" si="358"/>
        <v/>
      </c>
      <c r="H1018" s="16">
        <v>728</v>
      </c>
      <c r="I1018" s="16" t="str">
        <f t="shared" si="359"/>
        <v/>
      </c>
      <c r="J1018" s="209" t="str">
        <f t="shared" si="360"/>
        <v/>
      </c>
      <c r="K1018" s="209" t="str">
        <f t="shared" si="361"/>
        <v/>
      </c>
      <c r="L1018" s="692"/>
      <c r="M1018" s="17" t="str">
        <f t="shared" si="362"/>
        <v/>
      </c>
    </row>
    <row r="1019" spans="1:13" x14ac:dyDescent="0.25">
      <c r="A1019" s="85" t="str">
        <f t="shared" si="352"/>
        <v/>
      </c>
      <c r="B1019" s="296" t="str">
        <f t="shared" si="353"/>
        <v/>
      </c>
      <c r="C1019" s="296" t="str">
        <f t="shared" si="354"/>
        <v/>
      </c>
      <c r="D1019" s="85">
        <f t="shared" si="355"/>
        <v>5</v>
      </c>
      <c r="E1019" s="17" t="str">
        <f t="shared" si="356"/>
        <v/>
      </c>
      <c r="F1019" s="17" t="str">
        <f t="shared" si="357"/>
        <v/>
      </c>
      <c r="G1019" s="17" t="str">
        <f t="shared" si="358"/>
        <v/>
      </c>
      <c r="H1019" s="16">
        <v>729</v>
      </c>
      <c r="I1019" s="16" t="str">
        <f t="shared" si="359"/>
        <v/>
      </c>
      <c r="J1019" s="209" t="str">
        <f t="shared" si="360"/>
        <v/>
      </c>
      <c r="K1019" s="209" t="str">
        <f t="shared" si="361"/>
        <v/>
      </c>
      <c r="L1019" s="692"/>
      <c r="M1019" s="17" t="str">
        <f t="shared" si="362"/>
        <v/>
      </c>
    </row>
    <row r="1020" spans="1:13" x14ac:dyDescent="0.25">
      <c r="A1020" s="85" t="str">
        <f t="shared" si="352"/>
        <v/>
      </c>
      <c r="B1020" s="296" t="str">
        <f t="shared" si="353"/>
        <v/>
      </c>
      <c r="C1020" s="296" t="str">
        <f t="shared" si="354"/>
        <v/>
      </c>
      <c r="D1020" s="85">
        <f t="shared" si="355"/>
        <v>5</v>
      </c>
      <c r="E1020" s="17" t="str">
        <f t="shared" si="356"/>
        <v/>
      </c>
      <c r="F1020" s="17" t="str">
        <f t="shared" si="357"/>
        <v/>
      </c>
      <c r="G1020" s="17" t="str">
        <f t="shared" si="358"/>
        <v/>
      </c>
      <c r="H1020" s="16">
        <v>730</v>
      </c>
      <c r="I1020" s="16" t="str">
        <f t="shared" si="359"/>
        <v/>
      </c>
      <c r="J1020" s="209" t="str">
        <f t="shared" si="360"/>
        <v/>
      </c>
      <c r="K1020" s="209" t="str">
        <f t="shared" si="361"/>
        <v/>
      </c>
      <c r="L1020" s="692"/>
      <c r="M1020" s="17" t="str">
        <f t="shared" si="362"/>
        <v/>
      </c>
    </row>
    <row r="1021" spans="1:13" x14ac:dyDescent="0.25">
      <c r="A1021" s="85" t="str">
        <f t="shared" si="352"/>
        <v/>
      </c>
      <c r="B1021" s="296" t="str">
        <f t="shared" si="353"/>
        <v/>
      </c>
      <c r="C1021" s="296" t="str">
        <f t="shared" si="354"/>
        <v/>
      </c>
      <c r="D1021" s="85">
        <f t="shared" si="355"/>
        <v>5</v>
      </c>
      <c r="E1021" s="17" t="str">
        <f t="shared" si="356"/>
        <v/>
      </c>
      <c r="F1021" s="17" t="str">
        <f t="shared" si="357"/>
        <v/>
      </c>
      <c r="G1021" s="17" t="str">
        <f t="shared" si="358"/>
        <v/>
      </c>
      <c r="H1021" s="16">
        <v>731</v>
      </c>
      <c r="I1021" s="16" t="str">
        <f t="shared" si="359"/>
        <v/>
      </c>
      <c r="J1021" s="209" t="str">
        <f t="shared" si="360"/>
        <v/>
      </c>
      <c r="K1021" s="209" t="str">
        <f t="shared" si="361"/>
        <v/>
      </c>
      <c r="L1021" s="692"/>
      <c r="M1021" s="17" t="str">
        <f t="shared" si="362"/>
        <v/>
      </c>
    </row>
    <row r="1022" spans="1:13" x14ac:dyDescent="0.25">
      <c r="A1022" s="85" t="str">
        <f t="shared" si="352"/>
        <v/>
      </c>
      <c r="B1022" s="296" t="str">
        <f t="shared" si="353"/>
        <v/>
      </c>
      <c r="C1022" s="296" t="str">
        <f t="shared" si="354"/>
        <v/>
      </c>
      <c r="D1022" s="85">
        <f t="shared" si="355"/>
        <v>5</v>
      </c>
      <c r="E1022" s="17" t="str">
        <f t="shared" si="356"/>
        <v/>
      </c>
      <c r="F1022" s="17" t="str">
        <f t="shared" si="357"/>
        <v/>
      </c>
      <c r="G1022" s="17" t="str">
        <f t="shared" si="358"/>
        <v/>
      </c>
      <c r="H1022" s="16">
        <v>732</v>
      </c>
      <c r="I1022" s="16" t="str">
        <f t="shared" si="359"/>
        <v/>
      </c>
      <c r="J1022" s="209" t="str">
        <f t="shared" si="360"/>
        <v/>
      </c>
      <c r="K1022" s="209" t="str">
        <f t="shared" si="361"/>
        <v/>
      </c>
      <c r="L1022" s="692"/>
      <c r="M1022" s="17" t="str">
        <f t="shared" si="362"/>
        <v/>
      </c>
    </row>
    <row r="1023" spans="1:13" x14ac:dyDescent="0.25">
      <c r="A1023" s="85" t="str">
        <f t="shared" si="352"/>
        <v/>
      </c>
      <c r="B1023" s="296" t="str">
        <f t="shared" si="353"/>
        <v/>
      </c>
      <c r="C1023" s="296" t="str">
        <f t="shared" si="354"/>
        <v/>
      </c>
      <c r="D1023" s="85">
        <f t="shared" si="355"/>
        <v>5</v>
      </c>
      <c r="E1023" s="17" t="str">
        <f t="shared" si="356"/>
        <v/>
      </c>
      <c r="F1023" s="17" t="str">
        <f t="shared" si="357"/>
        <v/>
      </c>
      <c r="G1023" s="17" t="str">
        <f t="shared" si="358"/>
        <v/>
      </c>
      <c r="H1023" s="16">
        <v>733</v>
      </c>
      <c r="I1023" s="16" t="str">
        <f t="shared" si="359"/>
        <v/>
      </c>
      <c r="J1023" s="209" t="str">
        <f t="shared" si="360"/>
        <v/>
      </c>
      <c r="K1023" s="209" t="str">
        <f t="shared" si="361"/>
        <v/>
      </c>
      <c r="L1023" s="692"/>
      <c r="M1023" s="17" t="str">
        <f t="shared" si="362"/>
        <v/>
      </c>
    </row>
    <row r="1024" spans="1:13" x14ac:dyDescent="0.25">
      <c r="A1024" s="85" t="str">
        <f t="shared" si="352"/>
        <v/>
      </c>
      <c r="B1024" s="296" t="str">
        <f t="shared" si="353"/>
        <v/>
      </c>
      <c r="C1024" s="296" t="str">
        <f t="shared" si="354"/>
        <v/>
      </c>
      <c r="D1024" s="85">
        <f t="shared" si="355"/>
        <v>5</v>
      </c>
      <c r="E1024" s="17" t="str">
        <f t="shared" si="356"/>
        <v/>
      </c>
      <c r="F1024" s="17" t="str">
        <f t="shared" si="357"/>
        <v/>
      </c>
      <c r="G1024" s="17" t="str">
        <f t="shared" si="358"/>
        <v/>
      </c>
      <c r="H1024" s="16">
        <v>734</v>
      </c>
      <c r="I1024" s="16" t="str">
        <f t="shared" si="359"/>
        <v/>
      </c>
      <c r="J1024" s="209" t="str">
        <f t="shared" si="360"/>
        <v/>
      </c>
      <c r="K1024" s="209" t="str">
        <f t="shared" si="361"/>
        <v/>
      </c>
      <c r="L1024" s="692"/>
      <c r="M1024" s="17" t="str">
        <f t="shared" si="362"/>
        <v/>
      </c>
    </row>
    <row r="1025" spans="1:13" x14ac:dyDescent="0.25">
      <c r="A1025" s="85" t="str">
        <f t="shared" si="352"/>
        <v/>
      </c>
      <c r="B1025" s="296" t="str">
        <f t="shared" si="353"/>
        <v/>
      </c>
      <c r="C1025" s="296" t="str">
        <f t="shared" si="354"/>
        <v/>
      </c>
      <c r="D1025" s="85">
        <f t="shared" si="355"/>
        <v>5</v>
      </c>
      <c r="E1025" s="17" t="str">
        <f t="shared" si="356"/>
        <v/>
      </c>
      <c r="F1025" s="17" t="str">
        <f t="shared" si="357"/>
        <v/>
      </c>
      <c r="G1025" s="17" t="str">
        <f t="shared" si="358"/>
        <v/>
      </c>
      <c r="H1025" s="16">
        <v>735</v>
      </c>
      <c r="I1025" s="16" t="str">
        <f t="shared" si="359"/>
        <v/>
      </c>
      <c r="J1025" s="209" t="str">
        <f t="shared" si="360"/>
        <v/>
      </c>
      <c r="K1025" s="209" t="str">
        <f t="shared" si="361"/>
        <v/>
      </c>
      <c r="L1025" s="692"/>
      <c r="M1025" s="17" t="str">
        <f t="shared" si="362"/>
        <v/>
      </c>
    </row>
    <row r="1026" spans="1:13" x14ac:dyDescent="0.25">
      <c r="A1026" s="85" t="str">
        <f t="shared" si="352"/>
        <v/>
      </c>
      <c r="B1026" s="296" t="str">
        <f t="shared" si="353"/>
        <v/>
      </c>
      <c r="C1026" s="296" t="str">
        <f t="shared" si="354"/>
        <v/>
      </c>
      <c r="D1026" s="85">
        <f t="shared" si="355"/>
        <v>5</v>
      </c>
      <c r="E1026" s="17" t="str">
        <f t="shared" si="356"/>
        <v/>
      </c>
      <c r="F1026" s="17" t="str">
        <f t="shared" si="357"/>
        <v/>
      </c>
      <c r="G1026" s="17" t="str">
        <f t="shared" si="358"/>
        <v/>
      </c>
      <c r="H1026" s="16">
        <v>736</v>
      </c>
      <c r="I1026" s="16" t="str">
        <f t="shared" si="359"/>
        <v/>
      </c>
      <c r="J1026" s="209" t="str">
        <f t="shared" si="360"/>
        <v/>
      </c>
      <c r="K1026" s="209" t="str">
        <f t="shared" si="361"/>
        <v/>
      </c>
      <c r="L1026" s="692"/>
      <c r="M1026" s="17" t="str">
        <f t="shared" si="362"/>
        <v/>
      </c>
    </row>
    <row r="1027" spans="1:13" x14ac:dyDescent="0.25">
      <c r="A1027" s="85" t="str">
        <f t="shared" si="352"/>
        <v/>
      </c>
      <c r="B1027" s="296" t="str">
        <f t="shared" si="353"/>
        <v/>
      </c>
      <c r="C1027" s="296" t="str">
        <f t="shared" si="354"/>
        <v/>
      </c>
      <c r="D1027" s="85">
        <f t="shared" si="355"/>
        <v>5</v>
      </c>
      <c r="E1027" s="17" t="str">
        <f t="shared" si="356"/>
        <v/>
      </c>
      <c r="F1027" s="17" t="str">
        <f t="shared" si="357"/>
        <v/>
      </c>
      <c r="G1027" s="17" t="str">
        <f t="shared" si="358"/>
        <v/>
      </c>
      <c r="H1027" s="16">
        <v>737</v>
      </c>
      <c r="I1027" s="16" t="str">
        <f t="shared" si="359"/>
        <v/>
      </c>
      <c r="J1027" s="209" t="str">
        <f t="shared" si="360"/>
        <v/>
      </c>
      <c r="K1027" s="209" t="str">
        <f t="shared" si="361"/>
        <v/>
      </c>
      <c r="L1027" s="692"/>
      <c r="M1027" s="17" t="str">
        <f t="shared" si="362"/>
        <v/>
      </c>
    </row>
    <row r="1028" spans="1:13" x14ac:dyDescent="0.25">
      <c r="A1028" s="85" t="str">
        <f t="shared" si="352"/>
        <v/>
      </c>
      <c r="B1028" s="296" t="str">
        <f t="shared" si="353"/>
        <v/>
      </c>
      <c r="C1028" s="296" t="str">
        <f t="shared" si="354"/>
        <v/>
      </c>
      <c r="D1028" s="85">
        <f t="shared" si="355"/>
        <v>5</v>
      </c>
      <c r="E1028" s="17" t="str">
        <f t="shared" si="356"/>
        <v/>
      </c>
      <c r="F1028" s="17" t="str">
        <f t="shared" si="357"/>
        <v/>
      </c>
      <c r="G1028" s="17" t="str">
        <f t="shared" si="358"/>
        <v/>
      </c>
      <c r="H1028" s="16">
        <v>738</v>
      </c>
      <c r="I1028" s="16" t="str">
        <f t="shared" si="359"/>
        <v/>
      </c>
      <c r="J1028" s="209" t="str">
        <f t="shared" si="360"/>
        <v/>
      </c>
      <c r="K1028" s="209" t="str">
        <f t="shared" si="361"/>
        <v/>
      </c>
      <c r="L1028" s="692"/>
      <c r="M1028" s="17" t="str">
        <f t="shared" si="362"/>
        <v/>
      </c>
    </row>
    <row r="1029" spans="1:13" x14ac:dyDescent="0.25">
      <c r="A1029" s="85" t="str">
        <f t="shared" si="352"/>
        <v/>
      </c>
      <c r="B1029" s="296" t="str">
        <f t="shared" si="353"/>
        <v/>
      </c>
      <c r="C1029" s="296" t="str">
        <f t="shared" si="354"/>
        <v/>
      </c>
      <c r="D1029" s="85">
        <f t="shared" si="355"/>
        <v>5</v>
      </c>
      <c r="E1029" s="17" t="str">
        <f t="shared" si="356"/>
        <v/>
      </c>
      <c r="F1029" s="17" t="str">
        <f t="shared" si="357"/>
        <v/>
      </c>
      <c r="G1029" s="17" t="str">
        <f t="shared" si="358"/>
        <v/>
      </c>
      <c r="H1029" s="16">
        <v>739</v>
      </c>
      <c r="I1029" s="16" t="str">
        <f t="shared" si="359"/>
        <v/>
      </c>
      <c r="J1029" s="209" t="str">
        <f t="shared" si="360"/>
        <v/>
      </c>
      <c r="K1029" s="209" t="str">
        <f t="shared" si="361"/>
        <v/>
      </c>
      <c r="L1029" s="692"/>
      <c r="M1029" s="17" t="str">
        <f t="shared" si="362"/>
        <v/>
      </c>
    </row>
    <row r="1030" spans="1:13" x14ac:dyDescent="0.25">
      <c r="A1030" s="85" t="str">
        <f t="shared" si="352"/>
        <v/>
      </c>
      <c r="B1030" s="296" t="str">
        <f t="shared" si="353"/>
        <v/>
      </c>
      <c r="C1030" s="296" t="str">
        <f t="shared" si="354"/>
        <v/>
      </c>
      <c r="D1030" s="85">
        <f t="shared" si="355"/>
        <v>5</v>
      </c>
      <c r="E1030" s="17" t="str">
        <f t="shared" si="356"/>
        <v/>
      </c>
      <c r="F1030" s="17" t="str">
        <f t="shared" si="357"/>
        <v/>
      </c>
      <c r="G1030" s="17" t="str">
        <f t="shared" si="358"/>
        <v/>
      </c>
      <c r="H1030" s="16">
        <v>740</v>
      </c>
      <c r="I1030" s="16" t="str">
        <f t="shared" si="359"/>
        <v/>
      </c>
      <c r="J1030" s="209" t="str">
        <f t="shared" si="360"/>
        <v/>
      </c>
      <c r="K1030" s="209" t="str">
        <f t="shared" si="361"/>
        <v/>
      </c>
      <c r="L1030" s="692"/>
      <c r="M1030" s="17" t="str">
        <f t="shared" si="362"/>
        <v/>
      </c>
    </row>
    <row r="1031" spans="1:13" x14ac:dyDescent="0.25">
      <c r="A1031" s="85" t="str">
        <f t="shared" si="352"/>
        <v/>
      </c>
      <c r="B1031" s="296" t="str">
        <f t="shared" si="353"/>
        <v/>
      </c>
      <c r="C1031" s="296" t="str">
        <f t="shared" si="354"/>
        <v/>
      </c>
      <c r="D1031" s="85">
        <f t="shared" si="355"/>
        <v>5</v>
      </c>
      <c r="E1031" s="17" t="str">
        <f t="shared" si="356"/>
        <v/>
      </c>
      <c r="F1031" s="17" t="str">
        <f t="shared" si="357"/>
        <v/>
      </c>
      <c r="G1031" s="17" t="str">
        <f t="shared" si="358"/>
        <v/>
      </c>
      <c r="H1031" s="16">
        <v>741</v>
      </c>
      <c r="I1031" s="16" t="str">
        <f t="shared" si="359"/>
        <v/>
      </c>
      <c r="J1031" s="209" t="str">
        <f t="shared" si="360"/>
        <v/>
      </c>
      <c r="K1031" s="209" t="str">
        <f t="shared" si="361"/>
        <v/>
      </c>
      <c r="L1031" s="692"/>
      <c r="M1031" s="17" t="str">
        <f t="shared" si="362"/>
        <v/>
      </c>
    </row>
    <row r="1032" spans="1:13" x14ac:dyDescent="0.25">
      <c r="A1032" s="85" t="str">
        <f t="shared" si="352"/>
        <v/>
      </c>
      <c r="B1032" s="296" t="str">
        <f t="shared" si="353"/>
        <v/>
      </c>
      <c r="C1032" s="296" t="str">
        <f t="shared" si="354"/>
        <v/>
      </c>
      <c r="D1032" s="85">
        <f t="shared" si="355"/>
        <v>5</v>
      </c>
      <c r="E1032" s="17" t="str">
        <f t="shared" si="356"/>
        <v/>
      </c>
      <c r="F1032" s="17" t="str">
        <f t="shared" si="357"/>
        <v/>
      </c>
      <c r="G1032" s="17" t="str">
        <f t="shared" si="358"/>
        <v/>
      </c>
      <c r="H1032" s="16">
        <v>742</v>
      </c>
      <c r="I1032" s="16" t="str">
        <f t="shared" si="359"/>
        <v/>
      </c>
      <c r="J1032" s="209" t="str">
        <f t="shared" si="360"/>
        <v/>
      </c>
      <c r="K1032" s="209" t="str">
        <f t="shared" si="361"/>
        <v/>
      </c>
      <c r="L1032" s="692"/>
      <c r="M1032" s="17" t="str">
        <f t="shared" si="362"/>
        <v/>
      </c>
    </row>
    <row r="1033" spans="1:13" x14ac:dyDescent="0.25">
      <c r="A1033" s="85" t="str">
        <f t="shared" si="352"/>
        <v/>
      </c>
      <c r="B1033" s="296" t="str">
        <f t="shared" si="353"/>
        <v/>
      </c>
      <c r="C1033" s="296" t="str">
        <f t="shared" si="354"/>
        <v/>
      </c>
      <c r="D1033" s="85">
        <f t="shared" si="355"/>
        <v>5</v>
      </c>
      <c r="E1033" s="17" t="str">
        <f t="shared" si="356"/>
        <v/>
      </c>
      <c r="F1033" s="17" t="str">
        <f t="shared" si="357"/>
        <v/>
      </c>
      <c r="G1033" s="17" t="str">
        <f t="shared" si="358"/>
        <v/>
      </c>
      <c r="H1033" s="16">
        <v>743</v>
      </c>
      <c r="I1033" s="16" t="str">
        <f t="shared" si="359"/>
        <v/>
      </c>
      <c r="J1033" s="209" t="str">
        <f t="shared" si="360"/>
        <v/>
      </c>
      <c r="K1033" s="209" t="str">
        <f t="shared" si="361"/>
        <v/>
      </c>
      <c r="L1033" s="692"/>
      <c r="M1033" s="17" t="str">
        <f t="shared" si="362"/>
        <v/>
      </c>
    </row>
    <row r="1034" spans="1:13" x14ac:dyDescent="0.25">
      <c r="A1034" s="85" t="str">
        <f t="shared" si="352"/>
        <v/>
      </c>
      <c r="B1034" s="296" t="str">
        <f t="shared" si="353"/>
        <v/>
      </c>
      <c r="C1034" s="296" t="str">
        <f t="shared" si="354"/>
        <v/>
      </c>
      <c r="D1034" s="85">
        <f t="shared" si="355"/>
        <v>5</v>
      </c>
      <c r="E1034" s="17" t="str">
        <f t="shared" si="356"/>
        <v/>
      </c>
      <c r="F1034" s="17" t="str">
        <f t="shared" si="357"/>
        <v/>
      </c>
      <c r="G1034" s="17" t="str">
        <f t="shared" si="358"/>
        <v/>
      </c>
      <c r="H1034" s="16">
        <v>744</v>
      </c>
      <c r="I1034" s="16" t="str">
        <f t="shared" si="359"/>
        <v/>
      </c>
      <c r="J1034" s="209" t="str">
        <f t="shared" si="360"/>
        <v/>
      </c>
      <c r="K1034" s="209" t="str">
        <f t="shared" si="361"/>
        <v/>
      </c>
      <c r="L1034" s="692"/>
      <c r="M1034" s="17" t="str">
        <f t="shared" si="362"/>
        <v/>
      </c>
    </row>
    <row r="1035" spans="1:13" x14ac:dyDescent="0.25">
      <c r="A1035" s="85" t="str">
        <f t="shared" si="352"/>
        <v/>
      </c>
      <c r="B1035" s="296" t="str">
        <f t="shared" si="353"/>
        <v/>
      </c>
      <c r="C1035" s="296" t="str">
        <f t="shared" si="354"/>
        <v/>
      </c>
      <c r="D1035" s="85">
        <f t="shared" si="355"/>
        <v>5</v>
      </c>
      <c r="E1035" s="17" t="str">
        <f t="shared" si="356"/>
        <v/>
      </c>
      <c r="F1035" s="17" t="str">
        <f t="shared" si="357"/>
        <v/>
      </c>
      <c r="G1035" s="17" t="str">
        <f t="shared" si="358"/>
        <v/>
      </c>
      <c r="H1035" s="16">
        <v>745</v>
      </c>
      <c r="I1035" s="16" t="str">
        <f t="shared" si="359"/>
        <v/>
      </c>
      <c r="J1035" s="209" t="str">
        <f t="shared" si="360"/>
        <v/>
      </c>
      <c r="K1035" s="209" t="str">
        <f t="shared" si="361"/>
        <v/>
      </c>
      <c r="L1035" s="692"/>
      <c r="M1035" s="17" t="str">
        <f t="shared" si="362"/>
        <v/>
      </c>
    </row>
    <row r="1036" spans="1:13" x14ac:dyDescent="0.25">
      <c r="A1036" s="85" t="str">
        <f t="shared" si="352"/>
        <v/>
      </c>
      <c r="B1036" s="296" t="str">
        <f t="shared" si="353"/>
        <v/>
      </c>
      <c r="C1036" s="296" t="str">
        <f t="shared" si="354"/>
        <v/>
      </c>
      <c r="D1036" s="85">
        <f t="shared" si="355"/>
        <v>5</v>
      </c>
      <c r="E1036" s="17" t="str">
        <f t="shared" si="356"/>
        <v/>
      </c>
      <c r="F1036" s="17" t="str">
        <f t="shared" si="357"/>
        <v/>
      </c>
      <c r="G1036" s="17" t="str">
        <f t="shared" si="358"/>
        <v/>
      </c>
      <c r="H1036" s="16">
        <v>746</v>
      </c>
      <c r="I1036" s="16" t="str">
        <f t="shared" si="359"/>
        <v/>
      </c>
      <c r="J1036" s="209" t="str">
        <f t="shared" si="360"/>
        <v/>
      </c>
      <c r="K1036" s="209" t="str">
        <f t="shared" si="361"/>
        <v/>
      </c>
      <c r="L1036" s="692"/>
      <c r="M1036" s="17" t="str">
        <f t="shared" si="362"/>
        <v/>
      </c>
    </row>
    <row r="1037" spans="1:13" x14ac:dyDescent="0.25">
      <c r="A1037" s="85" t="str">
        <f t="shared" si="352"/>
        <v/>
      </c>
      <c r="B1037" s="296" t="str">
        <f t="shared" si="353"/>
        <v/>
      </c>
      <c r="C1037" s="296" t="str">
        <f t="shared" si="354"/>
        <v/>
      </c>
      <c r="D1037" s="85">
        <f t="shared" si="355"/>
        <v>5</v>
      </c>
      <c r="E1037" s="17" t="str">
        <f t="shared" si="356"/>
        <v/>
      </c>
      <c r="F1037" s="17" t="str">
        <f t="shared" si="357"/>
        <v/>
      </c>
      <c r="G1037" s="17" t="str">
        <f t="shared" si="358"/>
        <v/>
      </c>
      <c r="H1037" s="16">
        <v>747</v>
      </c>
      <c r="I1037" s="16" t="str">
        <f t="shared" si="359"/>
        <v/>
      </c>
      <c r="J1037" s="209" t="str">
        <f t="shared" si="360"/>
        <v/>
      </c>
      <c r="K1037" s="209" t="str">
        <f t="shared" si="361"/>
        <v/>
      </c>
      <c r="L1037" s="692"/>
      <c r="M1037" s="17" t="str">
        <f t="shared" si="362"/>
        <v/>
      </c>
    </row>
    <row r="1038" spans="1:13" x14ac:dyDescent="0.25">
      <c r="A1038" s="85" t="str">
        <f t="shared" si="352"/>
        <v/>
      </c>
      <c r="B1038" s="296" t="str">
        <f t="shared" si="353"/>
        <v/>
      </c>
      <c r="C1038" s="296" t="str">
        <f t="shared" si="354"/>
        <v/>
      </c>
      <c r="D1038" s="85">
        <f t="shared" si="355"/>
        <v>5</v>
      </c>
      <c r="E1038" s="17" t="str">
        <f t="shared" si="356"/>
        <v/>
      </c>
      <c r="F1038" s="17" t="str">
        <f t="shared" si="357"/>
        <v/>
      </c>
      <c r="G1038" s="17" t="str">
        <f t="shared" si="358"/>
        <v/>
      </c>
      <c r="H1038" s="16">
        <v>748</v>
      </c>
      <c r="I1038" s="16" t="str">
        <f t="shared" si="359"/>
        <v/>
      </c>
      <c r="J1038" s="209" t="str">
        <f t="shared" si="360"/>
        <v/>
      </c>
      <c r="K1038" s="209" t="str">
        <f t="shared" si="361"/>
        <v/>
      </c>
      <c r="L1038" s="692"/>
      <c r="M1038" s="17" t="str">
        <f t="shared" si="362"/>
        <v/>
      </c>
    </row>
    <row r="1039" spans="1:13" x14ac:dyDescent="0.25">
      <c r="A1039" s="85" t="str">
        <f t="shared" si="352"/>
        <v/>
      </c>
      <c r="B1039" s="296" t="str">
        <f t="shared" si="353"/>
        <v/>
      </c>
      <c r="C1039" s="296" t="str">
        <f t="shared" si="354"/>
        <v/>
      </c>
      <c r="D1039" s="85">
        <f t="shared" si="355"/>
        <v>5</v>
      </c>
      <c r="E1039" s="17" t="str">
        <f t="shared" si="356"/>
        <v/>
      </c>
      <c r="F1039" s="17" t="str">
        <f t="shared" si="357"/>
        <v/>
      </c>
      <c r="G1039" s="17" t="str">
        <f t="shared" si="358"/>
        <v/>
      </c>
      <c r="H1039" s="16">
        <v>749</v>
      </c>
      <c r="I1039" s="16" t="str">
        <f t="shared" si="359"/>
        <v/>
      </c>
      <c r="J1039" s="209" t="str">
        <f t="shared" si="360"/>
        <v/>
      </c>
      <c r="K1039" s="209" t="str">
        <f t="shared" si="361"/>
        <v/>
      </c>
      <c r="L1039" s="692"/>
      <c r="M1039" s="17" t="str">
        <f t="shared" si="362"/>
        <v/>
      </c>
    </row>
    <row r="1040" spans="1:13" x14ac:dyDescent="0.25">
      <c r="A1040" s="85" t="str">
        <f t="shared" si="352"/>
        <v/>
      </c>
      <c r="B1040" s="296" t="str">
        <f t="shared" si="353"/>
        <v/>
      </c>
      <c r="C1040" s="296" t="str">
        <f t="shared" si="354"/>
        <v/>
      </c>
      <c r="D1040" s="85">
        <f t="shared" si="355"/>
        <v>5</v>
      </c>
      <c r="E1040" s="17" t="str">
        <f t="shared" si="356"/>
        <v/>
      </c>
      <c r="F1040" s="17" t="str">
        <f t="shared" si="357"/>
        <v/>
      </c>
      <c r="G1040" s="17" t="str">
        <f t="shared" si="358"/>
        <v/>
      </c>
      <c r="H1040" s="16">
        <v>750</v>
      </c>
      <c r="I1040" s="16" t="str">
        <f t="shared" si="359"/>
        <v/>
      </c>
      <c r="J1040" s="209" t="str">
        <f t="shared" si="360"/>
        <v/>
      </c>
      <c r="K1040" s="209" t="str">
        <f t="shared" si="361"/>
        <v/>
      </c>
      <c r="L1040" s="692"/>
      <c r="M1040" s="17" t="str">
        <f t="shared" si="362"/>
        <v/>
      </c>
    </row>
    <row r="1041" spans="1:13" x14ac:dyDescent="0.25">
      <c r="A1041" s="85" t="str">
        <f t="shared" si="352"/>
        <v/>
      </c>
      <c r="B1041" s="296" t="str">
        <f t="shared" si="353"/>
        <v/>
      </c>
      <c r="C1041" s="296" t="str">
        <f t="shared" si="354"/>
        <v/>
      </c>
      <c r="D1041" s="85">
        <f t="shared" si="355"/>
        <v>5</v>
      </c>
      <c r="E1041" s="17" t="str">
        <f t="shared" si="356"/>
        <v/>
      </c>
      <c r="F1041" s="17" t="str">
        <f t="shared" si="357"/>
        <v/>
      </c>
      <c r="G1041" s="17" t="str">
        <f t="shared" si="358"/>
        <v/>
      </c>
      <c r="H1041" s="16">
        <v>751</v>
      </c>
      <c r="I1041" s="16" t="str">
        <f t="shared" si="359"/>
        <v/>
      </c>
      <c r="J1041" s="209" t="str">
        <f t="shared" si="360"/>
        <v/>
      </c>
      <c r="K1041" s="209" t="str">
        <f t="shared" si="361"/>
        <v/>
      </c>
      <c r="L1041" s="692"/>
      <c r="M1041" s="17" t="str">
        <f t="shared" si="362"/>
        <v/>
      </c>
    </row>
    <row r="1042" spans="1:13" x14ac:dyDescent="0.25">
      <c r="A1042" s="85" t="str">
        <f t="shared" si="352"/>
        <v/>
      </c>
      <c r="B1042" s="296" t="str">
        <f t="shared" si="353"/>
        <v/>
      </c>
      <c r="C1042" s="296" t="str">
        <f t="shared" si="354"/>
        <v/>
      </c>
      <c r="D1042" s="85">
        <f t="shared" si="355"/>
        <v>5</v>
      </c>
      <c r="E1042" s="17" t="str">
        <f t="shared" si="356"/>
        <v/>
      </c>
      <c r="F1042" s="17" t="str">
        <f t="shared" si="357"/>
        <v/>
      </c>
      <c r="G1042" s="17" t="str">
        <f t="shared" si="358"/>
        <v/>
      </c>
      <c r="H1042" s="16">
        <v>752</v>
      </c>
      <c r="I1042" s="16" t="str">
        <f t="shared" si="359"/>
        <v/>
      </c>
      <c r="J1042" s="209" t="str">
        <f t="shared" si="360"/>
        <v/>
      </c>
      <c r="K1042" s="209" t="str">
        <f t="shared" si="361"/>
        <v/>
      </c>
      <c r="L1042" s="692"/>
      <c r="M1042" s="17" t="str">
        <f t="shared" si="362"/>
        <v/>
      </c>
    </row>
    <row r="1043" spans="1:13" x14ac:dyDescent="0.25">
      <c r="A1043" s="85" t="str">
        <f t="shared" si="352"/>
        <v/>
      </c>
      <c r="B1043" s="296" t="str">
        <f t="shared" si="353"/>
        <v/>
      </c>
      <c r="C1043" s="296" t="str">
        <f t="shared" si="354"/>
        <v/>
      </c>
      <c r="D1043" s="85">
        <f t="shared" si="355"/>
        <v>5</v>
      </c>
      <c r="E1043" s="17" t="str">
        <f t="shared" si="356"/>
        <v/>
      </c>
      <c r="F1043" s="17" t="str">
        <f t="shared" si="357"/>
        <v/>
      </c>
      <c r="G1043" s="17" t="str">
        <f t="shared" si="358"/>
        <v/>
      </c>
      <c r="H1043" s="16">
        <v>753</v>
      </c>
      <c r="I1043" s="16" t="str">
        <f t="shared" si="359"/>
        <v/>
      </c>
      <c r="J1043" s="209" t="str">
        <f t="shared" si="360"/>
        <v/>
      </c>
      <c r="K1043" s="209" t="str">
        <f t="shared" si="361"/>
        <v/>
      </c>
      <c r="L1043" s="692"/>
      <c r="M1043" s="17" t="str">
        <f t="shared" si="362"/>
        <v/>
      </c>
    </row>
    <row r="1044" spans="1:13" x14ac:dyDescent="0.25">
      <c r="A1044" s="85" t="str">
        <f t="shared" si="352"/>
        <v/>
      </c>
      <c r="B1044" s="296" t="str">
        <f t="shared" si="353"/>
        <v/>
      </c>
      <c r="C1044" s="296" t="str">
        <f t="shared" si="354"/>
        <v/>
      </c>
      <c r="D1044" s="85">
        <f t="shared" si="355"/>
        <v>5</v>
      </c>
      <c r="E1044" s="17" t="str">
        <f t="shared" si="356"/>
        <v/>
      </c>
      <c r="F1044" s="17" t="str">
        <f t="shared" si="357"/>
        <v/>
      </c>
      <c r="G1044" s="17" t="str">
        <f t="shared" si="358"/>
        <v/>
      </c>
      <c r="H1044" s="16">
        <v>754</v>
      </c>
      <c r="I1044" s="16" t="str">
        <f t="shared" si="359"/>
        <v/>
      </c>
      <c r="J1044" s="209" t="str">
        <f t="shared" si="360"/>
        <v/>
      </c>
      <c r="K1044" s="209" t="str">
        <f t="shared" si="361"/>
        <v/>
      </c>
      <c r="L1044" s="692"/>
      <c r="M1044" s="17" t="str">
        <f t="shared" si="362"/>
        <v/>
      </c>
    </row>
    <row r="1045" spans="1:13" x14ac:dyDescent="0.25">
      <c r="A1045" s="85" t="str">
        <f t="shared" si="352"/>
        <v/>
      </c>
      <c r="B1045" s="296" t="str">
        <f t="shared" si="353"/>
        <v/>
      </c>
      <c r="C1045" s="296" t="str">
        <f t="shared" si="354"/>
        <v/>
      </c>
      <c r="D1045" s="85">
        <f t="shared" si="355"/>
        <v>5</v>
      </c>
      <c r="E1045" s="17" t="str">
        <f t="shared" si="356"/>
        <v/>
      </c>
      <c r="F1045" s="17" t="str">
        <f t="shared" si="357"/>
        <v/>
      </c>
      <c r="G1045" s="17" t="str">
        <f t="shared" si="358"/>
        <v/>
      </c>
      <c r="H1045" s="16">
        <v>755</v>
      </c>
      <c r="I1045" s="16" t="str">
        <f t="shared" si="359"/>
        <v/>
      </c>
      <c r="J1045" s="209" t="str">
        <f t="shared" si="360"/>
        <v/>
      </c>
      <c r="K1045" s="209" t="str">
        <f t="shared" si="361"/>
        <v/>
      </c>
      <c r="L1045" s="692"/>
      <c r="M1045" s="17" t="str">
        <f t="shared" si="362"/>
        <v/>
      </c>
    </row>
    <row r="1046" spans="1:13" x14ac:dyDescent="0.25">
      <c r="A1046" s="85" t="str">
        <f t="shared" si="352"/>
        <v/>
      </c>
      <c r="B1046" s="296" t="str">
        <f t="shared" si="353"/>
        <v/>
      </c>
      <c r="C1046" s="296" t="str">
        <f t="shared" si="354"/>
        <v/>
      </c>
      <c r="D1046" s="85">
        <f t="shared" si="355"/>
        <v>5</v>
      </c>
      <c r="E1046" s="17" t="str">
        <f t="shared" si="356"/>
        <v/>
      </c>
      <c r="F1046" s="17" t="str">
        <f t="shared" si="357"/>
        <v/>
      </c>
      <c r="G1046" s="17" t="str">
        <f t="shared" si="358"/>
        <v/>
      </c>
      <c r="H1046" s="16">
        <v>756</v>
      </c>
      <c r="I1046" s="16" t="str">
        <f t="shared" si="359"/>
        <v/>
      </c>
      <c r="J1046" s="209" t="str">
        <f t="shared" si="360"/>
        <v/>
      </c>
      <c r="K1046" s="209" t="str">
        <f t="shared" si="361"/>
        <v/>
      </c>
      <c r="L1046" s="692"/>
      <c r="M1046" s="17" t="str">
        <f t="shared" si="362"/>
        <v/>
      </c>
    </row>
    <row r="1047" spans="1:13" x14ac:dyDescent="0.25">
      <c r="A1047" s="85" t="str">
        <f t="shared" si="352"/>
        <v/>
      </c>
      <c r="B1047" s="296" t="str">
        <f t="shared" si="353"/>
        <v/>
      </c>
      <c r="C1047" s="296" t="str">
        <f t="shared" si="354"/>
        <v/>
      </c>
      <c r="D1047" s="85">
        <f t="shared" si="355"/>
        <v>5</v>
      </c>
      <c r="E1047" s="17" t="str">
        <f t="shared" si="356"/>
        <v/>
      </c>
      <c r="F1047" s="17" t="str">
        <f t="shared" si="357"/>
        <v/>
      </c>
      <c r="G1047" s="17" t="str">
        <f t="shared" si="358"/>
        <v/>
      </c>
      <c r="H1047" s="16">
        <v>757</v>
      </c>
      <c r="I1047" s="16" t="str">
        <f t="shared" si="359"/>
        <v/>
      </c>
      <c r="J1047" s="209" t="str">
        <f t="shared" si="360"/>
        <v/>
      </c>
      <c r="K1047" s="209" t="str">
        <f t="shared" si="361"/>
        <v/>
      </c>
      <c r="L1047" s="692"/>
      <c r="M1047" s="17" t="str">
        <f t="shared" si="362"/>
        <v/>
      </c>
    </row>
    <row r="1048" spans="1:13" x14ac:dyDescent="0.25">
      <c r="A1048" s="85" t="str">
        <f t="shared" si="352"/>
        <v/>
      </c>
      <c r="B1048" s="296" t="str">
        <f t="shared" si="353"/>
        <v/>
      </c>
      <c r="C1048" s="296" t="str">
        <f t="shared" si="354"/>
        <v/>
      </c>
      <c r="D1048" s="85">
        <f t="shared" si="355"/>
        <v>5</v>
      </c>
      <c r="E1048" s="17" t="str">
        <f t="shared" si="356"/>
        <v/>
      </c>
      <c r="F1048" s="17" t="str">
        <f t="shared" si="357"/>
        <v/>
      </c>
      <c r="G1048" s="17" t="str">
        <f t="shared" si="358"/>
        <v/>
      </c>
      <c r="H1048" s="16">
        <v>758</v>
      </c>
      <c r="I1048" s="16" t="str">
        <f t="shared" si="359"/>
        <v/>
      </c>
      <c r="J1048" s="209" t="str">
        <f t="shared" si="360"/>
        <v/>
      </c>
      <c r="K1048" s="209" t="str">
        <f t="shared" si="361"/>
        <v/>
      </c>
      <c r="L1048" s="692"/>
      <c r="M1048" s="17" t="str">
        <f t="shared" si="362"/>
        <v/>
      </c>
    </row>
    <row r="1049" spans="1:13" x14ac:dyDescent="0.25">
      <c r="A1049" s="85" t="str">
        <f t="shared" si="352"/>
        <v/>
      </c>
      <c r="B1049" s="296" t="str">
        <f t="shared" si="353"/>
        <v/>
      </c>
      <c r="C1049" s="296" t="str">
        <f t="shared" si="354"/>
        <v/>
      </c>
      <c r="D1049" s="85">
        <f t="shared" si="355"/>
        <v>5</v>
      </c>
      <c r="E1049" s="17" t="str">
        <f t="shared" si="356"/>
        <v/>
      </c>
      <c r="F1049" s="17" t="str">
        <f t="shared" si="357"/>
        <v/>
      </c>
      <c r="G1049" s="17" t="str">
        <f t="shared" si="358"/>
        <v/>
      </c>
      <c r="H1049" s="16">
        <v>759</v>
      </c>
      <c r="I1049" s="16" t="str">
        <f t="shared" si="359"/>
        <v/>
      </c>
      <c r="J1049" s="209" t="str">
        <f t="shared" si="360"/>
        <v/>
      </c>
      <c r="K1049" s="209" t="str">
        <f t="shared" si="361"/>
        <v/>
      </c>
      <c r="L1049" s="692"/>
      <c r="M1049" s="17" t="str">
        <f t="shared" si="362"/>
        <v/>
      </c>
    </row>
    <row r="1050" spans="1:13" x14ac:dyDescent="0.25">
      <c r="A1050" s="85" t="str">
        <f t="shared" si="352"/>
        <v/>
      </c>
      <c r="B1050" s="296" t="str">
        <f t="shared" si="353"/>
        <v/>
      </c>
      <c r="C1050" s="296" t="str">
        <f t="shared" si="354"/>
        <v/>
      </c>
      <c r="D1050" s="85">
        <f t="shared" si="355"/>
        <v>5</v>
      </c>
      <c r="E1050" s="17" t="str">
        <f t="shared" si="356"/>
        <v/>
      </c>
      <c r="F1050" s="17" t="str">
        <f t="shared" si="357"/>
        <v/>
      </c>
      <c r="G1050" s="17" t="str">
        <f t="shared" si="358"/>
        <v/>
      </c>
      <c r="H1050" s="16">
        <v>760</v>
      </c>
      <c r="I1050" s="16" t="str">
        <f t="shared" si="359"/>
        <v/>
      </c>
      <c r="J1050" s="209" t="str">
        <f t="shared" si="360"/>
        <v/>
      </c>
      <c r="K1050" s="209" t="str">
        <f t="shared" si="361"/>
        <v/>
      </c>
      <c r="L1050" s="692"/>
      <c r="M1050" s="17" t="str">
        <f t="shared" si="362"/>
        <v/>
      </c>
    </row>
    <row r="1051" spans="1:13" x14ac:dyDescent="0.25">
      <c r="A1051" s="85" t="str">
        <f t="shared" si="352"/>
        <v/>
      </c>
      <c r="B1051" s="296" t="str">
        <f t="shared" si="353"/>
        <v/>
      </c>
      <c r="C1051" s="296" t="str">
        <f t="shared" si="354"/>
        <v/>
      </c>
      <c r="D1051" s="85">
        <f t="shared" si="355"/>
        <v>5</v>
      </c>
      <c r="E1051" s="17" t="str">
        <f t="shared" si="356"/>
        <v/>
      </c>
      <c r="F1051" s="17" t="str">
        <f t="shared" si="357"/>
        <v/>
      </c>
      <c r="G1051" s="17" t="str">
        <f t="shared" si="358"/>
        <v/>
      </c>
      <c r="H1051" s="16">
        <v>761</v>
      </c>
      <c r="I1051" s="16" t="str">
        <f t="shared" si="359"/>
        <v/>
      </c>
      <c r="J1051" s="209" t="str">
        <f t="shared" si="360"/>
        <v/>
      </c>
      <c r="K1051" s="209" t="str">
        <f t="shared" si="361"/>
        <v/>
      </c>
      <c r="L1051" s="692"/>
      <c r="M1051" s="17" t="str">
        <f t="shared" si="362"/>
        <v/>
      </c>
    </row>
    <row r="1052" spans="1:13" x14ac:dyDescent="0.25">
      <c r="A1052" s="85" t="str">
        <f t="shared" si="352"/>
        <v/>
      </c>
      <c r="B1052" s="296" t="str">
        <f t="shared" si="353"/>
        <v/>
      </c>
      <c r="C1052" s="296" t="str">
        <f t="shared" si="354"/>
        <v/>
      </c>
      <c r="D1052" s="85">
        <f t="shared" si="355"/>
        <v>5</v>
      </c>
      <c r="E1052" s="17" t="str">
        <f t="shared" si="356"/>
        <v/>
      </c>
      <c r="F1052" s="17" t="str">
        <f t="shared" si="357"/>
        <v/>
      </c>
      <c r="G1052" s="17" t="str">
        <f t="shared" si="358"/>
        <v/>
      </c>
      <c r="H1052" s="16">
        <v>762</v>
      </c>
      <c r="I1052" s="16" t="str">
        <f t="shared" si="359"/>
        <v/>
      </c>
      <c r="J1052" s="209" t="str">
        <f t="shared" si="360"/>
        <v/>
      </c>
      <c r="K1052" s="209" t="str">
        <f t="shared" si="361"/>
        <v/>
      </c>
      <c r="L1052" s="692"/>
      <c r="M1052" s="17" t="str">
        <f t="shared" si="362"/>
        <v/>
      </c>
    </row>
    <row r="1053" spans="1:13" x14ac:dyDescent="0.25">
      <c r="A1053" s="85" t="str">
        <f t="shared" si="352"/>
        <v/>
      </c>
      <c r="B1053" s="296" t="str">
        <f t="shared" si="353"/>
        <v/>
      </c>
      <c r="C1053" s="296" t="str">
        <f t="shared" si="354"/>
        <v/>
      </c>
      <c r="D1053" s="85">
        <f t="shared" si="355"/>
        <v>5</v>
      </c>
      <c r="E1053" s="17" t="str">
        <f t="shared" si="356"/>
        <v/>
      </c>
      <c r="F1053" s="17" t="str">
        <f t="shared" si="357"/>
        <v/>
      </c>
      <c r="G1053" s="17" t="str">
        <f t="shared" si="358"/>
        <v/>
      </c>
      <c r="H1053" s="16">
        <v>763</v>
      </c>
      <c r="I1053" s="16" t="str">
        <f t="shared" si="359"/>
        <v/>
      </c>
      <c r="J1053" s="209" t="str">
        <f t="shared" si="360"/>
        <v/>
      </c>
      <c r="K1053" s="209" t="str">
        <f t="shared" si="361"/>
        <v/>
      </c>
      <c r="L1053" s="692"/>
      <c r="M1053" s="17" t="str">
        <f t="shared" si="362"/>
        <v/>
      </c>
    </row>
    <row r="1054" spans="1:13" x14ac:dyDescent="0.25">
      <c r="A1054" s="85" t="str">
        <f t="shared" si="352"/>
        <v/>
      </c>
      <c r="B1054" s="296" t="str">
        <f t="shared" si="353"/>
        <v/>
      </c>
      <c r="C1054" s="296" t="str">
        <f t="shared" si="354"/>
        <v/>
      </c>
      <c r="D1054" s="85">
        <f t="shared" si="355"/>
        <v>5</v>
      </c>
      <c r="E1054" s="17" t="str">
        <f t="shared" si="356"/>
        <v/>
      </c>
      <c r="F1054" s="17" t="str">
        <f t="shared" si="357"/>
        <v/>
      </c>
      <c r="G1054" s="17" t="str">
        <f t="shared" si="358"/>
        <v/>
      </c>
      <c r="H1054" s="16">
        <v>764</v>
      </c>
      <c r="I1054" s="16" t="str">
        <f t="shared" si="359"/>
        <v/>
      </c>
      <c r="J1054" s="209" t="str">
        <f t="shared" si="360"/>
        <v/>
      </c>
      <c r="K1054" s="209" t="str">
        <f t="shared" si="361"/>
        <v/>
      </c>
      <c r="L1054" s="692"/>
      <c r="M1054" s="17" t="str">
        <f t="shared" si="362"/>
        <v/>
      </c>
    </row>
    <row r="1055" spans="1:13" x14ac:dyDescent="0.25">
      <c r="A1055" s="85" t="str">
        <f t="shared" si="352"/>
        <v/>
      </c>
      <c r="B1055" s="296" t="str">
        <f t="shared" si="353"/>
        <v/>
      </c>
      <c r="C1055" s="296" t="str">
        <f t="shared" si="354"/>
        <v/>
      </c>
      <c r="D1055" s="85">
        <f t="shared" si="355"/>
        <v>5</v>
      </c>
      <c r="E1055" s="17" t="str">
        <f t="shared" si="356"/>
        <v/>
      </c>
      <c r="F1055" s="17" t="str">
        <f t="shared" si="357"/>
        <v/>
      </c>
      <c r="G1055" s="17" t="str">
        <f t="shared" si="358"/>
        <v/>
      </c>
      <c r="H1055" s="16">
        <v>765</v>
      </c>
      <c r="I1055" s="16" t="str">
        <f t="shared" si="359"/>
        <v/>
      </c>
      <c r="J1055" s="209" t="str">
        <f t="shared" si="360"/>
        <v/>
      </c>
      <c r="K1055" s="209" t="str">
        <f t="shared" si="361"/>
        <v/>
      </c>
      <c r="L1055" s="692"/>
      <c r="M1055" s="17" t="str">
        <f t="shared" si="362"/>
        <v/>
      </c>
    </row>
    <row r="1056" spans="1:13" x14ac:dyDescent="0.25">
      <c r="A1056" s="85" t="str">
        <f t="shared" si="352"/>
        <v/>
      </c>
      <c r="B1056" s="296" t="str">
        <f t="shared" si="353"/>
        <v/>
      </c>
      <c r="C1056" s="296" t="str">
        <f t="shared" si="354"/>
        <v/>
      </c>
      <c r="D1056" s="85">
        <f t="shared" si="355"/>
        <v>5</v>
      </c>
      <c r="E1056" s="17" t="str">
        <f t="shared" si="356"/>
        <v/>
      </c>
      <c r="F1056" s="17" t="str">
        <f t="shared" si="357"/>
        <v/>
      </c>
      <c r="G1056" s="17" t="str">
        <f t="shared" si="358"/>
        <v/>
      </c>
      <c r="H1056" s="16">
        <v>766</v>
      </c>
      <c r="I1056" s="16" t="str">
        <f t="shared" si="359"/>
        <v/>
      </c>
      <c r="J1056" s="209" t="str">
        <f t="shared" si="360"/>
        <v/>
      </c>
      <c r="K1056" s="209" t="str">
        <f t="shared" si="361"/>
        <v/>
      </c>
      <c r="L1056" s="692"/>
      <c r="M1056" s="17" t="str">
        <f t="shared" si="362"/>
        <v/>
      </c>
    </row>
    <row r="1057" spans="1:13" x14ac:dyDescent="0.25">
      <c r="A1057" s="85" t="str">
        <f t="shared" si="352"/>
        <v/>
      </c>
      <c r="B1057" s="296" t="str">
        <f t="shared" si="353"/>
        <v/>
      </c>
      <c r="C1057" s="296" t="str">
        <f t="shared" si="354"/>
        <v/>
      </c>
      <c r="D1057" s="85">
        <f t="shared" si="355"/>
        <v>5</v>
      </c>
      <c r="E1057" s="17" t="str">
        <f t="shared" si="356"/>
        <v/>
      </c>
      <c r="F1057" s="17" t="str">
        <f t="shared" si="357"/>
        <v/>
      </c>
      <c r="G1057" s="17" t="str">
        <f t="shared" si="358"/>
        <v/>
      </c>
      <c r="H1057" s="16">
        <v>767</v>
      </c>
      <c r="I1057" s="16" t="str">
        <f t="shared" si="359"/>
        <v/>
      </c>
      <c r="J1057" s="209" t="str">
        <f t="shared" si="360"/>
        <v/>
      </c>
      <c r="K1057" s="209" t="str">
        <f t="shared" si="361"/>
        <v/>
      </c>
      <c r="L1057" s="692"/>
      <c r="M1057" s="17" t="str">
        <f t="shared" si="362"/>
        <v/>
      </c>
    </row>
    <row r="1058" spans="1:13" x14ac:dyDescent="0.25">
      <c r="A1058" s="85" t="str">
        <f t="shared" si="352"/>
        <v/>
      </c>
      <c r="B1058" s="296" t="str">
        <f t="shared" si="353"/>
        <v/>
      </c>
      <c r="C1058" s="296" t="str">
        <f t="shared" si="354"/>
        <v/>
      </c>
      <c r="D1058" s="85">
        <f t="shared" si="355"/>
        <v>5</v>
      </c>
      <c r="E1058" s="17" t="str">
        <f t="shared" si="356"/>
        <v/>
      </c>
      <c r="F1058" s="17" t="str">
        <f t="shared" si="357"/>
        <v/>
      </c>
      <c r="G1058" s="17" t="str">
        <f t="shared" si="358"/>
        <v/>
      </c>
      <c r="H1058" s="16">
        <v>768</v>
      </c>
      <c r="I1058" s="16" t="str">
        <f t="shared" si="359"/>
        <v/>
      </c>
      <c r="J1058" s="209" t="str">
        <f t="shared" si="360"/>
        <v/>
      </c>
      <c r="K1058" s="209" t="str">
        <f t="shared" si="361"/>
        <v/>
      </c>
      <c r="L1058" s="692"/>
      <c r="M1058" s="17" t="str">
        <f t="shared" si="362"/>
        <v/>
      </c>
    </row>
    <row r="1059" spans="1:13" x14ac:dyDescent="0.25">
      <c r="A1059" s="85" t="str">
        <f t="shared" si="352"/>
        <v/>
      </c>
      <c r="B1059" s="296" t="str">
        <f t="shared" si="353"/>
        <v/>
      </c>
      <c r="C1059" s="296" t="str">
        <f t="shared" si="354"/>
        <v/>
      </c>
      <c r="D1059" s="85">
        <f t="shared" si="355"/>
        <v>5</v>
      </c>
      <c r="E1059" s="17" t="str">
        <f t="shared" si="356"/>
        <v/>
      </c>
      <c r="F1059" s="17" t="str">
        <f t="shared" si="357"/>
        <v/>
      </c>
      <c r="G1059" s="17" t="str">
        <f t="shared" si="358"/>
        <v/>
      </c>
      <c r="H1059" s="16">
        <v>769</v>
      </c>
      <c r="I1059" s="16" t="str">
        <f t="shared" si="359"/>
        <v/>
      </c>
      <c r="J1059" s="209" t="str">
        <f t="shared" si="360"/>
        <v/>
      </c>
      <c r="K1059" s="209" t="str">
        <f t="shared" si="361"/>
        <v/>
      </c>
      <c r="L1059" s="692"/>
      <c r="M1059" s="17" t="str">
        <f t="shared" si="362"/>
        <v/>
      </c>
    </row>
    <row r="1060" spans="1:13" x14ac:dyDescent="0.25">
      <c r="A1060" s="85" t="str">
        <f t="shared" si="352"/>
        <v/>
      </c>
      <c r="B1060" s="296" t="str">
        <f t="shared" si="353"/>
        <v/>
      </c>
      <c r="C1060" s="296" t="str">
        <f t="shared" si="354"/>
        <v/>
      </c>
      <c r="D1060" s="85">
        <f t="shared" si="355"/>
        <v>5</v>
      </c>
      <c r="E1060" s="17" t="str">
        <f t="shared" si="356"/>
        <v/>
      </c>
      <c r="F1060" s="17" t="str">
        <f t="shared" si="357"/>
        <v/>
      </c>
      <c r="G1060" s="17" t="str">
        <f t="shared" si="358"/>
        <v/>
      </c>
      <c r="H1060" s="16">
        <v>770</v>
      </c>
      <c r="I1060" s="16" t="str">
        <f t="shared" si="359"/>
        <v/>
      </c>
      <c r="J1060" s="209" t="str">
        <f t="shared" si="360"/>
        <v/>
      </c>
      <c r="K1060" s="209" t="str">
        <f t="shared" si="361"/>
        <v/>
      </c>
      <c r="L1060" s="692"/>
      <c r="M1060" s="17" t="str">
        <f t="shared" si="362"/>
        <v/>
      </c>
    </row>
    <row r="1061" spans="1:13" x14ac:dyDescent="0.25">
      <c r="A1061" s="85" t="str">
        <f t="shared" si="352"/>
        <v/>
      </c>
      <c r="B1061" s="296" t="str">
        <f t="shared" si="353"/>
        <v/>
      </c>
      <c r="C1061" s="296" t="str">
        <f t="shared" si="354"/>
        <v/>
      </c>
      <c r="D1061" s="85">
        <f t="shared" si="355"/>
        <v>5</v>
      </c>
      <c r="E1061" s="17" t="str">
        <f t="shared" si="356"/>
        <v/>
      </c>
      <c r="F1061" s="17" t="str">
        <f t="shared" si="357"/>
        <v/>
      </c>
      <c r="G1061" s="17" t="str">
        <f t="shared" si="358"/>
        <v/>
      </c>
      <c r="H1061" s="16">
        <v>771</v>
      </c>
      <c r="I1061" s="16" t="str">
        <f t="shared" si="359"/>
        <v/>
      </c>
      <c r="J1061" s="209" t="str">
        <f t="shared" si="360"/>
        <v/>
      </c>
      <c r="K1061" s="209" t="str">
        <f t="shared" si="361"/>
        <v/>
      </c>
      <c r="L1061" s="692"/>
      <c r="M1061" s="17" t="str">
        <f t="shared" si="362"/>
        <v/>
      </c>
    </row>
    <row r="1062" spans="1:13" x14ac:dyDescent="0.25">
      <c r="A1062" s="85" t="str">
        <f t="shared" si="352"/>
        <v/>
      </c>
      <c r="B1062" s="296" t="str">
        <f t="shared" si="353"/>
        <v/>
      </c>
      <c r="C1062" s="296" t="str">
        <f t="shared" si="354"/>
        <v/>
      </c>
      <c r="D1062" s="85">
        <f t="shared" si="355"/>
        <v>5</v>
      </c>
      <c r="E1062" s="17" t="str">
        <f t="shared" si="356"/>
        <v/>
      </c>
      <c r="F1062" s="17" t="str">
        <f t="shared" si="357"/>
        <v/>
      </c>
      <c r="G1062" s="17" t="str">
        <f t="shared" si="358"/>
        <v/>
      </c>
      <c r="H1062" s="16">
        <v>772</v>
      </c>
      <c r="I1062" s="16" t="str">
        <f t="shared" si="359"/>
        <v/>
      </c>
      <c r="J1062" s="209" t="str">
        <f t="shared" si="360"/>
        <v/>
      </c>
      <c r="K1062" s="209" t="str">
        <f t="shared" si="361"/>
        <v/>
      </c>
      <c r="L1062" s="692"/>
      <c r="M1062" s="17" t="str">
        <f t="shared" si="362"/>
        <v/>
      </c>
    </row>
    <row r="1063" spans="1:13" x14ac:dyDescent="0.25">
      <c r="A1063" s="85" t="str">
        <f t="shared" si="352"/>
        <v/>
      </c>
      <c r="B1063" s="296" t="str">
        <f t="shared" si="353"/>
        <v/>
      </c>
      <c r="C1063" s="296" t="str">
        <f t="shared" si="354"/>
        <v/>
      </c>
      <c r="D1063" s="85">
        <f t="shared" si="355"/>
        <v>5</v>
      </c>
      <c r="E1063" s="17" t="str">
        <f t="shared" si="356"/>
        <v/>
      </c>
      <c r="F1063" s="17" t="str">
        <f t="shared" si="357"/>
        <v/>
      </c>
      <c r="G1063" s="17" t="str">
        <f t="shared" si="358"/>
        <v/>
      </c>
      <c r="H1063" s="16">
        <v>773</v>
      </c>
      <c r="I1063" s="16" t="str">
        <f t="shared" si="359"/>
        <v/>
      </c>
      <c r="J1063" s="209" t="str">
        <f t="shared" si="360"/>
        <v/>
      </c>
      <c r="K1063" s="209" t="str">
        <f t="shared" si="361"/>
        <v/>
      </c>
      <c r="L1063" s="692"/>
      <c r="M1063" s="17" t="str">
        <f t="shared" si="362"/>
        <v/>
      </c>
    </row>
    <row r="1064" spans="1:13" x14ac:dyDescent="0.25">
      <c r="A1064" s="85" t="str">
        <f t="shared" si="352"/>
        <v/>
      </c>
      <c r="B1064" s="296" t="str">
        <f t="shared" si="353"/>
        <v/>
      </c>
      <c r="C1064" s="296" t="str">
        <f t="shared" si="354"/>
        <v/>
      </c>
      <c r="D1064" s="85">
        <f t="shared" si="355"/>
        <v>5</v>
      </c>
      <c r="E1064" s="17" t="str">
        <f t="shared" si="356"/>
        <v/>
      </c>
      <c r="F1064" s="17" t="str">
        <f t="shared" si="357"/>
        <v/>
      </c>
      <c r="G1064" s="17" t="str">
        <f t="shared" si="358"/>
        <v/>
      </c>
      <c r="H1064" s="16">
        <v>774</v>
      </c>
      <c r="I1064" s="16" t="str">
        <f t="shared" si="359"/>
        <v/>
      </c>
      <c r="J1064" s="209" t="str">
        <f t="shared" si="360"/>
        <v/>
      </c>
      <c r="K1064" s="209" t="str">
        <f t="shared" si="361"/>
        <v/>
      </c>
      <c r="L1064" s="692"/>
      <c r="M1064" s="17" t="str">
        <f t="shared" si="362"/>
        <v/>
      </c>
    </row>
    <row r="1065" spans="1:13" x14ac:dyDescent="0.25">
      <c r="A1065" s="85" t="str">
        <f t="shared" si="352"/>
        <v/>
      </c>
      <c r="B1065" s="296" t="str">
        <f t="shared" si="353"/>
        <v/>
      </c>
      <c r="C1065" s="296" t="str">
        <f t="shared" si="354"/>
        <v/>
      </c>
      <c r="D1065" s="85">
        <f t="shared" si="355"/>
        <v>5</v>
      </c>
      <c r="E1065" s="17" t="str">
        <f t="shared" si="356"/>
        <v/>
      </c>
      <c r="F1065" s="17" t="str">
        <f t="shared" si="357"/>
        <v/>
      </c>
      <c r="G1065" s="17" t="str">
        <f t="shared" si="358"/>
        <v/>
      </c>
      <c r="H1065" s="16">
        <v>775</v>
      </c>
      <c r="I1065" s="16" t="str">
        <f t="shared" si="359"/>
        <v/>
      </c>
      <c r="J1065" s="209" t="str">
        <f t="shared" si="360"/>
        <v/>
      </c>
      <c r="K1065" s="209" t="str">
        <f t="shared" si="361"/>
        <v/>
      </c>
      <c r="L1065" s="692"/>
      <c r="M1065" s="17" t="str">
        <f t="shared" si="362"/>
        <v/>
      </c>
    </row>
    <row r="1066" spans="1:13" x14ac:dyDescent="0.25">
      <c r="A1066" s="85" t="str">
        <f t="shared" si="352"/>
        <v/>
      </c>
      <c r="B1066" s="296" t="str">
        <f t="shared" si="353"/>
        <v/>
      </c>
      <c r="C1066" s="296" t="str">
        <f t="shared" si="354"/>
        <v/>
      </c>
      <c r="D1066" s="85">
        <f t="shared" si="355"/>
        <v>5</v>
      </c>
      <c r="E1066" s="17" t="str">
        <f t="shared" si="356"/>
        <v/>
      </c>
      <c r="F1066" s="17" t="str">
        <f t="shared" si="357"/>
        <v/>
      </c>
      <c r="G1066" s="17" t="str">
        <f t="shared" si="358"/>
        <v/>
      </c>
      <c r="H1066" s="16">
        <v>776</v>
      </c>
      <c r="I1066" s="16" t="str">
        <f t="shared" si="359"/>
        <v/>
      </c>
      <c r="J1066" s="209" t="str">
        <f t="shared" si="360"/>
        <v/>
      </c>
      <c r="K1066" s="209" t="str">
        <f t="shared" si="361"/>
        <v/>
      </c>
      <c r="L1066" s="692"/>
      <c r="M1066" s="17" t="str">
        <f t="shared" si="362"/>
        <v/>
      </c>
    </row>
    <row r="1067" spans="1:13" x14ac:dyDescent="0.25">
      <c r="A1067" s="85" t="str">
        <f t="shared" si="352"/>
        <v/>
      </c>
      <c r="B1067" s="296" t="str">
        <f t="shared" si="353"/>
        <v/>
      </c>
      <c r="C1067" s="296" t="str">
        <f t="shared" si="354"/>
        <v/>
      </c>
      <c r="D1067" s="85">
        <f t="shared" si="355"/>
        <v>5</v>
      </c>
      <c r="E1067" s="17" t="str">
        <f t="shared" si="356"/>
        <v/>
      </c>
      <c r="F1067" s="17" t="str">
        <f t="shared" si="357"/>
        <v/>
      </c>
      <c r="G1067" s="17" t="str">
        <f t="shared" si="358"/>
        <v/>
      </c>
      <c r="H1067" s="16">
        <v>777</v>
      </c>
      <c r="I1067" s="16" t="str">
        <f t="shared" si="359"/>
        <v/>
      </c>
      <c r="J1067" s="209" t="str">
        <f t="shared" si="360"/>
        <v/>
      </c>
      <c r="K1067" s="209" t="str">
        <f t="shared" si="361"/>
        <v/>
      </c>
      <c r="L1067" s="692"/>
      <c r="M1067" s="17" t="str">
        <f t="shared" si="362"/>
        <v/>
      </c>
    </row>
    <row r="1068" spans="1:13" x14ac:dyDescent="0.25">
      <c r="A1068" s="85" t="str">
        <f t="shared" si="352"/>
        <v/>
      </c>
      <c r="B1068" s="296" t="str">
        <f t="shared" si="353"/>
        <v/>
      </c>
      <c r="C1068" s="296" t="str">
        <f t="shared" si="354"/>
        <v/>
      </c>
      <c r="D1068" s="85">
        <f t="shared" si="355"/>
        <v>5</v>
      </c>
      <c r="E1068" s="17" t="str">
        <f t="shared" si="356"/>
        <v/>
      </c>
      <c r="F1068" s="17" t="str">
        <f t="shared" si="357"/>
        <v/>
      </c>
      <c r="G1068" s="17" t="str">
        <f t="shared" si="358"/>
        <v/>
      </c>
      <c r="H1068" s="16">
        <v>778</v>
      </c>
      <c r="I1068" s="16" t="str">
        <f t="shared" si="359"/>
        <v/>
      </c>
      <c r="J1068" s="209" t="str">
        <f t="shared" si="360"/>
        <v/>
      </c>
      <c r="K1068" s="209" t="str">
        <f t="shared" si="361"/>
        <v/>
      </c>
      <c r="L1068" s="692"/>
      <c r="M1068" s="17" t="str">
        <f t="shared" si="362"/>
        <v/>
      </c>
    </row>
    <row r="1069" spans="1:13" x14ac:dyDescent="0.25">
      <c r="A1069" s="85" t="str">
        <f t="shared" si="352"/>
        <v/>
      </c>
      <c r="B1069" s="296" t="str">
        <f t="shared" si="353"/>
        <v/>
      </c>
      <c r="C1069" s="296" t="str">
        <f t="shared" si="354"/>
        <v/>
      </c>
      <c r="D1069" s="85">
        <f t="shared" si="355"/>
        <v>5</v>
      </c>
      <c r="E1069" s="17" t="str">
        <f t="shared" si="356"/>
        <v/>
      </c>
      <c r="F1069" s="17" t="str">
        <f t="shared" si="357"/>
        <v/>
      </c>
      <c r="G1069" s="17" t="str">
        <f t="shared" si="358"/>
        <v/>
      </c>
      <c r="H1069" s="16">
        <v>779</v>
      </c>
      <c r="I1069" s="16" t="str">
        <f t="shared" si="359"/>
        <v/>
      </c>
      <c r="J1069" s="209" t="str">
        <f t="shared" si="360"/>
        <v/>
      </c>
      <c r="K1069" s="209" t="str">
        <f t="shared" si="361"/>
        <v/>
      </c>
      <c r="L1069" s="692"/>
      <c r="M1069" s="17" t="str">
        <f t="shared" si="362"/>
        <v/>
      </c>
    </row>
    <row r="1070" spans="1:13" x14ac:dyDescent="0.25">
      <c r="A1070" s="85" t="str">
        <f t="shared" si="352"/>
        <v/>
      </c>
      <c r="B1070" s="296" t="str">
        <f t="shared" si="353"/>
        <v/>
      </c>
      <c r="C1070" s="296" t="str">
        <f t="shared" si="354"/>
        <v/>
      </c>
      <c r="D1070" s="85">
        <f t="shared" si="355"/>
        <v>5</v>
      </c>
      <c r="E1070" s="17" t="str">
        <f t="shared" si="356"/>
        <v/>
      </c>
      <c r="F1070" s="17" t="str">
        <f t="shared" si="357"/>
        <v/>
      </c>
      <c r="G1070" s="17" t="str">
        <f t="shared" si="358"/>
        <v/>
      </c>
      <c r="H1070" s="16">
        <v>780</v>
      </c>
      <c r="I1070" s="16" t="str">
        <f t="shared" si="359"/>
        <v/>
      </c>
      <c r="J1070" s="209" t="str">
        <f t="shared" si="360"/>
        <v/>
      </c>
      <c r="K1070" s="209" t="str">
        <f t="shared" si="361"/>
        <v/>
      </c>
      <c r="L1070" s="692"/>
      <c r="M1070" s="17" t="str">
        <f t="shared" si="362"/>
        <v/>
      </c>
    </row>
    <row r="1071" spans="1:13" x14ac:dyDescent="0.25">
      <c r="A1071" s="85" t="str">
        <f t="shared" si="352"/>
        <v/>
      </c>
      <c r="B1071" s="296" t="str">
        <f t="shared" si="353"/>
        <v/>
      </c>
      <c r="C1071" s="296" t="str">
        <f t="shared" si="354"/>
        <v/>
      </c>
      <c r="D1071" s="85">
        <f t="shared" si="355"/>
        <v>5</v>
      </c>
      <c r="E1071" s="17" t="str">
        <f t="shared" si="356"/>
        <v/>
      </c>
      <c r="F1071" s="17" t="str">
        <f t="shared" si="357"/>
        <v/>
      </c>
      <c r="G1071" s="17" t="str">
        <f t="shared" si="358"/>
        <v/>
      </c>
      <c r="H1071" s="16">
        <v>781</v>
      </c>
      <c r="I1071" s="16" t="str">
        <f t="shared" si="359"/>
        <v/>
      </c>
      <c r="J1071" s="209" t="str">
        <f t="shared" si="360"/>
        <v/>
      </c>
      <c r="K1071" s="209" t="str">
        <f t="shared" si="361"/>
        <v/>
      </c>
      <c r="L1071" s="692"/>
      <c r="M1071" s="17" t="str">
        <f t="shared" si="362"/>
        <v/>
      </c>
    </row>
    <row r="1072" spans="1:13" x14ac:dyDescent="0.25">
      <c r="A1072" s="85" t="str">
        <f t="shared" si="352"/>
        <v/>
      </c>
      <c r="B1072" s="296" t="str">
        <f t="shared" si="353"/>
        <v/>
      </c>
      <c r="C1072" s="296" t="str">
        <f t="shared" si="354"/>
        <v/>
      </c>
      <c r="D1072" s="85">
        <f t="shared" si="355"/>
        <v>5</v>
      </c>
      <c r="E1072" s="17" t="str">
        <f t="shared" si="356"/>
        <v/>
      </c>
      <c r="F1072" s="17" t="str">
        <f t="shared" si="357"/>
        <v/>
      </c>
      <c r="G1072" s="17" t="str">
        <f t="shared" si="358"/>
        <v/>
      </c>
      <c r="H1072" s="16">
        <v>782</v>
      </c>
      <c r="I1072" s="16" t="str">
        <f t="shared" si="359"/>
        <v/>
      </c>
      <c r="J1072" s="209" t="str">
        <f t="shared" si="360"/>
        <v/>
      </c>
      <c r="K1072" s="209" t="str">
        <f t="shared" si="361"/>
        <v/>
      </c>
      <c r="L1072" s="692"/>
      <c r="M1072" s="17" t="str">
        <f t="shared" si="362"/>
        <v/>
      </c>
    </row>
    <row r="1073" spans="1:13" x14ac:dyDescent="0.25">
      <c r="A1073" s="85" t="str">
        <f t="shared" si="352"/>
        <v/>
      </c>
      <c r="B1073" s="296" t="str">
        <f t="shared" si="353"/>
        <v/>
      </c>
      <c r="C1073" s="296" t="str">
        <f t="shared" si="354"/>
        <v/>
      </c>
      <c r="D1073" s="85">
        <f t="shared" si="355"/>
        <v>5</v>
      </c>
      <c r="E1073" s="17" t="str">
        <f t="shared" si="356"/>
        <v/>
      </c>
      <c r="F1073" s="17" t="str">
        <f t="shared" si="357"/>
        <v/>
      </c>
      <c r="G1073" s="17" t="str">
        <f t="shared" si="358"/>
        <v/>
      </c>
      <c r="H1073" s="16">
        <v>783</v>
      </c>
      <c r="I1073" s="16" t="str">
        <f t="shared" si="359"/>
        <v/>
      </c>
      <c r="J1073" s="209" t="str">
        <f t="shared" si="360"/>
        <v/>
      </c>
      <c r="K1073" s="209" t="str">
        <f t="shared" si="361"/>
        <v/>
      </c>
      <c r="L1073" s="692"/>
      <c r="M1073" s="17" t="str">
        <f t="shared" si="362"/>
        <v/>
      </c>
    </row>
    <row r="1074" spans="1:13" x14ac:dyDescent="0.25">
      <c r="A1074" s="85" t="str">
        <f t="shared" ref="A1074:A1137" si="363">IF(A1073&lt;J$269,A1073+1,"")</f>
        <v/>
      </c>
      <c r="B1074" s="296" t="str">
        <f t="shared" ref="B1074:B1137" si="364">IF(A1074="","",IF(A1073&lt;=C$270,B$273+(A1073*E$274/C$269),IF(A1073&lt;=D$270,B$274+(D$275*COS(RADIANS(G$275+((A1073-C$270)*H$276/D$269))))-E$275,IF(A1073&lt;=E$270,B$276+((A1073-D$270)*E$277/E$269),IF(A1073&lt;=F$270,B$277+(D$278*COS(RADIANS(G$278+((A1073-E$270)*H$279/F$269))))-E$278,IF(A1073&lt;=G$270,B$279+((A1073-F$270)*E$280/G$269),IF(A1073&lt;=H$270,B$280+(D$281*COS(RADIANS(G$281+((A1073-G$270)*H$282/H$269))))-E$281,IF(A1073&lt;=I$270,B$282+((A1073-H$270)*E$283/I$269),"CHECK FORMULE"))))))))</f>
        <v/>
      </c>
      <c r="C1074" s="296" t="str">
        <f t="shared" ref="C1074:C1137" si="365">IF(A1074="","",IF(A1073&lt;=C$270,C$273+(A1073*F$274/C$269),IF(A1073&lt;=D$270,C$274+(D$275*SIN(RADIANS(G$275+((A1073-C$270)*H$276/D$269))))-F$275,IF(A1073&lt;=E$270,C$276+((A1073-D$270)*F$277/E$269),IF(A1073&lt;=F$270,C$277+(D$278*SIN(RADIANS(G$278+((A1073-E$270)*H$279/F$269))))-F$278,IF(A1073&lt;=G$270,C$279+((A1073-F$270)*F$280/G$269),IF(A1073&lt;=H$270,C$280+(D$281*SIN(RADIANS(G$281+((A1073-G$270)*H$282/H$269))))-F$281,IF(A1073&lt;=I$270,C$282+((A1073-H$270)*F$283/I$269),"CHECK FORMULE"))))))))</f>
        <v/>
      </c>
      <c r="D1074" s="85">
        <f t="shared" ref="D1074:D1137" si="366">_xlfn.SINGLE(_xlfn.XLOOKUP(B1074,B$273:B$284,A$273:A$284,D1073))</f>
        <v>5</v>
      </c>
      <c r="E1074" s="17" t="str">
        <f t="shared" ref="E1074:E1137" si="367">IF(A1074="","",B1074-B1073)</f>
        <v/>
      </c>
      <c r="F1074" s="17" t="str">
        <f t="shared" ref="F1074:F1137" si="368">IF(A1074="","",C1074-C1073)</f>
        <v/>
      </c>
      <c r="G1074" s="17" t="str">
        <f t="shared" ref="G1074:G1137" si="369">IF(E1074="","",B1074&amp;","&amp;C1074)</f>
        <v/>
      </c>
      <c r="H1074" s="16">
        <v>784</v>
      </c>
      <c r="I1074" s="16" t="str">
        <f t="shared" ref="I1074:I1137" si="370">IF(J1074="","",I1073+1)</f>
        <v/>
      </c>
      <c r="J1074" s="209" t="str">
        <f t="shared" ref="J1074:J1137" si="371">IF(E1074="","",(E1074^2+F1074^2)^0.5)</f>
        <v/>
      </c>
      <c r="K1074" s="209" t="str">
        <f t="shared" ref="K1074:K1137" si="372">IF(E1074="","",K1073+J1074)</f>
        <v/>
      </c>
      <c r="L1074" s="692"/>
      <c r="M1074" s="17" t="str">
        <f t="shared" ref="M1074:M1137" si="373">IF(L1074="","",K1074&amp;","&amp;L1074)</f>
        <v/>
      </c>
    </row>
    <row r="1075" spans="1:13" x14ac:dyDescent="0.25">
      <c r="A1075" s="85" t="str">
        <f t="shared" si="363"/>
        <v/>
      </c>
      <c r="B1075" s="296" t="str">
        <f t="shared" si="364"/>
        <v/>
      </c>
      <c r="C1075" s="296" t="str">
        <f t="shared" si="365"/>
        <v/>
      </c>
      <c r="D1075" s="85">
        <f t="shared" si="366"/>
        <v>5</v>
      </c>
      <c r="E1075" s="17" t="str">
        <f t="shared" si="367"/>
        <v/>
      </c>
      <c r="F1075" s="17" t="str">
        <f t="shared" si="368"/>
        <v/>
      </c>
      <c r="G1075" s="17" t="str">
        <f t="shared" si="369"/>
        <v/>
      </c>
      <c r="H1075" s="16">
        <v>785</v>
      </c>
      <c r="I1075" s="16" t="str">
        <f t="shared" si="370"/>
        <v/>
      </c>
      <c r="J1075" s="209" t="str">
        <f t="shared" si="371"/>
        <v/>
      </c>
      <c r="K1075" s="209" t="str">
        <f t="shared" si="372"/>
        <v/>
      </c>
      <c r="L1075" s="692"/>
      <c r="M1075" s="17" t="str">
        <f t="shared" si="373"/>
        <v/>
      </c>
    </row>
    <row r="1076" spans="1:13" x14ac:dyDescent="0.25">
      <c r="A1076" s="85" t="str">
        <f t="shared" si="363"/>
        <v/>
      </c>
      <c r="B1076" s="296" t="str">
        <f t="shared" si="364"/>
        <v/>
      </c>
      <c r="C1076" s="296" t="str">
        <f t="shared" si="365"/>
        <v/>
      </c>
      <c r="D1076" s="85">
        <f t="shared" si="366"/>
        <v>5</v>
      </c>
      <c r="E1076" s="17" t="str">
        <f t="shared" si="367"/>
        <v/>
      </c>
      <c r="F1076" s="17" t="str">
        <f t="shared" si="368"/>
        <v/>
      </c>
      <c r="G1076" s="17" t="str">
        <f t="shared" si="369"/>
        <v/>
      </c>
      <c r="H1076" s="16">
        <v>786</v>
      </c>
      <c r="I1076" s="16" t="str">
        <f t="shared" si="370"/>
        <v/>
      </c>
      <c r="J1076" s="209" t="str">
        <f t="shared" si="371"/>
        <v/>
      </c>
      <c r="K1076" s="209" t="str">
        <f t="shared" si="372"/>
        <v/>
      </c>
      <c r="L1076" s="692"/>
      <c r="M1076" s="17" t="str">
        <f t="shared" si="373"/>
        <v/>
      </c>
    </row>
    <row r="1077" spans="1:13" x14ac:dyDescent="0.25">
      <c r="A1077" s="85" t="str">
        <f t="shared" si="363"/>
        <v/>
      </c>
      <c r="B1077" s="296" t="str">
        <f t="shared" si="364"/>
        <v/>
      </c>
      <c r="C1077" s="296" t="str">
        <f t="shared" si="365"/>
        <v/>
      </c>
      <c r="D1077" s="85">
        <f t="shared" si="366"/>
        <v>5</v>
      </c>
      <c r="E1077" s="17" t="str">
        <f t="shared" si="367"/>
        <v/>
      </c>
      <c r="F1077" s="17" t="str">
        <f t="shared" si="368"/>
        <v/>
      </c>
      <c r="G1077" s="17" t="str">
        <f t="shared" si="369"/>
        <v/>
      </c>
      <c r="H1077" s="16">
        <v>787</v>
      </c>
      <c r="I1077" s="16" t="str">
        <f t="shared" si="370"/>
        <v/>
      </c>
      <c r="J1077" s="209" t="str">
        <f t="shared" si="371"/>
        <v/>
      </c>
      <c r="K1077" s="209" t="str">
        <f t="shared" si="372"/>
        <v/>
      </c>
      <c r="L1077" s="692"/>
      <c r="M1077" s="17" t="str">
        <f t="shared" si="373"/>
        <v/>
      </c>
    </row>
    <row r="1078" spans="1:13" x14ac:dyDescent="0.25">
      <c r="A1078" s="85" t="str">
        <f t="shared" si="363"/>
        <v/>
      </c>
      <c r="B1078" s="296" t="str">
        <f t="shared" si="364"/>
        <v/>
      </c>
      <c r="C1078" s="296" t="str">
        <f t="shared" si="365"/>
        <v/>
      </c>
      <c r="D1078" s="85">
        <f t="shared" si="366"/>
        <v>5</v>
      </c>
      <c r="E1078" s="17" t="str">
        <f t="shared" si="367"/>
        <v/>
      </c>
      <c r="F1078" s="17" t="str">
        <f t="shared" si="368"/>
        <v/>
      </c>
      <c r="G1078" s="17" t="str">
        <f t="shared" si="369"/>
        <v/>
      </c>
      <c r="H1078" s="16">
        <v>788</v>
      </c>
      <c r="I1078" s="16" t="str">
        <f t="shared" si="370"/>
        <v/>
      </c>
      <c r="J1078" s="209" t="str">
        <f t="shared" si="371"/>
        <v/>
      </c>
      <c r="K1078" s="209" t="str">
        <f t="shared" si="372"/>
        <v/>
      </c>
      <c r="L1078" s="692"/>
      <c r="M1078" s="17" t="str">
        <f t="shared" si="373"/>
        <v/>
      </c>
    </row>
    <row r="1079" spans="1:13" x14ac:dyDescent="0.25">
      <c r="A1079" s="85" t="str">
        <f t="shared" si="363"/>
        <v/>
      </c>
      <c r="B1079" s="296" t="str">
        <f t="shared" si="364"/>
        <v/>
      </c>
      <c r="C1079" s="296" t="str">
        <f t="shared" si="365"/>
        <v/>
      </c>
      <c r="D1079" s="85">
        <f t="shared" si="366"/>
        <v>5</v>
      </c>
      <c r="E1079" s="17" t="str">
        <f t="shared" si="367"/>
        <v/>
      </c>
      <c r="F1079" s="17" t="str">
        <f t="shared" si="368"/>
        <v/>
      </c>
      <c r="G1079" s="17" t="str">
        <f t="shared" si="369"/>
        <v/>
      </c>
      <c r="H1079" s="16">
        <v>789</v>
      </c>
      <c r="I1079" s="16" t="str">
        <f t="shared" si="370"/>
        <v/>
      </c>
      <c r="J1079" s="209" t="str">
        <f t="shared" si="371"/>
        <v/>
      </c>
      <c r="K1079" s="209" t="str">
        <f t="shared" si="372"/>
        <v/>
      </c>
      <c r="L1079" s="692"/>
      <c r="M1079" s="17" t="str">
        <f t="shared" si="373"/>
        <v/>
      </c>
    </row>
    <row r="1080" spans="1:13" x14ac:dyDescent="0.25">
      <c r="A1080" s="85" t="str">
        <f t="shared" si="363"/>
        <v/>
      </c>
      <c r="B1080" s="296" t="str">
        <f t="shared" si="364"/>
        <v/>
      </c>
      <c r="C1080" s="296" t="str">
        <f t="shared" si="365"/>
        <v/>
      </c>
      <c r="D1080" s="85">
        <f t="shared" si="366"/>
        <v>5</v>
      </c>
      <c r="E1080" s="17" t="str">
        <f t="shared" si="367"/>
        <v/>
      </c>
      <c r="F1080" s="17" t="str">
        <f t="shared" si="368"/>
        <v/>
      </c>
      <c r="G1080" s="17" t="str">
        <f t="shared" si="369"/>
        <v/>
      </c>
      <c r="H1080" s="16">
        <v>790</v>
      </c>
      <c r="I1080" s="16" t="str">
        <f t="shared" si="370"/>
        <v/>
      </c>
      <c r="J1080" s="209" t="str">
        <f t="shared" si="371"/>
        <v/>
      </c>
      <c r="K1080" s="209" t="str">
        <f t="shared" si="372"/>
        <v/>
      </c>
      <c r="L1080" s="692"/>
      <c r="M1080" s="17" t="str">
        <f t="shared" si="373"/>
        <v/>
      </c>
    </row>
    <row r="1081" spans="1:13" x14ac:dyDescent="0.25">
      <c r="A1081" s="85" t="str">
        <f t="shared" si="363"/>
        <v/>
      </c>
      <c r="B1081" s="296" t="str">
        <f t="shared" si="364"/>
        <v/>
      </c>
      <c r="C1081" s="296" t="str">
        <f t="shared" si="365"/>
        <v/>
      </c>
      <c r="D1081" s="85">
        <f t="shared" si="366"/>
        <v>5</v>
      </c>
      <c r="E1081" s="17" t="str">
        <f t="shared" si="367"/>
        <v/>
      </c>
      <c r="F1081" s="17" t="str">
        <f t="shared" si="368"/>
        <v/>
      </c>
      <c r="G1081" s="17" t="str">
        <f t="shared" si="369"/>
        <v/>
      </c>
      <c r="H1081" s="16">
        <v>791</v>
      </c>
      <c r="I1081" s="16" t="str">
        <f t="shared" si="370"/>
        <v/>
      </c>
      <c r="J1081" s="209" t="str">
        <f t="shared" si="371"/>
        <v/>
      </c>
      <c r="K1081" s="209" t="str">
        <f t="shared" si="372"/>
        <v/>
      </c>
      <c r="L1081" s="692"/>
      <c r="M1081" s="17" t="str">
        <f t="shared" si="373"/>
        <v/>
      </c>
    </row>
    <row r="1082" spans="1:13" x14ac:dyDescent="0.25">
      <c r="A1082" s="85" t="str">
        <f t="shared" si="363"/>
        <v/>
      </c>
      <c r="B1082" s="296" t="str">
        <f t="shared" si="364"/>
        <v/>
      </c>
      <c r="C1082" s="296" t="str">
        <f t="shared" si="365"/>
        <v/>
      </c>
      <c r="D1082" s="85">
        <f t="shared" si="366"/>
        <v>5</v>
      </c>
      <c r="E1082" s="17" t="str">
        <f t="shared" si="367"/>
        <v/>
      </c>
      <c r="F1082" s="17" t="str">
        <f t="shared" si="368"/>
        <v/>
      </c>
      <c r="G1082" s="17" t="str">
        <f t="shared" si="369"/>
        <v/>
      </c>
      <c r="H1082" s="16">
        <v>792</v>
      </c>
      <c r="I1082" s="16" t="str">
        <f t="shared" si="370"/>
        <v/>
      </c>
      <c r="J1082" s="209" t="str">
        <f t="shared" si="371"/>
        <v/>
      </c>
      <c r="K1082" s="209" t="str">
        <f t="shared" si="372"/>
        <v/>
      </c>
      <c r="L1082" s="692"/>
      <c r="M1082" s="17" t="str">
        <f t="shared" si="373"/>
        <v/>
      </c>
    </row>
    <row r="1083" spans="1:13" x14ac:dyDescent="0.25">
      <c r="A1083" s="85" t="str">
        <f t="shared" si="363"/>
        <v/>
      </c>
      <c r="B1083" s="296" t="str">
        <f t="shared" si="364"/>
        <v/>
      </c>
      <c r="C1083" s="296" t="str">
        <f t="shared" si="365"/>
        <v/>
      </c>
      <c r="D1083" s="85">
        <f t="shared" si="366"/>
        <v>5</v>
      </c>
      <c r="E1083" s="17" t="str">
        <f t="shared" si="367"/>
        <v/>
      </c>
      <c r="F1083" s="17" t="str">
        <f t="shared" si="368"/>
        <v/>
      </c>
      <c r="G1083" s="17" t="str">
        <f t="shared" si="369"/>
        <v/>
      </c>
      <c r="H1083" s="16">
        <v>793</v>
      </c>
      <c r="I1083" s="16" t="str">
        <f t="shared" si="370"/>
        <v/>
      </c>
      <c r="J1083" s="209" t="str">
        <f t="shared" si="371"/>
        <v/>
      </c>
      <c r="K1083" s="209" t="str">
        <f t="shared" si="372"/>
        <v/>
      </c>
      <c r="L1083" s="692"/>
      <c r="M1083" s="17" t="str">
        <f t="shared" si="373"/>
        <v/>
      </c>
    </row>
    <row r="1084" spans="1:13" x14ac:dyDescent="0.25">
      <c r="A1084" s="85" t="str">
        <f t="shared" si="363"/>
        <v/>
      </c>
      <c r="B1084" s="296" t="str">
        <f t="shared" si="364"/>
        <v/>
      </c>
      <c r="C1084" s="296" t="str">
        <f t="shared" si="365"/>
        <v/>
      </c>
      <c r="D1084" s="85">
        <f t="shared" si="366"/>
        <v>5</v>
      </c>
      <c r="E1084" s="17" t="str">
        <f t="shared" si="367"/>
        <v/>
      </c>
      <c r="F1084" s="17" t="str">
        <f t="shared" si="368"/>
        <v/>
      </c>
      <c r="G1084" s="17" t="str">
        <f t="shared" si="369"/>
        <v/>
      </c>
      <c r="H1084" s="16">
        <v>794</v>
      </c>
      <c r="I1084" s="16" t="str">
        <f t="shared" si="370"/>
        <v/>
      </c>
      <c r="J1084" s="209" t="str">
        <f t="shared" si="371"/>
        <v/>
      </c>
      <c r="K1084" s="209" t="str">
        <f t="shared" si="372"/>
        <v/>
      </c>
      <c r="L1084" s="692"/>
      <c r="M1084" s="17" t="str">
        <f t="shared" si="373"/>
        <v/>
      </c>
    </row>
    <row r="1085" spans="1:13" x14ac:dyDescent="0.25">
      <c r="A1085" s="85" t="str">
        <f t="shared" si="363"/>
        <v/>
      </c>
      <c r="B1085" s="296" t="str">
        <f t="shared" si="364"/>
        <v/>
      </c>
      <c r="C1085" s="296" t="str">
        <f t="shared" si="365"/>
        <v/>
      </c>
      <c r="D1085" s="85">
        <f t="shared" si="366"/>
        <v>5</v>
      </c>
      <c r="E1085" s="17" t="str">
        <f t="shared" si="367"/>
        <v/>
      </c>
      <c r="F1085" s="17" t="str">
        <f t="shared" si="368"/>
        <v/>
      </c>
      <c r="G1085" s="17" t="str">
        <f t="shared" si="369"/>
        <v/>
      </c>
      <c r="H1085" s="16">
        <v>795</v>
      </c>
      <c r="I1085" s="16" t="str">
        <f t="shared" si="370"/>
        <v/>
      </c>
      <c r="J1085" s="209" t="str">
        <f t="shared" si="371"/>
        <v/>
      </c>
      <c r="K1085" s="209" t="str">
        <f t="shared" si="372"/>
        <v/>
      </c>
      <c r="L1085" s="692"/>
      <c r="M1085" s="17" t="str">
        <f t="shared" si="373"/>
        <v/>
      </c>
    </row>
    <row r="1086" spans="1:13" x14ac:dyDescent="0.25">
      <c r="A1086" s="85" t="str">
        <f t="shared" si="363"/>
        <v/>
      </c>
      <c r="B1086" s="296" t="str">
        <f t="shared" si="364"/>
        <v/>
      </c>
      <c r="C1086" s="296" t="str">
        <f t="shared" si="365"/>
        <v/>
      </c>
      <c r="D1086" s="85">
        <f t="shared" si="366"/>
        <v>5</v>
      </c>
      <c r="E1086" s="17" t="str">
        <f t="shared" si="367"/>
        <v/>
      </c>
      <c r="F1086" s="17" t="str">
        <f t="shared" si="368"/>
        <v/>
      </c>
      <c r="G1086" s="17" t="str">
        <f t="shared" si="369"/>
        <v/>
      </c>
      <c r="H1086" s="16">
        <v>796</v>
      </c>
      <c r="I1086" s="16" t="str">
        <f t="shared" si="370"/>
        <v/>
      </c>
      <c r="J1086" s="209" t="str">
        <f t="shared" si="371"/>
        <v/>
      </c>
      <c r="K1086" s="209" t="str">
        <f t="shared" si="372"/>
        <v/>
      </c>
      <c r="L1086" s="692"/>
      <c r="M1086" s="17" t="str">
        <f t="shared" si="373"/>
        <v/>
      </c>
    </row>
    <row r="1087" spans="1:13" x14ac:dyDescent="0.25">
      <c r="A1087" s="85" t="str">
        <f t="shared" si="363"/>
        <v/>
      </c>
      <c r="B1087" s="296" t="str">
        <f t="shared" si="364"/>
        <v/>
      </c>
      <c r="C1087" s="296" t="str">
        <f t="shared" si="365"/>
        <v/>
      </c>
      <c r="D1087" s="85">
        <f t="shared" si="366"/>
        <v>5</v>
      </c>
      <c r="E1087" s="17" t="str">
        <f t="shared" si="367"/>
        <v/>
      </c>
      <c r="F1087" s="17" t="str">
        <f t="shared" si="368"/>
        <v/>
      </c>
      <c r="G1087" s="17" t="str">
        <f t="shared" si="369"/>
        <v/>
      </c>
      <c r="H1087" s="16">
        <v>797</v>
      </c>
      <c r="I1087" s="16" t="str">
        <f t="shared" si="370"/>
        <v/>
      </c>
      <c r="J1087" s="209" t="str">
        <f t="shared" si="371"/>
        <v/>
      </c>
      <c r="K1087" s="209" t="str">
        <f t="shared" si="372"/>
        <v/>
      </c>
      <c r="L1087" s="692"/>
      <c r="M1087" s="17" t="str">
        <f t="shared" si="373"/>
        <v/>
      </c>
    </row>
    <row r="1088" spans="1:13" x14ac:dyDescent="0.25">
      <c r="A1088" s="85" t="str">
        <f t="shared" si="363"/>
        <v/>
      </c>
      <c r="B1088" s="296" t="str">
        <f t="shared" si="364"/>
        <v/>
      </c>
      <c r="C1088" s="296" t="str">
        <f t="shared" si="365"/>
        <v/>
      </c>
      <c r="D1088" s="85">
        <f t="shared" si="366"/>
        <v>5</v>
      </c>
      <c r="E1088" s="17" t="str">
        <f t="shared" si="367"/>
        <v/>
      </c>
      <c r="F1088" s="17" t="str">
        <f t="shared" si="368"/>
        <v/>
      </c>
      <c r="G1088" s="17" t="str">
        <f t="shared" si="369"/>
        <v/>
      </c>
      <c r="H1088" s="16">
        <v>798</v>
      </c>
      <c r="I1088" s="16" t="str">
        <f t="shared" si="370"/>
        <v/>
      </c>
      <c r="J1088" s="209" t="str">
        <f t="shared" si="371"/>
        <v/>
      </c>
      <c r="K1088" s="209" t="str">
        <f t="shared" si="372"/>
        <v/>
      </c>
      <c r="L1088" s="692"/>
      <c r="M1088" s="17" t="str">
        <f t="shared" si="373"/>
        <v/>
      </c>
    </row>
    <row r="1089" spans="1:13" x14ac:dyDescent="0.25">
      <c r="A1089" s="85" t="str">
        <f t="shared" si="363"/>
        <v/>
      </c>
      <c r="B1089" s="296" t="str">
        <f t="shared" si="364"/>
        <v/>
      </c>
      <c r="C1089" s="296" t="str">
        <f t="shared" si="365"/>
        <v/>
      </c>
      <c r="D1089" s="85">
        <f t="shared" si="366"/>
        <v>5</v>
      </c>
      <c r="E1089" s="17" t="str">
        <f t="shared" si="367"/>
        <v/>
      </c>
      <c r="F1089" s="17" t="str">
        <f t="shared" si="368"/>
        <v/>
      </c>
      <c r="G1089" s="17" t="str">
        <f t="shared" si="369"/>
        <v/>
      </c>
      <c r="H1089" s="16">
        <v>799</v>
      </c>
      <c r="I1089" s="16" t="str">
        <f t="shared" si="370"/>
        <v/>
      </c>
      <c r="J1089" s="209" t="str">
        <f t="shared" si="371"/>
        <v/>
      </c>
      <c r="K1089" s="209" t="str">
        <f t="shared" si="372"/>
        <v/>
      </c>
      <c r="L1089" s="692"/>
      <c r="M1089" s="17" t="str">
        <f t="shared" si="373"/>
        <v/>
      </c>
    </row>
    <row r="1090" spans="1:13" x14ac:dyDescent="0.25">
      <c r="A1090" s="85" t="str">
        <f t="shared" si="363"/>
        <v/>
      </c>
      <c r="B1090" s="296" t="str">
        <f t="shared" si="364"/>
        <v/>
      </c>
      <c r="C1090" s="296" t="str">
        <f t="shared" si="365"/>
        <v/>
      </c>
      <c r="D1090" s="85">
        <f t="shared" si="366"/>
        <v>5</v>
      </c>
      <c r="E1090" s="17" t="str">
        <f t="shared" si="367"/>
        <v/>
      </c>
      <c r="F1090" s="17" t="str">
        <f t="shared" si="368"/>
        <v/>
      </c>
      <c r="G1090" s="17" t="str">
        <f t="shared" si="369"/>
        <v/>
      </c>
      <c r="H1090" s="16">
        <v>800</v>
      </c>
      <c r="I1090" s="16" t="str">
        <f t="shared" si="370"/>
        <v/>
      </c>
      <c r="J1090" s="209" t="str">
        <f t="shared" si="371"/>
        <v/>
      </c>
      <c r="K1090" s="209" t="str">
        <f t="shared" si="372"/>
        <v/>
      </c>
      <c r="L1090" s="692"/>
      <c r="M1090" s="17" t="str">
        <f t="shared" si="373"/>
        <v/>
      </c>
    </row>
    <row r="1091" spans="1:13" x14ac:dyDescent="0.25">
      <c r="A1091" s="85" t="str">
        <f t="shared" si="363"/>
        <v/>
      </c>
      <c r="B1091" s="296" t="str">
        <f t="shared" si="364"/>
        <v/>
      </c>
      <c r="C1091" s="296" t="str">
        <f t="shared" si="365"/>
        <v/>
      </c>
      <c r="D1091" s="85">
        <f t="shared" si="366"/>
        <v>5</v>
      </c>
      <c r="E1091" s="17" t="str">
        <f t="shared" si="367"/>
        <v/>
      </c>
      <c r="F1091" s="17" t="str">
        <f t="shared" si="368"/>
        <v/>
      </c>
      <c r="G1091" s="17" t="str">
        <f t="shared" si="369"/>
        <v/>
      </c>
      <c r="H1091" s="16">
        <v>801</v>
      </c>
      <c r="I1091" s="16" t="str">
        <f t="shared" si="370"/>
        <v/>
      </c>
      <c r="J1091" s="209" t="str">
        <f t="shared" si="371"/>
        <v/>
      </c>
      <c r="K1091" s="209" t="str">
        <f t="shared" si="372"/>
        <v/>
      </c>
      <c r="L1091" s="692"/>
      <c r="M1091" s="17" t="str">
        <f t="shared" si="373"/>
        <v/>
      </c>
    </row>
    <row r="1092" spans="1:13" x14ac:dyDescent="0.25">
      <c r="A1092" s="85" t="str">
        <f t="shared" si="363"/>
        <v/>
      </c>
      <c r="B1092" s="296" t="str">
        <f t="shared" si="364"/>
        <v/>
      </c>
      <c r="C1092" s="296" t="str">
        <f t="shared" si="365"/>
        <v/>
      </c>
      <c r="D1092" s="85">
        <f t="shared" si="366"/>
        <v>5</v>
      </c>
      <c r="E1092" s="17" t="str">
        <f t="shared" si="367"/>
        <v/>
      </c>
      <c r="F1092" s="17" t="str">
        <f t="shared" si="368"/>
        <v/>
      </c>
      <c r="G1092" s="17" t="str">
        <f t="shared" si="369"/>
        <v/>
      </c>
      <c r="H1092" s="16">
        <v>802</v>
      </c>
      <c r="I1092" s="16" t="str">
        <f t="shared" si="370"/>
        <v/>
      </c>
      <c r="J1092" s="209" t="str">
        <f t="shared" si="371"/>
        <v/>
      </c>
      <c r="K1092" s="209" t="str">
        <f t="shared" si="372"/>
        <v/>
      </c>
      <c r="L1092" s="692"/>
      <c r="M1092" s="17" t="str">
        <f t="shared" si="373"/>
        <v/>
      </c>
    </row>
    <row r="1093" spans="1:13" x14ac:dyDescent="0.25">
      <c r="A1093" s="85" t="str">
        <f t="shared" si="363"/>
        <v/>
      </c>
      <c r="B1093" s="296" t="str">
        <f t="shared" si="364"/>
        <v/>
      </c>
      <c r="C1093" s="296" t="str">
        <f t="shared" si="365"/>
        <v/>
      </c>
      <c r="D1093" s="85">
        <f t="shared" si="366"/>
        <v>5</v>
      </c>
      <c r="E1093" s="17" t="str">
        <f t="shared" si="367"/>
        <v/>
      </c>
      <c r="F1093" s="17" t="str">
        <f t="shared" si="368"/>
        <v/>
      </c>
      <c r="G1093" s="17" t="str">
        <f t="shared" si="369"/>
        <v/>
      </c>
      <c r="H1093" s="16">
        <v>803</v>
      </c>
      <c r="I1093" s="16" t="str">
        <f t="shared" si="370"/>
        <v/>
      </c>
      <c r="J1093" s="209" t="str">
        <f t="shared" si="371"/>
        <v/>
      </c>
      <c r="K1093" s="209" t="str">
        <f t="shared" si="372"/>
        <v/>
      </c>
      <c r="L1093" s="692"/>
      <c r="M1093" s="17" t="str">
        <f t="shared" si="373"/>
        <v/>
      </c>
    </row>
    <row r="1094" spans="1:13" x14ac:dyDescent="0.25">
      <c r="A1094" s="85" t="str">
        <f t="shared" si="363"/>
        <v/>
      </c>
      <c r="B1094" s="296" t="str">
        <f t="shared" si="364"/>
        <v/>
      </c>
      <c r="C1094" s="296" t="str">
        <f t="shared" si="365"/>
        <v/>
      </c>
      <c r="D1094" s="85">
        <f t="shared" si="366"/>
        <v>5</v>
      </c>
      <c r="E1094" s="17" t="str">
        <f t="shared" si="367"/>
        <v/>
      </c>
      <c r="F1094" s="17" t="str">
        <f t="shared" si="368"/>
        <v/>
      </c>
      <c r="G1094" s="17" t="str">
        <f t="shared" si="369"/>
        <v/>
      </c>
      <c r="H1094" s="16">
        <v>804</v>
      </c>
      <c r="I1094" s="16" t="str">
        <f t="shared" si="370"/>
        <v/>
      </c>
      <c r="J1094" s="209" t="str">
        <f t="shared" si="371"/>
        <v/>
      </c>
      <c r="K1094" s="209" t="str">
        <f t="shared" si="372"/>
        <v/>
      </c>
      <c r="L1094" s="692"/>
      <c r="M1094" s="17" t="str">
        <f t="shared" si="373"/>
        <v/>
      </c>
    </row>
    <row r="1095" spans="1:13" x14ac:dyDescent="0.25">
      <c r="A1095" s="85" t="str">
        <f t="shared" si="363"/>
        <v/>
      </c>
      <c r="B1095" s="296" t="str">
        <f t="shared" si="364"/>
        <v/>
      </c>
      <c r="C1095" s="296" t="str">
        <f t="shared" si="365"/>
        <v/>
      </c>
      <c r="D1095" s="85">
        <f t="shared" si="366"/>
        <v>5</v>
      </c>
      <c r="E1095" s="17" t="str">
        <f t="shared" si="367"/>
        <v/>
      </c>
      <c r="F1095" s="17" t="str">
        <f t="shared" si="368"/>
        <v/>
      </c>
      <c r="G1095" s="17" t="str">
        <f t="shared" si="369"/>
        <v/>
      </c>
      <c r="H1095" s="16">
        <v>805</v>
      </c>
      <c r="I1095" s="16" t="str">
        <f t="shared" si="370"/>
        <v/>
      </c>
      <c r="J1095" s="209" t="str">
        <f t="shared" si="371"/>
        <v/>
      </c>
      <c r="K1095" s="209" t="str">
        <f t="shared" si="372"/>
        <v/>
      </c>
      <c r="L1095" s="692"/>
      <c r="M1095" s="17" t="str">
        <f t="shared" si="373"/>
        <v/>
      </c>
    </row>
    <row r="1096" spans="1:13" x14ac:dyDescent="0.25">
      <c r="A1096" s="85" t="str">
        <f t="shared" si="363"/>
        <v/>
      </c>
      <c r="B1096" s="296" t="str">
        <f t="shared" si="364"/>
        <v/>
      </c>
      <c r="C1096" s="296" t="str">
        <f t="shared" si="365"/>
        <v/>
      </c>
      <c r="D1096" s="85">
        <f t="shared" si="366"/>
        <v>5</v>
      </c>
      <c r="E1096" s="17" t="str">
        <f t="shared" si="367"/>
        <v/>
      </c>
      <c r="F1096" s="17" t="str">
        <f t="shared" si="368"/>
        <v/>
      </c>
      <c r="G1096" s="17" t="str">
        <f t="shared" si="369"/>
        <v/>
      </c>
      <c r="H1096" s="16">
        <v>806</v>
      </c>
      <c r="I1096" s="16" t="str">
        <f t="shared" si="370"/>
        <v/>
      </c>
      <c r="J1096" s="209" t="str">
        <f t="shared" si="371"/>
        <v/>
      </c>
      <c r="K1096" s="209" t="str">
        <f t="shared" si="372"/>
        <v/>
      </c>
      <c r="L1096" s="692"/>
      <c r="M1096" s="17" t="str">
        <f t="shared" si="373"/>
        <v/>
      </c>
    </row>
    <row r="1097" spans="1:13" x14ac:dyDescent="0.25">
      <c r="A1097" s="85" t="str">
        <f t="shared" si="363"/>
        <v/>
      </c>
      <c r="B1097" s="296" t="str">
        <f t="shared" si="364"/>
        <v/>
      </c>
      <c r="C1097" s="296" t="str">
        <f t="shared" si="365"/>
        <v/>
      </c>
      <c r="D1097" s="85">
        <f t="shared" si="366"/>
        <v>5</v>
      </c>
      <c r="E1097" s="17" t="str">
        <f t="shared" si="367"/>
        <v/>
      </c>
      <c r="F1097" s="17" t="str">
        <f t="shared" si="368"/>
        <v/>
      </c>
      <c r="G1097" s="17" t="str">
        <f t="shared" si="369"/>
        <v/>
      </c>
      <c r="H1097" s="16">
        <v>807</v>
      </c>
      <c r="I1097" s="16" t="str">
        <f t="shared" si="370"/>
        <v/>
      </c>
      <c r="J1097" s="209" t="str">
        <f t="shared" si="371"/>
        <v/>
      </c>
      <c r="K1097" s="209" t="str">
        <f t="shared" si="372"/>
        <v/>
      </c>
      <c r="L1097" s="692"/>
      <c r="M1097" s="17" t="str">
        <f t="shared" si="373"/>
        <v/>
      </c>
    </row>
    <row r="1098" spans="1:13" x14ac:dyDescent="0.25">
      <c r="A1098" s="85" t="str">
        <f t="shared" si="363"/>
        <v/>
      </c>
      <c r="B1098" s="296" t="str">
        <f t="shared" si="364"/>
        <v/>
      </c>
      <c r="C1098" s="296" t="str">
        <f t="shared" si="365"/>
        <v/>
      </c>
      <c r="D1098" s="85">
        <f t="shared" si="366"/>
        <v>5</v>
      </c>
      <c r="E1098" s="17" t="str">
        <f t="shared" si="367"/>
        <v/>
      </c>
      <c r="F1098" s="17" t="str">
        <f t="shared" si="368"/>
        <v/>
      </c>
      <c r="G1098" s="17" t="str">
        <f t="shared" si="369"/>
        <v/>
      </c>
      <c r="H1098" s="16">
        <v>808</v>
      </c>
      <c r="I1098" s="16" t="str">
        <f t="shared" si="370"/>
        <v/>
      </c>
      <c r="J1098" s="209" t="str">
        <f t="shared" si="371"/>
        <v/>
      </c>
      <c r="K1098" s="209" t="str">
        <f t="shared" si="372"/>
        <v/>
      </c>
      <c r="L1098" s="692"/>
      <c r="M1098" s="17" t="str">
        <f t="shared" si="373"/>
        <v/>
      </c>
    </row>
    <row r="1099" spans="1:13" x14ac:dyDescent="0.25">
      <c r="A1099" s="85" t="str">
        <f t="shared" si="363"/>
        <v/>
      </c>
      <c r="B1099" s="296" t="str">
        <f t="shared" si="364"/>
        <v/>
      </c>
      <c r="C1099" s="296" t="str">
        <f t="shared" si="365"/>
        <v/>
      </c>
      <c r="D1099" s="85">
        <f t="shared" si="366"/>
        <v>5</v>
      </c>
      <c r="E1099" s="17" t="str">
        <f t="shared" si="367"/>
        <v/>
      </c>
      <c r="F1099" s="17" t="str">
        <f t="shared" si="368"/>
        <v/>
      </c>
      <c r="G1099" s="17" t="str">
        <f t="shared" si="369"/>
        <v/>
      </c>
      <c r="H1099" s="16">
        <v>809</v>
      </c>
      <c r="I1099" s="16" t="str">
        <f t="shared" si="370"/>
        <v/>
      </c>
      <c r="J1099" s="209" t="str">
        <f t="shared" si="371"/>
        <v/>
      </c>
      <c r="K1099" s="209" t="str">
        <f t="shared" si="372"/>
        <v/>
      </c>
      <c r="L1099" s="692"/>
      <c r="M1099" s="17" t="str">
        <f t="shared" si="373"/>
        <v/>
      </c>
    </row>
    <row r="1100" spans="1:13" x14ac:dyDescent="0.25">
      <c r="A1100" s="85" t="str">
        <f t="shared" si="363"/>
        <v/>
      </c>
      <c r="B1100" s="296" t="str">
        <f t="shared" si="364"/>
        <v/>
      </c>
      <c r="C1100" s="296" t="str">
        <f t="shared" si="365"/>
        <v/>
      </c>
      <c r="D1100" s="85">
        <f t="shared" si="366"/>
        <v>5</v>
      </c>
      <c r="E1100" s="17" t="str">
        <f t="shared" si="367"/>
        <v/>
      </c>
      <c r="F1100" s="17" t="str">
        <f t="shared" si="368"/>
        <v/>
      </c>
      <c r="G1100" s="17" t="str">
        <f t="shared" si="369"/>
        <v/>
      </c>
      <c r="H1100" s="16">
        <v>810</v>
      </c>
      <c r="I1100" s="16" t="str">
        <f t="shared" si="370"/>
        <v/>
      </c>
      <c r="J1100" s="209" t="str">
        <f t="shared" si="371"/>
        <v/>
      </c>
      <c r="K1100" s="209" t="str">
        <f t="shared" si="372"/>
        <v/>
      </c>
      <c r="L1100" s="692"/>
      <c r="M1100" s="17" t="str">
        <f t="shared" si="373"/>
        <v/>
      </c>
    </row>
    <row r="1101" spans="1:13" x14ac:dyDescent="0.25">
      <c r="A1101" s="85" t="str">
        <f t="shared" si="363"/>
        <v/>
      </c>
      <c r="B1101" s="296" t="str">
        <f t="shared" si="364"/>
        <v/>
      </c>
      <c r="C1101" s="296" t="str">
        <f t="shared" si="365"/>
        <v/>
      </c>
      <c r="D1101" s="85">
        <f t="shared" si="366"/>
        <v>5</v>
      </c>
      <c r="E1101" s="17" t="str">
        <f t="shared" si="367"/>
        <v/>
      </c>
      <c r="F1101" s="17" t="str">
        <f t="shared" si="368"/>
        <v/>
      </c>
      <c r="G1101" s="17" t="str">
        <f t="shared" si="369"/>
        <v/>
      </c>
      <c r="H1101" s="16">
        <v>811</v>
      </c>
      <c r="I1101" s="16" t="str">
        <f t="shared" si="370"/>
        <v/>
      </c>
      <c r="J1101" s="209" t="str">
        <f t="shared" si="371"/>
        <v/>
      </c>
      <c r="K1101" s="209" t="str">
        <f t="shared" si="372"/>
        <v/>
      </c>
      <c r="L1101" s="692"/>
      <c r="M1101" s="17" t="str">
        <f t="shared" si="373"/>
        <v/>
      </c>
    </row>
    <row r="1102" spans="1:13" x14ac:dyDescent="0.25">
      <c r="A1102" s="85" t="str">
        <f t="shared" si="363"/>
        <v/>
      </c>
      <c r="B1102" s="296" t="str">
        <f t="shared" si="364"/>
        <v/>
      </c>
      <c r="C1102" s="296" t="str">
        <f t="shared" si="365"/>
        <v/>
      </c>
      <c r="D1102" s="85">
        <f t="shared" si="366"/>
        <v>5</v>
      </c>
      <c r="E1102" s="17" t="str">
        <f t="shared" si="367"/>
        <v/>
      </c>
      <c r="F1102" s="17" t="str">
        <f t="shared" si="368"/>
        <v/>
      </c>
      <c r="G1102" s="17" t="str">
        <f t="shared" si="369"/>
        <v/>
      </c>
      <c r="H1102" s="16">
        <v>812</v>
      </c>
      <c r="I1102" s="16" t="str">
        <f t="shared" si="370"/>
        <v/>
      </c>
      <c r="J1102" s="209" t="str">
        <f t="shared" si="371"/>
        <v/>
      </c>
      <c r="K1102" s="209" t="str">
        <f t="shared" si="372"/>
        <v/>
      </c>
      <c r="L1102" s="692"/>
      <c r="M1102" s="17" t="str">
        <f t="shared" si="373"/>
        <v/>
      </c>
    </row>
    <row r="1103" spans="1:13" x14ac:dyDescent="0.25">
      <c r="A1103" s="85" t="str">
        <f t="shared" si="363"/>
        <v/>
      </c>
      <c r="B1103" s="296" t="str">
        <f t="shared" si="364"/>
        <v/>
      </c>
      <c r="C1103" s="296" t="str">
        <f t="shared" si="365"/>
        <v/>
      </c>
      <c r="D1103" s="85">
        <f t="shared" si="366"/>
        <v>5</v>
      </c>
      <c r="E1103" s="17" t="str">
        <f t="shared" si="367"/>
        <v/>
      </c>
      <c r="F1103" s="17" t="str">
        <f t="shared" si="368"/>
        <v/>
      </c>
      <c r="G1103" s="17" t="str">
        <f t="shared" si="369"/>
        <v/>
      </c>
      <c r="H1103" s="16">
        <v>813</v>
      </c>
      <c r="I1103" s="16" t="str">
        <f t="shared" si="370"/>
        <v/>
      </c>
      <c r="J1103" s="209" t="str">
        <f t="shared" si="371"/>
        <v/>
      </c>
      <c r="K1103" s="209" t="str">
        <f t="shared" si="372"/>
        <v/>
      </c>
      <c r="L1103" s="692"/>
      <c r="M1103" s="17" t="str">
        <f t="shared" si="373"/>
        <v/>
      </c>
    </row>
    <row r="1104" spans="1:13" x14ac:dyDescent="0.25">
      <c r="A1104" s="85" t="str">
        <f t="shared" si="363"/>
        <v/>
      </c>
      <c r="B1104" s="296" t="str">
        <f t="shared" si="364"/>
        <v/>
      </c>
      <c r="C1104" s="296" t="str">
        <f t="shared" si="365"/>
        <v/>
      </c>
      <c r="D1104" s="85">
        <f t="shared" si="366"/>
        <v>5</v>
      </c>
      <c r="E1104" s="17" t="str">
        <f t="shared" si="367"/>
        <v/>
      </c>
      <c r="F1104" s="17" t="str">
        <f t="shared" si="368"/>
        <v/>
      </c>
      <c r="G1104" s="17" t="str">
        <f t="shared" si="369"/>
        <v/>
      </c>
      <c r="H1104" s="16">
        <v>814</v>
      </c>
      <c r="I1104" s="16" t="str">
        <f t="shared" si="370"/>
        <v/>
      </c>
      <c r="J1104" s="209" t="str">
        <f t="shared" si="371"/>
        <v/>
      </c>
      <c r="K1104" s="209" t="str">
        <f t="shared" si="372"/>
        <v/>
      </c>
      <c r="L1104" s="692"/>
      <c r="M1104" s="17" t="str">
        <f t="shared" si="373"/>
        <v/>
      </c>
    </row>
    <row r="1105" spans="1:13" x14ac:dyDescent="0.25">
      <c r="A1105" s="85" t="str">
        <f t="shared" si="363"/>
        <v/>
      </c>
      <c r="B1105" s="296" t="str">
        <f t="shared" si="364"/>
        <v/>
      </c>
      <c r="C1105" s="296" t="str">
        <f t="shared" si="365"/>
        <v/>
      </c>
      <c r="D1105" s="85">
        <f t="shared" si="366"/>
        <v>5</v>
      </c>
      <c r="E1105" s="17" t="str">
        <f t="shared" si="367"/>
        <v/>
      </c>
      <c r="F1105" s="17" t="str">
        <f t="shared" si="368"/>
        <v/>
      </c>
      <c r="G1105" s="17" t="str">
        <f t="shared" si="369"/>
        <v/>
      </c>
      <c r="H1105" s="16">
        <v>815</v>
      </c>
      <c r="I1105" s="16" t="str">
        <f t="shared" si="370"/>
        <v/>
      </c>
      <c r="J1105" s="209" t="str">
        <f t="shared" si="371"/>
        <v/>
      </c>
      <c r="K1105" s="209" t="str">
        <f t="shared" si="372"/>
        <v/>
      </c>
      <c r="L1105" s="692"/>
      <c r="M1105" s="17" t="str">
        <f t="shared" si="373"/>
        <v/>
      </c>
    </row>
    <row r="1106" spans="1:13" x14ac:dyDescent="0.25">
      <c r="A1106" s="85" t="str">
        <f t="shared" si="363"/>
        <v/>
      </c>
      <c r="B1106" s="296" t="str">
        <f t="shared" si="364"/>
        <v/>
      </c>
      <c r="C1106" s="296" t="str">
        <f t="shared" si="365"/>
        <v/>
      </c>
      <c r="D1106" s="85">
        <f t="shared" si="366"/>
        <v>5</v>
      </c>
      <c r="E1106" s="17" t="str">
        <f t="shared" si="367"/>
        <v/>
      </c>
      <c r="F1106" s="17" t="str">
        <f t="shared" si="368"/>
        <v/>
      </c>
      <c r="G1106" s="17" t="str">
        <f t="shared" si="369"/>
        <v/>
      </c>
      <c r="H1106" s="16">
        <v>816</v>
      </c>
      <c r="I1106" s="16" t="str">
        <f t="shared" si="370"/>
        <v/>
      </c>
      <c r="J1106" s="209" t="str">
        <f t="shared" si="371"/>
        <v/>
      </c>
      <c r="K1106" s="209" t="str">
        <f t="shared" si="372"/>
        <v/>
      </c>
      <c r="L1106" s="692"/>
      <c r="M1106" s="17" t="str">
        <f t="shared" si="373"/>
        <v/>
      </c>
    </row>
    <row r="1107" spans="1:13" x14ac:dyDescent="0.25">
      <c r="A1107" s="85" t="str">
        <f t="shared" si="363"/>
        <v/>
      </c>
      <c r="B1107" s="296" t="str">
        <f t="shared" si="364"/>
        <v/>
      </c>
      <c r="C1107" s="296" t="str">
        <f t="shared" si="365"/>
        <v/>
      </c>
      <c r="D1107" s="85">
        <f t="shared" si="366"/>
        <v>5</v>
      </c>
      <c r="E1107" s="17" t="str">
        <f t="shared" si="367"/>
        <v/>
      </c>
      <c r="F1107" s="17" t="str">
        <f t="shared" si="368"/>
        <v/>
      </c>
      <c r="G1107" s="17" t="str">
        <f t="shared" si="369"/>
        <v/>
      </c>
      <c r="H1107" s="16">
        <v>817</v>
      </c>
      <c r="I1107" s="16" t="str">
        <f t="shared" si="370"/>
        <v/>
      </c>
      <c r="J1107" s="209" t="str">
        <f t="shared" si="371"/>
        <v/>
      </c>
      <c r="K1107" s="209" t="str">
        <f t="shared" si="372"/>
        <v/>
      </c>
      <c r="L1107" s="692"/>
      <c r="M1107" s="17" t="str">
        <f t="shared" si="373"/>
        <v/>
      </c>
    </row>
    <row r="1108" spans="1:13" x14ac:dyDescent="0.25">
      <c r="A1108" s="85" t="str">
        <f t="shared" si="363"/>
        <v/>
      </c>
      <c r="B1108" s="296" t="str">
        <f t="shared" si="364"/>
        <v/>
      </c>
      <c r="C1108" s="296" t="str">
        <f t="shared" si="365"/>
        <v/>
      </c>
      <c r="D1108" s="85">
        <f t="shared" si="366"/>
        <v>5</v>
      </c>
      <c r="E1108" s="17" t="str">
        <f t="shared" si="367"/>
        <v/>
      </c>
      <c r="F1108" s="17" t="str">
        <f t="shared" si="368"/>
        <v/>
      </c>
      <c r="G1108" s="17" t="str">
        <f t="shared" si="369"/>
        <v/>
      </c>
      <c r="H1108" s="16">
        <v>818</v>
      </c>
      <c r="I1108" s="16" t="str">
        <f t="shared" si="370"/>
        <v/>
      </c>
      <c r="J1108" s="209" t="str">
        <f t="shared" si="371"/>
        <v/>
      </c>
      <c r="K1108" s="209" t="str">
        <f t="shared" si="372"/>
        <v/>
      </c>
      <c r="L1108" s="692"/>
      <c r="M1108" s="17" t="str">
        <f t="shared" si="373"/>
        <v/>
      </c>
    </row>
    <row r="1109" spans="1:13" x14ac:dyDescent="0.25">
      <c r="A1109" s="85" t="str">
        <f t="shared" si="363"/>
        <v/>
      </c>
      <c r="B1109" s="296" t="str">
        <f t="shared" si="364"/>
        <v/>
      </c>
      <c r="C1109" s="296" t="str">
        <f t="shared" si="365"/>
        <v/>
      </c>
      <c r="D1109" s="85">
        <f t="shared" si="366"/>
        <v>5</v>
      </c>
      <c r="E1109" s="17" t="str">
        <f t="shared" si="367"/>
        <v/>
      </c>
      <c r="F1109" s="17" t="str">
        <f t="shared" si="368"/>
        <v/>
      </c>
      <c r="G1109" s="17" t="str">
        <f t="shared" si="369"/>
        <v/>
      </c>
      <c r="H1109" s="16">
        <v>819</v>
      </c>
      <c r="I1109" s="16" t="str">
        <f t="shared" si="370"/>
        <v/>
      </c>
      <c r="J1109" s="209" t="str">
        <f t="shared" si="371"/>
        <v/>
      </c>
      <c r="K1109" s="209" t="str">
        <f t="shared" si="372"/>
        <v/>
      </c>
      <c r="L1109" s="692"/>
      <c r="M1109" s="17" t="str">
        <f t="shared" si="373"/>
        <v/>
      </c>
    </row>
    <row r="1110" spans="1:13" x14ac:dyDescent="0.25">
      <c r="A1110" s="85" t="str">
        <f t="shared" si="363"/>
        <v/>
      </c>
      <c r="B1110" s="296" t="str">
        <f t="shared" si="364"/>
        <v/>
      </c>
      <c r="C1110" s="296" t="str">
        <f t="shared" si="365"/>
        <v/>
      </c>
      <c r="D1110" s="85">
        <f t="shared" si="366"/>
        <v>5</v>
      </c>
      <c r="E1110" s="17" t="str">
        <f t="shared" si="367"/>
        <v/>
      </c>
      <c r="F1110" s="17" t="str">
        <f t="shared" si="368"/>
        <v/>
      </c>
      <c r="G1110" s="17" t="str">
        <f t="shared" si="369"/>
        <v/>
      </c>
      <c r="H1110" s="16">
        <v>820</v>
      </c>
      <c r="I1110" s="16" t="str">
        <f t="shared" si="370"/>
        <v/>
      </c>
      <c r="J1110" s="209" t="str">
        <f t="shared" si="371"/>
        <v/>
      </c>
      <c r="K1110" s="209" t="str">
        <f t="shared" si="372"/>
        <v/>
      </c>
      <c r="L1110" s="692"/>
      <c r="M1110" s="17" t="str">
        <f t="shared" si="373"/>
        <v/>
      </c>
    </row>
    <row r="1111" spans="1:13" x14ac:dyDescent="0.25">
      <c r="A1111" s="85" t="str">
        <f t="shared" si="363"/>
        <v/>
      </c>
      <c r="B1111" s="296" t="str">
        <f t="shared" si="364"/>
        <v/>
      </c>
      <c r="C1111" s="296" t="str">
        <f t="shared" si="365"/>
        <v/>
      </c>
      <c r="D1111" s="85">
        <f t="shared" si="366"/>
        <v>5</v>
      </c>
      <c r="E1111" s="17" t="str">
        <f t="shared" si="367"/>
        <v/>
      </c>
      <c r="F1111" s="17" t="str">
        <f t="shared" si="368"/>
        <v/>
      </c>
      <c r="G1111" s="17" t="str">
        <f t="shared" si="369"/>
        <v/>
      </c>
      <c r="H1111" s="16">
        <v>821</v>
      </c>
      <c r="I1111" s="16" t="str">
        <f t="shared" si="370"/>
        <v/>
      </c>
      <c r="J1111" s="209" t="str">
        <f t="shared" si="371"/>
        <v/>
      </c>
      <c r="K1111" s="209" t="str">
        <f t="shared" si="372"/>
        <v/>
      </c>
      <c r="L1111" s="692"/>
      <c r="M1111" s="17" t="str">
        <f t="shared" si="373"/>
        <v/>
      </c>
    </row>
    <row r="1112" spans="1:13" x14ac:dyDescent="0.25">
      <c r="A1112" s="85" t="str">
        <f t="shared" si="363"/>
        <v/>
      </c>
      <c r="B1112" s="296" t="str">
        <f t="shared" si="364"/>
        <v/>
      </c>
      <c r="C1112" s="296" t="str">
        <f t="shared" si="365"/>
        <v/>
      </c>
      <c r="D1112" s="85">
        <f t="shared" si="366"/>
        <v>5</v>
      </c>
      <c r="E1112" s="17" t="str">
        <f t="shared" si="367"/>
        <v/>
      </c>
      <c r="F1112" s="17" t="str">
        <f t="shared" si="368"/>
        <v/>
      </c>
      <c r="G1112" s="17" t="str">
        <f t="shared" si="369"/>
        <v/>
      </c>
      <c r="H1112" s="16">
        <v>822</v>
      </c>
      <c r="I1112" s="16" t="str">
        <f t="shared" si="370"/>
        <v/>
      </c>
      <c r="J1112" s="209" t="str">
        <f t="shared" si="371"/>
        <v/>
      </c>
      <c r="K1112" s="209" t="str">
        <f t="shared" si="372"/>
        <v/>
      </c>
      <c r="L1112" s="692"/>
      <c r="M1112" s="17" t="str">
        <f t="shared" si="373"/>
        <v/>
      </c>
    </row>
    <row r="1113" spans="1:13" x14ac:dyDescent="0.25">
      <c r="A1113" s="85" t="str">
        <f t="shared" si="363"/>
        <v/>
      </c>
      <c r="B1113" s="296" t="str">
        <f t="shared" si="364"/>
        <v/>
      </c>
      <c r="C1113" s="296" t="str">
        <f t="shared" si="365"/>
        <v/>
      </c>
      <c r="D1113" s="85">
        <f t="shared" si="366"/>
        <v>5</v>
      </c>
      <c r="E1113" s="17" t="str">
        <f t="shared" si="367"/>
        <v/>
      </c>
      <c r="F1113" s="17" t="str">
        <f t="shared" si="368"/>
        <v/>
      </c>
      <c r="G1113" s="17" t="str">
        <f t="shared" si="369"/>
        <v/>
      </c>
      <c r="H1113" s="16">
        <v>823</v>
      </c>
      <c r="I1113" s="16" t="str">
        <f t="shared" si="370"/>
        <v/>
      </c>
      <c r="J1113" s="209" t="str">
        <f t="shared" si="371"/>
        <v/>
      </c>
      <c r="K1113" s="209" t="str">
        <f t="shared" si="372"/>
        <v/>
      </c>
      <c r="L1113" s="692"/>
      <c r="M1113" s="17" t="str">
        <f t="shared" si="373"/>
        <v/>
      </c>
    </row>
    <row r="1114" spans="1:13" x14ac:dyDescent="0.25">
      <c r="A1114" s="85" t="str">
        <f t="shared" si="363"/>
        <v/>
      </c>
      <c r="B1114" s="296" t="str">
        <f t="shared" si="364"/>
        <v/>
      </c>
      <c r="C1114" s="296" t="str">
        <f t="shared" si="365"/>
        <v/>
      </c>
      <c r="D1114" s="85">
        <f t="shared" si="366"/>
        <v>5</v>
      </c>
      <c r="E1114" s="17" t="str">
        <f t="shared" si="367"/>
        <v/>
      </c>
      <c r="F1114" s="17" t="str">
        <f t="shared" si="368"/>
        <v/>
      </c>
      <c r="G1114" s="17" t="str">
        <f t="shared" si="369"/>
        <v/>
      </c>
      <c r="H1114" s="16">
        <v>824</v>
      </c>
      <c r="I1114" s="16" t="str">
        <f t="shared" si="370"/>
        <v/>
      </c>
      <c r="J1114" s="209" t="str">
        <f t="shared" si="371"/>
        <v/>
      </c>
      <c r="K1114" s="209" t="str">
        <f t="shared" si="372"/>
        <v/>
      </c>
      <c r="L1114" s="692"/>
      <c r="M1114" s="17" t="str">
        <f t="shared" si="373"/>
        <v/>
      </c>
    </row>
    <row r="1115" spans="1:13" x14ac:dyDescent="0.25">
      <c r="A1115" s="85" t="str">
        <f t="shared" si="363"/>
        <v/>
      </c>
      <c r="B1115" s="296" t="str">
        <f t="shared" si="364"/>
        <v/>
      </c>
      <c r="C1115" s="296" t="str">
        <f t="shared" si="365"/>
        <v/>
      </c>
      <c r="D1115" s="85">
        <f t="shared" si="366"/>
        <v>5</v>
      </c>
      <c r="E1115" s="17" t="str">
        <f t="shared" si="367"/>
        <v/>
      </c>
      <c r="F1115" s="17" t="str">
        <f t="shared" si="368"/>
        <v/>
      </c>
      <c r="G1115" s="17" t="str">
        <f t="shared" si="369"/>
        <v/>
      </c>
      <c r="H1115" s="16">
        <v>825</v>
      </c>
      <c r="I1115" s="16" t="str">
        <f t="shared" si="370"/>
        <v/>
      </c>
      <c r="J1115" s="209" t="str">
        <f t="shared" si="371"/>
        <v/>
      </c>
      <c r="K1115" s="209" t="str">
        <f t="shared" si="372"/>
        <v/>
      </c>
      <c r="L1115" s="692"/>
      <c r="M1115" s="17" t="str">
        <f t="shared" si="373"/>
        <v/>
      </c>
    </row>
    <row r="1116" spans="1:13" x14ac:dyDescent="0.25">
      <c r="A1116" s="85" t="str">
        <f t="shared" si="363"/>
        <v/>
      </c>
      <c r="B1116" s="296" t="str">
        <f t="shared" si="364"/>
        <v/>
      </c>
      <c r="C1116" s="296" t="str">
        <f t="shared" si="365"/>
        <v/>
      </c>
      <c r="D1116" s="85">
        <f t="shared" si="366"/>
        <v>5</v>
      </c>
      <c r="E1116" s="17" t="str">
        <f t="shared" si="367"/>
        <v/>
      </c>
      <c r="F1116" s="17" t="str">
        <f t="shared" si="368"/>
        <v/>
      </c>
      <c r="G1116" s="17" t="str">
        <f t="shared" si="369"/>
        <v/>
      </c>
      <c r="H1116" s="16">
        <v>826</v>
      </c>
      <c r="I1116" s="16" t="str">
        <f t="shared" si="370"/>
        <v/>
      </c>
      <c r="J1116" s="209" t="str">
        <f t="shared" si="371"/>
        <v/>
      </c>
      <c r="K1116" s="209" t="str">
        <f t="shared" si="372"/>
        <v/>
      </c>
      <c r="L1116" s="692"/>
      <c r="M1116" s="17" t="str">
        <f t="shared" si="373"/>
        <v/>
      </c>
    </row>
    <row r="1117" spans="1:13" x14ac:dyDescent="0.25">
      <c r="A1117" s="85" t="str">
        <f t="shared" si="363"/>
        <v/>
      </c>
      <c r="B1117" s="296" t="str">
        <f t="shared" si="364"/>
        <v/>
      </c>
      <c r="C1117" s="296" t="str">
        <f t="shared" si="365"/>
        <v/>
      </c>
      <c r="D1117" s="85">
        <f t="shared" si="366"/>
        <v>5</v>
      </c>
      <c r="E1117" s="17" t="str">
        <f t="shared" si="367"/>
        <v/>
      </c>
      <c r="F1117" s="17" t="str">
        <f t="shared" si="368"/>
        <v/>
      </c>
      <c r="G1117" s="17" t="str">
        <f t="shared" si="369"/>
        <v/>
      </c>
      <c r="H1117" s="16">
        <v>827</v>
      </c>
      <c r="I1117" s="16" t="str">
        <f t="shared" si="370"/>
        <v/>
      </c>
      <c r="J1117" s="209" t="str">
        <f t="shared" si="371"/>
        <v/>
      </c>
      <c r="K1117" s="209" t="str">
        <f t="shared" si="372"/>
        <v/>
      </c>
      <c r="L1117" s="692"/>
      <c r="M1117" s="17" t="str">
        <f t="shared" si="373"/>
        <v/>
      </c>
    </row>
    <row r="1118" spans="1:13" x14ac:dyDescent="0.25">
      <c r="A1118" s="85" t="str">
        <f t="shared" si="363"/>
        <v/>
      </c>
      <c r="B1118" s="296" t="str">
        <f t="shared" si="364"/>
        <v/>
      </c>
      <c r="C1118" s="296" t="str">
        <f t="shared" si="365"/>
        <v/>
      </c>
      <c r="D1118" s="85">
        <f t="shared" si="366"/>
        <v>5</v>
      </c>
      <c r="E1118" s="17" t="str">
        <f t="shared" si="367"/>
        <v/>
      </c>
      <c r="F1118" s="17" t="str">
        <f t="shared" si="368"/>
        <v/>
      </c>
      <c r="G1118" s="17" t="str">
        <f t="shared" si="369"/>
        <v/>
      </c>
      <c r="H1118" s="16">
        <v>828</v>
      </c>
      <c r="I1118" s="16" t="str">
        <f t="shared" si="370"/>
        <v/>
      </c>
      <c r="J1118" s="209" t="str">
        <f t="shared" si="371"/>
        <v/>
      </c>
      <c r="K1118" s="209" t="str">
        <f t="shared" si="372"/>
        <v/>
      </c>
      <c r="L1118" s="692"/>
      <c r="M1118" s="17" t="str">
        <f t="shared" si="373"/>
        <v/>
      </c>
    </row>
    <row r="1119" spans="1:13" x14ac:dyDescent="0.25">
      <c r="A1119" s="85" t="str">
        <f t="shared" si="363"/>
        <v/>
      </c>
      <c r="B1119" s="296" t="str">
        <f t="shared" si="364"/>
        <v/>
      </c>
      <c r="C1119" s="296" t="str">
        <f t="shared" si="365"/>
        <v/>
      </c>
      <c r="D1119" s="85">
        <f t="shared" si="366"/>
        <v>5</v>
      </c>
      <c r="E1119" s="17" t="str">
        <f t="shared" si="367"/>
        <v/>
      </c>
      <c r="F1119" s="17" t="str">
        <f t="shared" si="368"/>
        <v/>
      </c>
      <c r="G1119" s="17" t="str">
        <f t="shared" si="369"/>
        <v/>
      </c>
      <c r="H1119" s="16">
        <v>829</v>
      </c>
      <c r="I1119" s="16" t="str">
        <f t="shared" si="370"/>
        <v/>
      </c>
      <c r="J1119" s="209" t="str">
        <f t="shared" si="371"/>
        <v/>
      </c>
      <c r="K1119" s="209" t="str">
        <f t="shared" si="372"/>
        <v/>
      </c>
      <c r="L1119" s="692"/>
      <c r="M1119" s="17" t="str">
        <f t="shared" si="373"/>
        <v/>
      </c>
    </row>
    <row r="1120" spans="1:13" x14ac:dyDescent="0.25">
      <c r="A1120" s="85" t="str">
        <f t="shared" si="363"/>
        <v/>
      </c>
      <c r="B1120" s="296" t="str">
        <f t="shared" si="364"/>
        <v/>
      </c>
      <c r="C1120" s="296" t="str">
        <f t="shared" si="365"/>
        <v/>
      </c>
      <c r="D1120" s="85">
        <f t="shared" si="366"/>
        <v>5</v>
      </c>
      <c r="E1120" s="17" t="str">
        <f t="shared" si="367"/>
        <v/>
      </c>
      <c r="F1120" s="17" t="str">
        <f t="shared" si="368"/>
        <v/>
      </c>
      <c r="G1120" s="17" t="str">
        <f t="shared" si="369"/>
        <v/>
      </c>
      <c r="H1120" s="16">
        <v>830</v>
      </c>
      <c r="I1120" s="16" t="str">
        <f t="shared" si="370"/>
        <v/>
      </c>
      <c r="J1120" s="209" t="str">
        <f t="shared" si="371"/>
        <v/>
      </c>
      <c r="K1120" s="209" t="str">
        <f t="shared" si="372"/>
        <v/>
      </c>
      <c r="L1120" s="692"/>
      <c r="M1120" s="17" t="str">
        <f t="shared" si="373"/>
        <v/>
      </c>
    </row>
    <row r="1121" spans="1:13" x14ac:dyDescent="0.25">
      <c r="A1121" s="85" t="str">
        <f t="shared" si="363"/>
        <v/>
      </c>
      <c r="B1121" s="296" t="str">
        <f t="shared" si="364"/>
        <v/>
      </c>
      <c r="C1121" s="296" t="str">
        <f t="shared" si="365"/>
        <v/>
      </c>
      <c r="D1121" s="85">
        <f t="shared" si="366"/>
        <v>5</v>
      </c>
      <c r="E1121" s="17" t="str">
        <f t="shared" si="367"/>
        <v/>
      </c>
      <c r="F1121" s="17" t="str">
        <f t="shared" si="368"/>
        <v/>
      </c>
      <c r="G1121" s="17" t="str">
        <f t="shared" si="369"/>
        <v/>
      </c>
      <c r="H1121" s="16">
        <v>831</v>
      </c>
      <c r="I1121" s="16" t="str">
        <f t="shared" si="370"/>
        <v/>
      </c>
      <c r="J1121" s="209" t="str">
        <f t="shared" si="371"/>
        <v/>
      </c>
      <c r="K1121" s="209" t="str">
        <f t="shared" si="372"/>
        <v/>
      </c>
      <c r="L1121" s="692"/>
      <c r="M1121" s="17" t="str">
        <f t="shared" si="373"/>
        <v/>
      </c>
    </row>
    <row r="1122" spans="1:13" x14ac:dyDescent="0.25">
      <c r="A1122" s="85" t="str">
        <f t="shared" si="363"/>
        <v/>
      </c>
      <c r="B1122" s="296" t="str">
        <f t="shared" si="364"/>
        <v/>
      </c>
      <c r="C1122" s="296" t="str">
        <f t="shared" si="365"/>
        <v/>
      </c>
      <c r="D1122" s="85">
        <f t="shared" si="366"/>
        <v>5</v>
      </c>
      <c r="E1122" s="17" t="str">
        <f t="shared" si="367"/>
        <v/>
      </c>
      <c r="F1122" s="17" t="str">
        <f t="shared" si="368"/>
        <v/>
      </c>
      <c r="G1122" s="17" t="str">
        <f t="shared" si="369"/>
        <v/>
      </c>
      <c r="H1122" s="16">
        <v>832</v>
      </c>
      <c r="I1122" s="16" t="str">
        <f t="shared" si="370"/>
        <v/>
      </c>
      <c r="J1122" s="209" t="str">
        <f t="shared" si="371"/>
        <v/>
      </c>
      <c r="K1122" s="209" t="str">
        <f t="shared" si="372"/>
        <v/>
      </c>
      <c r="L1122" s="692"/>
      <c r="M1122" s="17" t="str">
        <f t="shared" si="373"/>
        <v/>
      </c>
    </row>
    <row r="1123" spans="1:13" x14ac:dyDescent="0.25">
      <c r="A1123" s="85" t="str">
        <f t="shared" si="363"/>
        <v/>
      </c>
      <c r="B1123" s="296" t="str">
        <f t="shared" si="364"/>
        <v/>
      </c>
      <c r="C1123" s="296" t="str">
        <f t="shared" si="365"/>
        <v/>
      </c>
      <c r="D1123" s="85">
        <f t="shared" si="366"/>
        <v>5</v>
      </c>
      <c r="E1123" s="17" t="str">
        <f t="shared" si="367"/>
        <v/>
      </c>
      <c r="F1123" s="17" t="str">
        <f t="shared" si="368"/>
        <v/>
      </c>
      <c r="G1123" s="17" t="str">
        <f t="shared" si="369"/>
        <v/>
      </c>
      <c r="H1123" s="16">
        <v>833</v>
      </c>
      <c r="I1123" s="16" t="str">
        <f t="shared" si="370"/>
        <v/>
      </c>
      <c r="J1123" s="209" t="str">
        <f t="shared" si="371"/>
        <v/>
      </c>
      <c r="K1123" s="209" t="str">
        <f t="shared" si="372"/>
        <v/>
      </c>
      <c r="L1123" s="692"/>
      <c r="M1123" s="17" t="str">
        <f t="shared" si="373"/>
        <v/>
      </c>
    </row>
    <row r="1124" spans="1:13" x14ac:dyDescent="0.25">
      <c r="A1124" s="85" t="str">
        <f t="shared" si="363"/>
        <v/>
      </c>
      <c r="B1124" s="296" t="str">
        <f t="shared" si="364"/>
        <v/>
      </c>
      <c r="C1124" s="296" t="str">
        <f t="shared" si="365"/>
        <v/>
      </c>
      <c r="D1124" s="85">
        <f t="shared" si="366"/>
        <v>5</v>
      </c>
      <c r="E1124" s="17" t="str">
        <f t="shared" si="367"/>
        <v/>
      </c>
      <c r="F1124" s="17" t="str">
        <f t="shared" si="368"/>
        <v/>
      </c>
      <c r="G1124" s="17" t="str">
        <f t="shared" si="369"/>
        <v/>
      </c>
      <c r="H1124" s="16">
        <v>834</v>
      </c>
      <c r="I1124" s="16" t="str">
        <f t="shared" si="370"/>
        <v/>
      </c>
      <c r="J1124" s="209" t="str">
        <f t="shared" si="371"/>
        <v/>
      </c>
      <c r="K1124" s="209" t="str">
        <f t="shared" si="372"/>
        <v/>
      </c>
      <c r="L1124" s="692"/>
      <c r="M1124" s="17" t="str">
        <f t="shared" si="373"/>
        <v/>
      </c>
    </row>
    <row r="1125" spans="1:13" x14ac:dyDescent="0.25">
      <c r="A1125" s="85" t="str">
        <f t="shared" si="363"/>
        <v/>
      </c>
      <c r="B1125" s="296" t="str">
        <f t="shared" si="364"/>
        <v/>
      </c>
      <c r="C1125" s="296" t="str">
        <f t="shared" si="365"/>
        <v/>
      </c>
      <c r="D1125" s="85">
        <f t="shared" si="366"/>
        <v>5</v>
      </c>
      <c r="E1125" s="17" t="str">
        <f t="shared" si="367"/>
        <v/>
      </c>
      <c r="F1125" s="17" t="str">
        <f t="shared" si="368"/>
        <v/>
      </c>
      <c r="G1125" s="17" t="str">
        <f t="shared" si="369"/>
        <v/>
      </c>
      <c r="H1125" s="16">
        <v>835</v>
      </c>
      <c r="I1125" s="16" t="str">
        <f t="shared" si="370"/>
        <v/>
      </c>
      <c r="J1125" s="209" t="str">
        <f t="shared" si="371"/>
        <v/>
      </c>
      <c r="K1125" s="209" t="str">
        <f t="shared" si="372"/>
        <v/>
      </c>
      <c r="L1125" s="692"/>
      <c r="M1125" s="17" t="str">
        <f t="shared" si="373"/>
        <v/>
      </c>
    </row>
    <row r="1126" spans="1:13" x14ac:dyDescent="0.25">
      <c r="A1126" s="85" t="str">
        <f t="shared" si="363"/>
        <v/>
      </c>
      <c r="B1126" s="296" t="str">
        <f t="shared" si="364"/>
        <v/>
      </c>
      <c r="C1126" s="296" t="str">
        <f t="shared" si="365"/>
        <v/>
      </c>
      <c r="D1126" s="85">
        <f t="shared" si="366"/>
        <v>5</v>
      </c>
      <c r="E1126" s="17" t="str">
        <f t="shared" si="367"/>
        <v/>
      </c>
      <c r="F1126" s="17" t="str">
        <f t="shared" si="368"/>
        <v/>
      </c>
      <c r="G1126" s="17" t="str">
        <f t="shared" si="369"/>
        <v/>
      </c>
      <c r="H1126" s="16">
        <v>836</v>
      </c>
      <c r="I1126" s="16" t="str">
        <f t="shared" si="370"/>
        <v/>
      </c>
      <c r="J1126" s="209" t="str">
        <f t="shared" si="371"/>
        <v/>
      </c>
      <c r="K1126" s="209" t="str">
        <f t="shared" si="372"/>
        <v/>
      </c>
      <c r="L1126" s="692"/>
      <c r="M1126" s="17" t="str">
        <f t="shared" si="373"/>
        <v/>
      </c>
    </row>
    <row r="1127" spans="1:13" x14ac:dyDescent="0.25">
      <c r="A1127" s="85" t="str">
        <f t="shared" si="363"/>
        <v/>
      </c>
      <c r="B1127" s="296" t="str">
        <f t="shared" si="364"/>
        <v/>
      </c>
      <c r="C1127" s="296" t="str">
        <f t="shared" si="365"/>
        <v/>
      </c>
      <c r="D1127" s="85">
        <f t="shared" si="366"/>
        <v>5</v>
      </c>
      <c r="E1127" s="17" t="str">
        <f t="shared" si="367"/>
        <v/>
      </c>
      <c r="F1127" s="17" t="str">
        <f t="shared" si="368"/>
        <v/>
      </c>
      <c r="G1127" s="17" t="str">
        <f t="shared" si="369"/>
        <v/>
      </c>
      <c r="H1127" s="16">
        <v>837</v>
      </c>
      <c r="I1127" s="16" t="str">
        <f t="shared" si="370"/>
        <v/>
      </c>
      <c r="J1127" s="209" t="str">
        <f t="shared" si="371"/>
        <v/>
      </c>
      <c r="K1127" s="209" t="str">
        <f t="shared" si="372"/>
        <v/>
      </c>
      <c r="L1127" s="692"/>
      <c r="M1127" s="17" t="str">
        <f t="shared" si="373"/>
        <v/>
      </c>
    </row>
    <row r="1128" spans="1:13" x14ac:dyDescent="0.25">
      <c r="A1128" s="85" t="str">
        <f t="shared" si="363"/>
        <v/>
      </c>
      <c r="B1128" s="296" t="str">
        <f t="shared" si="364"/>
        <v/>
      </c>
      <c r="C1128" s="296" t="str">
        <f t="shared" si="365"/>
        <v/>
      </c>
      <c r="D1128" s="85">
        <f t="shared" si="366"/>
        <v>5</v>
      </c>
      <c r="E1128" s="17" t="str">
        <f t="shared" si="367"/>
        <v/>
      </c>
      <c r="F1128" s="17" t="str">
        <f t="shared" si="368"/>
        <v/>
      </c>
      <c r="G1128" s="17" t="str">
        <f t="shared" si="369"/>
        <v/>
      </c>
      <c r="H1128" s="16">
        <v>838</v>
      </c>
      <c r="I1128" s="16" t="str">
        <f t="shared" si="370"/>
        <v/>
      </c>
      <c r="J1128" s="209" t="str">
        <f t="shared" si="371"/>
        <v/>
      </c>
      <c r="K1128" s="209" t="str">
        <f t="shared" si="372"/>
        <v/>
      </c>
      <c r="L1128" s="692"/>
      <c r="M1128" s="17" t="str">
        <f t="shared" si="373"/>
        <v/>
      </c>
    </row>
    <row r="1129" spans="1:13" x14ac:dyDescent="0.25">
      <c r="A1129" s="85" t="str">
        <f t="shared" si="363"/>
        <v/>
      </c>
      <c r="B1129" s="296" t="str">
        <f t="shared" si="364"/>
        <v/>
      </c>
      <c r="C1129" s="296" t="str">
        <f t="shared" si="365"/>
        <v/>
      </c>
      <c r="D1129" s="85">
        <f t="shared" si="366"/>
        <v>5</v>
      </c>
      <c r="E1129" s="17" t="str">
        <f t="shared" si="367"/>
        <v/>
      </c>
      <c r="F1129" s="17" t="str">
        <f t="shared" si="368"/>
        <v/>
      </c>
      <c r="G1129" s="17" t="str">
        <f t="shared" si="369"/>
        <v/>
      </c>
      <c r="H1129" s="16">
        <v>839</v>
      </c>
      <c r="I1129" s="16" t="str">
        <f t="shared" si="370"/>
        <v/>
      </c>
      <c r="J1129" s="209" t="str">
        <f t="shared" si="371"/>
        <v/>
      </c>
      <c r="K1129" s="209" t="str">
        <f t="shared" si="372"/>
        <v/>
      </c>
      <c r="L1129" s="692"/>
      <c r="M1129" s="17" t="str">
        <f t="shared" si="373"/>
        <v/>
      </c>
    </row>
    <row r="1130" spans="1:13" x14ac:dyDescent="0.25">
      <c r="A1130" s="85" t="str">
        <f t="shared" si="363"/>
        <v/>
      </c>
      <c r="B1130" s="296" t="str">
        <f t="shared" si="364"/>
        <v/>
      </c>
      <c r="C1130" s="296" t="str">
        <f t="shared" si="365"/>
        <v/>
      </c>
      <c r="D1130" s="85">
        <f t="shared" si="366"/>
        <v>5</v>
      </c>
      <c r="E1130" s="17" t="str">
        <f t="shared" si="367"/>
        <v/>
      </c>
      <c r="F1130" s="17" t="str">
        <f t="shared" si="368"/>
        <v/>
      </c>
      <c r="G1130" s="17" t="str">
        <f t="shared" si="369"/>
        <v/>
      </c>
      <c r="H1130" s="16">
        <v>840</v>
      </c>
      <c r="I1130" s="16" t="str">
        <f t="shared" si="370"/>
        <v/>
      </c>
      <c r="J1130" s="209" t="str">
        <f t="shared" si="371"/>
        <v/>
      </c>
      <c r="K1130" s="209" t="str">
        <f t="shared" si="372"/>
        <v/>
      </c>
      <c r="L1130" s="692"/>
      <c r="M1130" s="17" t="str">
        <f t="shared" si="373"/>
        <v/>
      </c>
    </row>
    <row r="1131" spans="1:13" x14ac:dyDescent="0.25">
      <c r="A1131" s="85" t="str">
        <f t="shared" si="363"/>
        <v/>
      </c>
      <c r="B1131" s="296" t="str">
        <f t="shared" si="364"/>
        <v/>
      </c>
      <c r="C1131" s="296" t="str">
        <f t="shared" si="365"/>
        <v/>
      </c>
      <c r="D1131" s="85">
        <f t="shared" si="366"/>
        <v>5</v>
      </c>
      <c r="E1131" s="17" t="str">
        <f t="shared" si="367"/>
        <v/>
      </c>
      <c r="F1131" s="17" t="str">
        <f t="shared" si="368"/>
        <v/>
      </c>
      <c r="G1131" s="17" t="str">
        <f t="shared" si="369"/>
        <v/>
      </c>
      <c r="H1131" s="16">
        <v>841</v>
      </c>
      <c r="I1131" s="16" t="str">
        <f t="shared" si="370"/>
        <v/>
      </c>
      <c r="J1131" s="209" t="str">
        <f t="shared" si="371"/>
        <v/>
      </c>
      <c r="K1131" s="209" t="str">
        <f t="shared" si="372"/>
        <v/>
      </c>
      <c r="L1131" s="692"/>
      <c r="M1131" s="17" t="str">
        <f t="shared" si="373"/>
        <v/>
      </c>
    </row>
    <row r="1132" spans="1:13" x14ac:dyDescent="0.25">
      <c r="A1132" s="85" t="str">
        <f t="shared" si="363"/>
        <v/>
      </c>
      <c r="B1132" s="296" t="str">
        <f t="shared" si="364"/>
        <v/>
      </c>
      <c r="C1132" s="296" t="str">
        <f t="shared" si="365"/>
        <v/>
      </c>
      <c r="D1132" s="85">
        <f t="shared" si="366"/>
        <v>5</v>
      </c>
      <c r="E1132" s="17" t="str">
        <f t="shared" si="367"/>
        <v/>
      </c>
      <c r="F1132" s="17" t="str">
        <f t="shared" si="368"/>
        <v/>
      </c>
      <c r="G1132" s="17" t="str">
        <f t="shared" si="369"/>
        <v/>
      </c>
      <c r="H1132" s="16">
        <v>842</v>
      </c>
      <c r="I1132" s="16" t="str">
        <f t="shared" si="370"/>
        <v/>
      </c>
      <c r="J1132" s="209" t="str">
        <f t="shared" si="371"/>
        <v/>
      </c>
      <c r="K1132" s="209" t="str">
        <f t="shared" si="372"/>
        <v/>
      </c>
      <c r="L1132" s="692"/>
      <c r="M1132" s="17" t="str">
        <f t="shared" si="373"/>
        <v/>
      </c>
    </row>
    <row r="1133" spans="1:13" x14ac:dyDescent="0.25">
      <c r="A1133" s="85" t="str">
        <f t="shared" si="363"/>
        <v/>
      </c>
      <c r="B1133" s="296" t="str">
        <f t="shared" si="364"/>
        <v/>
      </c>
      <c r="C1133" s="296" t="str">
        <f t="shared" si="365"/>
        <v/>
      </c>
      <c r="D1133" s="85">
        <f t="shared" si="366"/>
        <v>5</v>
      </c>
      <c r="E1133" s="17" t="str">
        <f t="shared" si="367"/>
        <v/>
      </c>
      <c r="F1133" s="17" t="str">
        <f t="shared" si="368"/>
        <v/>
      </c>
      <c r="G1133" s="17" t="str">
        <f t="shared" si="369"/>
        <v/>
      </c>
      <c r="H1133" s="16">
        <v>843</v>
      </c>
      <c r="I1133" s="16" t="str">
        <f t="shared" si="370"/>
        <v/>
      </c>
      <c r="J1133" s="209" t="str">
        <f t="shared" si="371"/>
        <v/>
      </c>
      <c r="K1133" s="209" t="str">
        <f t="shared" si="372"/>
        <v/>
      </c>
      <c r="L1133" s="692"/>
      <c r="M1133" s="17" t="str">
        <f t="shared" si="373"/>
        <v/>
      </c>
    </row>
    <row r="1134" spans="1:13" x14ac:dyDescent="0.25">
      <c r="A1134" s="85" t="str">
        <f t="shared" si="363"/>
        <v/>
      </c>
      <c r="B1134" s="296" t="str">
        <f t="shared" si="364"/>
        <v/>
      </c>
      <c r="C1134" s="296" t="str">
        <f t="shared" si="365"/>
        <v/>
      </c>
      <c r="D1134" s="85">
        <f t="shared" si="366"/>
        <v>5</v>
      </c>
      <c r="E1134" s="17" t="str">
        <f t="shared" si="367"/>
        <v/>
      </c>
      <c r="F1134" s="17" t="str">
        <f t="shared" si="368"/>
        <v/>
      </c>
      <c r="G1134" s="17" t="str">
        <f t="shared" si="369"/>
        <v/>
      </c>
      <c r="H1134" s="16">
        <v>844</v>
      </c>
      <c r="I1134" s="16" t="str">
        <f t="shared" si="370"/>
        <v/>
      </c>
      <c r="J1134" s="209" t="str">
        <f t="shared" si="371"/>
        <v/>
      </c>
      <c r="K1134" s="209" t="str">
        <f t="shared" si="372"/>
        <v/>
      </c>
      <c r="L1134" s="692"/>
      <c r="M1134" s="17" t="str">
        <f t="shared" si="373"/>
        <v/>
      </c>
    </row>
    <row r="1135" spans="1:13" x14ac:dyDescent="0.25">
      <c r="A1135" s="85" t="str">
        <f t="shared" si="363"/>
        <v/>
      </c>
      <c r="B1135" s="296" t="str">
        <f t="shared" si="364"/>
        <v/>
      </c>
      <c r="C1135" s="296" t="str">
        <f t="shared" si="365"/>
        <v/>
      </c>
      <c r="D1135" s="85">
        <f t="shared" si="366"/>
        <v>5</v>
      </c>
      <c r="E1135" s="17" t="str">
        <f t="shared" si="367"/>
        <v/>
      </c>
      <c r="F1135" s="17" t="str">
        <f t="shared" si="368"/>
        <v/>
      </c>
      <c r="G1135" s="17" t="str">
        <f t="shared" si="369"/>
        <v/>
      </c>
      <c r="H1135" s="16">
        <v>845</v>
      </c>
      <c r="I1135" s="16" t="str">
        <f t="shared" si="370"/>
        <v/>
      </c>
      <c r="J1135" s="209" t="str">
        <f t="shared" si="371"/>
        <v/>
      </c>
      <c r="K1135" s="209" t="str">
        <f t="shared" si="372"/>
        <v/>
      </c>
      <c r="L1135" s="692"/>
      <c r="M1135" s="17" t="str">
        <f t="shared" si="373"/>
        <v/>
      </c>
    </row>
    <row r="1136" spans="1:13" x14ac:dyDescent="0.25">
      <c r="A1136" s="85" t="str">
        <f t="shared" si="363"/>
        <v/>
      </c>
      <c r="B1136" s="296" t="str">
        <f t="shared" si="364"/>
        <v/>
      </c>
      <c r="C1136" s="296" t="str">
        <f t="shared" si="365"/>
        <v/>
      </c>
      <c r="D1136" s="85">
        <f t="shared" si="366"/>
        <v>5</v>
      </c>
      <c r="E1136" s="17" t="str">
        <f t="shared" si="367"/>
        <v/>
      </c>
      <c r="F1136" s="17" t="str">
        <f t="shared" si="368"/>
        <v/>
      </c>
      <c r="G1136" s="17" t="str">
        <f t="shared" si="369"/>
        <v/>
      </c>
      <c r="H1136" s="16">
        <v>846</v>
      </c>
      <c r="I1136" s="16" t="str">
        <f t="shared" si="370"/>
        <v/>
      </c>
      <c r="J1136" s="209" t="str">
        <f t="shared" si="371"/>
        <v/>
      </c>
      <c r="K1136" s="209" t="str">
        <f t="shared" si="372"/>
        <v/>
      </c>
      <c r="L1136" s="692"/>
      <c r="M1136" s="17" t="str">
        <f t="shared" si="373"/>
        <v/>
      </c>
    </row>
    <row r="1137" spans="1:13" x14ac:dyDescent="0.25">
      <c r="A1137" s="85" t="str">
        <f t="shared" si="363"/>
        <v/>
      </c>
      <c r="B1137" s="296" t="str">
        <f t="shared" si="364"/>
        <v/>
      </c>
      <c r="C1137" s="296" t="str">
        <f t="shared" si="365"/>
        <v/>
      </c>
      <c r="D1137" s="85">
        <f t="shared" si="366"/>
        <v>5</v>
      </c>
      <c r="E1137" s="17" t="str">
        <f t="shared" si="367"/>
        <v/>
      </c>
      <c r="F1137" s="17" t="str">
        <f t="shared" si="368"/>
        <v/>
      </c>
      <c r="G1137" s="17" t="str">
        <f t="shared" si="369"/>
        <v/>
      </c>
      <c r="H1137" s="16">
        <v>847</v>
      </c>
      <c r="I1137" s="16" t="str">
        <f t="shared" si="370"/>
        <v/>
      </c>
      <c r="J1137" s="209" t="str">
        <f t="shared" si="371"/>
        <v/>
      </c>
      <c r="K1137" s="209" t="str">
        <f t="shared" si="372"/>
        <v/>
      </c>
      <c r="L1137" s="692"/>
      <c r="M1137" s="17" t="str">
        <f t="shared" si="373"/>
        <v/>
      </c>
    </row>
    <row r="1138" spans="1:13" x14ac:dyDescent="0.25">
      <c r="A1138" s="85" t="str">
        <f t="shared" ref="A1138:A1201" si="374">IF(A1137&lt;J$269,A1137+1,"")</f>
        <v/>
      </c>
      <c r="B1138" s="296" t="str">
        <f t="shared" ref="B1138:B1201" si="375">IF(A1138="","",IF(A1137&lt;=C$270,B$273+(A1137*E$274/C$269),IF(A1137&lt;=D$270,B$274+(D$275*COS(RADIANS(G$275+((A1137-C$270)*H$276/D$269))))-E$275,IF(A1137&lt;=E$270,B$276+((A1137-D$270)*E$277/E$269),IF(A1137&lt;=F$270,B$277+(D$278*COS(RADIANS(G$278+((A1137-E$270)*H$279/F$269))))-E$278,IF(A1137&lt;=G$270,B$279+((A1137-F$270)*E$280/G$269),IF(A1137&lt;=H$270,B$280+(D$281*COS(RADIANS(G$281+((A1137-G$270)*H$282/H$269))))-E$281,IF(A1137&lt;=I$270,B$282+((A1137-H$270)*E$283/I$269),"CHECK FORMULE"))))))))</f>
        <v/>
      </c>
      <c r="C1138" s="296" t="str">
        <f t="shared" ref="C1138:C1201" si="376">IF(A1138="","",IF(A1137&lt;=C$270,C$273+(A1137*F$274/C$269),IF(A1137&lt;=D$270,C$274+(D$275*SIN(RADIANS(G$275+((A1137-C$270)*H$276/D$269))))-F$275,IF(A1137&lt;=E$270,C$276+((A1137-D$270)*F$277/E$269),IF(A1137&lt;=F$270,C$277+(D$278*SIN(RADIANS(G$278+((A1137-E$270)*H$279/F$269))))-F$278,IF(A1137&lt;=G$270,C$279+((A1137-F$270)*F$280/G$269),IF(A1137&lt;=H$270,C$280+(D$281*SIN(RADIANS(G$281+((A1137-G$270)*H$282/H$269))))-F$281,IF(A1137&lt;=I$270,C$282+((A1137-H$270)*F$283/I$269),"CHECK FORMULE"))))))))</f>
        <v/>
      </c>
      <c r="D1138" s="85">
        <f t="shared" ref="D1138:D1201" si="377">_xlfn.SINGLE(_xlfn.XLOOKUP(B1138,B$273:B$284,A$273:A$284,D1137))</f>
        <v>5</v>
      </c>
      <c r="E1138" s="17" t="str">
        <f t="shared" ref="E1138:E1201" si="378">IF(A1138="","",B1138-B1137)</f>
        <v/>
      </c>
      <c r="F1138" s="17" t="str">
        <f t="shared" ref="F1138:F1201" si="379">IF(A1138="","",C1138-C1137)</f>
        <v/>
      </c>
      <c r="G1138" s="17" t="str">
        <f t="shared" ref="G1138:G1201" si="380">IF(E1138="","",B1138&amp;","&amp;C1138)</f>
        <v/>
      </c>
      <c r="H1138" s="16">
        <v>848</v>
      </c>
      <c r="I1138" s="16" t="str">
        <f t="shared" ref="I1138:I1201" si="381">IF(J1138="","",I1137+1)</f>
        <v/>
      </c>
      <c r="J1138" s="209" t="str">
        <f t="shared" ref="J1138:J1201" si="382">IF(E1138="","",(E1138^2+F1138^2)^0.5)</f>
        <v/>
      </c>
      <c r="K1138" s="209" t="str">
        <f t="shared" ref="K1138:K1201" si="383">IF(E1138="","",K1137+J1138)</f>
        <v/>
      </c>
      <c r="L1138" s="692"/>
      <c r="M1138" s="17" t="str">
        <f t="shared" ref="M1138:M1201" si="384">IF(L1138="","",K1138&amp;","&amp;L1138)</f>
        <v/>
      </c>
    </row>
    <row r="1139" spans="1:13" x14ac:dyDescent="0.25">
      <c r="A1139" s="85" t="str">
        <f t="shared" si="374"/>
        <v/>
      </c>
      <c r="B1139" s="296" t="str">
        <f t="shared" si="375"/>
        <v/>
      </c>
      <c r="C1139" s="296" t="str">
        <f t="shared" si="376"/>
        <v/>
      </c>
      <c r="D1139" s="85">
        <f t="shared" si="377"/>
        <v>5</v>
      </c>
      <c r="E1139" s="17" t="str">
        <f t="shared" si="378"/>
        <v/>
      </c>
      <c r="F1139" s="17" t="str">
        <f t="shared" si="379"/>
        <v/>
      </c>
      <c r="G1139" s="17" t="str">
        <f t="shared" si="380"/>
        <v/>
      </c>
      <c r="H1139" s="16">
        <v>849</v>
      </c>
      <c r="I1139" s="16" t="str">
        <f t="shared" si="381"/>
        <v/>
      </c>
      <c r="J1139" s="209" t="str">
        <f t="shared" si="382"/>
        <v/>
      </c>
      <c r="K1139" s="209" t="str">
        <f t="shared" si="383"/>
        <v/>
      </c>
      <c r="L1139" s="692"/>
      <c r="M1139" s="17" t="str">
        <f t="shared" si="384"/>
        <v/>
      </c>
    </row>
    <row r="1140" spans="1:13" x14ac:dyDescent="0.25">
      <c r="A1140" s="85" t="str">
        <f t="shared" si="374"/>
        <v/>
      </c>
      <c r="B1140" s="296" t="str">
        <f t="shared" si="375"/>
        <v/>
      </c>
      <c r="C1140" s="296" t="str">
        <f t="shared" si="376"/>
        <v/>
      </c>
      <c r="D1140" s="85">
        <f t="shared" si="377"/>
        <v>5</v>
      </c>
      <c r="E1140" s="17" t="str">
        <f t="shared" si="378"/>
        <v/>
      </c>
      <c r="F1140" s="17" t="str">
        <f t="shared" si="379"/>
        <v/>
      </c>
      <c r="G1140" s="17" t="str">
        <f t="shared" si="380"/>
        <v/>
      </c>
      <c r="H1140" s="16">
        <v>850</v>
      </c>
      <c r="I1140" s="16" t="str">
        <f t="shared" si="381"/>
        <v/>
      </c>
      <c r="J1140" s="209" t="str">
        <f t="shared" si="382"/>
        <v/>
      </c>
      <c r="K1140" s="209" t="str">
        <f t="shared" si="383"/>
        <v/>
      </c>
      <c r="L1140" s="692"/>
      <c r="M1140" s="17" t="str">
        <f t="shared" si="384"/>
        <v/>
      </c>
    </row>
    <row r="1141" spans="1:13" x14ac:dyDescent="0.25">
      <c r="A1141" s="85" t="str">
        <f t="shared" si="374"/>
        <v/>
      </c>
      <c r="B1141" s="296" t="str">
        <f t="shared" si="375"/>
        <v/>
      </c>
      <c r="C1141" s="296" t="str">
        <f t="shared" si="376"/>
        <v/>
      </c>
      <c r="D1141" s="85">
        <f t="shared" si="377"/>
        <v>5</v>
      </c>
      <c r="E1141" s="17" t="str">
        <f t="shared" si="378"/>
        <v/>
      </c>
      <c r="F1141" s="17" t="str">
        <f t="shared" si="379"/>
        <v/>
      </c>
      <c r="G1141" s="17" t="str">
        <f t="shared" si="380"/>
        <v/>
      </c>
      <c r="H1141" s="16">
        <v>851</v>
      </c>
      <c r="I1141" s="16" t="str">
        <f t="shared" si="381"/>
        <v/>
      </c>
      <c r="J1141" s="209" t="str">
        <f t="shared" si="382"/>
        <v/>
      </c>
      <c r="K1141" s="209" t="str">
        <f t="shared" si="383"/>
        <v/>
      </c>
      <c r="L1141" s="692"/>
      <c r="M1141" s="17" t="str">
        <f t="shared" si="384"/>
        <v/>
      </c>
    </row>
    <row r="1142" spans="1:13" x14ac:dyDescent="0.25">
      <c r="A1142" s="85" t="str">
        <f t="shared" si="374"/>
        <v/>
      </c>
      <c r="B1142" s="296" t="str">
        <f t="shared" si="375"/>
        <v/>
      </c>
      <c r="C1142" s="296" t="str">
        <f t="shared" si="376"/>
        <v/>
      </c>
      <c r="D1142" s="85">
        <f t="shared" si="377"/>
        <v>5</v>
      </c>
      <c r="E1142" s="17" t="str">
        <f t="shared" si="378"/>
        <v/>
      </c>
      <c r="F1142" s="17" t="str">
        <f t="shared" si="379"/>
        <v/>
      </c>
      <c r="G1142" s="17" t="str">
        <f t="shared" si="380"/>
        <v/>
      </c>
      <c r="H1142" s="16">
        <v>852</v>
      </c>
      <c r="I1142" s="16" t="str">
        <f t="shared" si="381"/>
        <v/>
      </c>
      <c r="J1142" s="209" t="str">
        <f t="shared" si="382"/>
        <v/>
      </c>
      <c r="K1142" s="209" t="str">
        <f t="shared" si="383"/>
        <v/>
      </c>
      <c r="L1142" s="692"/>
      <c r="M1142" s="17" t="str">
        <f t="shared" si="384"/>
        <v/>
      </c>
    </row>
    <row r="1143" spans="1:13" x14ac:dyDescent="0.25">
      <c r="A1143" s="85" t="str">
        <f t="shared" si="374"/>
        <v/>
      </c>
      <c r="B1143" s="296" t="str">
        <f t="shared" si="375"/>
        <v/>
      </c>
      <c r="C1143" s="296" t="str">
        <f t="shared" si="376"/>
        <v/>
      </c>
      <c r="D1143" s="85">
        <f t="shared" si="377"/>
        <v>5</v>
      </c>
      <c r="E1143" s="17" t="str">
        <f t="shared" si="378"/>
        <v/>
      </c>
      <c r="F1143" s="17" t="str">
        <f t="shared" si="379"/>
        <v/>
      </c>
      <c r="G1143" s="17" t="str">
        <f t="shared" si="380"/>
        <v/>
      </c>
      <c r="H1143" s="16">
        <v>853</v>
      </c>
      <c r="I1143" s="16" t="str">
        <f t="shared" si="381"/>
        <v/>
      </c>
      <c r="J1143" s="209" t="str">
        <f t="shared" si="382"/>
        <v/>
      </c>
      <c r="K1143" s="209" t="str">
        <f t="shared" si="383"/>
        <v/>
      </c>
      <c r="L1143" s="692"/>
      <c r="M1143" s="17" t="str">
        <f t="shared" si="384"/>
        <v/>
      </c>
    </row>
    <row r="1144" spans="1:13" x14ac:dyDescent="0.25">
      <c r="A1144" s="85" t="str">
        <f t="shared" si="374"/>
        <v/>
      </c>
      <c r="B1144" s="296" t="str">
        <f t="shared" si="375"/>
        <v/>
      </c>
      <c r="C1144" s="296" t="str">
        <f t="shared" si="376"/>
        <v/>
      </c>
      <c r="D1144" s="85">
        <f t="shared" si="377"/>
        <v>5</v>
      </c>
      <c r="E1144" s="17" t="str">
        <f t="shared" si="378"/>
        <v/>
      </c>
      <c r="F1144" s="17" t="str">
        <f t="shared" si="379"/>
        <v/>
      </c>
      <c r="G1144" s="17" t="str">
        <f t="shared" si="380"/>
        <v/>
      </c>
      <c r="H1144" s="16">
        <v>854</v>
      </c>
      <c r="I1144" s="16" t="str">
        <f t="shared" si="381"/>
        <v/>
      </c>
      <c r="J1144" s="209" t="str">
        <f t="shared" si="382"/>
        <v/>
      </c>
      <c r="K1144" s="209" t="str">
        <f t="shared" si="383"/>
        <v/>
      </c>
      <c r="L1144" s="692"/>
      <c r="M1144" s="17" t="str">
        <f t="shared" si="384"/>
        <v/>
      </c>
    </row>
    <row r="1145" spans="1:13" x14ac:dyDescent="0.25">
      <c r="A1145" s="85" t="str">
        <f t="shared" si="374"/>
        <v/>
      </c>
      <c r="B1145" s="296" t="str">
        <f t="shared" si="375"/>
        <v/>
      </c>
      <c r="C1145" s="296" t="str">
        <f t="shared" si="376"/>
        <v/>
      </c>
      <c r="D1145" s="85">
        <f t="shared" si="377"/>
        <v>5</v>
      </c>
      <c r="E1145" s="17" t="str">
        <f t="shared" si="378"/>
        <v/>
      </c>
      <c r="F1145" s="17" t="str">
        <f t="shared" si="379"/>
        <v/>
      </c>
      <c r="G1145" s="17" t="str">
        <f t="shared" si="380"/>
        <v/>
      </c>
      <c r="H1145" s="16">
        <v>855</v>
      </c>
      <c r="I1145" s="16" t="str">
        <f t="shared" si="381"/>
        <v/>
      </c>
      <c r="J1145" s="209" t="str">
        <f t="shared" si="382"/>
        <v/>
      </c>
      <c r="K1145" s="209" t="str">
        <f t="shared" si="383"/>
        <v/>
      </c>
      <c r="L1145" s="692"/>
      <c r="M1145" s="17" t="str">
        <f t="shared" si="384"/>
        <v/>
      </c>
    </row>
    <row r="1146" spans="1:13" x14ac:dyDescent="0.25">
      <c r="A1146" s="85" t="str">
        <f t="shared" si="374"/>
        <v/>
      </c>
      <c r="B1146" s="296" t="str">
        <f t="shared" si="375"/>
        <v/>
      </c>
      <c r="C1146" s="296" t="str">
        <f t="shared" si="376"/>
        <v/>
      </c>
      <c r="D1146" s="85">
        <f t="shared" si="377"/>
        <v>5</v>
      </c>
      <c r="E1146" s="17" t="str">
        <f t="shared" si="378"/>
        <v/>
      </c>
      <c r="F1146" s="17" t="str">
        <f t="shared" si="379"/>
        <v/>
      </c>
      <c r="G1146" s="17" t="str">
        <f t="shared" si="380"/>
        <v/>
      </c>
      <c r="H1146" s="16">
        <v>856</v>
      </c>
      <c r="I1146" s="16" t="str">
        <f t="shared" si="381"/>
        <v/>
      </c>
      <c r="J1146" s="209" t="str">
        <f t="shared" si="382"/>
        <v/>
      </c>
      <c r="K1146" s="209" t="str">
        <f t="shared" si="383"/>
        <v/>
      </c>
      <c r="L1146" s="692"/>
      <c r="M1146" s="17" t="str">
        <f t="shared" si="384"/>
        <v/>
      </c>
    </row>
    <row r="1147" spans="1:13" x14ac:dyDescent="0.25">
      <c r="A1147" s="85" t="str">
        <f t="shared" si="374"/>
        <v/>
      </c>
      <c r="B1147" s="296" t="str">
        <f t="shared" si="375"/>
        <v/>
      </c>
      <c r="C1147" s="296" t="str">
        <f t="shared" si="376"/>
        <v/>
      </c>
      <c r="D1147" s="85">
        <f t="shared" si="377"/>
        <v>5</v>
      </c>
      <c r="E1147" s="17" t="str">
        <f t="shared" si="378"/>
        <v/>
      </c>
      <c r="F1147" s="17" t="str">
        <f t="shared" si="379"/>
        <v/>
      </c>
      <c r="G1147" s="17" t="str">
        <f t="shared" si="380"/>
        <v/>
      </c>
      <c r="H1147" s="16">
        <v>857</v>
      </c>
      <c r="I1147" s="16" t="str">
        <f t="shared" si="381"/>
        <v/>
      </c>
      <c r="J1147" s="209" t="str">
        <f t="shared" si="382"/>
        <v/>
      </c>
      <c r="K1147" s="209" t="str">
        <f t="shared" si="383"/>
        <v/>
      </c>
      <c r="L1147" s="692"/>
      <c r="M1147" s="17" t="str">
        <f t="shared" si="384"/>
        <v/>
      </c>
    </row>
    <row r="1148" spans="1:13" x14ac:dyDescent="0.25">
      <c r="A1148" s="85" t="str">
        <f t="shared" si="374"/>
        <v/>
      </c>
      <c r="B1148" s="296" t="str">
        <f t="shared" si="375"/>
        <v/>
      </c>
      <c r="C1148" s="296" t="str">
        <f t="shared" si="376"/>
        <v/>
      </c>
      <c r="D1148" s="85">
        <f t="shared" si="377"/>
        <v>5</v>
      </c>
      <c r="E1148" s="17" t="str">
        <f t="shared" si="378"/>
        <v/>
      </c>
      <c r="F1148" s="17" t="str">
        <f t="shared" si="379"/>
        <v/>
      </c>
      <c r="G1148" s="17" t="str">
        <f t="shared" si="380"/>
        <v/>
      </c>
      <c r="H1148" s="16">
        <v>858</v>
      </c>
      <c r="I1148" s="16" t="str">
        <f t="shared" si="381"/>
        <v/>
      </c>
      <c r="J1148" s="209" t="str">
        <f t="shared" si="382"/>
        <v/>
      </c>
      <c r="K1148" s="209" t="str">
        <f t="shared" si="383"/>
        <v/>
      </c>
      <c r="L1148" s="692"/>
      <c r="M1148" s="17" t="str">
        <f t="shared" si="384"/>
        <v/>
      </c>
    </row>
    <row r="1149" spans="1:13" x14ac:dyDescent="0.25">
      <c r="A1149" s="85" t="str">
        <f t="shared" si="374"/>
        <v/>
      </c>
      <c r="B1149" s="296" t="str">
        <f t="shared" si="375"/>
        <v/>
      </c>
      <c r="C1149" s="296" t="str">
        <f t="shared" si="376"/>
        <v/>
      </c>
      <c r="D1149" s="85">
        <f t="shared" si="377"/>
        <v>5</v>
      </c>
      <c r="E1149" s="17" t="str">
        <f t="shared" si="378"/>
        <v/>
      </c>
      <c r="F1149" s="17" t="str">
        <f t="shared" si="379"/>
        <v/>
      </c>
      <c r="G1149" s="17" t="str">
        <f t="shared" si="380"/>
        <v/>
      </c>
      <c r="H1149" s="16">
        <v>859</v>
      </c>
      <c r="I1149" s="16" t="str">
        <f t="shared" si="381"/>
        <v/>
      </c>
      <c r="J1149" s="209" t="str">
        <f t="shared" si="382"/>
        <v/>
      </c>
      <c r="K1149" s="209" t="str">
        <f t="shared" si="383"/>
        <v/>
      </c>
      <c r="L1149" s="692"/>
      <c r="M1149" s="17" t="str">
        <f t="shared" si="384"/>
        <v/>
      </c>
    </row>
    <row r="1150" spans="1:13" x14ac:dyDescent="0.25">
      <c r="A1150" s="85" t="str">
        <f t="shared" si="374"/>
        <v/>
      </c>
      <c r="B1150" s="296" t="str">
        <f t="shared" si="375"/>
        <v/>
      </c>
      <c r="C1150" s="296" t="str">
        <f t="shared" si="376"/>
        <v/>
      </c>
      <c r="D1150" s="85">
        <f t="shared" si="377"/>
        <v>5</v>
      </c>
      <c r="E1150" s="17" t="str">
        <f t="shared" si="378"/>
        <v/>
      </c>
      <c r="F1150" s="17" t="str">
        <f t="shared" si="379"/>
        <v/>
      </c>
      <c r="G1150" s="17" t="str">
        <f t="shared" si="380"/>
        <v/>
      </c>
      <c r="H1150" s="16">
        <v>860</v>
      </c>
      <c r="I1150" s="16" t="str">
        <f t="shared" si="381"/>
        <v/>
      </c>
      <c r="J1150" s="209" t="str">
        <f t="shared" si="382"/>
        <v/>
      </c>
      <c r="K1150" s="209" t="str">
        <f t="shared" si="383"/>
        <v/>
      </c>
      <c r="L1150" s="692"/>
      <c r="M1150" s="17" t="str">
        <f t="shared" si="384"/>
        <v/>
      </c>
    </row>
    <row r="1151" spans="1:13" x14ac:dyDescent="0.25">
      <c r="A1151" s="85" t="str">
        <f t="shared" si="374"/>
        <v/>
      </c>
      <c r="B1151" s="296" t="str">
        <f t="shared" si="375"/>
        <v/>
      </c>
      <c r="C1151" s="296" t="str">
        <f t="shared" si="376"/>
        <v/>
      </c>
      <c r="D1151" s="85">
        <f t="shared" si="377"/>
        <v>5</v>
      </c>
      <c r="E1151" s="17" t="str">
        <f t="shared" si="378"/>
        <v/>
      </c>
      <c r="F1151" s="17" t="str">
        <f t="shared" si="379"/>
        <v/>
      </c>
      <c r="G1151" s="17" t="str">
        <f t="shared" si="380"/>
        <v/>
      </c>
      <c r="H1151" s="16">
        <v>861</v>
      </c>
      <c r="I1151" s="16" t="str">
        <f t="shared" si="381"/>
        <v/>
      </c>
      <c r="J1151" s="209" t="str">
        <f t="shared" si="382"/>
        <v/>
      </c>
      <c r="K1151" s="209" t="str">
        <f t="shared" si="383"/>
        <v/>
      </c>
      <c r="L1151" s="692"/>
      <c r="M1151" s="17" t="str">
        <f t="shared" si="384"/>
        <v/>
      </c>
    </row>
    <row r="1152" spans="1:13" x14ac:dyDescent="0.25">
      <c r="A1152" s="85" t="str">
        <f t="shared" si="374"/>
        <v/>
      </c>
      <c r="B1152" s="296" t="str">
        <f t="shared" si="375"/>
        <v/>
      </c>
      <c r="C1152" s="296" t="str">
        <f t="shared" si="376"/>
        <v/>
      </c>
      <c r="D1152" s="85">
        <f t="shared" si="377"/>
        <v>5</v>
      </c>
      <c r="E1152" s="17" t="str">
        <f t="shared" si="378"/>
        <v/>
      </c>
      <c r="F1152" s="17" t="str">
        <f t="shared" si="379"/>
        <v/>
      </c>
      <c r="G1152" s="17" t="str">
        <f t="shared" si="380"/>
        <v/>
      </c>
      <c r="H1152" s="16">
        <v>862</v>
      </c>
      <c r="I1152" s="16" t="str">
        <f t="shared" si="381"/>
        <v/>
      </c>
      <c r="J1152" s="209" t="str">
        <f t="shared" si="382"/>
        <v/>
      </c>
      <c r="K1152" s="209" t="str">
        <f t="shared" si="383"/>
        <v/>
      </c>
      <c r="L1152" s="692"/>
      <c r="M1152" s="17" t="str">
        <f t="shared" si="384"/>
        <v/>
      </c>
    </row>
    <row r="1153" spans="1:13" x14ac:dyDescent="0.25">
      <c r="A1153" s="85" t="str">
        <f t="shared" si="374"/>
        <v/>
      </c>
      <c r="B1153" s="296" t="str">
        <f t="shared" si="375"/>
        <v/>
      </c>
      <c r="C1153" s="296" t="str">
        <f t="shared" si="376"/>
        <v/>
      </c>
      <c r="D1153" s="85">
        <f t="shared" si="377"/>
        <v>5</v>
      </c>
      <c r="E1153" s="17" t="str">
        <f t="shared" si="378"/>
        <v/>
      </c>
      <c r="F1153" s="17" t="str">
        <f t="shared" si="379"/>
        <v/>
      </c>
      <c r="G1153" s="17" t="str">
        <f t="shared" si="380"/>
        <v/>
      </c>
      <c r="H1153" s="16">
        <v>863</v>
      </c>
      <c r="I1153" s="16" t="str">
        <f t="shared" si="381"/>
        <v/>
      </c>
      <c r="J1153" s="209" t="str">
        <f t="shared" si="382"/>
        <v/>
      </c>
      <c r="K1153" s="209" t="str">
        <f t="shared" si="383"/>
        <v/>
      </c>
      <c r="L1153" s="692"/>
      <c r="M1153" s="17" t="str">
        <f t="shared" si="384"/>
        <v/>
      </c>
    </row>
    <row r="1154" spans="1:13" x14ac:dyDescent="0.25">
      <c r="A1154" s="85" t="str">
        <f t="shared" si="374"/>
        <v/>
      </c>
      <c r="B1154" s="296" t="str">
        <f t="shared" si="375"/>
        <v/>
      </c>
      <c r="C1154" s="296" t="str">
        <f t="shared" si="376"/>
        <v/>
      </c>
      <c r="D1154" s="85">
        <f t="shared" si="377"/>
        <v>5</v>
      </c>
      <c r="E1154" s="17" t="str">
        <f t="shared" si="378"/>
        <v/>
      </c>
      <c r="F1154" s="17" t="str">
        <f t="shared" si="379"/>
        <v/>
      </c>
      <c r="G1154" s="17" t="str">
        <f t="shared" si="380"/>
        <v/>
      </c>
      <c r="H1154" s="16">
        <v>864</v>
      </c>
      <c r="I1154" s="16" t="str">
        <f t="shared" si="381"/>
        <v/>
      </c>
      <c r="J1154" s="209" t="str">
        <f t="shared" si="382"/>
        <v/>
      </c>
      <c r="K1154" s="209" t="str">
        <f t="shared" si="383"/>
        <v/>
      </c>
      <c r="L1154" s="692"/>
      <c r="M1154" s="17" t="str">
        <f t="shared" si="384"/>
        <v/>
      </c>
    </row>
    <row r="1155" spans="1:13" x14ac:dyDescent="0.25">
      <c r="A1155" s="85" t="str">
        <f t="shared" si="374"/>
        <v/>
      </c>
      <c r="B1155" s="296" t="str">
        <f t="shared" si="375"/>
        <v/>
      </c>
      <c r="C1155" s="296" t="str">
        <f t="shared" si="376"/>
        <v/>
      </c>
      <c r="D1155" s="85">
        <f t="shared" si="377"/>
        <v>5</v>
      </c>
      <c r="E1155" s="17" t="str">
        <f t="shared" si="378"/>
        <v/>
      </c>
      <c r="F1155" s="17" t="str">
        <f t="shared" si="379"/>
        <v/>
      </c>
      <c r="G1155" s="17" t="str">
        <f t="shared" si="380"/>
        <v/>
      </c>
      <c r="H1155" s="16">
        <v>865</v>
      </c>
      <c r="I1155" s="16" t="str">
        <f t="shared" si="381"/>
        <v/>
      </c>
      <c r="J1155" s="209" t="str">
        <f t="shared" si="382"/>
        <v/>
      </c>
      <c r="K1155" s="209" t="str">
        <f t="shared" si="383"/>
        <v/>
      </c>
      <c r="L1155" s="692"/>
      <c r="M1155" s="17" t="str">
        <f t="shared" si="384"/>
        <v/>
      </c>
    </row>
    <row r="1156" spans="1:13" x14ac:dyDescent="0.25">
      <c r="A1156" s="85" t="str">
        <f t="shared" si="374"/>
        <v/>
      </c>
      <c r="B1156" s="296" t="str">
        <f t="shared" si="375"/>
        <v/>
      </c>
      <c r="C1156" s="296" t="str">
        <f t="shared" si="376"/>
        <v/>
      </c>
      <c r="D1156" s="85">
        <f t="shared" si="377"/>
        <v>5</v>
      </c>
      <c r="E1156" s="17" t="str">
        <f t="shared" si="378"/>
        <v/>
      </c>
      <c r="F1156" s="17" t="str">
        <f t="shared" si="379"/>
        <v/>
      </c>
      <c r="G1156" s="17" t="str">
        <f t="shared" si="380"/>
        <v/>
      </c>
      <c r="H1156" s="16">
        <v>866</v>
      </c>
      <c r="I1156" s="16" t="str">
        <f t="shared" si="381"/>
        <v/>
      </c>
      <c r="J1156" s="209" t="str">
        <f t="shared" si="382"/>
        <v/>
      </c>
      <c r="K1156" s="209" t="str">
        <f t="shared" si="383"/>
        <v/>
      </c>
      <c r="L1156" s="692"/>
      <c r="M1156" s="17" t="str">
        <f t="shared" si="384"/>
        <v/>
      </c>
    </row>
    <row r="1157" spans="1:13" x14ac:dyDescent="0.25">
      <c r="A1157" s="85" t="str">
        <f t="shared" si="374"/>
        <v/>
      </c>
      <c r="B1157" s="296" t="str">
        <f t="shared" si="375"/>
        <v/>
      </c>
      <c r="C1157" s="296" t="str">
        <f t="shared" si="376"/>
        <v/>
      </c>
      <c r="D1157" s="85">
        <f t="shared" si="377"/>
        <v>5</v>
      </c>
      <c r="E1157" s="17" t="str">
        <f t="shared" si="378"/>
        <v/>
      </c>
      <c r="F1157" s="17" t="str">
        <f t="shared" si="379"/>
        <v/>
      </c>
      <c r="G1157" s="17" t="str">
        <f t="shared" si="380"/>
        <v/>
      </c>
      <c r="H1157" s="16">
        <v>867</v>
      </c>
      <c r="I1157" s="16" t="str">
        <f t="shared" si="381"/>
        <v/>
      </c>
      <c r="J1157" s="209" t="str">
        <f t="shared" si="382"/>
        <v/>
      </c>
      <c r="K1157" s="209" t="str">
        <f t="shared" si="383"/>
        <v/>
      </c>
      <c r="L1157" s="692"/>
      <c r="M1157" s="17" t="str">
        <f t="shared" si="384"/>
        <v/>
      </c>
    </row>
    <row r="1158" spans="1:13" x14ac:dyDescent="0.25">
      <c r="A1158" s="85" t="str">
        <f t="shared" si="374"/>
        <v/>
      </c>
      <c r="B1158" s="296" t="str">
        <f t="shared" si="375"/>
        <v/>
      </c>
      <c r="C1158" s="296" t="str">
        <f t="shared" si="376"/>
        <v/>
      </c>
      <c r="D1158" s="85">
        <f t="shared" si="377"/>
        <v>5</v>
      </c>
      <c r="E1158" s="17" t="str">
        <f t="shared" si="378"/>
        <v/>
      </c>
      <c r="F1158" s="17" t="str">
        <f t="shared" si="379"/>
        <v/>
      </c>
      <c r="G1158" s="17" t="str">
        <f t="shared" si="380"/>
        <v/>
      </c>
      <c r="H1158" s="16">
        <v>868</v>
      </c>
      <c r="I1158" s="16" t="str">
        <f t="shared" si="381"/>
        <v/>
      </c>
      <c r="J1158" s="209" t="str">
        <f t="shared" si="382"/>
        <v/>
      </c>
      <c r="K1158" s="209" t="str">
        <f t="shared" si="383"/>
        <v/>
      </c>
      <c r="L1158" s="692"/>
      <c r="M1158" s="17" t="str">
        <f t="shared" si="384"/>
        <v/>
      </c>
    </row>
    <row r="1159" spans="1:13" x14ac:dyDescent="0.25">
      <c r="A1159" s="85" t="str">
        <f t="shared" si="374"/>
        <v/>
      </c>
      <c r="B1159" s="296" t="str">
        <f t="shared" si="375"/>
        <v/>
      </c>
      <c r="C1159" s="296" t="str">
        <f t="shared" si="376"/>
        <v/>
      </c>
      <c r="D1159" s="85">
        <f t="shared" si="377"/>
        <v>5</v>
      </c>
      <c r="E1159" s="17" t="str">
        <f t="shared" si="378"/>
        <v/>
      </c>
      <c r="F1159" s="17" t="str">
        <f t="shared" si="379"/>
        <v/>
      </c>
      <c r="G1159" s="17" t="str">
        <f t="shared" si="380"/>
        <v/>
      </c>
      <c r="H1159" s="16">
        <v>869</v>
      </c>
      <c r="I1159" s="16" t="str">
        <f t="shared" si="381"/>
        <v/>
      </c>
      <c r="J1159" s="209" t="str">
        <f t="shared" si="382"/>
        <v/>
      </c>
      <c r="K1159" s="209" t="str">
        <f t="shared" si="383"/>
        <v/>
      </c>
      <c r="L1159" s="692"/>
      <c r="M1159" s="17" t="str">
        <f t="shared" si="384"/>
        <v/>
      </c>
    </row>
    <row r="1160" spans="1:13" x14ac:dyDescent="0.25">
      <c r="A1160" s="85" t="str">
        <f t="shared" si="374"/>
        <v/>
      </c>
      <c r="B1160" s="296" t="str">
        <f t="shared" si="375"/>
        <v/>
      </c>
      <c r="C1160" s="296" t="str">
        <f t="shared" si="376"/>
        <v/>
      </c>
      <c r="D1160" s="85">
        <f t="shared" si="377"/>
        <v>5</v>
      </c>
      <c r="E1160" s="17" t="str">
        <f t="shared" si="378"/>
        <v/>
      </c>
      <c r="F1160" s="17" t="str">
        <f t="shared" si="379"/>
        <v/>
      </c>
      <c r="G1160" s="17" t="str">
        <f t="shared" si="380"/>
        <v/>
      </c>
      <c r="H1160" s="16">
        <v>870</v>
      </c>
      <c r="I1160" s="16" t="str">
        <f t="shared" si="381"/>
        <v/>
      </c>
      <c r="J1160" s="209" t="str">
        <f t="shared" si="382"/>
        <v/>
      </c>
      <c r="K1160" s="209" t="str">
        <f t="shared" si="383"/>
        <v/>
      </c>
      <c r="L1160" s="692"/>
      <c r="M1160" s="17" t="str">
        <f t="shared" si="384"/>
        <v/>
      </c>
    </row>
    <row r="1161" spans="1:13" x14ac:dyDescent="0.25">
      <c r="A1161" s="85" t="str">
        <f t="shared" si="374"/>
        <v/>
      </c>
      <c r="B1161" s="296" t="str">
        <f t="shared" si="375"/>
        <v/>
      </c>
      <c r="C1161" s="296" t="str">
        <f t="shared" si="376"/>
        <v/>
      </c>
      <c r="D1161" s="85">
        <f t="shared" si="377"/>
        <v>5</v>
      </c>
      <c r="E1161" s="17" t="str">
        <f t="shared" si="378"/>
        <v/>
      </c>
      <c r="F1161" s="17" t="str">
        <f t="shared" si="379"/>
        <v/>
      </c>
      <c r="G1161" s="17" t="str">
        <f t="shared" si="380"/>
        <v/>
      </c>
      <c r="H1161" s="16">
        <v>871</v>
      </c>
      <c r="I1161" s="16" t="str">
        <f t="shared" si="381"/>
        <v/>
      </c>
      <c r="J1161" s="209" t="str">
        <f t="shared" si="382"/>
        <v/>
      </c>
      <c r="K1161" s="209" t="str">
        <f t="shared" si="383"/>
        <v/>
      </c>
      <c r="L1161" s="692"/>
      <c r="M1161" s="17" t="str">
        <f t="shared" si="384"/>
        <v/>
      </c>
    </row>
    <row r="1162" spans="1:13" x14ac:dyDescent="0.25">
      <c r="A1162" s="85" t="str">
        <f t="shared" si="374"/>
        <v/>
      </c>
      <c r="B1162" s="296" t="str">
        <f t="shared" si="375"/>
        <v/>
      </c>
      <c r="C1162" s="296" t="str">
        <f t="shared" si="376"/>
        <v/>
      </c>
      <c r="D1162" s="85">
        <f t="shared" si="377"/>
        <v>5</v>
      </c>
      <c r="E1162" s="17" t="str">
        <f t="shared" si="378"/>
        <v/>
      </c>
      <c r="F1162" s="17" t="str">
        <f t="shared" si="379"/>
        <v/>
      </c>
      <c r="G1162" s="17" t="str">
        <f t="shared" si="380"/>
        <v/>
      </c>
      <c r="H1162" s="16">
        <v>872</v>
      </c>
      <c r="I1162" s="16" t="str">
        <f t="shared" si="381"/>
        <v/>
      </c>
      <c r="J1162" s="209" t="str">
        <f t="shared" si="382"/>
        <v/>
      </c>
      <c r="K1162" s="209" t="str">
        <f t="shared" si="383"/>
        <v/>
      </c>
      <c r="L1162" s="692"/>
      <c r="M1162" s="17" t="str">
        <f t="shared" si="384"/>
        <v/>
      </c>
    </row>
    <row r="1163" spans="1:13" x14ac:dyDescent="0.25">
      <c r="A1163" s="85" t="str">
        <f t="shared" si="374"/>
        <v/>
      </c>
      <c r="B1163" s="296" t="str">
        <f t="shared" si="375"/>
        <v/>
      </c>
      <c r="C1163" s="296" t="str">
        <f t="shared" si="376"/>
        <v/>
      </c>
      <c r="D1163" s="85">
        <f t="shared" si="377"/>
        <v>5</v>
      </c>
      <c r="E1163" s="17" t="str">
        <f t="shared" si="378"/>
        <v/>
      </c>
      <c r="F1163" s="17" t="str">
        <f t="shared" si="379"/>
        <v/>
      </c>
      <c r="G1163" s="17" t="str">
        <f t="shared" si="380"/>
        <v/>
      </c>
      <c r="H1163" s="16">
        <v>873</v>
      </c>
      <c r="I1163" s="16" t="str">
        <f t="shared" si="381"/>
        <v/>
      </c>
      <c r="J1163" s="209" t="str">
        <f t="shared" si="382"/>
        <v/>
      </c>
      <c r="K1163" s="209" t="str">
        <f t="shared" si="383"/>
        <v/>
      </c>
      <c r="L1163" s="692"/>
      <c r="M1163" s="17" t="str">
        <f t="shared" si="384"/>
        <v/>
      </c>
    </row>
    <row r="1164" spans="1:13" x14ac:dyDescent="0.25">
      <c r="A1164" s="85" t="str">
        <f t="shared" si="374"/>
        <v/>
      </c>
      <c r="B1164" s="296" t="str">
        <f t="shared" si="375"/>
        <v/>
      </c>
      <c r="C1164" s="296" t="str">
        <f t="shared" si="376"/>
        <v/>
      </c>
      <c r="D1164" s="85">
        <f t="shared" si="377"/>
        <v>5</v>
      </c>
      <c r="E1164" s="17" t="str">
        <f t="shared" si="378"/>
        <v/>
      </c>
      <c r="F1164" s="17" t="str">
        <f t="shared" si="379"/>
        <v/>
      </c>
      <c r="G1164" s="17" t="str">
        <f t="shared" si="380"/>
        <v/>
      </c>
      <c r="H1164" s="16">
        <v>874</v>
      </c>
      <c r="I1164" s="16" t="str">
        <f t="shared" si="381"/>
        <v/>
      </c>
      <c r="J1164" s="209" t="str">
        <f t="shared" si="382"/>
        <v/>
      </c>
      <c r="K1164" s="209" t="str">
        <f t="shared" si="383"/>
        <v/>
      </c>
      <c r="L1164" s="692"/>
      <c r="M1164" s="17" t="str">
        <f t="shared" si="384"/>
        <v/>
      </c>
    </row>
    <row r="1165" spans="1:13" x14ac:dyDescent="0.25">
      <c r="A1165" s="85" t="str">
        <f t="shared" si="374"/>
        <v/>
      </c>
      <c r="B1165" s="296" t="str">
        <f t="shared" si="375"/>
        <v/>
      </c>
      <c r="C1165" s="296" t="str">
        <f t="shared" si="376"/>
        <v/>
      </c>
      <c r="D1165" s="85">
        <f t="shared" si="377"/>
        <v>5</v>
      </c>
      <c r="E1165" s="17" t="str">
        <f t="shared" si="378"/>
        <v/>
      </c>
      <c r="F1165" s="17" t="str">
        <f t="shared" si="379"/>
        <v/>
      </c>
      <c r="G1165" s="17" t="str">
        <f t="shared" si="380"/>
        <v/>
      </c>
      <c r="H1165" s="16">
        <v>875</v>
      </c>
      <c r="I1165" s="16" t="str">
        <f t="shared" si="381"/>
        <v/>
      </c>
      <c r="J1165" s="209" t="str">
        <f t="shared" si="382"/>
        <v/>
      </c>
      <c r="K1165" s="209" t="str">
        <f t="shared" si="383"/>
        <v/>
      </c>
      <c r="L1165" s="692"/>
      <c r="M1165" s="17" t="str">
        <f t="shared" si="384"/>
        <v/>
      </c>
    </row>
    <row r="1166" spans="1:13" x14ac:dyDescent="0.25">
      <c r="A1166" s="85" t="str">
        <f t="shared" si="374"/>
        <v/>
      </c>
      <c r="B1166" s="296" t="str">
        <f t="shared" si="375"/>
        <v/>
      </c>
      <c r="C1166" s="296" t="str">
        <f t="shared" si="376"/>
        <v/>
      </c>
      <c r="D1166" s="85">
        <f t="shared" si="377"/>
        <v>5</v>
      </c>
      <c r="E1166" s="17" t="str">
        <f t="shared" si="378"/>
        <v/>
      </c>
      <c r="F1166" s="17" t="str">
        <f t="shared" si="379"/>
        <v/>
      </c>
      <c r="G1166" s="17" t="str">
        <f t="shared" si="380"/>
        <v/>
      </c>
      <c r="H1166" s="16">
        <v>876</v>
      </c>
      <c r="I1166" s="16" t="str">
        <f t="shared" si="381"/>
        <v/>
      </c>
      <c r="J1166" s="209" t="str">
        <f t="shared" si="382"/>
        <v/>
      </c>
      <c r="K1166" s="209" t="str">
        <f t="shared" si="383"/>
        <v/>
      </c>
      <c r="L1166" s="692"/>
      <c r="M1166" s="17" t="str">
        <f t="shared" si="384"/>
        <v/>
      </c>
    </row>
    <row r="1167" spans="1:13" x14ac:dyDescent="0.25">
      <c r="A1167" s="85" t="str">
        <f t="shared" si="374"/>
        <v/>
      </c>
      <c r="B1167" s="296" t="str">
        <f t="shared" si="375"/>
        <v/>
      </c>
      <c r="C1167" s="296" t="str">
        <f t="shared" si="376"/>
        <v/>
      </c>
      <c r="D1167" s="85">
        <f t="shared" si="377"/>
        <v>5</v>
      </c>
      <c r="E1167" s="17" t="str">
        <f t="shared" si="378"/>
        <v/>
      </c>
      <c r="F1167" s="17" t="str">
        <f t="shared" si="379"/>
        <v/>
      </c>
      <c r="G1167" s="17" t="str">
        <f t="shared" si="380"/>
        <v/>
      </c>
      <c r="H1167" s="16">
        <v>877</v>
      </c>
      <c r="I1167" s="16" t="str">
        <f t="shared" si="381"/>
        <v/>
      </c>
      <c r="J1167" s="209" t="str">
        <f t="shared" si="382"/>
        <v/>
      </c>
      <c r="K1167" s="209" t="str">
        <f t="shared" si="383"/>
        <v/>
      </c>
      <c r="L1167" s="692"/>
      <c r="M1167" s="17" t="str">
        <f t="shared" si="384"/>
        <v/>
      </c>
    </row>
    <row r="1168" spans="1:13" x14ac:dyDescent="0.25">
      <c r="A1168" s="85" t="str">
        <f t="shared" si="374"/>
        <v/>
      </c>
      <c r="B1168" s="296" t="str">
        <f t="shared" si="375"/>
        <v/>
      </c>
      <c r="C1168" s="296" t="str">
        <f t="shared" si="376"/>
        <v/>
      </c>
      <c r="D1168" s="85">
        <f t="shared" si="377"/>
        <v>5</v>
      </c>
      <c r="E1168" s="17" t="str">
        <f t="shared" si="378"/>
        <v/>
      </c>
      <c r="F1168" s="17" t="str">
        <f t="shared" si="379"/>
        <v/>
      </c>
      <c r="G1168" s="17" t="str">
        <f t="shared" si="380"/>
        <v/>
      </c>
      <c r="H1168" s="16">
        <v>878</v>
      </c>
      <c r="I1168" s="16" t="str">
        <f t="shared" si="381"/>
        <v/>
      </c>
      <c r="J1168" s="209" t="str">
        <f t="shared" si="382"/>
        <v/>
      </c>
      <c r="K1168" s="209" t="str">
        <f t="shared" si="383"/>
        <v/>
      </c>
      <c r="L1168" s="692"/>
      <c r="M1168" s="17" t="str">
        <f t="shared" si="384"/>
        <v/>
      </c>
    </row>
    <row r="1169" spans="1:13" x14ac:dyDescent="0.25">
      <c r="A1169" s="85" t="str">
        <f t="shared" si="374"/>
        <v/>
      </c>
      <c r="B1169" s="296" t="str">
        <f t="shared" si="375"/>
        <v/>
      </c>
      <c r="C1169" s="296" t="str">
        <f t="shared" si="376"/>
        <v/>
      </c>
      <c r="D1169" s="85">
        <f t="shared" si="377"/>
        <v>5</v>
      </c>
      <c r="E1169" s="17" t="str">
        <f t="shared" si="378"/>
        <v/>
      </c>
      <c r="F1169" s="17" t="str">
        <f t="shared" si="379"/>
        <v/>
      </c>
      <c r="G1169" s="17" t="str">
        <f t="shared" si="380"/>
        <v/>
      </c>
      <c r="H1169" s="16">
        <v>879</v>
      </c>
      <c r="I1169" s="16" t="str">
        <f t="shared" si="381"/>
        <v/>
      </c>
      <c r="J1169" s="209" t="str">
        <f t="shared" si="382"/>
        <v/>
      </c>
      <c r="K1169" s="209" t="str">
        <f t="shared" si="383"/>
        <v/>
      </c>
      <c r="L1169" s="692"/>
      <c r="M1169" s="17" t="str">
        <f t="shared" si="384"/>
        <v/>
      </c>
    </row>
    <row r="1170" spans="1:13" x14ac:dyDescent="0.25">
      <c r="A1170" s="85" t="str">
        <f t="shared" si="374"/>
        <v/>
      </c>
      <c r="B1170" s="296" t="str">
        <f t="shared" si="375"/>
        <v/>
      </c>
      <c r="C1170" s="296" t="str">
        <f t="shared" si="376"/>
        <v/>
      </c>
      <c r="D1170" s="85">
        <f t="shared" si="377"/>
        <v>5</v>
      </c>
      <c r="E1170" s="17" t="str">
        <f t="shared" si="378"/>
        <v/>
      </c>
      <c r="F1170" s="17" t="str">
        <f t="shared" si="379"/>
        <v/>
      </c>
      <c r="G1170" s="17" t="str">
        <f t="shared" si="380"/>
        <v/>
      </c>
      <c r="H1170" s="16">
        <v>880</v>
      </c>
      <c r="I1170" s="16" t="str">
        <f t="shared" si="381"/>
        <v/>
      </c>
      <c r="J1170" s="209" t="str">
        <f t="shared" si="382"/>
        <v/>
      </c>
      <c r="K1170" s="209" t="str">
        <f t="shared" si="383"/>
        <v/>
      </c>
      <c r="L1170" s="692"/>
      <c r="M1170" s="17" t="str">
        <f t="shared" si="384"/>
        <v/>
      </c>
    </row>
    <row r="1171" spans="1:13" x14ac:dyDescent="0.25">
      <c r="A1171" s="85" t="str">
        <f t="shared" si="374"/>
        <v/>
      </c>
      <c r="B1171" s="296" t="str">
        <f t="shared" si="375"/>
        <v/>
      </c>
      <c r="C1171" s="296" t="str">
        <f t="shared" si="376"/>
        <v/>
      </c>
      <c r="D1171" s="85">
        <f t="shared" si="377"/>
        <v>5</v>
      </c>
      <c r="E1171" s="17" t="str">
        <f t="shared" si="378"/>
        <v/>
      </c>
      <c r="F1171" s="17" t="str">
        <f t="shared" si="379"/>
        <v/>
      </c>
      <c r="G1171" s="17" t="str">
        <f t="shared" si="380"/>
        <v/>
      </c>
      <c r="H1171" s="16">
        <v>881</v>
      </c>
      <c r="I1171" s="16" t="str">
        <f t="shared" si="381"/>
        <v/>
      </c>
      <c r="J1171" s="209" t="str">
        <f t="shared" si="382"/>
        <v/>
      </c>
      <c r="K1171" s="209" t="str">
        <f t="shared" si="383"/>
        <v/>
      </c>
      <c r="L1171" s="692"/>
      <c r="M1171" s="17" t="str">
        <f t="shared" si="384"/>
        <v/>
      </c>
    </row>
    <row r="1172" spans="1:13" x14ac:dyDescent="0.25">
      <c r="A1172" s="85" t="str">
        <f t="shared" si="374"/>
        <v/>
      </c>
      <c r="B1172" s="296" t="str">
        <f t="shared" si="375"/>
        <v/>
      </c>
      <c r="C1172" s="296" t="str">
        <f t="shared" si="376"/>
        <v/>
      </c>
      <c r="D1172" s="85">
        <f t="shared" si="377"/>
        <v>5</v>
      </c>
      <c r="E1172" s="17" t="str">
        <f t="shared" si="378"/>
        <v/>
      </c>
      <c r="F1172" s="17" t="str">
        <f t="shared" si="379"/>
        <v/>
      </c>
      <c r="G1172" s="17" t="str">
        <f t="shared" si="380"/>
        <v/>
      </c>
      <c r="H1172" s="16">
        <v>882</v>
      </c>
      <c r="I1172" s="16" t="str">
        <f t="shared" si="381"/>
        <v/>
      </c>
      <c r="J1172" s="209" t="str">
        <f t="shared" si="382"/>
        <v/>
      </c>
      <c r="K1172" s="209" t="str">
        <f t="shared" si="383"/>
        <v/>
      </c>
      <c r="L1172" s="692"/>
      <c r="M1172" s="17" t="str">
        <f t="shared" si="384"/>
        <v/>
      </c>
    </row>
    <row r="1173" spans="1:13" x14ac:dyDescent="0.25">
      <c r="A1173" s="85" t="str">
        <f t="shared" si="374"/>
        <v/>
      </c>
      <c r="B1173" s="296" t="str">
        <f t="shared" si="375"/>
        <v/>
      </c>
      <c r="C1173" s="296" t="str">
        <f t="shared" si="376"/>
        <v/>
      </c>
      <c r="D1173" s="85">
        <f t="shared" si="377"/>
        <v>5</v>
      </c>
      <c r="E1173" s="17" t="str">
        <f t="shared" si="378"/>
        <v/>
      </c>
      <c r="F1173" s="17" t="str">
        <f t="shared" si="379"/>
        <v/>
      </c>
      <c r="G1173" s="17" t="str">
        <f t="shared" si="380"/>
        <v/>
      </c>
      <c r="H1173" s="16">
        <v>883</v>
      </c>
      <c r="I1173" s="16" t="str">
        <f t="shared" si="381"/>
        <v/>
      </c>
      <c r="J1173" s="209" t="str">
        <f t="shared" si="382"/>
        <v/>
      </c>
      <c r="K1173" s="209" t="str">
        <f t="shared" si="383"/>
        <v/>
      </c>
      <c r="L1173" s="692"/>
      <c r="M1173" s="17" t="str">
        <f t="shared" si="384"/>
        <v/>
      </c>
    </row>
    <row r="1174" spans="1:13" x14ac:dyDescent="0.25">
      <c r="A1174" s="85" t="str">
        <f t="shared" si="374"/>
        <v/>
      </c>
      <c r="B1174" s="296" t="str">
        <f t="shared" si="375"/>
        <v/>
      </c>
      <c r="C1174" s="296" t="str">
        <f t="shared" si="376"/>
        <v/>
      </c>
      <c r="D1174" s="85">
        <f t="shared" si="377"/>
        <v>5</v>
      </c>
      <c r="E1174" s="17" t="str">
        <f t="shared" si="378"/>
        <v/>
      </c>
      <c r="F1174" s="17" t="str">
        <f t="shared" si="379"/>
        <v/>
      </c>
      <c r="G1174" s="17" t="str">
        <f t="shared" si="380"/>
        <v/>
      </c>
      <c r="H1174" s="16">
        <v>884</v>
      </c>
      <c r="I1174" s="16" t="str">
        <f t="shared" si="381"/>
        <v/>
      </c>
      <c r="J1174" s="209" t="str">
        <f t="shared" si="382"/>
        <v/>
      </c>
      <c r="K1174" s="209" t="str">
        <f t="shared" si="383"/>
        <v/>
      </c>
      <c r="L1174" s="692"/>
      <c r="M1174" s="17" t="str">
        <f t="shared" si="384"/>
        <v/>
      </c>
    </row>
    <row r="1175" spans="1:13" x14ac:dyDescent="0.25">
      <c r="A1175" s="85" t="str">
        <f t="shared" si="374"/>
        <v/>
      </c>
      <c r="B1175" s="296" t="str">
        <f t="shared" si="375"/>
        <v/>
      </c>
      <c r="C1175" s="296" t="str">
        <f t="shared" si="376"/>
        <v/>
      </c>
      <c r="D1175" s="85">
        <f t="shared" si="377"/>
        <v>5</v>
      </c>
      <c r="E1175" s="17" t="str">
        <f t="shared" si="378"/>
        <v/>
      </c>
      <c r="F1175" s="17" t="str">
        <f t="shared" si="379"/>
        <v/>
      </c>
      <c r="G1175" s="17" t="str">
        <f t="shared" si="380"/>
        <v/>
      </c>
      <c r="H1175" s="16">
        <v>885</v>
      </c>
      <c r="I1175" s="16" t="str">
        <f t="shared" si="381"/>
        <v/>
      </c>
      <c r="J1175" s="209" t="str">
        <f t="shared" si="382"/>
        <v/>
      </c>
      <c r="K1175" s="209" t="str">
        <f t="shared" si="383"/>
        <v/>
      </c>
      <c r="L1175" s="692"/>
      <c r="M1175" s="17" t="str">
        <f t="shared" si="384"/>
        <v/>
      </c>
    </row>
    <row r="1176" spans="1:13" x14ac:dyDescent="0.25">
      <c r="A1176" s="85" t="str">
        <f t="shared" si="374"/>
        <v/>
      </c>
      <c r="B1176" s="296" t="str">
        <f t="shared" si="375"/>
        <v/>
      </c>
      <c r="C1176" s="296" t="str">
        <f t="shared" si="376"/>
        <v/>
      </c>
      <c r="D1176" s="85">
        <f t="shared" si="377"/>
        <v>5</v>
      </c>
      <c r="E1176" s="17" t="str">
        <f t="shared" si="378"/>
        <v/>
      </c>
      <c r="F1176" s="17" t="str">
        <f t="shared" si="379"/>
        <v/>
      </c>
      <c r="G1176" s="17" t="str">
        <f t="shared" si="380"/>
        <v/>
      </c>
      <c r="H1176" s="16">
        <v>886</v>
      </c>
      <c r="I1176" s="16" t="str">
        <f t="shared" si="381"/>
        <v/>
      </c>
      <c r="J1176" s="209" t="str">
        <f t="shared" si="382"/>
        <v/>
      </c>
      <c r="K1176" s="209" t="str">
        <f t="shared" si="383"/>
        <v/>
      </c>
      <c r="L1176" s="692"/>
      <c r="M1176" s="17" t="str">
        <f t="shared" si="384"/>
        <v/>
      </c>
    </row>
    <row r="1177" spans="1:13" x14ac:dyDescent="0.25">
      <c r="A1177" s="85" t="str">
        <f t="shared" si="374"/>
        <v/>
      </c>
      <c r="B1177" s="296" t="str">
        <f t="shared" si="375"/>
        <v/>
      </c>
      <c r="C1177" s="296" t="str">
        <f t="shared" si="376"/>
        <v/>
      </c>
      <c r="D1177" s="85">
        <f t="shared" si="377"/>
        <v>5</v>
      </c>
      <c r="E1177" s="17" t="str">
        <f t="shared" si="378"/>
        <v/>
      </c>
      <c r="F1177" s="17" t="str">
        <f t="shared" si="379"/>
        <v/>
      </c>
      <c r="G1177" s="17" t="str">
        <f t="shared" si="380"/>
        <v/>
      </c>
      <c r="H1177" s="16">
        <v>887</v>
      </c>
      <c r="I1177" s="16" t="str">
        <f t="shared" si="381"/>
        <v/>
      </c>
      <c r="J1177" s="209" t="str">
        <f t="shared" si="382"/>
        <v/>
      </c>
      <c r="K1177" s="209" t="str">
        <f t="shared" si="383"/>
        <v/>
      </c>
      <c r="L1177" s="692"/>
      <c r="M1177" s="17" t="str">
        <f t="shared" si="384"/>
        <v/>
      </c>
    </row>
    <row r="1178" spans="1:13" x14ac:dyDescent="0.25">
      <c r="A1178" s="85" t="str">
        <f t="shared" si="374"/>
        <v/>
      </c>
      <c r="B1178" s="296" t="str">
        <f t="shared" si="375"/>
        <v/>
      </c>
      <c r="C1178" s="296" t="str">
        <f t="shared" si="376"/>
        <v/>
      </c>
      <c r="D1178" s="85">
        <f t="shared" si="377"/>
        <v>5</v>
      </c>
      <c r="E1178" s="17" t="str">
        <f t="shared" si="378"/>
        <v/>
      </c>
      <c r="F1178" s="17" t="str">
        <f t="shared" si="379"/>
        <v/>
      </c>
      <c r="G1178" s="17" t="str">
        <f t="shared" si="380"/>
        <v/>
      </c>
      <c r="H1178" s="16">
        <v>888</v>
      </c>
      <c r="I1178" s="16" t="str">
        <f t="shared" si="381"/>
        <v/>
      </c>
      <c r="J1178" s="209" t="str">
        <f t="shared" si="382"/>
        <v/>
      </c>
      <c r="K1178" s="209" t="str">
        <f t="shared" si="383"/>
        <v/>
      </c>
      <c r="L1178" s="692"/>
      <c r="M1178" s="17" t="str">
        <f t="shared" si="384"/>
        <v/>
      </c>
    </row>
    <row r="1179" spans="1:13" x14ac:dyDescent="0.25">
      <c r="A1179" s="85" t="str">
        <f t="shared" si="374"/>
        <v/>
      </c>
      <c r="B1179" s="296" t="str">
        <f t="shared" si="375"/>
        <v/>
      </c>
      <c r="C1179" s="296" t="str">
        <f t="shared" si="376"/>
        <v/>
      </c>
      <c r="D1179" s="85">
        <f t="shared" si="377"/>
        <v>5</v>
      </c>
      <c r="E1179" s="17" t="str">
        <f t="shared" si="378"/>
        <v/>
      </c>
      <c r="F1179" s="17" t="str">
        <f t="shared" si="379"/>
        <v/>
      </c>
      <c r="G1179" s="17" t="str">
        <f t="shared" si="380"/>
        <v/>
      </c>
      <c r="H1179" s="16">
        <v>889</v>
      </c>
      <c r="I1179" s="16" t="str">
        <f t="shared" si="381"/>
        <v/>
      </c>
      <c r="J1179" s="209" t="str">
        <f t="shared" si="382"/>
        <v/>
      </c>
      <c r="K1179" s="209" t="str">
        <f t="shared" si="383"/>
        <v/>
      </c>
      <c r="L1179" s="692"/>
      <c r="M1179" s="17" t="str">
        <f t="shared" si="384"/>
        <v/>
      </c>
    </row>
    <row r="1180" spans="1:13" x14ac:dyDescent="0.25">
      <c r="A1180" s="85" t="str">
        <f t="shared" si="374"/>
        <v/>
      </c>
      <c r="B1180" s="296" t="str">
        <f t="shared" si="375"/>
        <v/>
      </c>
      <c r="C1180" s="296" t="str">
        <f t="shared" si="376"/>
        <v/>
      </c>
      <c r="D1180" s="85">
        <f t="shared" si="377"/>
        <v>5</v>
      </c>
      <c r="E1180" s="17" t="str">
        <f t="shared" si="378"/>
        <v/>
      </c>
      <c r="F1180" s="17" t="str">
        <f t="shared" si="379"/>
        <v/>
      </c>
      <c r="G1180" s="17" t="str">
        <f t="shared" si="380"/>
        <v/>
      </c>
      <c r="H1180" s="16">
        <v>890</v>
      </c>
      <c r="I1180" s="16" t="str">
        <f t="shared" si="381"/>
        <v/>
      </c>
      <c r="J1180" s="209" t="str">
        <f t="shared" si="382"/>
        <v/>
      </c>
      <c r="K1180" s="209" t="str">
        <f t="shared" si="383"/>
        <v/>
      </c>
      <c r="L1180" s="692"/>
      <c r="M1180" s="17" t="str">
        <f t="shared" si="384"/>
        <v/>
      </c>
    </row>
    <row r="1181" spans="1:13" x14ac:dyDescent="0.25">
      <c r="A1181" s="85" t="str">
        <f t="shared" si="374"/>
        <v/>
      </c>
      <c r="B1181" s="296" t="str">
        <f t="shared" si="375"/>
        <v/>
      </c>
      <c r="C1181" s="296" t="str">
        <f t="shared" si="376"/>
        <v/>
      </c>
      <c r="D1181" s="85">
        <f t="shared" si="377"/>
        <v>5</v>
      </c>
      <c r="E1181" s="17" t="str">
        <f t="shared" si="378"/>
        <v/>
      </c>
      <c r="F1181" s="17" t="str">
        <f t="shared" si="379"/>
        <v/>
      </c>
      <c r="G1181" s="17" t="str">
        <f t="shared" si="380"/>
        <v/>
      </c>
      <c r="H1181" s="16">
        <v>891</v>
      </c>
      <c r="I1181" s="16" t="str">
        <f t="shared" si="381"/>
        <v/>
      </c>
      <c r="J1181" s="209" t="str">
        <f t="shared" si="382"/>
        <v/>
      </c>
      <c r="K1181" s="209" t="str">
        <f t="shared" si="383"/>
        <v/>
      </c>
      <c r="L1181" s="692"/>
      <c r="M1181" s="17" t="str">
        <f t="shared" si="384"/>
        <v/>
      </c>
    </row>
    <row r="1182" spans="1:13" x14ac:dyDescent="0.25">
      <c r="A1182" s="85" t="str">
        <f t="shared" si="374"/>
        <v/>
      </c>
      <c r="B1182" s="296" t="str">
        <f t="shared" si="375"/>
        <v/>
      </c>
      <c r="C1182" s="296" t="str">
        <f t="shared" si="376"/>
        <v/>
      </c>
      <c r="D1182" s="85">
        <f t="shared" si="377"/>
        <v>5</v>
      </c>
      <c r="E1182" s="17" t="str">
        <f t="shared" si="378"/>
        <v/>
      </c>
      <c r="F1182" s="17" t="str">
        <f t="shared" si="379"/>
        <v/>
      </c>
      <c r="G1182" s="17" t="str">
        <f t="shared" si="380"/>
        <v/>
      </c>
      <c r="H1182" s="16">
        <v>892</v>
      </c>
      <c r="I1182" s="16" t="str">
        <f t="shared" si="381"/>
        <v/>
      </c>
      <c r="J1182" s="209" t="str">
        <f t="shared" si="382"/>
        <v/>
      </c>
      <c r="K1182" s="209" t="str">
        <f t="shared" si="383"/>
        <v/>
      </c>
      <c r="L1182" s="692"/>
      <c r="M1182" s="17" t="str">
        <f t="shared" si="384"/>
        <v/>
      </c>
    </row>
    <row r="1183" spans="1:13" x14ac:dyDescent="0.25">
      <c r="A1183" s="85" t="str">
        <f t="shared" si="374"/>
        <v/>
      </c>
      <c r="B1183" s="296" t="str">
        <f t="shared" si="375"/>
        <v/>
      </c>
      <c r="C1183" s="296" t="str">
        <f t="shared" si="376"/>
        <v/>
      </c>
      <c r="D1183" s="85">
        <f t="shared" si="377"/>
        <v>5</v>
      </c>
      <c r="E1183" s="17" t="str">
        <f t="shared" si="378"/>
        <v/>
      </c>
      <c r="F1183" s="17" t="str">
        <f t="shared" si="379"/>
        <v/>
      </c>
      <c r="G1183" s="17" t="str">
        <f t="shared" si="380"/>
        <v/>
      </c>
      <c r="H1183" s="16">
        <v>893</v>
      </c>
      <c r="I1183" s="16" t="str">
        <f t="shared" si="381"/>
        <v/>
      </c>
      <c r="J1183" s="209" t="str">
        <f t="shared" si="382"/>
        <v/>
      </c>
      <c r="K1183" s="209" t="str">
        <f t="shared" si="383"/>
        <v/>
      </c>
      <c r="L1183" s="692"/>
      <c r="M1183" s="17" t="str">
        <f t="shared" si="384"/>
        <v/>
      </c>
    </row>
    <row r="1184" spans="1:13" x14ac:dyDescent="0.25">
      <c r="A1184" s="85" t="str">
        <f t="shared" si="374"/>
        <v/>
      </c>
      <c r="B1184" s="296" t="str">
        <f t="shared" si="375"/>
        <v/>
      </c>
      <c r="C1184" s="296" t="str">
        <f t="shared" si="376"/>
        <v/>
      </c>
      <c r="D1184" s="85">
        <f t="shared" si="377"/>
        <v>5</v>
      </c>
      <c r="E1184" s="17" t="str">
        <f t="shared" si="378"/>
        <v/>
      </c>
      <c r="F1184" s="17" t="str">
        <f t="shared" si="379"/>
        <v/>
      </c>
      <c r="G1184" s="17" t="str">
        <f t="shared" si="380"/>
        <v/>
      </c>
      <c r="H1184" s="16">
        <v>894</v>
      </c>
      <c r="I1184" s="16" t="str">
        <f t="shared" si="381"/>
        <v/>
      </c>
      <c r="J1184" s="209" t="str">
        <f t="shared" si="382"/>
        <v/>
      </c>
      <c r="K1184" s="209" t="str">
        <f t="shared" si="383"/>
        <v/>
      </c>
      <c r="L1184" s="692"/>
      <c r="M1184" s="17" t="str">
        <f t="shared" si="384"/>
        <v/>
      </c>
    </row>
    <row r="1185" spans="1:13" x14ac:dyDescent="0.25">
      <c r="A1185" s="85" t="str">
        <f t="shared" si="374"/>
        <v/>
      </c>
      <c r="B1185" s="296" t="str">
        <f t="shared" si="375"/>
        <v/>
      </c>
      <c r="C1185" s="296" t="str">
        <f t="shared" si="376"/>
        <v/>
      </c>
      <c r="D1185" s="85">
        <f t="shared" si="377"/>
        <v>5</v>
      </c>
      <c r="E1185" s="17" t="str">
        <f t="shared" si="378"/>
        <v/>
      </c>
      <c r="F1185" s="17" t="str">
        <f t="shared" si="379"/>
        <v/>
      </c>
      <c r="G1185" s="17" t="str">
        <f t="shared" si="380"/>
        <v/>
      </c>
      <c r="H1185" s="16">
        <v>895</v>
      </c>
      <c r="I1185" s="16" t="str">
        <f t="shared" si="381"/>
        <v/>
      </c>
      <c r="J1185" s="209" t="str">
        <f t="shared" si="382"/>
        <v/>
      </c>
      <c r="K1185" s="209" t="str">
        <f t="shared" si="383"/>
        <v/>
      </c>
      <c r="L1185" s="692"/>
      <c r="M1185" s="17" t="str">
        <f t="shared" si="384"/>
        <v/>
      </c>
    </row>
    <row r="1186" spans="1:13" x14ac:dyDescent="0.25">
      <c r="A1186" s="85" t="str">
        <f t="shared" si="374"/>
        <v/>
      </c>
      <c r="B1186" s="296" t="str">
        <f t="shared" si="375"/>
        <v/>
      </c>
      <c r="C1186" s="296" t="str">
        <f t="shared" si="376"/>
        <v/>
      </c>
      <c r="D1186" s="85">
        <f t="shared" si="377"/>
        <v>5</v>
      </c>
      <c r="E1186" s="17" t="str">
        <f t="shared" si="378"/>
        <v/>
      </c>
      <c r="F1186" s="17" t="str">
        <f t="shared" si="379"/>
        <v/>
      </c>
      <c r="G1186" s="17" t="str">
        <f t="shared" si="380"/>
        <v/>
      </c>
      <c r="H1186" s="16">
        <v>896</v>
      </c>
      <c r="I1186" s="16" t="str">
        <f t="shared" si="381"/>
        <v/>
      </c>
      <c r="J1186" s="209" t="str">
        <f t="shared" si="382"/>
        <v/>
      </c>
      <c r="K1186" s="209" t="str">
        <f t="shared" si="383"/>
        <v/>
      </c>
      <c r="L1186" s="692"/>
      <c r="M1186" s="17" t="str">
        <f t="shared" si="384"/>
        <v/>
      </c>
    </row>
    <row r="1187" spans="1:13" x14ac:dyDescent="0.25">
      <c r="A1187" s="85" t="str">
        <f t="shared" si="374"/>
        <v/>
      </c>
      <c r="B1187" s="296" t="str">
        <f t="shared" si="375"/>
        <v/>
      </c>
      <c r="C1187" s="296" t="str">
        <f t="shared" si="376"/>
        <v/>
      </c>
      <c r="D1187" s="85">
        <f t="shared" si="377"/>
        <v>5</v>
      </c>
      <c r="E1187" s="17" t="str">
        <f t="shared" si="378"/>
        <v/>
      </c>
      <c r="F1187" s="17" t="str">
        <f t="shared" si="379"/>
        <v/>
      </c>
      <c r="G1187" s="17" t="str">
        <f t="shared" si="380"/>
        <v/>
      </c>
      <c r="H1187" s="16">
        <v>897</v>
      </c>
      <c r="I1187" s="16" t="str">
        <f t="shared" si="381"/>
        <v/>
      </c>
      <c r="J1187" s="209" t="str">
        <f t="shared" si="382"/>
        <v/>
      </c>
      <c r="K1187" s="209" t="str">
        <f t="shared" si="383"/>
        <v/>
      </c>
      <c r="L1187" s="692"/>
      <c r="M1187" s="17" t="str">
        <f t="shared" si="384"/>
        <v/>
      </c>
    </row>
    <row r="1188" spans="1:13" x14ac:dyDescent="0.25">
      <c r="A1188" s="85" t="str">
        <f t="shared" si="374"/>
        <v/>
      </c>
      <c r="B1188" s="296" t="str">
        <f t="shared" si="375"/>
        <v/>
      </c>
      <c r="C1188" s="296" t="str">
        <f t="shared" si="376"/>
        <v/>
      </c>
      <c r="D1188" s="85">
        <f t="shared" si="377"/>
        <v>5</v>
      </c>
      <c r="E1188" s="17" t="str">
        <f t="shared" si="378"/>
        <v/>
      </c>
      <c r="F1188" s="17" t="str">
        <f t="shared" si="379"/>
        <v/>
      </c>
      <c r="G1188" s="17" t="str">
        <f t="shared" si="380"/>
        <v/>
      </c>
      <c r="H1188" s="16">
        <v>898</v>
      </c>
      <c r="I1188" s="16" t="str">
        <f t="shared" si="381"/>
        <v/>
      </c>
      <c r="J1188" s="209" t="str">
        <f t="shared" si="382"/>
        <v/>
      </c>
      <c r="K1188" s="209" t="str">
        <f t="shared" si="383"/>
        <v/>
      </c>
      <c r="L1188" s="692"/>
      <c r="M1188" s="17" t="str">
        <f t="shared" si="384"/>
        <v/>
      </c>
    </row>
    <row r="1189" spans="1:13" x14ac:dyDescent="0.25">
      <c r="A1189" s="85" t="str">
        <f t="shared" si="374"/>
        <v/>
      </c>
      <c r="B1189" s="296" t="str">
        <f t="shared" si="375"/>
        <v/>
      </c>
      <c r="C1189" s="296" t="str">
        <f t="shared" si="376"/>
        <v/>
      </c>
      <c r="D1189" s="85">
        <f t="shared" si="377"/>
        <v>5</v>
      </c>
      <c r="E1189" s="17" t="str">
        <f t="shared" si="378"/>
        <v/>
      </c>
      <c r="F1189" s="17" t="str">
        <f t="shared" si="379"/>
        <v/>
      </c>
      <c r="G1189" s="17" t="str">
        <f t="shared" si="380"/>
        <v/>
      </c>
      <c r="H1189" s="16">
        <v>899</v>
      </c>
      <c r="I1189" s="16" t="str">
        <f t="shared" si="381"/>
        <v/>
      </c>
      <c r="J1189" s="209" t="str">
        <f t="shared" si="382"/>
        <v/>
      </c>
      <c r="K1189" s="209" t="str">
        <f t="shared" si="383"/>
        <v/>
      </c>
      <c r="L1189" s="692"/>
      <c r="M1189" s="17" t="str">
        <f t="shared" si="384"/>
        <v/>
      </c>
    </row>
    <row r="1190" spans="1:13" x14ac:dyDescent="0.25">
      <c r="A1190" s="85" t="str">
        <f t="shared" si="374"/>
        <v/>
      </c>
      <c r="B1190" s="296" t="str">
        <f t="shared" si="375"/>
        <v/>
      </c>
      <c r="C1190" s="296" t="str">
        <f t="shared" si="376"/>
        <v/>
      </c>
      <c r="D1190" s="85">
        <f t="shared" si="377"/>
        <v>5</v>
      </c>
      <c r="E1190" s="17" t="str">
        <f t="shared" si="378"/>
        <v/>
      </c>
      <c r="F1190" s="17" t="str">
        <f t="shared" si="379"/>
        <v/>
      </c>
      <c r="G1190" s="17" t="str">
        <f t="shared" si="380"/>
        <v/>
      </c>
      <c r="H1190" s="16">
        <v>900</v>
      </c>
      <c r="I1190" s="16" t="str">
        <f t="shared" si="381"/>
        <v/>
      </c>
      <c r="J1190" s="209" t="str">
        <f t="shared" si="382"/>
        <v/>
      </c>
      <c r="K1190" s="209" t="str">
        <f t="shared" si="383"/>
        <v/>
      </c>
      <c r="L1190" s="692"/>
      <c r="M1190" s="17" t="str">
        <f t="shared" si="384"/>
        <v/>
      </c>
    </row>
    <row r="1191" spans="1:13" x14ac:dyDescent="0.25">
      <c r="A1191" s="85" t="str">
        <f t="shared" si="374"/>
        <v/>
      </c>
      <c r="B1191" s="296" t="str">
        <f t="shared" si="375"/>
        <v/>
      </c>
      <c r="C1191" s="296" t="str">
        <f t="shared" si="376"/>
        <v/>
      </c>
      <c r="D1191" s="85">
        <f t="shared" si="377"/>
        <v>5</v>
      </c>
      <c r="E1191" s="17" t="str">
        <f t="shared" si="378"/>
        <v/>
      </c>
      <c r="F1191" s="17" t="str">
        <f t="shared" si="379"/>
        <v/>
      </c>
      <c r="G1191" s="17" t="str">
        <f t="shared" si="380"/>
        <v/>
      </c>
      <c r="H1191" s="16">
        <v>901</v>
      </c>
      <c r="I1191" s="16" t="str">
        <f t="shared" si="381"/>
        <v/>
      </c>
      <c r="J1191" s="209" t="str">
        <f t="shared" si="382"/>
        <v/>
      </c>
      <c r="K1191" s="209" t="str">
        <f t="shared" si="383"/>
        <v/>
      </c>
      <c r="L1191" s="692"/>
      <c r="M1191" s="17" t="str">
        <f t="shared" si="384"/>
        <v/>
      </c>
    </row>
    <row r="1192" spans="1:13" x14ac:dyDescent="0.25">
      <c r="A1192" s="85" t="str">
        <f t="shared" si="374"/>
        <v/>
      </c>
      <c r="B1192" s="296" t="str">
        <f t="shared" si="375"/>
        <v/>
      </c>
      <c r="C1192" s="296" t="str">
        <f t="shared" si="376"/>
        <v/>
      </c>
      <c r="D1192" s="85">
        <f t="shared" si="377"/>
        <v>5</v>
      </c>
      <c r="E1192" s="17" t="str">
        <f t="shared" si="378"/>
        <v/>
      </c>
      <c r="F1192" s="17" t="str">
        <f t="shared" si="379"/>
        <v/>
      </c>
      <c r="G1192" s="17" t="str">
        <f t="shared" si="380"/>
        <v/>
      </c>
      <c r="H1192" s="16">
        <v>902</v>
      </c>
      <c r="I1192" s="16" t="str">
        <f t="shared" si="381"/>
        <v/>
      </c>
      <c r="J1192" s="209" t="str">
        <f t="shared" si="382"/>
        <v/>
      </c>
      <c r="K1192" s="209" t="str">
        <f t="shared" si="383"/>
        <v/>
      </c>
      <c r="L1192" s="692"/>
      <c r="M1192" s="17" t="str">
        <f t="shared" si="384"/>
        <v/>
      </c>
    </row>
    <row r="1193" spans="1:13" x14ac:dyDescent="0.25">
      <c r="A1193" s="85" t="str">
        <f t="shared" si="374"/>
        <v/>
      </c>
      <c r="B1193" s="296" t="str">
        <f t="shared" si="375"/>
        <v/>
      </c>
      <c r="C1193" s="296" t="str">
        <f t="shared" si="376"/>
        <v/>
      </c>
      <c r="D1193" s="85">
        <f t="shared" si="377"/>
        <v>5</v>
      </c>
      <c r="E1193" s="17" t="str">
        <f t="shared" si="378"/>
        <v/>
      </c>
      <c r="F1193" s="17" t="str">
        <f t="shared" si="379"/>
        <v/>
      </c>
      <c r="G1193" s="17" t="str">
        <f t="shared" si="380"/>
        <v/>
      </c>
      <c r="H1193" s="16">
        <v>903</v>
      </c>
      <c r="I1193" s="16" t="str">
        <f t="shared" si="381"/>
        <v/>
      </c>
      <c r="J1193" s="209" t="str">
        <f t="shared" si="382"/>
        <v/>
      </c>
      <c r="K1193" s="209" t="str">
        <f t="shared" si="383"/>
        <v/>
      </c>
      <c r="L1193" s="692"/>
      <c r="M1193" s="17" t="str">
        <f t="shared" si="384"/>
        <v/>
      </c>
    </row>
    <row r="1194" spans="1:13" x14ac:dyDescent="0.25">
      <c r="A1194" s="85" t="str">
        <f t="shared" si="374"/>
        <v/>
      </c>
      <c r="B1194" s="296" t="str">
        <f t="shared" si="375"/>
        <v/>
      </c>
      <c r="C1194" s="296" t="str">
        <f t="shared" si="376"/>
        <v/>
      </c>
      <c r="D1194" s="85">
        <f t="shared" si="377"/>
        <v>5</v>
      </c>
      <c r="E1194" s="17" t="str">
        <f t="shared" si="378"/>
        <v/>
      </c>
      <c r="F1194" s="17" t="str">
        <f t="shared" si="379"/>
        <v/>
      </c>
      <c r="G1194" s="17" t="str">
        <f t="shared" si="380"/>
        <v/>
      </c>
      <c r="H1194" s="16">
        <v>904</v>
      </c>
      <c r="I1194" s="16" t="str">
        <f t="shared" si="381"/>
        <v/>
      </c>
      <c r="J1194" s="209" t="str">
        <f t="shared" si="382"/>
        <v/>
      </c>
      <c r="K1194" s="209" t="str">
        <f t="shared" si="383"/>
        <v/>
      </c>
      <c r="L1194" s="692"/>
      <c r="M1194" s="17" t="str">
        <f t="shared" si="384"/>
        <v/>
      </c>
    </row>
    <row r="1195" spans="1:13" x14ac:dyDescent="0.25">
      <c r="A1195" s="85" t="str">
        <f t="shared" si="374"/>
        <v/>
      </c>
      <c r="B1195" s="296" t="str">
        <f t="shared" si="375"/>
        <v/>
      </c>
      <c r="C1195" s="296" t="str">
        <f t="shared" si="376"/>
        <v/>
      </c>
      <c r="D1195" s="85">
        <f t="shared" si="377"/>
        <v>5</v>
      </c>
      <c r="E1195" s="17" t="str">
        <f t="shared" si="378"/>
        <v/>
      </c>
      <c r="F1195" s="17" t="str">
        <f t="shared" si="379"/>
        <v/>
      </c>
      <c r="G1195" s="17" t="str">
        <f t="shared" si="380"/>
        <v/>
      </c>
      <c r="H1195" s="16">
        <v>905</v>
      </c>
      <c r="I1195" s="16" t="str">
        <f t="shared" si="381"/>
        <v/>
      </c>
      <c r="J1195" s="209" t="str">
        <f t="shared" si="382"/>
        <v/>
      </c>
      <c r="K1195" s="209" t="str">
        <f t="shared" si="383"/>
        <v/>
      </c>
      <c r="L1195" s="692"/>
      <c r="M1195" s="17" t="str">
        <f t="shared" si="384"/>
        <v/>
      </c>
    </row>
    <row r="1196" spans="1:13" x14ac:dyDescent="0.25">
      <c r="A1196" s="85" t="str">
        <f t="shared" si="374"/>
        <v/>
      </c>
      <c r="B1196" s="296" t="str">
        <f t="shared" si="375"/>
        <v/>
      </c>
      <c r="C1196" s="296" t="str">
        <f t="shared" si="376"/>
        <v/>
      </c>
      <c r="D1196" s="85">
        <f t="shared" si="377"/>
        <v>5</v>
      </c>
      <c r="E1196" s="17" t="str">
        <f t="shared" si="378"/>
        <v/>
      </c>
      <c r="F1196" s="17" t="str">
        <f t="shared" si="379"/>
        <v/>
      </c>
      <c r="G1196" s="17" t="str">
        <f t="shared" si="380"/>
        <v/>
      </c>
      <c r="H1196" s="16">
        <v>906</v>
      </c>
      <c r="I1196" s="16" t="str">
        <f t="shared" si="381"/>
        <v/>
      </c>
      <c r="J1196" s="209" t="str">
        <f t="shared" si="382"/>
        <v/>
      </c>
      <c r="K1196" s="209" t="str">
        <f t="shared" si="383"/>
        <v/>
      </c>
      <c r="L1196" s="692"/>
      <c r="M1196" s="17" t="str">
        <f t="shared" si="384"/>
        <v/>
      </c>
    </row>
    <row r="1197" spans="1:13" x14ac:dyDescent="0.25">
      <c r="A1197" s="85" t="str">
        <f t="shared" si="374"/>
        <v/>
      </c>
      <c r="B1197" s="296" t="str">
        <f t="shared" si="375"/>
        <v/>
      </c>
      <c r="C1197" s="296" t="str">
        <f t="shared" si="376"/>
        <v/>
      </c>
      <c r="D1197" s="85">
        <f t="shared" si="377"/>
        <v>5</v>
      </c>
      <c r="E1197" s="17" t="str">
        <f t="shared" si="378"/>
        <v/>
      </c>
      <c r="F1197" s="17" t="str">
        <f t="shared" si="379"/>
        <v/>
      </c>
      <c r="G1197" s="17" t="str">
        <f t="shared" si="380"/>
        <v/>
      </c>
      <c r="H1197" s="16">
        <v>907</v>
      </c>
      <c r="I1197" s="16" t="str">
        <f t="shared" si="381"/>
        <v/>
      </c>
      <c r="J1197" s="209" t="str">
        <f t="shared" si="382"/>
        <v/>
      </c>
      <c r="K1197" s="209" t="str">
        <f t="shared" si="383"/>
        <v/>
      </c>
      <c r="L1197" s="692"/>
      <c r="M1197" s="17" t="str">
        <f t="shared" si="384"/>
        <v/>
      </c>
    </row>
    <row r="1198" spans="1:13" x14ac:dyDescent="0.25">
      <c r="A1198" s="85" t="str">
        <f t="shared" si="374"/>
        <v/>
      </c>
      <c r="B1198" s="296" t="str">
        <f t="shared" si="375"/>
        <v/>
      </c>
      <c r="C1198" s="296" t="str">
        <f t="shared" si="376"/>
        <v/>
      </c>
      <c r="D1198" s="85">
        <f t="shared" si="377"/>
        <v>5</v>
      </c>
      <c r="E1198" s="17" t="str">
        <f t="shared" si="378"/>
        <v/>
      </c>
      <c r="F1198" s="17" t="str">
        <f t="shared" si="379"/>
        <v/>
      </c>
      <c r="G1198" s="17" t="str">
        <f t="shared" si="380"/>
        <v/>
      </c>
      <c r="H1198" s="16">
        <v>908</v>
      </c>
      <c r="I1198" s="16" t="str">
        <f t="shared" si="381"/>
        <v/>
      </c>
      <c r="J1198" s="209" t="str">
        <f t="shared" si="382"/>
        <v/>
      </c>
      <c r="K1198" s="209" t="str">
        <f t="shared" si="383"/>
        <v/>
      </c>
      <c r="L1198" s="692"/>
      <c r="M1198" s="17" t="str">
        <f t="shared" si="384"/>
        <v/>
      </c>
    </row>
    <row r="1199" spans="1:13" x14ac:dyDescent="0.25">
      <c r="A1199" s="85" t="str">
        <f t="shared" si="374"/>
        <v/>
      </c>
      <c r="B1199" s="296" t="str">
        <f t="shared" si="375"/>
        <v/>
      </c>
      <c r="C1199" s="296" t="str">
        <f t="shared" si="376"/>
        <v/>
      </c>
      <c r="D1199" s="85">
        <f t="shared" si="377"/>
        <v>5</v>
      </c>
      <c r="E1199" s="17" t="str">
        <f t="shared" si="378"/>
        <v/>
      </c>
      <c r="F1199" s="17" t="str">
        <f t="shared" si="379"/>
        <v/>
      </c>
      <c r="G1199" s="17" t="str">
        <f t="shared" si="380"/>
        <v/>
      </c>
      <c r="H1199" s="16">
        <v>909</v>
      </c>
      <c r="I1199" s="16" t="str">
        <f t="shared" si="381"/>
        <v/>
      </c>
      <c r="J1199" s="209" t="str">
        <f t="shared" si="382"/>
        <v/>
      </c>
      <c r="K1199" s="209" t="str">
        <f t="shared" si="383"/>
        <v/>
      </c>
      <c r="L1199" s="692"/>
      <c r="M1199" s="17" t="str">
        <f t="shared" si="384"/>
        <v/>
      </c>
    </row>
    <row r="1200" spans="1:13" x14ac:dyDescent="0.25">
      <c r="A1200" s="85" t="str">
        <f t="shared" si="374"/>
        <v/>
      </c>
      <c r="B1200" s="296" t="str">
        <f t="shared" si="375"/>
        <v/>
      </c>
      <c r="C1200" s="296" t="str">
        <f t="shared" si="376"/>
        <v/>
      </c>
      <c r="D1200" s="85">
        <f t="shared" si="377"/>
        <v>5</v>
      </c>
      <c r="E1200" s="17" t="str">
        <f t="shared" si="378"/>
        <v/>
      </c>
      <c r="F1200" s="17" t="str">
        <f t="shared" si="379"/>
        <v/>
      </c>
      <c r="G1200" s="17" t="str">
        <f t="shared" si="380"/>
        <v/>
      </c>
      <c r="H1200" s="16">
        <v>910</v>
      </c>
      <c r="I1200" s="16" t="str">
        <f t="shared" si="381"/>
        <v/>
      </c>
      <c r="J1200" s="209" t="str">
        <f t="shared" si="382"/>
        <v/>
      </c>
      <c r="K1200" s="209" t="str">
        <f t="shared" si="383"/>
        <v/>
      </c>
      <c r="L1200" s="692"/>
      <c r="M1200" s="17" t="str">
        <f t="shared" si="384"/>
        <v/>
      </c>
    </row>
    <row r="1201" spans="1:13" x14ac:dyDescent="0.25">
      <c r="A1201" s="85" t="str">
        <f t="shared" si="374"/>
        <v/>
      </c>
      <c r="B1201" s="296" t="str">
        <f t="shared" si="375"/>
        <v/>
      </c>
      <c r="C1201" s="296" t="str">
        <f t="shared" si="376"/>
        <v/>
      </c>
      <c r="D1201" s="85">
        <f t="shared" si="377"/>
        <v>5</v>
      </c>
      <c r="E1201" s="17" t="str">
        <f t="shared" si="378"/>
        <v/>
      </c>
      <c r="F1201" s="17" t="str">
        <f t="shared" si="379"/>
        <v/>
      </c>
      <c r="G1201" s="17" t="str">
        <f t="shared" si="380"/>
        <v/>
      </c>
      <c r="H1201" s="16">
        <v>911</v>
      </c>
      <c r="I1201" s="16" t="str">
        <f t="shared" si="381"/>
        <v/>
      </c>
      <c r="J1201" s="209" t="str">
        <f t="shared" si="382"/>
        <v/>
      </c>
      <c r="K1201" s="209" t="str">
        <f t="shared" si="383"/>
        <v/>
      </c>
      <c r="L1201" s="692"/>
      <c r="M1201" s="17" t="str">
        <f t="shared" si="384"/>
        <v/>
      </c>
    </row>
    <row r="1202" spans="1:13" x14ac:dyDescent="0.25">
      <c r="A1202" s="85" t="str">
        <f t="shared" ref="A1202:A1265" si="385">IF(A1201&lt;J$269,A1201+1,"")</f>
        <v/>
      </c>
      <c r="B1202" s="296" t="str">
        <f t="shared" ref="B1202:B1265" si="386">IF(A1202="","",IF(A1201&lt;=C$270,B$273+(A1201*E$274/C$269),IF(A1201&lt;=D$270,B$274+(D$275*COS(RADIANS(G$275+((A1201-C$270)*H$276/D$269))))-E$275,IF(A1201&lt;=E$270,B$276+((A1201-D$270)*E$277/E$269),IF(A1201&lt;=F$270,B$277+(D$278*COS(RADIANS(G$278+((A1201-E$270)*H$279/F$269))))-E$278,IF(A1201&lt;=G$270,B$279+((A1201-F$270)*E$280/G$269),IF(A1201&lt;=H$270,B$280+(D$281*COS(RADIANS(G$281+((A1201-G$270)*H$282/H$269))))-E$281,IF(A1201&lt;=I$270,B$282+((A1201-H$270)*E$283/I$269),"CHECK FORMULE"))))))))</f>
        <v/>
      </c>
      <c r="C1202" s="296" t="str">
        <f t="shared" ref="C1202:C1265" si="387">IF(A1202="","",IF(A1201&lt;=C$270,C$273+(A1201*F$274/C$269),IF(A1201&lt;=D$270,C$274+(D$275*SIN(RADIANS(G$275+((A1201-C$270)*H$276/D$269))))-F$275,IF(A1201&lt;=E$270,C$276+((A1201-D$270)*F$277/E$269),IF(A1201&lt;=F$270,C$277+(D$278*SIN(RADIANS(G$278+((A1201-E$270)*H$279/F$269))))-F$278,IF(A1201&lt;=G$270,C$279+((A1201-F$270)*F$280/G$269),IF(A1201&lt;=H$270,C$280+(D$281*SIN(RADIANS(G$281+((A1201-G$270)*H$282/H$269))))-F$281,IF(A1201&lt;=I$270,C$282+((A1201-H$270)*F$283/I$269),"CHECK FORMULE"))))))))</f>
        <v/>
      </c>
      <c r="D1202" s="85">
        <f t="shared" ref="D1202:D1265" si="388">_xlfn.SINGLE(_xlfn.XLOOKUP(B1202,B$273:B$284,A$273:A$284,D1201))</f>
        <v>5</v>
      </c>
      <c r="E1202" s="17" t="str">
        <f t="shared" ref="E1202:E1265" si="389">IF(A1202="","",B1202-B1201)</f>
        <v/>
      </c>
      <c r="F1202" s="17" t="str">
        <f t="shared" ref="F1202:F1265" si="390">IF(A1202="","",C1202-C1201)</f>
        <v/>
      </c>
      <c r="G1202" s="17" t="str">
        <f t="shared" ref="G1202:G1265" si="391">IF(E1202="","",B1202&amp;","&amp;C1202)</f>
        <v/>
      </c>
      <c r="H1202" s="16">
        <v>912</v>
      </c>
      <c r="I1202" s="16" t="str">
        <f t="shared" ref="I1202:I1265" si="392">IF(J1202="","",I1201+1)</f>
        <v/>
      </c>
      <c r="J1202" s="209" t="str">
        <f t="shared" ref="J1202:J1265" si="393">IF(E1202="","",(E1202^2+F1202^2)^0.5)</f>
        <v/>
      </c>
      <c r="K1202" s="209" t="str">
        <f t="shared" ref="K1202:K1265" si="394">IF(E1202="","",K1201+J1202)</f>
        <v/>
      </c>
      <c r="L1202" s="692"/>
      <c r="M1202" s="17" t="str">
        <f t="shared" ref="M1202:M1265" si="395">IF(L1202="","",K1202&amp;","&amp;L1202)</f>
        <v/>
      </c>
    </row>
    <row r="1203" spans="1:13" x14ac:dyDescent="0.25">
      <c r="A1203" s="85" t="str">
        <f t="shared" si="385"/>
        <v/>
      </c>
      <c r="B1203" s="296" t="str">
        <f t="shared" si="386"/>
        <v/>
      </c>
      <c r="C1203" s="296" t="str">
        <f t="shared" si="387"/>
        <v/>
      </c>
      <c r="D1203" s="85">
        <f t="shared" si="388"/>
        <v>5</v>
      </c>
      <c r="E1203" s="17" t="str">
        <f t="shared" si="389"/>
        <v/>
      </c>
      <c r="F1203" s="17" t="str">
        <f t="shared" si="390"/>
        <v/>
      </c>
      <c r="G1203" s="17" t="str">
        <f t="shared" si="391"/>
        <v/>
      </c>
      <c r="H1203" s="16">
        <v>913</v>
      </c>
      <c r="I1203" s="16" t="str">
        <f t="shared" si="392"/>
        <v/>
      </c>
      <c r="J1203" s="209" t="str">
        <f t="shared" si="393"/>
        <v/>
      </c>
      <c r="K1203" s="209" t="str">
        <f t="shared" si="394"/>
        <v/>
      </c>
      <c r="L1203" s="692"/>
      <c r="M1203" s="17" t="str">
        <f t="shared" si="395"/>
        <v/>
      </c>
    </row>
    <row r="1204" spans="1:13" x14ac:dyDescent="0.25">
      <c r="A1204" s="85" t="str">
        <f t="shared" si="385"/>
        <v/>
      </c>
      <c r="B1204" s="296" t="str">
        <f t="shared" si="386"/>
        <v/>
      </c>
      <c r="C1204" s="296" t="str">
        <f t="shared" si="387"/>
        <v/>
      </c>
      <c r="D1204" s="85">
        <f t="shared" si="388"/>
        <v>5</v>
      </c>
      <c r="E1204" s="17" t="str">
        <f t="shared" si="389"/>
        <v/>
      </c>
      <c r="F1204" s="17" t="str">
        <f t="shared" si="390"/>
        <v/>
      </c>
      <c r="G1204" s="17" t="str">
        <f t="shared" si="391"/>
        <v/>
      </c>
      <c r="H1204" s="16">
        <v>914</v>
      </c>
      <c r="I1204" s="16" t="str">
        <f t="shared" si="392"/>
        <v/>
      </c>
      <c r="J1204" s="209" t="str">
        <f t="shared" si="393"/>
        <v/>
      </c>
      <c r="K1204" s="209" t="str">
        <f t="shared" si="394"/>
        <v/>
      </c>
      <c r="L1204" s="692"/>
      <c r="M1204" s="17" t="str">
        <f t="shared" si="395"/>
        <v/>
      </c>
    </row>
    <row r="1205" spans="1:13" x14ac:dyDescent="0.25">
      <c r="A1205" s="85" t="str">
        <f t="shared" si="385"/>
        <v/>
      </c>
      <c r="B1205" s="296" t="str">
        <f t="shared" si="386"/>
        <v/>
      </c>
      <c r="C1205" s="296" t="str">
        <f t="shared" si="387"/>
        <v/>
      </c>
      <c r="D1205" s="85">
        <f t="shared" si="388"/>
        <v>5</v>
      </c>
      <c r="E1205" s="17" t="str">
        <f t="shared" si="389"/>
        <v/>
      </c>
      <c r="F1205" s="17" t="str">
        <f t="shared" si="390"/>
        <v/>
      </c>
      <c r="G1205" s="17" t="str">
        <f t="shared" si="391"/>
        <v/>
      </c>
      <c r="H1205" s="16">
        <v>915</v>
      </c>
      <c r="I1205" s="16" t="str">
        <f t="shared" si="392"/>
        <v/>
      </c>
      <c r="J1205" s="209" t="str">
        <f t="shared" si="393"/>
        <v/>
      </c>
      <c r="K1205" s="209" t="str">
        <f t="shared" si="394"/>
        <v/>
      </c>
      <c r="L1205" s="692"/>
      <c r="M1205" s="17" t="str">
        <f t="shared" si="395"/>
        <v/>
      </c>
    </row>
    <row r="1206" spans="1:13" x14ac:dyDescent="0.25">
      <c r="A1206" s="85" t="str">
        <f t="shared" si="385"/>
        <v/>
      </c>
      <c r="B1206" s="296" t="str">
        <f t="shared" si="386"/>
        <v/>
      </c>
      <c r="C1206" s="296" t="str">
        <f t="shared" si="387"/>
        <v/>
      </c>
      <c r="D1206" s="85">
        <f t="shared" si="388"/>
        <v>5</v>
      </c>
      <c r="E1206" s="17" t="str">
        <f t="shared" si="389"/>
        <v/>
      </c>
      <c r="F1206" s="17" t="str">
        <f t="shared" si="390"/>
        <v/>
      </c>
      <c r="G1206" s="17" t="str">
        <f t="shared" si="391"/>
        <v/>
      </c>
      <c r="H1206" s="16">
        <v>916</v>
      </c>
      <c r="I1206" s="16" t="str">
        <f t="shared" si="392"/>
        <v/>
      </c>
      <c r="J1206" s="209" t="str">
        <f t="shared" si="393"/>
        <v/>
      </c>
      <c r="K1206" s="209" t="str">
        <f t="shared" si="394"/>
        <v/>
      </c>
      <c r="L1206" s="692"/>
      <c r="M1206" s="17" t="str">
        <f t="shared" si="395"/>
        <v/>
      </c>
    </row>
    <row r="1207" spans="1:13" x14ac:dyDescent="0.25">
      <c r="A1207" s="85" t="str">
        <f t="shared" si="385"/>
        <v/>
      </c>
      <c r="B1207" s="296" t="str">
        <f t="shared" si="386"/>
        <v/>
      </c>
      <c r="C1207" s="296" t="str">
        <f t="shared" si="387"/>
        <v/>
      </c>
      <c r="D1207" s="85">
        <f t="shared" si="388"/>
        <v>5</v>
      </c>
      <c r="E1207" s="17" t="str">
        <f t="shared" si="389"/>
        <v/>
      </c>
      <c r="F1207" s="17" t="str">
        <f t="shared" si="390"/>
        <v/>
      </c>
      <c r="G1207" s="17" t="str">
        <f t="shared" si="391"/>
        <v/>
      </c>
      <c r="H1207" s="16">
        <v>917</v>
      </c>
      <c r="I1207" s="16" t="str">
        <f t="shared" si="392"/>
        <v/>
      </c>
      <c r="J1207" s="209" t="str">
        <f t="shared" si="393"/>
        <v/>
      </c>
      <c r="K1207" s="209" t="str">
        <f t="shared" si="394"/>
        <v/>
      </c>
      <c r="L1207" s="692"/>
      <c r="M1207" s="17" t="str">
        <f t="shared" si="395"/>
        <v/>
      </c>
    </row>
    <row r="1208" spans="1:13" x14ac:dyDescent="0.25">
      <c r="A1208" s="85" t="str">
        <f t="shared" si="385"/>
        <v/>
      </c>
      <c r="B1208" s="296" t="str">
        <f t="shared" si="386"/>
        <v/>
      </c>
      <c r="C1208" s="296" t="str">
        <f t="shared" si="387"/>
        <v/>
      </c>
      <c r="D1208" s="85">
        <f t="shared" si="388"/>
        <v>5</v>
      </c>
      <c r="E1208" s="17" t="str">
        <f t="shared" si="389"/>
        <v/>
      </c>
      <c r="F1208" s="17" t="str">
        <f t="shared" si="390"/>
        <v/>
      </c>
      <c r="G1208" s="17" t="str">
        <f t="shared" si="391"/>
        <v/>
      </c>
      <c r="H1208" s="16">
        <v>918</v>
      </c>
      <c r="I1208" s="16" t="str">
        <f t="shared" si="392"/>
        <v/>
      </c>
      <c r="J1208" s="209" t="str">
        <f t="shared" si="393"/>
        <v/>
      </c>
      <c r="K1208" s="209" t="str">
        <f t="shared" si="394"/>
        <v/>
      </c>
      <c r="L1208" s="692"/>
      <c r="M1208" s="17" t="str">
        <f t="shared" si="395"/>
        <v/>
      </c>
    </row>
    <row r="1209" spans="1:13" x14ac:dyDescent="0.25">
      <c r="A1209" s="85" t="str">
        <f t="shared" si="385"/>
        <v/>
      </c>
      <c r="B1209" s="296" t="str">
        <f t="shared" si="386"/>
        <v/>
      </c>
      <c r="C1209" s="296" t="str">
        <f t="shared" si="387"/>
        <v/>
      </c>
      <c r="D1209" s="85">
        <f t="shared" si="388"/>
        <v>5</v>
      </c>
      <c r="E1209" s="17" t="str">
        <f t="shared" si="389"/>
        <v/>
      </c>
      <c r="F1209" s="17" t="str">
        <f t="shared" si="390"/>
        <v/>
      </c>
      <c r="G1209" s="17" t="str">
        <f t="shared" si="391"/>
        <v/>
      </c>
      <c r="H1209" s="16">
        <v>919</v>
      </c>
      <c r="I1209" s="16" t="str">
        <f t="shared" si="392"/>
        <v/>
      </c>
      <c r="J1209" s="209" t="str">
        <f t="shared" si="393"/>
        <v/>
      </c>
      <c r="K1209" s="209" t="str">
        <f t="shared" si="394"/>
        <v/>
      </c>
      <c r="L1209" s="692"/>
      <c r="M1209" s="17" t="str">
        <f t="shared" si="395"/>
        <v/>
      </c>
    </row>
    <row r="1210" spans="1:13" x14ac:dyDescent="0.25">
      <c r="A1210" s="85" t="str">
        <f t="shared" si="385"/>
        <v/>
      </c>
      <c r="B1210" s="296" t="str">
        <f t="shared" si="386"/>
        <v/>
      </c>
      <c r="C1210" s="296" t="str">
        <f t="shared" si="387"/>
        <v/>
      </c>
      <c r="D1210" s="85">
        <f t="shared" si="388"/>
        <v>5</v>
      </c>
      <c r="E1210" s="17" t="str">
        <f t="shared" si="389"/>
        <v/>
      </c>
      <c r="F1210" s="17" t="str">
        <f t="shared" si="390"/>
        <v/>
      </c>
      <c r="G1210" s="17" t="str">
        <f t="shared" si="391"/>
        <v/>
      </c>
      <c r="H1210" s="16">
        <v>920</v>
      </c>
      <c r="I1210" s="16" t="str">
        <f t="shared" si="392"/>
        <v/>
      </c>
      <c r="J1210" s="209" t="str">
        <f t="shared" si="393"/>
        <v/>
      </c>
      <c r="K1210" s="209" t="str">
        <f t="shared" si="394"/>
        <v/>
      </c>
      <c r="L1210" s="692"/>
      <c r="M1210" s="17" t="str">
        <f t="shared" si="395"/>
        <v/>
      </c>
    </row>
    <row r="1211" spans="1:13" x14ac:dyDescent="0.25">
      <c r="A1211" s="85" t="str">
        <f t="shared" si="385"/>
        <v/>
      </c>
      <c r="B1211" s="296" t="str">
        <f t="shared" si="386"/>
        <v/>
      </c>
      <c r="C1211" s="296" t="str">
        <f t="shared" si="387"/>
        <v/>
      </c>
      <c r="D1211" s="85">
        <f t="shared" si="388"/>
        <v>5</v>
      </c>
      <c r="E1211" s="17" t="str">
        <f t="shared" si="389"/>
        <v/>
      </c>
      <c r="F1211" s="17" t="str">
        <f t="shared" si="390"/>
        <v/>
      </c>
      <c r="G1211" s="17" t="str">
        <f t="shared" si="391"/>
        <v/>
      </c>
      <c r="H1211" s="16">
        <v>921</v>
      </c>
      <c r="I1211" s="16" t="str">
        <f t="shared" si="392"/>
        <v/>
      </c>
      <c r="J1211" s="209" t="str">
        <f t="shared" si="393"/>
        <v/>
      </c>
      <c r="K1211" s="209" t="str">
        <f t="shared" si="394"/>
        <v/>
      </c>
      <c r="L1211" s="692"/>
      <c r="M1211" s="17" t="str">
        <f t="shared" si="395"/>
        <v/>
      </c>
    </row>
    <row r="1212" spans="1:13" x14ac:dyDescent="0.25">
      <c r="A1212" s="85" t="str">
        <f t="shared" si="385"/>
        <v/>
      </c>
      <c r="B1212" s="296" t="str">
        <f t="shared" si="386"/>
        <v/>
      </c>
      <c r="C1212" s="296" t="str">
        <f t="shared" si="387"/>
        <v/>
      </c>
      <c r="D1212" s="85">
        <f t="shared" si="388"/>
        <v>5</v>
      </c>
      <c r="E1212" s="17" t="str">
        <f t="shared" si="389"/>
        <v/>
      </c>
      <c r="F1212" s="17" t="str">
        <f t="shared" si="390"/>
        <v/>
      </c>
      <c r="G1212" s="17" t="str">
        <f t="shared" si="391"/>
        <v/>
      </c>
      <c r="H1212" s="16">
        <v>922</v>
      </c>
      <c r="I1212" s="16" t="str">
        <f t="shared" si="392"/>
        <v/>
      </c>
      <c r="J1212" s="209" t="str">
        <f t="shared" si="393"/>
        <v/>
      </c>
      <c r="K1212" s="209" t="str">
        <f t="shared" si="394"/>
        <v/>
      </c>
      <c r="L1212" s="692"/>
      <c r="M1212" s="17" t="str">
        <f t="shared" si="395"/>
        <v/>
      </c>
    </row>
    <row r="1213" spans="1:13" x14ac:dyDescent="0.25">
      <c r="A1213" s="85" t="str">
        <f t="shared" si="385"/>
        <v/>
      </c>
      <c r="B1213" s="296" t="str">
        <f t="shared" si="386"/>
        <v/>
      </c>
      <c r="C1213" s="296" t="str">
        <f t="shared" si="387"/>
        <v/>
      </c>
      <c r="D1213" s="85">
        <f t="shared" si="388"/>
        <v>5</v>
      </c>
      <c r="E1213" s="17" t="str">
        <f t="shared" si="389"/>
        <v/>
      </c>
      <c r="F1213" s="17" t="str">
        <f t="shared" si="390"/>
        <v/>
      </c>
      <c r="G1213" s="17" t="str">
        <f t="shared" si="391"/>
        <v/>
      </c>
      <c r="H1213" s="16">
        <v>923</v>
      </c>
      <c r="I1213" s="16" t="str">
        <f t="shared" si="392"/>
        <v/>
      </c>
      <c r="J1213" s="209" t="str">
        <f t="shared" si="393"/>
        <v/>
      </c>
      <c r="K1213" s="209" t="str">
        <f t="shared" si="394"/>
        <v/>
      </c>
      <c r="L1213" s="692"/>
      <c r="M1213" s="17" t="str">
        <f t="shared" si="395"/>
        <v/>
      </c>
    </row>
    <row r="1214" spans="1:13" x14ac:dyDescent="0.25">
      <c r="A1214" s="85" t="str">
        <f t="shared" si="385"/>
        <v/>
      </c>
      <c r="B1214" s="296" t="str">
        <f t="shared" si="386"/>
        <v/>
      </c>
      <c r="C1214" s="296" t="str">
        <f t="shared" si="387"/>
        <v/>
      </c>
      <c r="D1214" s="85">
        <f t="shared" si="388"/>
        <v>5</v>
      </c>
      <c r="E1214" s="17" t="str">
        <f t="shared" si="389"/>
        <v/>
      </c>
      <c r="F1214" s="17" t="str">
        <f t="shared" si="390"/>
        <v/>
      </c>
      <c r="G1214" s="17" t="str">
        <f t="shared" si="391"/>
        <v/>
      </c>
      <c r="H1214" s="16">
        <v>924</v>
      </c>
      <c r="I1214" s="16" t="str">
        <f t="shared" si="392"/>
        <v/>
      </c>
      <c r="J1214" s="209" t="str">
        <f t="shared" si="393"/>
        <v/>
      </c>
      <c r="K1214" s="209" t="str">
        <f t="shared" si="394"/>
        <v/>
      </c>
      <c r="L1214" s="692"/>
      <c r="M1214" s="17" t="str">
        <f t="shared" si="395"/>
        <v/>
      </c>
    </row>
    <row r="1215" spans="1:13" x14ac:dyDescent="0.25">
      <c r="A1215" s="85" t="str">
        <f t="shared" si="385"/>
        <v/>
      </c>
      <c r="B1215" s="296" t="str">
        <f t="shared" si="386"/>
        <v/>
      </c>
      <c r="C1215" s="296" t="str">
        <f t="shared" si="387"/>
        <v/>
      </c>
      <c r="D1215" s="85">
        <f t="shared" si="388"/>
        <v>5</v>
      </c>
      <c r="E1215" s="17" t="str">
        <f t="shared" si="389"/>
        <v/>
      </c>
      <c r="F1215" s="17" t="str">
        <f t="shared" si="390"/>
        <v/>
      </c>
      <c r="G1215" s="17" t="str">
        <f t="shared" si="391"/>
        <v/>
      </c>
      <c r="H1215" s="16">
        <v>925</v>
      </c>
      <c r="I1215" s="16" t="str">
        <f t="shared" si="392"/>
        <v/>
      </c>
      <c r="J1215" s="209" t="str">
        <f t="shared" si="393"/>
        <v/>
      </c>
      <c r="K1215" s="209" t="str">
        <f t="shared" si="394"/>
        <v/>
      </c>
      <c r="L1215" s="692"/>
      <c r="M1215" s="17" t="str">
        <f t="shared" si="395"/>
        <v/>
      </c>
    </row>
    <row r="1216" spans="1:13" x14ac:dyDescent="0.25">
      <c r="A1216" s="85" t="str">
        <f t="shared" si="385"/>
        <v/>
      </c>
      <c r="B1216" s="296" t="str">
        <f t="shared" si="386"/>
        <v/>
      </c>
      <c r="C1216" s="296" t="str">
        <f t="shared" si="387"/>
        <v/>
      </c>
      <c r="D1216" s="85">
        <f t="shared" si="388"/>
        <v>5</v>
      </c>
      <c r="E1216" s="17" t="str">
        <f t="shared" si="389"/>
        <v/>
      </c>
      <c r="F1216" s="17" t="str">
        <f t="shared" si="390"/>
        <v/>
      </c>
      <c r="G1216" s="17" t="str">
        <f t="shared" si="391"/>
        <v/>
      </c>
      <c r="H1216" s="16">
        <v>926</v>
      </c>
      <c r="I1216" s="16" t="str">
        <f t="shared" si="392"/>
        <v/>
      </c>
      <c r="J1216" s="209" t="str">
        <f t="shared" si="393"/>
        <v/>
      </c>
      <c r="K1216" s="209" t="str">
        <f t="shared" si="394"/>
        <v/>
      </c>
      <c r="L1216" s="692"/>
      <c r="M1216" s="17" t="str">
        <f t="shared" si="395"/>
        <v/>
      </c>
    </row>
    <row r="1217" spans="1:13" x14ac:dyDescent="0.25">
      <c r="A1217" s="85" t="str">
        <f t="shared" si="385"/>
        <v/>
      </c>
      <c r="B1217" s="296" t="str">
        <f t="shared" si="386"/>
        <v/>
      </c>
      <c r="C1217" s="296" t="str">
        <f t="shared" si="387"/>
        <v/>
      </c>
      <c r="D1217" s="85">
        <f t="shared" si="388"/>
        <v>5</v>
      </c>
      <c r="E1217" s="17" t="str">
        <f t="shared" si="389"/>
        <v/>
      </c>
      <c r="F1217" s="17" t="str">
        <f t="shared" si="390"/>
        <v/>
      </c>
      <c r="G1217" s="17" t="str">
        <f t="shared" si="391"/>
        <v/>
      </c>
      <c r="H1217" s="16">
        <v>927</v>
      </c>
      <c r="I1217" s="16" t="str">
        <f t="shared" si="392"/>
        <v/>
      </c>
      <c r="J1217" s="209" t="str">
        <f t="shared" si="393"/>
        <v/>
      </c>
      <c r="K1217" s="209" t="str">
        <f t="shared" si="394"/>
        <v/>
      </c>
      <c r="L1217" s="692"/>
      <c r="M1217" s="17" t="str">
        <f t="shared" si="395"/>
        <v/>
      </c>
    </row>
    <row r="1218" spans="1:13" x14ac:dyDescent="0.25">
      <c r="A1218" s="85" t="str">
        <f t="shared" si="385"/>
        <v/>
      </c>
      <c r="B1218" s="296" t="str">
        <f t="shared" si="386"/>
        <v/>
      </c>
      <c r="C1218" s="296" t="str">
        <f t="shared" si="387"/>
        <v/>
      </c>
      <c r="D1218" s="85">
        <f t="shared" si="388"/>
        <v>5</v>
      </c>
      <c r="E1218" s="17" t="str">
        <f t="shared" si="389"/>
        <v/>
      </c>
      <c r="F1218" s="17" t="str">
        <f t="shared" si="390"/>
        <v/>
      </c>
      <c r="G1218" s="17" t="str">
        <f t="shared" si="391"/>
        <v/>
      </c>
      <c r="H1218" s="16">
        <v>928</v>
      </c>
      <c r="I1218" s="16" t="str">
        <f t="shared" si="392"/>
        <v/>
      </c>
      <c r="J1218" s="209" t="str">
        <f t="shared" si="393"/>
        <v/>
      </c>
      <c r="K1218" s="209" t="str">
        <f t="shared" si="394"/>
        <v/>
      </c>
      <c r="L1218" s="692"/>
      <c r="M1218" s="17" t="str">
        <f t="shared" si="395"/>
        <v/>
      </c>
    </row>
    <row r="1219" spans="1:13" x14ac:dyDescent="0.25">
      <c r="A1219" s="85" t="str">
        <f t="shared" si="385"/>
        <v/>
      </c>
      <c r="B1219" s="296" t="str">
        <f t="shared" si="386"/>
        <v/>
      </c>
      <c r="C1219" s="296" t="str">
        <f t="shared" si="387"/>
        <v/>
      </c>
      <c r="D1219" s="85">
        <f t="shared" si="388"/>
        <v>5</v>
      </c>
      <c r="E1219" s="17" t="str">
        <f t="shared" si="389"/>
        <v/>
      </c>
      <c r="F1219" s="17" t="str">
        <f t="shared" si="390"/>
        <v/>
      </c>
      <c r="G1219" s="17" t="str">
        <f t="shared" si="391"/>
        <v/>
      </c>
      <c r="H1219" s="16">
        <v>929</v>
      </c>
      <c r="I1219" s="16" t="str">
        <f t="shared" si="392"/>
        <v/>
      </c>
      <c r="J1219" s="209" t="str">
        <f t="shared" si="393"/>
        <v/>
      </c>
      <c r="K1219" s="209" t="str">
        <f t="shared" si="394"/>
        <v/>
      </c>
      <c r="L1219" s="692"/>
      <c r="M1219" s="17" t="str">
        <f t="shared" si="395"/>
        <v/>
      </c>
    </row>
    <row r="1220" spans="1:13" x14ac:dyDescent="0.25">
      <c r="A1220" s="85" t="str">
        <f t="shared" si="385"/>
        <v/>
      </c>
      <c r="B1220" s="296" t="str">
        <f t="shared" si="386"/>
        <v/>
      </c>
      <c r="C1220" s="296" t="str">
        <f t="shared" si="387"/>
        <v/>
      </c>
      <c r="D1220" s="85">
        <f t="shared" si="388"/>
        <v>5</v>
      </c>
      <c r="E1220" s="17" t="str">
        <f t="shared" si="389"/>
        <v/>
      </c>
      <c r="F1220" s="17" t="str">
        <f t="shared" si="390"/>
        <v/>
      </c>
      <c r="G1220" s="17" t="str">
        <f t="shared" si="391"/>
        <v/>
      </c>
      <c r="H1220" s="16">
        <v>930</v>
      </c>
      <c r="I1220" s="16" t="str">
        <f t="shared" si="392"/>
        <v/>
      </c>
      <c r="J1220" s="209" t="str">
        <f t="shared" si="393"/>
        <v/>
      </c>
      <c r="K1220" s="209" t="str">
        <f t="shared" si="394"/>
        <v/>
      </c>
      <c r="L1220" s="692"/>
      <c r="M1220" s="17" t="str">
        <f t="shared" si="395"/>
        <v/>
      </c>
    </row>
    <row r="1221" spans="1:13" x14ac:dyDescent="0.25">
      <c r="A1221" s="85" t="str">
        <f t="shared" si="385"/>
        <v/>
      </c>
      <c r="B1221" s="296" t="str">
        <f t="shared" si="386"/>
        <v/>
      </c>
      <c r="C1221" s="296" t="str">
        <f t="shared" si="387"/>
        <v/>
      </c>
      <c r="D1221" s="85">
        <f t="shared" si="388"/>
        <v>5</v>
      </c>
      <c r="E1221" s="17" t="str">
        <f t="shared" si="389"/>
        <v/>
      </c>
      <c r="F1221" s="17" t="str">
        <f t="shared" si="390"/>
        <v/>
      </c>
      <c r="G1221" s="17" t="str">
        <f t="shared" si="391"/>
        <v/>
      </c>
      <c r="H1221" s="16">
        <v>931</v>
      </c>
      <c r="I1221" s="16" t="str">
        <f t="shared" si="392"/>
        <v/>
      </c>
      <c r="J1221" s="209" t="str">
        <f t="shared" si="393"/>
        <v/>
      </c>
      <c r="K1221" s="209" t="str">
        <f t="shared" si="394"/>
        <v/>
      </c>
      <c r="L1221" s="692"/>
      <c r="M1221" s="17" t="str">
        <f t="shared" si="395"/>
        <v/>
      </c>
    </row>
    <row r="1222" spans="1:13" x14ac:dyDescent="0.25">
      <c r="A1222" s="85" t="str">
        <f t="shared" si="385"/>
        <v/>
      </c>
      <c r="B1222" s="296" t="str">
        <f t="shared" si="386"/>
        <v/>
      </c>
      <c r="C1222" s="296" t="str">
        <f t="shared" si="387"/>
        <v/>
      </c>
      <c r="D1222" s="85">
        <f t="shared" si="388"/>
        <v>5</v>
      </c>
      <c r="E1222" s="17" t="str">
        <f t="shared" si="389"/>
        <v/>
      </c>
      <c r="F1222" s="17" t="str">
        <f t="shared" si="390"/>
        <v/>
      </c>
      <c r="G1222" s="17" t="str">
        <f t="shared" si="391"/>
        <v/>
      </c>
      <c r="H1222" s="16">
        <v>932</v>
      </c>
      <c r="I1222" s="16" t="str">
        <f t="shared" si="392"/>
        <v/>
      </c>
      <c r="J1222" s="209" t="str">
        <f t="shared" si="393"/>
        <v/>
      </c>
      <c r="K1222" s="209" t="str">
        <f t="shared" si="394"/>
        <v/>
      </c>
      <c r="L1222" s="692"/>
      <c r="M1222" s="17" t="str">
        <f t="shared" si="395"/>
        <v/>
      </c>
    </row>
    <row r="1223" spans="1:13" x14ac:dyDescent="0.25">
      <c r="A1223" s="85" t="str">
        <f t="shared" si="385"/>
        <v/>
      </c>
      <c r="B1223" s="296" t="str">
        <f t="shared" si="386"/>
        <v/>
      </c>
      <c r="C1223" s="296" t="str">
        <f t="shared" si="387"/>
        <v/>
      </c>
      <c r="D1223" s="85">
        <f t="shared" si="388"/>
        <v>5</v>
      </c>
      <c r="E1223" s="17" t="str">
        <f t="shared" si="389"/>
        <v/>
      </c>
      <c r="F1223" s="17" t="str">
        <f t="shared" si="390"/>
        <v/>
      </c>
      <c r="G1223" s="17" t="str">
        <f t="shared" si="391"/>
        <v/>
      </c>
      <c r="H1223" s="16">
        <v>933</v>
      </c>
      <c r="I1223" s="16" t="str">
        <f t="shared" si="392"/>
        <v/>
      </c>
      <c r="J1223" s="209" t="str">
        <f t="shared" si="393"/>
        <v/>
      </c>
      <c r="K1223" s="209" t="str">
        <f t="shared" si="394"/>
        <v/>
      </c>
      <c r="L1223" s="692"/>
      <c r="M1223" s="17" t="str">
        <f t="shared" si="395"/>
        <v/>
      </c>
    </row>
    <row r="1224" spans="1:13" x14ac:dyDescent="0.25">
      <c r="A1224" s="85" t="str">
        <f t="shared" si="385"/>
        <v/>
      </c>
      <c r="B1224" s="296" t="str">
        <f t="shared" si="386"/>
        <v/>
      </c>
      <c r="C1224" s="296" t="str">
        <f t="shared" si="387"/>
        <v/>
      </c>
      <c r="D1224" s="85">
        <f t="shared" si="388"/>
        <v>5</v>
      </c>
      <c r="E1224" s="17" t="str">
        <f t="shared" si="389"/>
        <v/>
      </c>
      <c r="F1224" s="17" t="str">
        <f t="shared" si="390"/>
        <v/>
      </c>
      <c r="G1224" s="17" t="str">
        <f t="shared" si="391"/>
        <v/>
      </c>
      <c r="H1224" s="16">
        <v>934</v>
      </c>
      <c r="I1224" s="16" t="str">
        <f t="shared" si="392"/>
        <v/>
      </c>
      <c r="J1224" s="209" t="str">
        <f t="shared" si="393"/>
        <v/>
      </c>
      <c r="K1224" s="209" t="str">
        <f t="shared" si="394"/>
        <v/>
      </c>
      <c r="L1224" s="692"/>
      <c r="M1224" s="17" t="str">
        <f t="shared" si="395"/>
        <v/>
      </c>
    </row>
    <row r="1225" spans="1:13" x14ac:dyDescent="0.25">
      <c r="A1225" s="85" t="str">
        <f t="shared" si="385"/>
        <v/>
      </c>
      <c r="B1225" s="296" t="str">
        <f t="shared" si="386"/>
        <v/>
      </c>
      <c r="C1225" s="296" t="str">
        <f t="shared" si="387"/>
        <v/>
      </c>
      <c r="D1225" s="85">
        <f t="shared" si="388"/>
        <v>5</v>
      </c>
      <c r="E1225" s="17" t="str">
        <f t="shared" si="389"/>
        <v/>
      </c>
      <c r="F1225" s="17" t="str">
        <f t="shared" si="390"/>
        <v/>
      </c>
      <c r="G1225" s="17" t="str">
        <f t="shared" si="391"/>
        <v/>
      </c>
      <c r="H1225" s="16">
        <v>935</v>
      </c>
      <c r="I1225" s="16" t="str">
        <f t="shared" si="392"/>
        <v/>
      </c>
      <c r="J1225" s="209" t="str">
        <f t="shared" si="393"/>
        <v/>
      </c>
      <c r="K1225" s="209" t="str">
        <f t="shared" si="394"/>
        <v/>
      </c>
      <c r="L1225" s="692"/>
      <c r="M1225" s="17" t="str">
        <f t="shared" si="395"/>
        <v/>
      </c>
    </row>
    <row r="1226" spans="1:13" x14ac:dyDescent="0.25">
      <c r="A1226" s="85" t="str">
        <f t="shared" si="385"/>
        <v/>
      </c>
      <c r="B1226" s="296" t="str">
        <f t="shared" si="386"/>
        <v/>
      </c>
      <c r="C1226" s="296" t="str">
        <f t="shared" si="387"/>
        <v/>
      </c>
      <c r="D1226" s="85">
        <f t="shared" si="388"/>
        <v>5</v>
      </c>
      <c r="E1226" s="17" t="str">
        <f t="shared" si="389"/>
        <v/>
      </c>
      <c r="F1226" s="17" t="str">
        <f t="shared" si="390"/>
        <v/>
      </c>
      <c r="G1226" s="17" t="str">
        <f t="shared" si="391"/>
        <v/>
      </c>
      <c r="H1226" s="16">
        <v>936</v>
      </c>
      <c r="I1226" s="16" t="str">
        <f t="shared" si="392"/>
        <v/>
      </c>
      <c r="J1226" s="209" t="str">
        <f t="shared" si="393"/>
        <v/>
      </c>
      <c r="K1226" s="209" t="str">
        <f t="shared" si="394"/>
        <v/>
      </c>
      <c r="L1226" s="692"/>
      <c r="M1226" s="17" t="str">
        <f t="shared" si="395"/>
        <v/>
      </c>
    </row>
    <row r="1227" spans="1:13" x14ac:dyDescent="0.25">
      <c r="A1227" s="85" t="str">
        <f t="shared" si="385"/>
        <v/>
      </c>
      <c r="B1227" s="296" t="str">
        <f t="shared" si="386"/>
        <v/>
      </c>
      <c r="C1227" s="296" t="str">
        <f t="shared" si="387"/>
        <v/>
      </c>
      <c r="D1227" s="85">
        <f t="shared" si="388"/>
        <v>5</v>
      </c>
      <c r="E1227" s="17" t="str">
        <f t="shared" si="389"/>
        <v/>
      </c>
      <c r="F1227" s="17" t="str">
        <f t="shared" si="390"/>
        <v/>
      </c>
      <c r="G1227" s="17" t="str">
        <f t="shared" si="391"/>
        <v/>
      </c>
      <c r="H1227" s="16">
        <v>937</v>
      </c>
      <c r="I1227" s="16" t="str">
        <f t="shared" si="392"/>
        <v/>
      </c>
      <c r="J1227" s="209" t="str">
        <f t="shared" si="393"/>
        <v/>
      </c>
      <c r="K1227" s="209" t="str">
        <f t="shared" si="394"/>
        <v/>
      </c>
      <c r="L1227" s="692"/>
      <c r="M1227" s="17" t="str">
        <f t="shared" si="395"/>
        <v/>
      </c>
    </row>
    <row r="1228" spans="1:13" x14ac:dyDescent="0.25">
      <c r="A1228" s="85" t="str">
        <f t="shared" si="385"/>
        <v/>
      </c>
      <c r="B1228" s="296" t="str">
        <f t="shared" si="386"/>
        <v/>
      </c>
      <c r="C1228" s="296" t="str">
        <f t="shared" si="387"/>
        <v/>
      </c>
      <c r="D1228" s="85">
        <f t="shared" si="388"/>
        <v>5</v>
      </c>
      <c r="E1228" s="17" t="str">
        <f t="shared" si="389"/>
        <v/>
      </c>
      <c r="F1228" s="17" t="str">
        <f t="shared" si="390"/>
        <v/>
      </c>
      <c r="G1228" s="17" t="str">
        <f t="shared" si="391"/>
        <v/>
      </c>
      <c r="H1228" s="16">
        <v>938</v>
      </c>
      <c r="I1228" s="16" t="str">
        <f t="shared" si="392"/>
        <v/>
      </c>
      <c r="J1228" s="209" t="str">
        <f t="shared" si="393"/>
        <v/>
      </c>
      <c r="K1228" s="209" t="str">
        <f t="shared" si="394"/>
        <v/>
      </c>
      <c r="L1228" s="692"/>
      <c r="M1228" s="17" t="str">
        <f t="shared" si="395"/>
        <v/>
      </c>
    </row>
    <row r="1229" spans="1:13" x14ac:dyDescent="0.25">
      <c r="A1229" s="85" t="str">
        <f t="shared" si="385"/>
        <v/>
      </c>
      <c r="B1229" s="296" t="str">
        <f t="shared" si="386"/>
        <v/>
      </c>
      <c r="C1229" s="296" t="str">
        <f t="shared" si="387"/>
        <v/>
      </c>
      <c r="D1229" s="85">
        <f t="shared" si="388"/>
        <v>5</v>
      </c>
      <c r="E1229" s="17" t="str">
        <f t="shared" si="389"/>
        <v/>
      </c>
      <c r="F1229" s="17" t="str">
        <f t="shared" si="390"/>
        <v/>
      </c>
      <c r="G1229" s="17" t="str">
        <f t="shared" si="391"/>
        <v/>
      </c>
      <c r="H1229" s="16">
        <v>939</v>
      </c>
      <c r="I1229" s="16" t="str">
        <f t="shared" si="392"/>
        <v/>
      </c>
      <c r="J1229" s="209" t="str">
        <f t="shared" si="393"/>
        <v/>
      </c>
      <c r="K1229" s="209" t="str">
        <f t="shared" si="394"/>
        <v/>
      </c>
      <c r="L1229" s="692"/>
      <c r="M1229" s="17" t="str">
        <f t="shared" si="395"/>
        <v/>
      </c>
    </row>
    <row r="1230" spans="1:13" x14ac:dyDescent="0.25">
      <c r="A1230" s="85" t="str">
        <f t="shared" si="385"/>
        <v/>
      </c>
      <c r="B1230" s="296" t="str">
        <f t="shared" si="386"/>
        <v/>
      </c>
      <c r="C1230" s="296" t="str">
        <f t="shared" si="387"/>
        <v/>
      </c>
      <c r="D1230" s="85">
        <f t="shared" si="388"/>
        <v>5</v>
      </c>
      <c r="E1230" s="17" t="str">
        <f t="shared" si="389"/>
        <v/>
      </c>
      <c r="F1230" s="17" t="str">
        <f t="shared" si="390"/>
        <v/>
      </c>
      <c r="G1230" s="17" t="str">
        <f t="shared" si="391"/>
        <v/>
      </c>
      <c r="H1230" s="16">
        <v>940</v>
      </c>
      <c r="I1230" s="16" t="str">
        <f t="shared" si="392"/>
        <v/>
      </c>
      <c r="J1230" s="209" t="str">
        <f t="shared" si="393"/>
        <v/>
      </c>
      <c r="K1230" s="209" t="str">
        <f t="shared" si="394"/>
        <v/>
      </c>
      <c r="L1230" s="692"/>
      <c r="M1230" s="17" t="str">
        <f t="shared" si="395"/>
        <v/>
      </c>
    </row>
    <row r="1231" spans="1:13" x14ac:dyDescent="0.25">
      <c r="A1231" s="85" t="str">
        <f t="shared" si="385"/>
        <v/>
      </c>
      <c r="B1231" s="296" t="str">
        <f t="shared" si="386"/>
        <v/>
      </c>
      <c r="C1231" s="296" t="str">
        <f t="shared" si="387"/>
        <v/>
      </c>
      <c r="D1231" s="85">
        <f t="shared" si="388"/>
        <v>5</v>
      </c>
      <c r="E1231" s="17" t="str">
        <f t="shared" si="389"/>
        <v/>
      </c>
      <c r="F1231" s="17" t="str">
        <f t="shared" si="390"/>
        <v/>
      </c>
      <c r="G1231" s="17" t="str">
        <f t="shared" si="391"/>
        <v/>
      </c>
      <c r="H1231" s="16">
        <v>941</v>
      </c>
      <c r="I1231" s="16" t="str">
        <f t="shared" si="392"/>
        <v/>
      </c>
      <c r="J1231" s="209" t="str">
        <f t="shared" si="393"/>
        <v/>
      </c>
      <c r="K1231" s="209" t="str">
        <f t="shared" si="394"/>
        <v/>
      </c>
      <c r="L1231" s="692"/>
      <c r="M1231" s="17" t="str">
        <f t="shared" si="395"/>
        <v/>
      </c>
    </row>
    <row r="1232" spans="1:13" x14ac:dyDescent="0.25">
      <c r="A1232" s="85" t="str">
        <f t="shared" si="385"/>
        <v/>
      </c>
      <c r="B1232" s="296" t="str">
        <f t="shared" si="386"/>
        <v/>
      </c>
      <c r="C1232" s="296" t="str">
        <f t="shared" si="387"/>
        <v/>
      </c>
      <c r="D1232" s="85">
        <f t="shared" si="388"/>
        <v>5</v>
      </c>
      <c r="E1232" s="17" t="str">
        <f t="shared" si="389"/>
        <v/>
      </c>
      <c r="F1232" s="17" t="str">
        <f t="shared" si="390"/>
        <v/>
      </c>
      <c r="G1232" s="17" t="str">
        <f t="shared" si="391"/>
        <v/>
      </c>
      <c r="H1232" s="16">
        <v>942</v>
      </c>
      <c r="I1232" s="16" t="str">
        <f t="shared" si="392"/>
        <v/>
      </c>
      <c r="J1232" s="209" t="str">
        <f t="shared" si="393"/>
        <v/>
      </c>
      <c r="K1232" s="209" t="str">
        <f t="shared" si="394"/>
        <v/>
      </c>
      <c r="L1232" s="692"/>
      <c r="M1232" s="17" t="str">
        <f t="shared" si="395"/>
        <v/>
      </c>
    </row>
    <row r="1233" spans="1:13" x14ac:dyDescent="0.25">
      <c r="A1233" s="85" t="str">
        <f t="shared" si="385"/>
        <v/>
      </c>
      <c r="B1233" s="296" t="str">
        <f t="shared" si="386"/>
        <v/>
      </c>
      <c r="C1233" s="296" t="str">
        <f t="shared" si="387"/>
        <v/>
      </c>
      <c r="D1233" s="85">
        <f t="shared" si="388"/>
        <v>5</v>
      </c>
      <c r="E1233" s="17" t="str">
        <f t="shared" si="389"/>
        <v/>
      </c>
      <c r="F1233" s="17" t="str">
        <f t="shared" si="390"/>
        <v/>
      </c>
      <c r="G1233" s="17" t="str">
        <f t="shared" si="391"/>
        <v/>
      </c>
      <c r="H1233" s="16">
        <v>943</v>
      </c>
      <c r="I1233" s="16" t="str">
        <f t="shared" si="392"/>
        <v/>
      </c>
      <c r="J1233" s="209" t="str">
        <f t="shared" si="393"/>
        <v/>
      </c>
      <c r="K1233" s="209" t="str">
        <f t="shared" si="394"/>
        <v/>
      </c>
      <c r="L1233" s="692"/>
      <c r="M1233" s="17" t="str">
        <f t="shared" si="395"/>
        <v/>
      </c>
    </row>
    <row r="1234" spans="1:13" x14ac:dyDescent="0.25">
      <c r="A1234" s="85" t="str">
        <f t="shared" si="385"/>
        <v/>
      </c>
      <c r="B1234" s="296" t="str">
        <f t="shared" si="386"/>
        <v/>
      </c>
      <c r="C1234" s="296" t="str">
        <f t="shared" si="387"/>
        <v/>
      </c>
      <c r="D1234" s="85">
        <f t="shared" si="388"/>
        <v>5</v>
      </c>
      <c r="E1234" s="17" t="str">
        <f t="shared" si="389"/>
        <v/>
      </c>
      <c r="F1234" s="17" t="str">
        <f t="shared" si="390"/>
        <v/>
      </c>
      <c r="G1234" s="17" t="str">
        <f t="shared" si="391"/>
        <v/>
      </c>
      <c r="H1234" s="16">
        <v>944</v>
      </c>
      <c r="I1234" s="16" t="str">
        <f t="shared" si="392"/>
        <v/>
      </c>
      <c r="J1234" s="209" t="str">
        <f t="shared" si="393"/>
        <v/>
      </c>
      <c r="K1234" s="209" t="str">
        <f t="shared" si="394"/>
        <v/>
      </c>
      <c r="L1234" s="692"/>
      <c r="M1234" s="17" t="str">
        <f t="shared" si="395"/>
        <v/>
      </c>
    </row>
    <row r="1235" spans="1:13" x14ac:dyDescent="0.25">
      <c r="A1235" s="85" t="str">
        <f t="shared" si="385"/>
        <v/>
      </c>
      <c r="B1235" s="296" t="str">
        <f t="shared" si="386"/>
        <v/>
      </c>
      <c r="C1235" s="296" t="str">
        <f t="shared" si="387"/>
        <v/>
      </c>
      <c r="D1235" s="85">
        <f t="shared" si="388"/>
        <v>5</v>
      </c>
      <c r="E1235" s="17" t="str">
        <f t="shared" si="389"/>
        <v/>
      </c>
      <c r="F1235" s="17" t="str">
        <f t="shared" si="390"/>
        <v/>
      </c>
      <c r="G1235" s="17" t="str">
        <f t="shared" si="391"/>
        <v/>
      </c>
      <c r="H1235" s="16">
        <v>945</v>
      </c>
      <c r="I1235" s="16" t="str">
        <f t="shared" si="392"/>
        <v/>
      </c>
      <c r="J1235" s="209" t="str">
        <f t="shared" si="393"/>
        <v/>
      </c>
      <c r="K1235" s="209" t="str">
        <f t="shared" si="394"/>
        <v/>
      </c>
      <c r="L1235" s="692"/>
      <c r="M1235" s="17" t="str">
        <f t="shared" si="395"/>
        <v/>
      </c>
    </row>
    <row r="1236" spans="1:13" x14ac:dyDescent="0.25">
      <c r="A1236" s="85" t="str">
        <f t="shared" si="385"/>
        <v/>
      </c>
      <c r="B1236" s="296" t="str">
        <f t="shared" si="386"/>
        <v/>
      </c>
      <c r="C1236" s="296" t="str">
        <f t="shared" si="387"/>
        <v/>
      </c>
      <c r="D1236" s="85">
        <f t="shared" si="388"/>
        <v>5</v>
      </c>
      <c r="E1236" s="17" t="str">
        <f t="shared" si="389"/>
        <v/>
      </c>
      <c r="F1236" s="17" t="str">
        <f t="shared" si="390"/>
        <v/>
      </c>
      <c r="G1236" s="17" t="str">
        <f t="shared" si="391"/>
        <v/>
      </c>
      <c r="H1236" s="16">
        <v>946</v>
      </c>
      <c r="I1236" s="16" t="str">
        <f t="shared" si="392"/>
        <v/>
      </c>
      <c r="J1236" s="209" t="str">
        <f t="shared" si="393"/>
        <v/>
      </c>
      <c r="K1236" s="209" t="str">
        <f t="shared" si="394"/>
        <v/>
      </c>
      <c r="L1236" s="692"/>
      <c r="M1236" s="17" t="str">
        <f t="shared" si="395"/>
        <v/>
      </c>
    </row>
    <row r="1237" spans="1:13" x14ac:dyDescent="0.25">
      <c r="A1237" s="85" t="str">
        <f t="shared" si="385"/>
        <v/>
      </c>
      <c r="B1237" s="296" t="str">
        <f t="shared" si="386"/>
        <v/>
      </c>
      <c r="C1237" s="296" t="str">
        <f t="shared" si="387"/>
        <v/>
      </c>
      <c r="D1237" s="85">
        <f t="shared" si="388"/>
        <v>5</v>
      </c>
      <c r="E1237" s="17" t="str">
        <f t="shared" si="389"/>
        <v/>
      </c>
      <c r="F1237" s="17" t="str">
        <f t="shared" si="390"/>
        <v/>
      </c>
      <c r="G1237" s="17" t="str">
        <f t="shared" si="391"/>
        <v/>
      </c>
      <c r="H1237" s="16">
        <v>947</v>
      </c>
      <c r="I1237" s="16" t="str">
        <f t="shared" si="392"/>
        <v/>
      </c>
      <c r="J1237" s="209" t="str">
        <f t="shared" si="393"/>
        <v/>
      </c>
      <c r="K1237" s="209" t="str">
        <f t="shared" si="394"/>
        <v/>
      </c>
      <c r="L1237" s="692"/>
      <c r="M1237" s="17" t="str">
        <f t="shared" si="395"/>
        <v/>
      </c>
    </row>
    <row r="1238" spans="1:13" x14ac:dyDescent="0.25">
      <c r="A1238" s="85" t="str">
        <f t="shared" si="385"/>
        <v/>
      </c>
      <c r="B1238" s="296" t="str">
        <f t="shared" si="386"/>
        <v/>
      </c>
      <c r="C1238" s="296" t="str">
        <f t="shared" si="387"/>
        <v/>
      </c>
      <c r="D1238" s="85">
        <f t="shared" si="388"/>
        <v>5</v>
      </c>
      <c r="E1238" s="17" t="str">
        <f t="shared" si="389"/>
        <v/>
      </c>
      <c r="F1238" s="17" t="str">
        <f t="shared" si="390"/>
        <v/>
      </c>
      <c r="G1238" s="17" t="str">
        <f t="shared" si="391"/>
        <v/>
      </c>
      <c r="H1238" s="16">
        <v>948</v>
      </c>
      <c r="I1238" s="16" t="str">
        <f t="shared" si="392"/>
        <v/>
      </c>
      <c r="J1238" s="209" t="str">
        <f t="shared" si="393"/>
        <v/>
      </c>
      <c r="K1238" s="209" t="str">
        <f t="shared" si="394"/>
        <v/>
      </c>
      <c r="L1238" s="692"/>
      <c r="M1238" s="17" t="str">
        <f t="shared" si="395"/>
        <v/>
      </c>
    </row>
    <row r="1239" spans="1:13" x14ac:dyDescent="0.25">
      <c r="A1239" s="85" t="str">
        <f t="shared" si="385"/>
        <v/>
      </c>
      <c r="B1239" s="296" t="str">
        <f t="shared" si="386"/>
        <v/>
      </c>
      <c r="C1239" s="296" t="str">
        <f t="shared" si="387"/>
        <v/>
      </c>
      <c r="D1239" s="85">
        <f t="shared" si="388"/>
        <v>5</v>
      </c>
      <c r="E1239" s="17" t="str">
        <f t="shared" si="389"/>
        <v/>
      </c>
      <c r="F1239" s="17" t="str">
        <f t="shared" si="390"/>
        <v/>
      </c>
      <c r="G1239" s="17" t="str">
        <f t="shared" si="391"/>
        <v/>
      </c>
      <c r="H1239" s="16">
        <v>949</v>
      </c>
      <c r="I1239" s="16" t="str">
        <f t="shared" si="392"/>
        <v/>
      </c>
      <c r="J1239" s="209" t="str">
        <f t="shared" si="393"/>
        <v/>
      </c>
      <c r="K1239" s="209" t="str">
        <f t="shared" si="394"/>
        <v/>
      </c>
      <c r="L1239" s="692"/>
      <c r="M1239" s="17" t="str">
        <f t="shared" si="395"/>
        <v/>
      </c>
    </row>
    <row r="1240" spans="1:13" x14ac:dyDescent="0.25">
      <c r="A1240" s="85" t="str">
        <f t="shared" si="385"/>
        <v/>
      </c>
      <c r="B1240" s="296" t="str">
        <f t="shared" si="386"/>
        <v/>
      </c>
      <c r="C1240" s="296" t="str">
        <f t="shared" si="387"/>
        <v/>
      </c>
      <c r="D1240" s="85">
        <f t="shared" si="388"/>
        <v>5</v>
      </c>
      <c r="E1240" s="17" t="str">
        <f t="shared" si="389"/>
        <v/>
      </c>
      <c r="F1240" s="17" t="str">
        <f t="shared" si="390"/>
        <v/>
      </c>
      <c r="G1240" s="17" t="str">
        <f t="shared" si="391"/>
        <v/>
      </c>
      <c r="H1240" s="16">
        <v>950</v>
      </c>
      <c r="I1240" s="16" t="str">
        <f t="shared" si="392"/>
        <v/>
      </c>
      <c r="J1240" s="209" t="str">
        <f t="shared" si="393"/>
        <v/>
      </c>
      <c r="K1240" s="209" t="str">
        <f t="shared" si="394"/>
        <v/>
      </c>
      <c r="L1240" s="692"/>
      <c r="M1240" s="17" t="str">
        <f t="shared" si="395"/>
        <v/>
      </c>
    </row>
    <row r="1241" spans="1:13" x14ac:dyDescent="0.25">
      <c r="A1241" s="85" t="str">
        <f t="shared" si="385"/>
        <v/>
      </c>
      <c r="B1241" s="296" t="str">
        <f t="shared" si="386"/>
        <v/>
      </c>
      <c r="C1241" s="296" t="str">
        <f t="shared" si="387"/>
        <v/>
      </c>
      <c r="D1241" s="85">
        <f t="shared" si="388"/>
        <v>5</v>
      </c>
      <c r="E1241" s="17" t="str">
        <f t="shared" si="389"/>
        <v/>
      </c>
      <c r="F1241" s="17" t="str">
        <f t="shared" si="390"/>
        <v/>
      </c>
      <c r="G1241" s="17" t="str">
        <f t="shared" si="391"/>
        <v/>
      </c>
      <c r="H1241" s="16">
        <v>951</v>
      </c>
      <c r="I1241" s="16" t="str">
        <f t="shared" si="392"/>
        <v/>
      </c>
      <c r="J1241" s="209" t="str">
        <f t="shared" si="393"/>
        <v/>
      </c>
      <c r="K1241" s="209" t="str">
        <f t="shared" si="394"/>
        <v/>
      </c>
      <c r="L1241" s="692"/>
      <c r="M1241" s="17" t="str">
        <f t="shared" si="395"/>
        <v/>
      </c>
    </row>
    <row r="1242" spans="1:13" x14ac:dyDescent="0.25">
      <c r="A1242" s="85" t="str">
        <f t="shared" si="385"/>
        <v/>
      </c>
      <c r="B1242" s="296" t="str">
        <f t="shared" si="386"/>
        <v/>
      </c>
      <c r="C1242" s="296" t="str">
        <f t="shared" si="387"/>
        <v/>
      </c>
      <c r="D1242" s="85">
        <f t="shared" si="388"/>
        <v>5</v>
      </c>
      <c r="E1242" s="17" t="str">
        <f t="shared" si="389"/>
        <v/>
      </c>
      <c r="F1242" s="17" t="str">
        <f t="shared" si="390"/>
        <v/>
      </c>
      <c r="G1242" s="17" t="str">
        <f t="shared" si="391"/>
        <v/>
      </c>
      <c r="H1242" s="16">
        <v>952</v>
      </c>
      <c r="I1242" s="16" t="str">
        <f t="shared" si="392"/>
        <v/>
      </c>
      <c r="J1242" s="209" t="str">
        <f t="shared" si="393"/>
        <v/>
      </c>
      <c r="K1242" s="209" t="str">
        <f t="shared" si="394"/>
        <v/>
      </c>
      <c r="L1242" s="692"/>
      <c r="M1242" s="17" t="str">
        <f t="shared" si="395"/>
        <v/>
      </c>
    </row>
    <row r="1243" spans="1:13" x14ac:dyDescent="0.25">
      <c r="A1243" s="85" t="str">
        <f t="shared" si="385"/>
        <v/>
      </c>
      <c r="B1243" s="296" t="str">
        <f t="shared" si="386"/>
        <v/>
      </c>
      <c r="C1243" s="296" t="str">
        <f t="shared" si="387"/>
        <v/>
      </c>
      <c r="D1243" s="85">
        <f t="shared" si="388"/>
        <v>5</v>
      </c>
      <c r="E1243" s="17" t="str">
        <f t="shared" si="389"/>
        <v/>
      </c>
      <c r="F1243" s="17" t="str">
        <f t="shared" si="390"/>
        <v/>
      </c>
      <c r="G1243" s="17" t="str">
        <f t="shared" si="391"/>
        <v/>
      </c>
      <c r="H1243" s="16">
        <v>953</v>
      </c>
      <c r="I1243" s="16" t="str">
        <f t="shared" si="392"/>
        <v/>
      </c>
      <c r="J1243" s="209" t="str">
        <f t="shared" si="393"/>
        <v/>
      </c>
      <c r="K1243" s="209" t="str">
        <f t="shared" si="394"/>
        <v/>
      </c>
      <c r="L1243" s="692"/>
      <c r="M1243" s="17" t="str">
        <f t="shared" si="395"/>
        <v/>
      </c>
    </row>
    <row r="1244" spans="1:13" x14ac:dyDescent="0.25">
      <c r="A1244" s="85" t="str">
        <f t="shared" si="385"/>
        <v/>
      </c>
      <c r="B1244" s="296" t="str">
        <f t="shared" si="386"/>
        <v/>
      </c>
      <c r="C1244" s="296" t="str">
        <f t="shared" si="387"/>
        <v/>
      </c>
      <c r="D1244" s="85">
        <f t="shared" si="388"/>
        <v>5</v>
      </c>
      <c r="E1244" s="17" t="str">
        <f t="shared" si="389"/>
        <v/>
      </c>
      <c r="F1244" s="17" t="str">
        <f t="shared" si="390"/>
        <v/>
      </c>
      <c r="G1244" s="17" t="str">
        <f t="shared" si="391"/>
        <v/>
      </c>
      <c r="H1244" s="16">
        <v>954</v>
      </c>
      <c r="I1244" s="16" t="str">
        <f t="shared" si="392"/>
        <v/>
      </c>
      <c r="J1244" s="209" t="str">
        <f t="shared" si="393"/>
        <v/>
      </c>
      <c r="K1244" s="209" t="str">
        <f t="shared" si="394"/>
        <v/>
      </c>
      <c r="L1244" s="692"/>
      <c r="M1244" s="17" t="str">
        <f t="shared" si="395"/>
        <v/>
      </c>
    </row>
    <row r="1245" spans="1:13" x14ac:dyDescent="0.25">
      <c r="A1245" s="85" t="str">
        <f t="shared" si="385"/>
        <v/>
      </c>
      <c r="B1245" s="296" t="str">
        <f t="shared" si="386"/>
        <v/>
      </c>
      <c r="C1245" s="296" t="str">
        <f t="shared" si="387"/>
        <v/>
      </c>
      <c r="D1245" s="85">
        <f t="shared" si="388"/>
        <v>5</v>
      </c>
      <c r="E1245" s="17" t="str">
        <f t="shared" si="389"/>
        <v/>
      </c>
      <c r="F1245" s="17" t="str">
        <f t="shared" si="390"/>
        <v/>
      </c>
      <c r="G1245" s="17" t="str">
        <f t="shared" si="391"/>
        <v/>
      </c>
      <c r="H1245" s="16">
        <v>955</v>
      </c>
      <c r="I1245" s="16" t="str">
        <f t="shared" si="392"/>
        <v/>
      </c>
      <c r="J1245" s="209" t="str">
        <f t="shared" si="393"/>
        <v/>
      </c>
      <c r="K1245" s="209" t="str">
        <f t="shared" si="394"/>
        <v/>
      </c>
      <c r="L1245" s="692"/>
      <c r="M1245" s="17" t="str">
        <f t="shared" si="395"/>
        <v/>
      </c>
    </row>
    <row r="1246" spans="1:13" x14ac:dyDescent="0.25">
      <c r="A1246" s="85" t="str">
        <f t="shared" si="385"/>
        <v/>
      </c>
      <c r="B1246" s="296" t="str">
        <f t="shared" si="386"/>
        <v/>
      </c>
      <c r="C1246" s="296" t="str">
        <f t="shared" si="387"/>
        <v/>
      </c>
      <c r="D1246" s="85">
        <f t="shared" si="388"/>
        <v>5</v>
      </c>
      <c r="E1246" s="17" t="str">
        <f t="shared" si="389"/>
        <v/>
      </c>
      <c r="F1246" s="17" t="str">
        <f t="shared" si="390"/>
        <v/>
      </c>
      <c r="G1246" s="17" t="str">
        <f t="shared" si="391"/>
        <v/>
      </c>
      <c r="H1246" s="16">
        <v>956</v>
      </c>
      <c r="I1246" s="16" t="str">
        <f t="shared" si="392"/>
        <v/>
      </c>
      <c r="J1246" s="209" t="str">
        <f t="shared" si="393"/>
        <v/>
      </c>
      <c r="K1246" s="209" t="str">
        <f t="shared" si="394"/>
        <v/>
      </c>
      <c r="L1246" s="692"/>
      <c r="M1246" s="17" t="str">
        <f t="shared" si="395"/>
        <v/>
      </c>
    </row>
    <row r="1247" spans="1:13" x14ac:dyDescent="0.25">
      <c r="A1247" s="85" t="str">
        <f t="shared" si="385"/>
        <v/>
      </c>
      <c r="B1247" s="296" t="str">
        <f t="shared" si="386"/>
        <v/>
      </c>
      <c r="C1247" s="296" t="str">
        <f t="shared" si="387"/>
        <v/>
      </c>
      <c r="D1247" s="85">
        <f t="shared" si="388"/>
        <v>5</v>
      </c>
      <c r="E1247" s="17" t="str">
        <f t="shared" si="389"/>
        <v/>
      </c>
      <c r="F1247" s="17" t="str">
        <f t="shared" si="390"/>
        <v/>
      </c>
      <c r="G1247" s="17" t="str">
        <f t="shared" si="391"/>
        <v/>
      </c>
      <c r="H1247" s="16">
        <v>957</v>
      </c>
      <c r="I1247" s="16" t="str">
        <f t="shared" si="392"/>
        <v/>
      </c>
      <c r="J1247" s="209" t="str">
        <f t="shared" si="393"/>
        <v/>
      </c>
      <c r="K1247" s="209" t="str">
        <f t="shared" si="394"/>
        <v/>
      </c>
      <c r="L1247" s="692"/>
      <c r="M1247" s="17" t="str">
        <f t="shared" si="395"/>
        <v/>
      </c>
    </row>
    <row r="1248" spans="1:13" x14ac:dyDescent="0.25">
      <c r="A1248" s="85" t="str">
        <f t="shared" si="385"/>
        <v/>
      </c>
      <c r="B1248" s="296" t="str">
        <f t="shared" si="386"/>
        <v/>
      </c>
      <c r="C1248" s="296" t="str">
        <f t="shared" si="387"/>
        <v/>
      </c>
      <c r="D1248" s="85">
        <f t="shared" si="388"/>
        <v>5</v>
      </c>
      <c r="E1248" s="17" t="str">
        <f t="shared" si="389"/>
        <v/>
      </c>
      <c r="F1248" s="17" t="str">
        <f t="shared" si="390"/>
        <v/>
      </c>
      <c r="G1248" s="17" t="str">
        <f t="shared" si="391"/>
        <v/>
      </c>
      <c r="H1248" s="16">
        <v>958</v>
      </c>
      <c r="I1248" s="16" t="str">
        <f t="shared" si="392"/>
        <v/>
      </c>
      <c r="J1248" s="209" t="str">
        <f t="shared" si="393"/>
        <v/>
      </c>
      <c r="K1248" s="209" t="str">
        <f t="shared" si="394"/>
        <v/>
      </c>
      <c r="L1248" s="692"/>
      <c r="M1248" s="17" t="str">
        <f t="shared" si="395"/>
        <v/>
      </c>
    </row>
    <row r="1249" spans="1:13" x14ac:dyDescent="0.25">
      <c r="A1249" s="85" t="str">
        <f t="shared" si="385"/>
        <v/>
      </c>
      <c r="B1249" s="296" t="str">
        <f t="shared" si="386"/>
        <v/>
      </c>
      <c r="C1249" s="296" t="str">
        <f t="shared" si="387"/>
        <v/>
      </c>
      <c r="D1249" s="85">
        <f t="shared" si="388"/>
        <v>5</v>
      </c>
      <c r="E1249" s="17" t="str">
        <f t="shared" si="389"/>
        <v/>
      </c>
      <c r="F1249" s="17" t="str">
        <f t="shared" si="390"/>
        <v/>
      </c>
      <c r="G1249" s="17" t="str">
        <f t="shared" si="391"/>
        <v/>
      </c>
      <c r="H1249" s="16">
        <v>959</v>
      </c>
      <c r="I1249" s="16" t="str">
        <f t="shared" si="392"/>
        <v/>
      </c>
      <c r="J1249" s="209" t="str">
        <f t="shared" si="393"/>
        <v/>
      </c>
      <c r="K1249" s="209" t="str">
        <f t="shared" si="394"/>
        <v/>
      </c>
      <c r="L1249" s="692"/>
      <c r="M1249" s="17" t="str">
        <f t="shared" si="395"/>
        <v/>
      </c>
    </row>
    <row r="1250" spans="1:13" x14ac:dyDescent="0.25">
      <c r="A1250" s="85" t="str">
        <f t="shared" si="385"/>
        <v/>
      </c>
      <c r="B1250" s="296" t="str">
        <f t="shared" si="386"/>
        <v/>
      </c>
      <c r="C1250" s="296" t="str">
        <f t="shared" si="387"/>
        <v/>
      </c>
      <c r="D1250" s="85">
        <f t="shared" si="388"/>
        <v>5</v>
      </c>
      <c r="E1250" s="17" t="str">
        <f t="shared" si="389"/>
        <v/>
      </c>
      <c r="F1250" s="17" t="str">
        <f t="shared" si="390"/>
        <v/>
      </c>
      <c r="G1250" s="17" t="str">
        <f t="shared" si="391"/>
        <v/>
      </c>
      <c r="H1250" s="16">
        <v>960</v>
      </c>
      <c r="I1250" s="16" t="str">
        <f t="shared" si="392"/>
        <v/>
      </c>
      <c r="J1250" s="209" t="str">
        <f t="shared" si="393"/>
        <v/>
      </c>
      <c r="K1250" s="209" t="str">
        <f t="shared" si="394"/>
        <v/>
      </c>
      <c r="L1250" s="692"/>
      <c r="M1250" s="17" t="str">
        <f t="shared" si="395"/>
        <v/>
      </c>
    </row>
    <row r="1251" spans="1:13" x14ac:dyDescent="0.25">
      <c r="A1251" s="85" t="str">
        <f t="shared" si="385"/>
        <v/>
      </c>
      <c r="B1251" s="296" t="str">
        <f t="shared" si="386"/>
        <v/>
      </c>
      <c r="C1251" s="296" t="str">
        <f t="shared" si="387"/>
        <v/>
      </c>
      <c r="D1251" s="85">
        <f t="shared" si="388"/>
        <v>5</v>
      </c>
      <c r="E1251" s="17" t="str">
        <f t="shared" si="389"/>
        <v/>
      </c>
      <c r="F1251" s="17" t="str">
        <f t="shared" si="390"/>
        <v/>
      </c>
      <c r="G1251" s="17" t="str">
        <f t="shared" si="391"/>
        <v/>
      </c>
      <c r="H1251" s="16">
        <v>961</v>
      </c>
      <c r="I1251" s="16" t="str">
        <f t="shared" si="392"/>
        <v/>
      </c>
      <c r="J1251" s="209" t="str">
        <f t="shared" si="393"/>
        <v/>
      </c>
      <c r="K1251" s="209" t="str">
        <f t="shared" si="394"/>
        <v/>
      </c>
      <c r="L1251" s="692"/>
      <c r="M1251" s="17" t="str">
        <f t="shared" si="395"/>
        <v/>
      </c>
    </row>
    <row r="1252" spans="1:13" x14ac:dyDescent="0.25">
      <c r="A1252" s="85" t="str">
        <f t="shared" si="385"/>
        <v/>
      </c>
      <c r="B1252" s="296" t="str">
        <f t="shared" si="386"/>
        <v/>
      </c>
      <c r="C1252" s="296" t="str">
        <f t="shared" si="387"/>
        <v/>
      </c>
      <c r="D1252" s="85">
        <f t="shared" si="388"/>
        <v>5</v>
      </c>
      <c r="E1252" s="17" t="str">
        <f t="shared" si="389"/>
        <v/>
      </c>
      <c r="F1252" s="17" t="str">
        <f t="shared" si="390"/>
        <v/>
      </c>
      <c r="G1252" s="17" t="str">
        <f t="shared" si="391"/>
        <v/>
      </c>
      <c r="H1252" s="16">
        <v>962</v>
      </c>
      <c r="I1252" s="16" t="str">
        <f t="shared" si="392"/>
        <v/>
      </c>
      <c r="J1252" s="209" t="str">
        <f t="shared" si="393"/>
        <v/>
      </c>
      <c r="K1252" s="209" t="str">
        <f t="shared" si="394"/>
        <v/>
      </c>
      <c r="L1252" s="692"/>
      <c r="M1252" s="17" t="str">
        <f t="shared" si="395"/>
        <v/>
      </c>
    </row>
    <row r="1253" spans="1:13" x14ac:dyDescent="0.25">
      <c r="A1253" s="85" t="str">
        <f t="shared" si="385"/>
        <v/>
      </c>
      <c r="B1253" s="296" t="str">
        <f t="shared" si="386"/>
        <v/>
      </c>
      <c r="C1253" s="296" t="str">
        <f t="shared" si="387"/>
        <v/>
      </c>
      <c r="D1253" s="85">
        <f t="shared" si="388"/>
        <v>5</v>
      </c>
      <c r="E1253" s="17" t="str">
        <f t="shared" si="389"/>
        <v/>
      </c>
      <c r="F1253" s="17" t="str">
        <f t="shared" si="390"/>
        <v/>
      </c>
      <c r="G1253" s="17" t="str">
        <f t="shared" si="391"/>
        <v/>
      </c>
      <c r="H1253" s="16">
        <v>963</v>
      </c>
      <c r="I1253" s="16" t="str">
        <f t="shared" si="392"/>
        <v/>
      </c>
      <c r="J1253" s="209" t="str">
        <f t="shared" si="393"/>
        <v/>
      </c>
      <c r="K1253" s="209" t="str">
        <f t="shared" si="394"/>
        <v/>
      </c>
      <c r="L1253" s="692"/>
      <c r="M1253" s="17" t="str">
        <f t="shared" si="395"/>
        <v/>
      </c>
    </row>
    <row r="1254" spans="1:13" x14ac:dyDescent="0.25">
      <c r="A1254" s="85" t="str">
        <f t="shared" si="385"/>
        <v/>
      </c>
      <c r="B1254" s="296" t="str">
        <f t="shared" si="386"/>
        <v/>
      </c>
      <c r="C1254" s="296" t="str">
        <f t="shared" si="387"/>
        <v/>
      </c>
      <c r="D1254" s="85">
        <f t="shared" si="388"/>
        <v>5</v>
      </c>
      <c r="E1254" s="17" t="str">
        <f t="shared" si="389"/>
        <v/>
      </c>
      <c r="F1254" s="17" t="str">
        <f t="shared" si="390"/>
        <v/>
      </c>
      <c r="G1254" s="17" t="str">
        <f t="shared" si="391"/>
        <v/>
      </c>
      <c r="H1254" s="16">
        <v>964</v>
      </c>
      <c r="I1254" s="16" t="str">
        <f t="shared" si="392"/>
        <v/>
      </c>
      <c r="J1254" s="209" t="str">
        <f t="shared" si="393"/>
        <v/>
      </c>
      <c r="K1254" s="209" t="str">
        <f t="shared" si="394"/>
        <v/>
      </c>
      <c r="L1254" s="692"/>
      <c r="M1254" s="17" t="str">
        <f t="shared" si="395"/>
        <v/>
      </c>
    </row>
    <row r="1255" spans="1:13" x14ac:dyDescent="0.25">
      <c r="A1255" s="85" t="str">
        <f t="shared" si="385"/>
        <v/>
      </c>
      <c r="B1255" s="296" t="str">
        <f t="shared" si="386"/>
        <v/>
      </c>
      <c r="C1255" s="296" t="str">
        <f t="shared" si="387"/>
        <v/>
      </c>
      <c r="D1255" s="85">
        <f t="shared" si="388"/>
        <v>5</v>
      </c>
      <c r="E1255" s="17" t="str">
        <f t="shared" si="389"/>
        <v/>
      </c>
      <c r="F1255" s="17" t="str">
        <f t="shared" si="390"/>
        <v/>
      </c>
      <c r="G1255" s="17" t="str">
        <f t="shared" si="391"/>
        <v/>
      </c>
      <c r="H1255" s="16">
        <v>965</v>
      </c>
      <c r="I1255" s="16" t="str">
        <f t="shared" si="392"/>
        <v/>
      </c>
      <c r="J1255" s="209" t="str">
        <f t="shared" si="393"/>
        <v/>
      </c>
      <c r="K1255" s="209" t="str">
        <f t="shared" si="394"/>
        <v/>
      </c>
      <c r="L1255" s="692"/>
      <c r="M1255" s="17" t="str">
        <f t="shared" si="395"/>
        <v/>
      </c>
    </row>
    <row r="1256" spans="1:13" x14ac:dyDescent="0.25">
      <c r="A1256" s="85" t="str">
        <f t="shared" si="385"/>
        <v/>
      </c>
      <c r="B1256" s="296" t="str">
        <f t="shared" si="386"/>
        <v/>
      </c>
      <c r="C1256" s="296" t="str">
        <f t="shared" si="387"/>
        <v/>
      </c>
      <c r="D1256" s="85">
        <f t="shared" si="388"/>
        <v>5</v>
      </c>
      <c r="E1256" s="17" t="str">
        <f t="shared" si="389"/>
        <v/>
      </c>
      <c r="F1256" s="17" t="str">
        <f t="shared" si="390"/>
        <v/>
      </c>
      <c r="G1256" s="17" t="str">
        <f t="shared" si="391"/>
        <v/>
      </c>
      <c r="H1256" s="16">
        <v>966</v>
      </c>
      <c r="I1256" s="16" t="str">
        <f t="shared" si="392"/>
        <v/>
      </c>
      <c r="J1256" s="209" t="str">
        <f t="shared" si="393"/>
        <v/>
      </c>
      <c r="K1256" s="209" t="str">
        <f t="shared" si="394"/>
        <v/>
      </c>
      <c r="L1256" s="692"/>
      <c r="M1256" s="17" t="str">
        <f t="shared" si="395"/>
        <v/>
      </c>
    </row>
    <row r="1257" spans="1:13" x14ac:dyDescent="0.25">
      <c r="A1257" s="85" t="str">
        <f t="shared" si="385"/>
        <v/>
      </c>
      <c r="B1257" s="296" t="str">
        <f t="shared" si="386"/>
        <v/>
      </c>
      <c r="C1257" s="296" t="str">
        <f t="shared" si="387"/>
        <v/>
      </c>
      <c r="D1257" s="85">
        <f t="shared" si="388"/>
        <v>5</v>
      </c>
      <c r="E1257" s="17" t="str">
        <f t="shared" si="389"/>
        <v/>
      </c>
      <c r="F1257" s="17" t="str">
        <f t="shared" si="390"/>
        <v/>
      </c>
      <c r="G1257" s="17" t="str">
        <f t="shared" si="391"/>
        <v/>
      </c>
      <c r="H1257" s="16">
        <v>967</v>
      </c>
      <c r="I1257" s="16" t="str">
        <f t="shared" si="392"/>
        <v/>
      </c>
      <c r="J1257" s="209" t="str">
        <f t="shared" si="393"/>
        <v/>
      </c>
      <c r="K1257" s="209" t="str">
        <f t="shared" si="394"/>
        <v/>
      </c>
      <c r="L1257" s="692"/>
      <c r="M1257" s="17" t="str">
        <f t="shared" si="395"/>
        <v/>
      </c>
    </row>
    <row r="1258" spans="1:13" x14ac:dyDescent="0.25">
      <c r="A1258" s="85" t="str">
        <f t="shared" si="385"/>
        <v/>
      </c>
      <c r="B1258" s="296" t="str">
        <f t="shared" si="386"/>
        <v/>
      </c>
      <c r="C1258" s="296" t="str">
        <f t="shared" si="387"/>
        <v/>
      </c>
      <c r="D1258" s="85">
        <f t="shared" si="388"/>
        <v>5</v>
      </c>
      <c r="E1258" s="17" t="str">
        <f t="shared" si="389"/>
        <v/>
      </c>
      <c r="F1258" s="17" t="str">
        <f t="shared" si="390"/>
        <v/>
      </c>
      <c r="G1258" s="17" t="str">
        <f t="shared" si="391"/>
        <v/>
      </c>
      <c r="H1258" s="16">
        <v>968</v>
      </c>
      <c r="I1258" s="16" t="str">
        <f t="shared" si="392"/>
        <v/>
      </c>
      <c r="J1258" s="209" t="str">
        <f t="shared" si="393"/>
        <v/>
      </c>
      <c r="K1258" s="209" t="str">
        <f t="shared" si="394"/>
        <v/>
      </c>
      <c r="L1258" s="692"/>
      <c r="M1258" s="17" t="str">
        <f t="shared" si="395"/>
        <v/>
      </c>
    </row>
    <row r="1259" spans="1:13" x14ac:dyDescent="0.25">
      <c r="A1259" s="85" t="str">
        <f t="shared" si="385"/>
        <v/>
      </c>
      <c r="B1259" s="296" t="str">
        <f t="shared" si="386"/>
        <v/>
      </c>
      <c r="C1259" s="296" t="str">
        <f t="shared" si="387"/>
        <v/>
      </c>
      <c r="D1259" s="85">
        <f t="shared" si="388"/>
        <v>5</v>
      </c>
      <c r="E1259" s="17" t="str">
        <f t="shared" si="389"/>
        <v/>
      </c>
      <c r="F1259" s="17" t="str">
        <f t="shared" si="390"/>
        <v/>
      </c>
      <c r="G1259" s="17" t="str">
        <f t="shared" si="391"/>
        <v/>
      </c>
      <c r="H1259" s="16">
        <v>969</v>
      </c>
      <c r="I1259" s="16" t="str">
        <f t="shared" si="392"/>
        <v/>
      </c>
      <c r="J1259" s="209" t="str">
        <f t="shared" si="393"/>
        <v/>
      </c>
      <c r="K1259" s="209" t="str">
        <f t="shared" si="394"/>
        <v/>
      </c>
      <c r="L1259" s="692"/>
      <c r="M1259" s="17" t="str">
        <f t="shared" si="395"/>
        <v/>
      </c>
    </row>
    <row r="1260" spans="1:13" x14ac:dyDescent="0.25">
      <c r="A1260" s="85" t="str">
        <f t="shared" si="385"/>
        <v/>
      </c>
      <c r="B1260" s="296" t="str">
        <f t="shared" si="386"/>
        <v/>
      </c>
      <c r="C1260" s="296" t="str">
        <f t="shared" si="387"/>
        <v/>
      </c>
      <c r="D1260" s="85">
        <f t="shared" si="388"/>
        <v>5</v>
      </c>
      <c r="E1260" s="17" t="str">
        <f t="shared" si="389"/>
        <v/>
      </c>
      <c r="F1260" s="17" t="str">
        <f t="shared" si="390"/>
        <v/>
      </c>
      <c r="G1260" s="17" t="str">
        <f t="shared" si="391"/>
        <v/>
      </c>
      <c r="H1260" s="16">
        <v>970</v>
      </c>
      <c r="I1260" s="16" t="str">
        <f t="shared" si="392"/>
        <v/>
      </c>
      <c r="J1260" s="209" t="str">
        <f t="shared" si="393"/>
        <v/>
      </c>
      <c r="K1260" s="209" t="str">
        <f t="shared" si="394"/>
        <v/>
      </c>
      <c r="L1260" s="692"/>
      <c r="M1260" s="17" t="str">
        <f t="shared" si="395"/>
        <v/>
      </c>
    </row>
    <row r="1261" spans="1:13" x14ac:dyDescent="0.25">
      <c r="A1261" s="85" t="str">
        <f t="shared" si="385"/>
        <v/>
      </c>
      <c r="B1261" s="296" t="str">
        <f t="shared" si="386"/>
        <v/>
      </c>
      <c r="C1261" s="296" t="str">
        <f t="shared" si="387"/>
        <v/>
      </c>
      <c r="D1261" s="85">
        <f t="shared" si="388"/>
        <v>5</v>
      </c>
      <c r="E1261" s="17" t="str">
        <f t="shared" si="389"/>
        <v/>
      </c>
      <c r="F1261" s="17" t="str">
        <f t="shared" si="390"/>
        <v/>
      </c>
      <c r="G1261" s="17" t="str">
        <f t="shared" si="391"/>
        <v/>
      </c>
      <c r="H1261" s="16">
        <v>971</v>
      </c>
      <c r="I1261" s="16" t="str">
        <f t="shared" si="392"/>
        <v/>
      </c>
      <c r="J1261" s="209" t="str">
        <f t="shared" si="393"/>
        <v/>
      </c>
      <c r="K1261" s="209" t="str">
        <f t="shared" si="394"/>
        <v/>
      </c>
      <c r="L1261" s="692"/>
      <c r="M1261" s="17" t="str">
        <f t="shared" si="395"/>
        <v/>
      </c>
    </row>
    <row r="1262" spans="1:13" x14ac:dyDescent="0.25">
      <c r="A1262" s="85" t="str">
        <f t="shared" si="385"/>
        <v/>
      </c>
      <c r="B1262" s="296" t="str">
        <f t="shared" si="386"/>
        <v/>
      </c>
      <c r="C1262" s="296" t="str">
        <f t="shared" si="387"/>
        <v/>
      </c>
      <c r="D1262" s="85">
        <f t="shared" si="388"/>
        <v>5</v>
      </c>
      <c r="E1262" s="17" t="str">
        <f t="shared" si="389"/>
        <v/>
      </c>
      <c r="F1262" s="17" t="str">
        <f t="shared" si="390"/>
        <v/>
      </c>
      <c r="G1262" s="17" t="str">
        <f t="shared" si="391"/>
        <v/>
      </c>
      <c r="H1262" s="16">
        <v>972</v>
      </c>
      <c r="I1262" s="16" t="str">
        <f t="shared" si="392"/>
        <v/>
      </c>
      <c r="J1262" s="209" t="str">
        <f t="shared" si="393"/>
        <v/>
      </c>
      <c r="K1262" s="209" t="str">
        <f t="shared" si="394"/>
        <v/>
      </c>
      <c r="L1262" s="692"/>
      <c r="M1262" s="17" t="str">
        <f t="shared" si="395"/>
        <v/>
      </c>
    </row>
    <row r="1263" spans="1:13" x14ac:dyDescent="0.25">
      <c r="A1263" s="85" t="str">
        <f t="shared" si="385"/>
        <v/>
      </c>
      <c r="B1263" s="296" t="str">
        <f t="shared" si="386"/>
        <v/>
      </c>
      <c r="C1263" s="296" t="str">
        <f t="shared" si="387"/>
        <v/>
      </c>
      <c r="D1263" s="85">
        <f t="shared" si="388"/>
        <v>5</v>
      </c>
      <c r="E1263" s="17" t="str">
        <f t="shared" si="389"/>
        <v/>
      </c>
      <c r="F1263" s="17" t="str">
        <f t="shared" si="390"/>
        <v/>
      </c>
      <c r="G1263" s="17" t="str">
        <f t="shared" si="391"/>
        <v/>
      </c>
      <c r="H1263" s="16">
        <v>973</v>
      </c>
      <c r="I1263" s="16" t="str">
        <f t="shared" si="392"/>
        <v/>
      </c>
      <c r="J1263" s="209" t="str">
        <f t="shared" si="393"/>
        <v/>
      </c>
      <c r="K1263" s="209" t="str">
        <f t="shared" si="394"/>
        <v/>
      </c>
      <c r="L1263" s="692"/>
      <c r="M1263" s="17" t="str">
        <f t="shared" si="395"/>
        <v/>
      </c>
    </row>
    <row r="1264" spans="1:13" x14ac:dyDescent="0.25">
      <c r="A1264" s="85" t="str">
        <f t="shared" si="385"/>
        <v/>
      </c>
      <c r="B1264" s="296" t="str">
        <f t="shared" si="386"/>
        <v/>
      </c>
      <c r="C1264" s="296" t="str">
        <f t="shared" si="387"/>
        <v/>
      </c>
      <c r="D1264" s="85">
        <f t="shared" si="388"/>
        <v>5</v>
      </c>
      <c r="E1264" s="17" t="str">
        <f t="shared" si="389"/>
        <v/>
      </c>
      <c r="F1264" s="17" t="str">
        <f t="shared" si="390"/>
        <v/>
      </c>
      <c r="G1264" s="17" t="str">
        <f t="shared" si="391"/>
        <v/>
      </c>
      <c r="H1264" s="16">
        <v>974</v>
      </c>
      <c r="I1264" s="16" t="str">
        <f t="shared" si="392"/>
        <v/>
      </c>
      <c r="J1264" s="209" t="str">
        <f t="shared" si="393"/>
        <v/>
      </c>
      <c r="K1264" s="209" t="str">
        <f t="shared" si="394"/>
        <v/>
      </c>
      <c r="L1264" s="692"/>
      <c r="M1264" s="17" t="str">
        <f t="shared" si="395"/>
        <v/>
      </c>
    </row>
    <row r="1265" spans="1:13" x14ac:dyDescent="0.25">
      <c r="A1265" s="85" t="str">
        <f t="shared" si="385"/>
        <v/>
      </c>
      <c r="B1265" s="296" t="str">
        <f t="shared" si="386"/>
        <v/>
      </c>
      <c r="C1265" s="296" t="str">
        <f t="shared" si="387"/>
        <v/>
      </c>
      <c r="D1265" s="85">
        <f t="shared" si="388"/>
        <v>5</v>
      </c>
      <c r="E1265" s="17" t="str">
        <f t="shared" si="389"/>
        <v/>
      </c>
      <c r="F1265" s="17" t="str">
        <f t="shared" si="390"/>
        <v/>
      </c>
      <c r="G1265" s="17" t="str">
        <f t="shared" si="391"/>
        <v/>
      </c>
      <c r="H1265" s="16">
        <v>975</v>
      </c>
      <c r="I1265" s="16" t="str">
        <f t="shared" si="392"/>
        <v/>
      </c>
      <c r="J1265" s="209" t="str">
        <f t="shared" si="393"/>
        <v/>
      </c>
      <c r="K1265" s="209" t="str">
        <f t="shared" si="394"/>
        <v/>
      </c>
      <c r="L1265" s="692"/>
      <c r="M1265" s="17" t="str">
        <f t="shared" si="395"/>
        <v/>
      </c>
    </row>
    <row r="1266" spans="1:13" x14ac:dyDescent="0.25">
      <c r="A1266" s="85" t="str">
        <f t="shared" ref="A1266:A1289" si="396">IF(A1265&lt;J$269,A1265+1,"")</f>
        <v/>
      </c>
      <c r="B1266" s="296" t="str">
        <f t="shared" ref="B1266:B1289" si="397">IF(A1266="","",IF(A1265&lt;=C$270,B$273+(A1265*E$274/C$269),IF(A1265&lt;=D$270,B$274+(D$275*COS(RADIANS(G$275+((A1265-C$270)*H$276/D$269))))-E$275,IF(A1265&lt;=E$270,B$276+((A1265-D$270)*E$277/E$269),IF(A1265&lt;=F$270,B$277+(D$278*COS(RADIANS(G$278+((A1265-E$270)*H$279/F$269))))-E$278,IF(A1265&lt;=G$270,B$279+((A1265-F$270)*E$280/G$269),IF(A1265&lt;=H$270,B$280+(D$281*COS(RADIANS(G$281+((A1265-G$270)*H$282/H$269))))-E$281,IF(A1265&lt;=I$270,B$282+((A1265-H$270)*E$283/I$269),"CHECK FORMULE"))))))))</f>
        <v/>
      </c>
      <c r="C1266" s="296" t="str">
        <f t="shared" ref="C1266:C1289" si="398">IF(A1266="","",IF(A1265&lt;=C$270,C$273+(A1265*F$274/C$269),IF(A1265&lt;=D$270,C$274+(D$275*SIN(RADIANS(G$275+((A1265-C$270)*H$276/D$269))))-F$275,IF(A1265&lt;=E$270,C$276+((A1265-D$270)*F$277/E$269),IF(A1265&lt;=F$270,C$277+(D$278*SIN(RADIANS(G$278+((A1265-E$270)*H$279/F$269))))-F$278,IF(A1265&lt;=G$270,C$279+((A1265-F$270)*F$280/G$269),IF(A1265&lt;=H$270,C$280+(D$281*SIN(RADIANS(G$281+((A1265-G$270)*H$282/H$269))))-F$281,IF(A1265&lt;=I$270,C$282+((A1265-H$270)*F$283/I$269),"CHECK FORMULE"))))))))</f>
        <v/>
      </c>
      <c r="D1266" s="85">
        <f t="shared" ref="D1266:D1289" si="399">_xlfn.SINGLE(_xlfn.XLOOKUP(B1266,B$273:B$284,A$273:A$284,D1265))</f>
        <v>5</v>
      </c>
      <c r="E1266" s="17" t="str">
        <f t="shared" ref="E1266:E1289" si="400">IF(A1266="","",B1266-B1265)</f>
        <v/>
      </c>
      <c r="F1266" s="17" t="str">
        <f t="shared" ref="F1266:F1289" si="401">IF(A1266="","",C1266-C1265)</f>
        <v/>
      </c>
      <c r="G1266" s="17" t="str">
        <f t="shared" ref="G1266:G1289" si="402">IF(E1266="","",B1266&amp;","&amp;C1266)</f>
        <v/>
      </c>
      <c r="H1266" s="16">
        <v>976</v>
      </c>
      <c r="I1266" s="16" t="str">
        <f t="shared" ref="I1266:I1289" si="403">IF(J1266="","",I1265+1)</f>
        <v/>
      </c>
      <c r="J1266" s="209" t="str">
        <f t="shared" ref="J1266:J1289" si="404">IF(E1266="","",(E1266^2+F1266^2)^0.5)</f>
        <v/>
      </c>
      <c r="K1266" s="209" t="str">
        <f t="shared" ref="K1266:K1289" si="405">IF(E1266="","",K1265+J1266)</f>
        <v/>
      </c>
      <c r="L1266" s="692"/>
      <c r="M1266" s="17" t="str">
        <f t="shared" ref="M1266:M1289" si="406">IF(L1266="","",K1266&amp;","&amp;L1266)</f>
        <v/>
      </c>
    </row>
    <row r="1267" spans="1:13" x14ac:dyDescent="0.25">
      <c r="A1267" s="85" t="str">
        <f t="shared" si="396"/>
        <v/>
      </c>
      <c r="B1267" s="296" t="str">
        <f t="shared" si="397"/>
        <v/>
      </c>
      <c r="C1267" s="296" t="str">
        <f t="shared" si="398"/>
        <v/>
      </c>
      <c r="D1267" s="85">
        <f t="shared" si="399"/>
        <v>5</v>
      </c>
      <c r="E1267" s="17" t="str">
        <f t="shared" si="400"/>
        <v/>
      </c>
      <c r="F1267" s="17" t="str">
        <f t="shared" si="401"/>
        <v/>
      </c>
      <c r="G1267" s="17" t="str">
        <f t="shared" si="402"/>
        <v/>
      </c>
      <c r="H1267" s="16">
        <v>977</v>
      </c>
      <c r="I1267" s="16" t="str">
        <f t="shared" si="403"/>
        <v/>
      </c>
      <c r="J1267" s="209" t="str">
        <f t="shared" si="404"/>
        <v/>
      </c>
      <c r="K1267" s="209" t="str">
        <f t="shared" si="405"/>
        <v/>
      </c>
      <c r="L1267" s="692"/>
      <c r="M1267" s="17" t="str">
        <f t="shared" si="406"/>
        <v/>
      </c>
    </row>
    <row r="1268" spans="1:13" x14ac:dyDescent="0.25">
      <c r="A1268" s="85" t="str">
        <f t="shared" si="396"/>
        <v/>
      </c>
      <c r="B1268" s="296" t="str">
        <f t="shared" si="397"/>
        <v/>
      </c>
      <c r="C1268" s="296" t="str">
        <f t="shared" si="398"/>
        <v/>
      </c>
      <c r="D1268" s="85">
        <f t="shared" si="399"/>
        <v>5</v>
      </c>
      <c r="E1268" s="17" t="str">
        <f t="shared" si="400"/>
        <v/>
      </c>
      <c r="F1268" s="17" t="str">
        <f t="shared" si="401"/>
        <v/>
      </c>
      <c r="G1268" s="17" t="str">
        <f t="shared" si="402"/>
        <v/>
      </c>
      <c r="H1268" s="16">
        <v>978</v>
      </c>
      <c r="I1268" s="16" t="str">
        <f t="shared" si="403"/>
        <v/>
      </c>
      <c r="J1268" s="209" t="str">
        <f t="shared" si="404"/>
        <v/>
      </c>
      <c r="K1268" s="209" t="str">
        <f t="shared" si="405"/>
        <v/>
      </c>
      <c r="L1268" s="692"/>
      <c r="M1268" s="17" t="str">
        <f t="shared" si="406"/>
        <v/>
      </c>
    </row>
    <row r="1269" spans="1:13" x14ac:dyDescent="0.25">
      <c r="A1269" s="85" t="str">
        <f t="shared" si="396"/>
        <v/>
      </c>
      <c r="B1269" s="296" t="str">
        <f t="shared" si="397"/>
        <v/>
      </c>
      <c r="C1269" s="296" t="str">
        <f t="shared" si="398"/>
        <v/>
      </c>
      <c r="D1269" s="85">
        <f t="shared" si="399"/>
        <v>5</v>
      </c>
      <c r="E1269" s="17" t="str">
        <f t="shared" si="400"/>
        <v/>
      </c>
      <c r="F1269" s="17" t="str">
        <f t="shared" si="401"/>
        <v/>
      </c>
      <c r="G1269" s="17" t="str">
        <f t="shared" si="402"/>
        <v/>
      </c>
      <c r="H1269" s="16">
        <v>979</v>
      </c>
      <c r="I1269" s="16" t="str">
        <f t="shared" si="403"/>
        <v/>
      </c>
      <c r="J1269" s="209" t="str">
        <f t="shared" si="404"/>
        <v/>
      </c>
      <c r="K1269" s="209" t="str">
        <f t="shared" si="405"/>
        <v/>
      </c>
      <c r="L1269" s="692"/>
      <c r="M1269" s="17" t="str">
        <f t="shared" si="406"/>
        <v/>
      </c>
    </row>
    <row r="1270" spans="1:13" x14ac:dyDescent="0.25">
      <c r="A1270" s="85" t="str">
        <f t="shared" si="396"/>
        <v/>
      </c>
      <c r="B1270" s="296" t="str">
        <f t="shared" si="397"/>
        <v/>
      </c>
      <c r="C1270" s="296" t="str">
        <f t="shared" si="398"/>
        <v/>
      </c>
      <c r="D1270" s="85">
        <f t="shared" si="399"/>
        <v>5</v>
      </c>
      <c r="E1270" s="17" t="str">
        <f t="shared" si="400"/>
        <v/>
      </c>
      <c r="F1270" s="17" t="str">
        <f t="shared" si="401"/>
        <v/>
      </c>
      <c r="G1270" s="17" t="str">
        <f t="shared" si="402"/>
        <v/>
      </c>
      <c r="H1270" s="16">
        <v>980</v>
      </c>
      <c r="I1270" s="16" t="str">
        <f t="shared" si="403"/>
        <v/>
      </c>
      <c r="J1270" s="209" t="str">
        <f t="shared" si="404"/>
        <v/>
      </c>
      <c r="K1270" s="209" t="str">
        <f t="shared" si="405"/>
        <v/>
      </c>
      <c r="L1270" s="692"/>
      <c r="M1270" s="17" t="str">
        <f t="shared" si="406"/>
        <v/>
      </c>
    </row>
    <row r="1271" spans="1:13" x14ac:dyDescent="0.25">
      <c r="A1271" s="85" t="str">
        <f t="shared" si="396"/>
        <v/>
      </c>
      <c r="B1271" s="296" t="str">
        <f t="shared" si="397"/>
        <v/>
      </c>
      <c r="C1271" s="296" t="str">
        <f t="shared" si="398"/>
        <v/>
      </c>
      <c r="D1271" s="85">
        <f t="shared" si="399"/>
        <v>5</v>
      </c>
      <c r="E1271" s="17" t="str">
        <f t="shared" si="400"/>
        <v/>
      </c>
      <c r="F1271" s="17" t="str">
        <f t="shared" si="401"/>
        <v/>
      </c>
      <c r="G1271" s="17" t="str">
        <f t="shared" si="402"/>
        <v/>
      </c>
      <c r="H1271" s="16">
        <v>981</v>
      </c>
      <c r="I1271" s="16" t="str">
        <f t="shared" si="403"/>
        <v/>
      </c>
      <c r="J1271" s="209" t="str">
        <f t="shared" si="404"/>
        <v/>
      </c>
      <c r="K1271" s="209" t="str">
        <f t="shared" si="405"/>
        <v/>
      </c>
      <c r="L1271" s="692"/>
      <c r="M1271" s="17" t="str">
        <f t="shared" si="406"/>
        <v/>
      </c>
    </row>
    <row r="1272" spans="1:13" x14ac:dyDescent="0.25">
      <c r="A1272" s="85" t="str">
        <f t="shared" si="396"/>
        <v/>
      </c>
      <c r="B1272" s="296" t="str">
        <f t="shared" si="397"/>
        <v/>
      </c>
      <c r="C1272" s="296" t="str">
        <f t="shared" si="398"/>
        <v/>
      </c>
      <c r="D1272" s="85">
        <f t="shared" si="399"/>
        <v>5</v>
      </c>
      <c r="E1272" s="17" t="str">
        <f t="shared" si="400"/>
        <v/>
      </c>
      <c r="F1272" s="17" t="str">
        <f t="shared" si="401"/>
        <v/>
      </c>
      <c r="G1272" s="17" t="str">
        <f t="shared" si="402"/>
        <v/>
      </c>
      <c r="H1272" s="16">
        <v>982</v>
      </c>
      <c r="I1272" s="16" t="str">
        <f t="shared" si="403"/>
        <v/>
      </c>
      <c r="J1272" s="209" t="str">
        <f t="shared" si="404"/>
        <v/>
      </c>
      <c r="K1272" s="209" t="str">
        <f t="shared" si="405"/>
        <v/>
      </c>
      <c r="L1272" s="692"/>
      <c r="M1272" s="17" t="str">
        <f t="shared" si="406"/>
        <v/>
      </c>
    </row>
    <row r="1273" spans="1:13" x14ac:dyDescent="0.25">
      <c r="A1273" s="85" t="str">
        <f t="shared" si="396"/>
        <v/>
      </c>
      <c r="B1273" s="296" t="str">
        <f t="shared" si="397"/>
        <v/>
      </c>
      <c r="C1273" s="296" t="str">
        <f t="shared" si="398"/>
        <v/>
      </c>
      <c r="D1273" s="85">
        <f t="shared" si="399"/>
        <v>5</v>
      </c>
      <c r="E1273" s="17" t="str">
        <f t="shared" si="400"/>
        <v/>
      </c>
      <c r="F1273" s="17" t="str">
        <f t="shared" si="401"/>
        <v/>
      </c>
      <c r="G1273" s="17" t="str">
        <f t="shared" si="402"/>
        <v/>
      </c>
      <c r="H1273" s="16">
        <v>983</v>
      </c>
      <c r="I1273" s="16" t="str">
        <f t="shared" si="403"/>
        <v/>
      </c>
      <c r="J1273" s="209" t="str">
        <f t="shared" si="404"/>
        <v/>
      </c>
      <c r="K1273" s="209" t="str">
        <f t="shared" si="405"/>
        <v/>
      </c>
      <c r="L1273" s="692"/>
      <c r="M1273" s="17" t="str">
        <f t="shared" si="406"/>
        <v/>
      </c>
    </row>
    <row r="1274" spans="1:13" x14ac:dyDescent="0.25">
      <c r="A1274" s="85" t="str">
        <f t="shared" si="396"/>
        <v/>
      </c>
      <c r="B1274" s="296" t="str">
        <f t="shared" si="397"/>
        <v/>
      </c>
      <c r="C1274" s="296" t="str">
        <f t="shared" si="398"/>
        <v/>
      </c>
      <c r="D1274" s="85">
        <f t="shared" si="399"/>
        <v>5</v>
      </c>
      <c r="E1274" s="17" t="str">
        <f t="shared" si="400"/>
        <v/>
      </c>
      <c r="F1274" s="17" t="str">
        <f t="shared" si="401"/>
        <v/>
      </c>
      <c r="G1274" s="17" t="str">
        <f t="shared" si="402"/>
        <v/>
      </c>
      <c r="H1274" s="16">
        <v>984</v>
      </c>
      <c r="I1274" s="16" t="str">
        <f t="shared" si="403"/>
        <v/>
      </c>
      <c r="J1274" s="209" t="str">
        <f t="shared" si="404"/>
        <v/>
      </c>
      <c r="K1274" s="209" t="str">
        <f t="shared" si="405"/>
        <v/>
      </c>
      <c r="L1274" s="692"/>
      <c r="M1274" s="17" t="str">
        <f t="shared" si="406"/>
        <v/>
      </c>
    </row>
    <row r="1275" spans="1:13" x14ac:dyDescent="0.25">
      <c r="A1275" s="85" t="str">
        <f t="shared" si="396"/>
        <v/>
      </c>
      <c r="B1275" s="296" t="str">
        <f t="shared" si="397"/>
        <v/>
      </c>
      <c r="C1275" s="296" t="str">
        <f t="shared" si="398"/>
        <v/>
      </c>
      <c r="D1275" s="85">
        <f t="shared" si="399"/>
        <v>5</v>
      </c>
      <c r="E1275" s="17" t="str">
        <f t="shared" si="400"/>
        <v/>
      </c>
      <c r="F1275" s="17" t="str">
        <f t="shared" si="401"/>
        <v/>
      </c>
      <c r="G1275" s="17" t="str">
        <f t="shared" si="402"/>
        <v/>
      </c>
      <c r="H1275" s="16">
        <v>985</v>
      </c>
      <c r="I1275" s="16" t="str">
        <f t="shared" si="403"/>
        <v/>
      </c>
      <c r="J1275" s="209" t="str">
        <f t="shared" si="404"/>
        <v/>
      </c>
      <c r="K1275" s="209" t="str">
        <f t="shared" si="405"/>
        <v/>
      </c>
      <c r="L1275" s="692"/>
      <c r="M1275" s="17" t="str">
        <f t="shared" si="406"/>
        <v/>
      </c>
    </row>
    <row r="1276" spans="1:13" x14ac:dyDescent="0.25">
      <c r="A1276" s="85" t="str">
        <f t="shared" si="396"/>
        <v/>
      </c>
      <c r="B1276" s="296" t="str">
        <f t="shared" si="397"/>
        <v/>
      </c>
      <c r="C1276" s="296" t="str">
        <f t="shared" si="398"/>
        <v/>
      </c>
      <c r="D1276" s="85">
        <f t="shared" si="399"/>
        <v>5</v>
      </c>
      <c r="E1276" s="17" t="str">
        <f t="shared" si="400"/>
        <v/>
      </c>
      <c r="F1276" s="17" t="str">
        <f t="shared" si="401"/>
        <v/>
      </c>
      <c r="G1276" s="17" t="str">
        <f t="shared" si="402"/>
        <v/>
      </c>
      <c r="H1276" s="16">
        <v>986</v>
      </c>
      <c r="I1276" s="16" t="str">
        <f t="shared" si="403"/>
        <v/>
      </c>
      <c r="J1276" s="209" t="str">
        <f t="shared" si="404"/>
        <v/>
      </c>
      <c r="K1276" s="209" t="str">
        <f t="shared" si="405"/>
        <v/>
      </c>
      <c r="L1276" s="692"/>
      <c r="M1276" s="17" t="str">
        <f t="shared" si="406"/>
        <v/>
      </c>
    </row>
    <row r="1277" spans="1:13" x14ac:dyDescent="0.25">
      <c r="A1277" s="85" t="str">
        <f t="shared" si="396"/>
        <v/>
      </c>
      <c r="B1277" s="296" t="str">
        <f t="shared" si="397"/>
        <v/>
      </c>
      <c r="C1277" s="296" t="str">
        <f t="shared" si="398"/>
        <v/>
      </c>
      <c r="D1277" s="85">
        <f t="shared" si="399"/>
        <v>5</v>
      </c>
      <c r="E1277" s="17" t="str">
        <f t="shared" si="400"/>
        <v/>
      </c>
      <c r="F1277" s="17" t="str">
        <f t="shared" si="401"/>
        <v/>
      </c>
      <c r="G1277" s="17" t="str">
        <f t="shared" si="402"/>
        <v/>
      </c>
      <c r="H1277" s="16">
        <v>987</v>
      </c>
      <c r="I1277" s="16" t="str">
        <f t="shared" si="403"/>
        <v/>
      </c>
      <c r="J1277" s="209" t="str">
        <f t="shared" si="404"/>
        <v/>
      </c>
      <c r="K1277" s="209" t="str">
        <f t="shared" si="405"/>
        <v/>
      </c>
      <c r="L1277" s="692"/>
      <c r="M1277" s="17" t="str">
        <f t="shared" si="406"/>
        <v/>
      </c>
    </row>
    <row r="1278" spans="1:13" x14ac:dyDescent="0.25">
      <c r="A1278" s="85" t="str">
        <f t="shared" si="396"/>
        <v/>
      </c>
      <c r="B1278" s="296" t="str">
        <f t="shared" si="397"/>
        <v/>
      </c>
      <c r="C1278" s="296" t="str">
        <f t="shared" si="398"/>
        <v/>
      </c>
      <c r="D1278" s="85">
        <f t="shared" si="399"/>
        <v>5</v>
      </c>
      <c r="E1278" s="17" t="str">
        <f t="shared" si="400"/>
        <v/>
      </c>
      <c r="F1278" s="17" t="str">
        <f t="shared" si="401"/>
        <v/>
      </c>
      <c r="G1278" s="17" t="str">
        <f t="shared" si="402"/>
        <v/>
      </c>
      <c r="H1278" s="16">
        <v>988</v>
      </c>
      <c r="I1278" s="16" t="str">
        <f t="shared" si="403"/>
        <v/>
      </c>
      <c r="J1278" s="209" t="str">
        <f t="shared" si="404"/>
        <v/>
      </c>
      <c r="K1278" s="209" t="str">
        <f t="shared" si="405"/>
        <v/>
      </c>
      <c r="L1278" s="692"/>
      <c r="M1278" s="17" t="str">
        <f t="shared" si="406"/>
        <v/>
      </c>
    </row>
    <row r="1279" spans="1:13" x14ac:dyDescent="0.25">
      <c r="A1279" s="85" t="str">
        <f t="shared" si="396"/>
        <v/>
      </c>
      <c r="B1279" s="296" t="str">
        <f t="shared" si="397"/>
        <v/>
      </c>
      <c r="C1279" s="296" t="str">
        <f t="shared" si="398"/>
        <v/>
      </c>
      <c r="D1279" s="85">
        <f t="shared" si="399"/>
        <v>5</v>
      </c>
      <c r="E1279" s="17" t="str">
        <f t="shared" si="400"/>
        <v/>
      </c>
      <c r="F1279" s="17" t="str">
        <f t="shared" si="401"/>
        <v/>
      </c>
      <c r="G1279" s="17" t="str">
        <f t="shared" si="402"/>
        <v/>
      </c>
      <c r="H1279" s="16">
        <v>989</v>
      </c>
      <c r="I1279" s="16" t="str">
        <f t="shared" si="403"/>
        <v/>
      </c>
      <c r="J1279" s="209" t="str">
        <f t="shared" si="404"/>
        <v/>
      </c>
      <c r="K1279" s="209" t="str">
        <f t="shared" si="405"/>
        <v/>
      </c>
      <c r="L1279" s="692"/>
      <c r="M1279" s="17" t="str">
        <f t="shared" si="406"/>
        <v/>
      </c>
    </row>
    <row r="1280" spans="1:13" x14ac:dyDescent="0.25">
      <c r="A1280" s="85" t="str">
        <f t="shared" si="396"/>
        <v/>
      </c>
      <c r="B1280" s="296" t="str">
        <f t="shared" si="397"/>
        <v/>
      </c>
      <c r="C1280" s="296" t="str">
        <f t="shared" si="398"/>
        <v/>
      </c>
      <c r="D1280" s="85">
        <f t="shared" si="399"/>
        <v>5</v>
      </c>
      <c r="E1280" s="17" t="str">
        <f t="shared" si="400"/>
        <v/>
      </c>
      <c r="F1280" s="17" t="str">
        <f t="shared" si="401"/>
        <v/>
      </c>
      <c r="G1280" s="17" t="str">
        <f t="shared" si="402"/>
        <v/>
      </c>
      <c r="H1280" s="16">
        <v>990</v>
      </c>
      <c r="I1280" s="16" t="str">
        <f t="shared" si="403"/>
        <v/>
      </c>
      <c r="J1280" s="209" t="str">
        <f t="shared" si="404"/>
        <v/>
      </c>
      <c r="K1280" s="209" t="str">
        <f t="shared" si="405"/>
        <v/>
      </c>
      <c r="L1280" s="692"/>
      <c r="M1280" s="17" t="str">
        <f t="shared" si="406"/>
        <v/>
      </c>
    </row>
    <row r="1281" spans="1:14" x14ac:dyDescent="0.25">
      <c r="A1281" s="85" t="str">
        <f t="shared" si="396"/>
        <v/>
      </c>
      <c r="B1281" s="296" t="str">
        <f t="shared" si="397"/>
        <v/>
      </c>
      <c r="C1281" s="296" t="str">
        <f t="shared" si="398"/>
        <v/>
      </c>
      <c r="D1281" s="85">
        <f t="shared" si="399"/>
        <v>5</v>
      </c>
      <c r="E1281" s="17" t="str">
        <f t="shared" si="400"/>
        <v/>
      </c>
      <c r="F1281" s="17" t="str">
        <f t="shared" si="401"/>
        <v/>
      </c>
      <c r="G1281" s="17" t="str">
        <f t="shared" si="402"/>
        <v/>
      </c>
      <c r="H1281" s="16">
        <v>991</v>
      </c>
      <c r="I1281" s="16" t="str">
        <f t="shared" si="403"/>
        <v/>
      </c>
      <c r="J1281" s="209" t="str">
        <f t="shared" si="404"/>
        <v/>
      </c>
      <c r="K1281" s="209" t="str">
        <f t="shared" si="405"/>
        <v/>
      </c>
      <c r="L1281" s="692"/>
      <c r="M1281" s="17" t="str">
        <f t="shared" si="406"/>
        <v/>
      </c>
    </row>
    <row r="1282" spans="1:14" x14ac:dyDescent="0.25">
      <c r="A1282" s="85" t="str">
        <f t="shared" si="396"/>
        <v/>
      </c>
      <c r="B1282" s="296" t="str">
        <f t="shared" si="397"/>
        <v/>
      </c>
      <c r="C1282" s="296" t="str">
        <f t="shared" si="398"/>
        <v/>
      </c>
      <c r="D1282" s="85">
        <f t="shared" si="399"/>
        <v>5</v>
      </c>
      <c r="E1282" s="17" t="str">
        <f t="shared" si="400"/>
        <v/>
      </c>
      <c r="F1282" s="17" t="str">
        <f t="shared" si="401"/>
        <v/>
      </c>
      <c r="G1282" s="17" t="str">
        <f t="shared" si="402"/>
        <v/>
      </c>
      <c r="H1282" s="16">
        <v>992</v>
      </c>
      <c r="I1282" s="16" t="str">
        <f t="shared" si="403"/>
        <v/>
      </c>
      <c r="J1282" s="209" t="str">
        <f t="shared" si="404"/>
        <v/>
      </c>
      <c r="K1282" s="209" t="str">
        <f t="shared" si="405"/>
        <v/>
      </c>
      <c r="L1282" s="692"/>
      <c r="M1282" s="17" t="str">
        <f t="shared" si="406"/>
        <v/>
      </c>
    </row>
    <row r="1283" spans="1:14" x14ac:dyDescent="0.25">
      <c r="A1283" s="85" t="str">
        <f t="shared" si="396"/>
        <v/>
      </c>
      <c r="B1283" s="296" t="str">
        <f t="shared" si="397"/>
        <v/>
      </c>
      <c r="C1283" s="296" t="str">
        <f t="shared" si="398"/>
        <v/>
      </c>
      <c r="D1283" s="85">
        <f t="shared" si="399"/>
        <v>5</v>
      </c>
      <c r="E1283" s="17" t="str">
        <f t="shared" si="400"/>
        <v/>
      </c>
      <c r="F1283" s="17" t="str">
        <f t="shared" si="401"/>
        <v/>
      </c>
      <c r="G1283" s="17" t="str">
        <f t="shared" si="402"/>
        <v/>
      </c>
      <c r="H1283" s="16">
        <v>993</v>
      </c>
      <c r="I1283" s="16" t="str">
        <f t="shared" si="403"/>
        <v/>
      </c>
      <c r="J1283" s="209" t="str">
        <f t="shared" si="404"/>
        <v/>
      </c>
      <c r="K1283" s="209" t="str">
        <f t="shared" si="405"/>
        <v/>
      </c>
      <c r="L1283" s="692"/>
      <c r="M1283" s="17" t="str">
        <f t="shared" si="406"/>
        <v/>
      </c>
    </row>
    <row r="1284" spans="1:14" x14ac:dyDescent="0.25">
      <c r="A1284" s="85" t="str">
        <f t="shared" si="396"/>
        <v/>
      </c>
      <c r="B1284" s="296" t="str">
        <f t="shared" si="397"/>
        <v/>
      </c>
      <c r="C1284" s="296" t="str">
        <f t="shared" si="398"/>
        <v/>
      </c>
      <c r="D1284" s="85">
        <f t="shared" si="399"/>
        <v>5</v>
      </c>
      <c r="E1284" s="17" t="str">
        <f t="shared" si="400"/>
        <v/>
      </c>
      <c r="F1284" s="17" t="str">
        <f t="shared" si="401"/>
        <v/>
      </c>
      <c r="G1284" s="17" t="str">
        <f t="shared" si="402"/>
        <v/>
      </c>
      <c r="H1284" s="16">
        <v>994</v>
      </c>
      <c r="I1284" s="16" t="str">
        <f t="shared" si="403"/>
        <v/>
      </c>
      <c r="J1284" s="209" t="str">
        <f t="shared" si="404"/>
        <v/>
      </c>
      <c r="K1284" s="209" t="str">
        <f t="shared" si="405"/>
        <v/>
      </c>
      <c r="L1284" s="692"/>
      <c r="M1284" s="17" t="str">
        <f t="shared" si="406"/>
        <v/>
      </c>
    </row>
    <row r="1285" spans="1:14" x14ac:dyDescent="0.25">
      <c r="A1285" s="85" t="str">
        <f t="shared" si="396"/>
        <v/>
      </c>
      <c r="B1285" s="296" t="str">
        <f t="shared" si="397"/>
        <v/>
      </c>
      <c r="C1285" s="296" t="str">
        <f t="shared" si="398"/>
        <v/>
      </c>
      <c r="D1285" s="85">
        <f t="shared" si="399"/>
        <v>5</v>
      </c>
      <c r="E1285" s="17" t="str">
        <f t="shared" si="400"/>
        <v/>
      </c>
      <c r="F1285" s="17" t="str">
        <f t="shared" si="401"/>
        <v/>
      </c>
      <c r="G1285" s="17" t="str">
        <f t="shared" si="402"/>
        <v/>
      </c>
      <c r="H1285" s="16">
        <v>995</v>
      </c>
      <c r="I1285" s="16" t="str">
        <f t="shared" si="403"/>
        <v/>
      </c>
      <c r="J1285" s="209" t="str">
        <f t="shared" si="404"/>
        <v/>
      </c>
      <c r="K1285" s="209" t="str">
        <f t="shared" si="405"/>
        <v/>
      </c>
      <c r="L1285" s="692"/>
      <c r="M1285" s="17" t="str">
        <f t="shared" si="406"/>
        <v/>
      </c>
    </row>
    <row r="1286" spans="1:14" x14ac:dyDescent="0.25">
      <c r="A1286" s="85" t="str">
        <f t="shared" si="396"/>
        <v/>
      </c>
      <c r="B1286" s="296" t="str">
        <f t="shared" si="397"/>
        <v/>
      </c>
      <c r="C1286" s="296" t="str">
        <f t="shared" si="398"/>
        <v/>
      </c>
      <c r="D1286" s="85">
        <f t="shared" si="399"/>
        <v>5</v>
      </c>
      <c r="E1286" s="17" t="str">
        <f t="shared" si="400"/>
        <v/>
      </c>
      <c r="F1286" s="17" t="str">
        <f t="shared" si="401"/>
        <v/>
      </c>
      <c r="G1286" s="17" t="str">
        <f t="shared" si="402"/>
        <v/>
      </c>
      <c r="H1286" s="16">
        <v>996</v>
      </c>
      <c r="I1286" s="16" t="str">
        <f t="shared" si="403"/>
        <v/>
      </c>
      <c r="J1286" s="209" t="str">
        <f t="shared" si="404"/>
        <v/>
      </c>
      <c r="K1286" s="209" t="str">
        <f t="shared" si="405"/>
        <v/>
      </c>
      <c r="L1286" s="692"/>
      <c r="M1286" s="17" t="str">
        <f t="shared" si="406"/>
        <v/>
      </c>
    </row>
    <row r="1287" spans="1:14" x14ac:dyDescent="0.25">
      <c r="A1287" s="85" t="str">
        <f t="shared" si="396"/>
        <v/>
      </c>
      <c r="B1287" s="296" t="str">
        <f t="shared" si="397"/>
        <v/>
      </c>
      <c r="C1287" s="296" t="str">
        <f t="shared" si="398"/>
        <v/>
      </c>
      <c r="D1287" s="85">
        <f t="shared" si="399"/>
        <v>5</v>
      </c>
      <c r="E1287" s="17" t="str">
        <f t="shared" si="400"/>
        <v/>
      </c>
      <c r="F1287" s="17" t="str">
        <f t="shared" si="401"/>
        <v/>
      </c>
      <c r="G1287" s="17" t="str">
        <f t="shared" si="402"/>
        <v/>
      </c>
      <c r="H1287" s="16">
        <v>997</v>
      </c>
      <c r="I1287" s="16" t="str">
        <f t="shared" si="403"/>
        <v/>
      </c>
      <c r="J1287" s="209" t="str">
        <f t="shared" si="404"/>
        <v/>
      </c>
      <c r="K1287" s="209" t="str">
        <f t="shared" si="405"/>
        <v/>
      </c>
      <c r="L1287" s="692"/>
      <c r="M1287" s="17" t="str">
        <f t="shared" si="406"/>
        <v/>
      </c>
    </row>
    <row r="1288" spans="1:14" x14ac:dyDescent="0.25">
      <c r="A1288" s="85" t="str">
        <f t="shared" si="396"/>
        <v/>
      </c>
      <c r="B1288" s="296" t="str">
        <f t="shared" si="397"/>
        <v/>
      </c>
      <c r="C1288" s="296" t="str">
        <f t="shared" si="398"/>
        <v/>
      </c>
      <c r="D1288" s="85">
        <f t="shared" si="399"/>
        <v>5</v>
      </c>
      <c r="E1288" s="17" t="str">
        <f t="shared" si="400"/>
        <v/>
      </c>
      <c r="F1288" s="17" t="str">
        <f t="shared" si="401"/>
        <v/>
      </c>
      <c r="G1288" s="17" t="str">
        <f t="shared" si="402"/>
        <v/>
      </c>
      <c r="H1288" s="16">
        <v>998</v>
      </c>
      <c r="I1288" s="16" t="str">
        <f t="shared" si="403"/>
        <v/>
      </c>
      <c r="J1288" s="209" t="str">
        <f t="shared" si="404"/>
        <v/>
      </c>
      <c r="K1288" s="209" t="str">
        <f t="shared" si="405"/>
        <v/>
      </c>
      <c r="L1288" s="692"/>
      <c r="M1288" s="17" t="str">
        <f t="shared" si="406"/>
        <v/>
      </c>
    </row>
    <row r="1289" spans="1:14" x14ac:dyDescent="0.25">
      <c r="A1289" s="85" t="str">
        <f t="shared" si="396"/>
        <v/>
      </c>
      <c r="B1289" s="296" t="str">
        <f t="shared" si="397"/>
        <v/>
      </c>
      <c r="C1289" s="296" t="str">
        <f t="shared" si="398"/>
        <v/>
      </c>
      <c r="D1289" s="85">
        <f t="shared" si="399"/>
        <v>5</v>
      </c>
      <c r="E1289" s="17" t="str">
        <f t="shared" si="400"/>
        <v/>
      </c>
      <c r="F1289" s="17" t="str">
        <f t="shared" si="401"/>
        <v/>
      </c>
      <c r="G1289" s="17" t="str">
        <f t="shared" si="402"/>
        <v/>
      </c>
      <c r="H1289" s="16">
        <v>999</v>
      </c>
      <c r="I1289" s="16" t="str">
        <f t="shared" si="403"/>
        <v/>
      </c>
      <c r="J1289" s="209" t="str">
        <f t="shared" si="404"/>
        <v/>
      </c>
      <c r="K1289" s="209" t="str">
        <f t="shared" si="405"/>
        <v/>
      </c>
      <c r="L1289" s="692"/>
      <c r="M1289" s="17" t="str">
        <f t="shared" si="406"/>
        <v/>
      </c>
    </row>
    <row r="1290" spans="1:14" x14ac:dyDescent="0.25">
      <c r="A1290" s="85" t="str">
        <f t="shared" ref="A1290:A1291" si="407">IF(A1289&lt;J$269,A1289+1,"")</f>
        <v/>
      </c>
      <c r="B1290" s="296" t="str">
        <f t="shared" ref="B1290:B1291" si="408">IF(A1290="","",IF(A1289&lt;=C$270,B$273+(A1289*E$274/C$269),IF(A1289&lt;=D$270,B$274+(D$275*COS(RADIANS(G$275+((A1289-C$270)*H$276/D$269))))-E$275,IF(A1289&lt;=E$270,B$276+((A1289-D$270)*E$277/E$269),IF(A1289&lt;=F$270,B$277+(D$278*COS(RADIANS(G$278+((A1289-E$270)*H$279/F$269))))-E$278,IF(A1289&lt;=G$270,B$279+((A1289-F$270)*E$280/G$269),IF(A1289&lt;=H$270,B$280+(D$281*COS(RADIANS(G$281+((A1289-G$270)*H$282/H$269))))-E$281,IF(A1289&lt;=I$270,B$282+((A1289-H$270)*E$283/I$269),"CHECK FORMULE"))))))))</f>
        <v/>
      </c>
      <c r="C1290" s="296" t="str">
        <f t="shared" ref="C1290:C1291" si="409">IF(A1290="","",IF(A1289&lt;=C$270,C$273+(A1289*F$274/C$269),IF(A1289&lt;=D$270,C$274+(D$275*SIN(RADIANS(G$275+((A1289-C$270)*H$276/D$269))))-F$275,IF(A1289&lt;=E$270,C$276+((A1289-D$270)*F$277/E$269),IF(A1289&lt;=F$270,C$277+(D$278*SIN(RADIANS(G$278+((A1289-E$270)*H$279/F$269))))-F$278,IF(A1289&lt;=G$270,C$279+((A1289-F$270)*F$280/G$269),IF(A1289&lt;=H$270,C$280+(D$281*SIN(RADIANS(G$281+((A1289-G$270)*H$282/H$269))))-F$281,IF(A1289&lt;=I$270,C$282+((A1289-H$270)*F$283/I$269),"CHECK FORMULE"))))))))</f>
        <v/>
      </c>
      <c r="D1290" s="85">
        <f t="shared" ref="D1290:D1291" si="410">_xlfn.SINGLE(_xlfn.XLOOKUP(B1290,B$273:B$284,A$273:A$284,D1289))</f>
        <v>5</v>
      </c>
      <c r="E1290" s="17" t="str">
        <f t="shared" ref="E1290:E1291" si="411">IF(A1290="","",B1290-B1289)</f>
        <v/>
      </c>
      <c r="F1290" s="17" t="str">
        <f t="shared" ref="F1290:F1291" si="412">IF(A1290="","",C1290-C1289)</f>
        <v/>
      </c>
      <c r="G1290" s="17" t="str">
        <f t="shared" ref="G1290:G1291" si="413">IF(E1290="","",B1290&amp;","&amp;C1290)</f>
        <v/>
      </c>
      <c r="H1290" s="16">
        <v>1000</v>
      </c>
      <c r="I1290" s="16" t="str">
        <f t="shared" ref="I1290:I1291" si="414">IF(J1290="","",I1289+1)</f>
        <v/>
      </c>
      <c r="J1290" s="209" t="str">
        <f t="shared" ref="J1290:J1291" si="415">IF(E1290="","",(E1290^2+F1290^2)^0.5)</f>
        <v/>
      </c>
      <c r="K1290" s="209" t="str">
        <f t="shared" ref="K1290:K1291" si="416">IF(E1290="","",K1289+J1290)</f>
        <v/>
      </c>
      <c r="L1290" s="692"/>
      <c r="M1290" s="17" t="str">
        <f t="shared" ref="M1290:M1291" si="417">IF(L1290="","",K1290&amp;","&amp;L1290)</f>
        <v/>
      </c>
    </row>
    <row r="1291" spans="1:14" x14ac:dyDescent="0.25">
      <c r="A1291" s="85" t="str">
        <f t="shared" si="407"/>
        <v/>
      </c>
      <c r="B1291" s="296" t="str">
        <f t="shared" si="408"/>
        <v/>
      </c>
      <c r="C1291" s="296" t="str">
        <f t="shared" si="409"/>
        <v/>
      </c>
      <c r="D1291" s="85">
        <f t="shared" si="410"/>
        <v>5</v>
      </c>
      <c r="E1291" s="17" t="str">
        <f t="shared" si="411"/>
        <v/>
      </c>
      <c r="F1291" s="17" t="str">
        <f t="shared" si="412"/>
        <v/>
      </c>
      <c r="G1291" s="17" t="str">
        <f t="shared" si="413"/>
        <v/>
      </c>
      <c r="H1291" s="16">
        <v>1001</v>
      </c>
      <c r="I1291" s="16" t="str">
        <f t="shared" si="414"/>
        <v/>
      </c>
      <c r="J1291" s="209" t="str">
        <f t="shared" si="415"/>
        <v/>
      </c>
      <c r="K1291" s="209" t="str">
        <f t="shared" si="416"/>
        <v/>
      </c>
      <c r="L1291" s="692"/>
      <c r="M1291" s="17" t="str">
        <f t="shared" si="417"/>
        <v/>
      </c>
      <c r="N1291" s="212" t="s">
        <v>468</v>
      </c>
    </row>
    <row r="1292" spans="1:14" x14ac:dyDescent="0.25">
      <c r="I1292" s="16">
        <f>MAX(I291:I1291)</f>
        <v>566</v>
      </c>
      <c r="K1292" s="16">
        <f>MAX(K291:K1291)</f>
        <v>226.72268661384163</v>
      </c>
    </row>
    <row r="1299" spans="10:12" x14ac:dyDescent="0.25">
      <c r="K1299" s="768" t="s">
        <v>1076</v>
      </c>
      <c r="L1299" s="756" t="s">
        <v>1061</v>
      </c>
    </row>
    <row r="1300" spans="10:12" x14ac:dyDescent="0.25">
      <c r="J1300" s="16">
        <v>1</v>
      </c>
      <c r="K1300" s="193" t="s">
        <v>1115</v>
      </c>
      <c r="L1300" s="193">
        <f>[1]Sheet1!$L291</f>
        <v>8.0596609115600586</v>
      </c>
    </row>
    <row r="1301" spans="10:12" x14ac:dyDescent="0.25">
      <c r="J1301" s="16">
        <v>2</v>
      </c>
      <c r="K1301" s="193" t="s">
        <v>1115</v>
      </c>
      <c r="L1301" s="193">
        <f>[1]Sheet1!$L292</f>
        <v>8.0377130508422852</v>
      </c>
    </row>
    <row r="1302" spans="10:12" x14ac:dyDescent="0.25">
      <c r="J1302" s="16">
        <v>3</v>
      </c>
      <c r="K1302" s="193" t="s">
        <v>1115</v>
      </c>
      <c r="L1302" s="193">
        <f>[1]Sheet1!$L293</f>
        <v>8.0256404876708984</v>
      </c>
    </row>
    <row r="1303" spans="10:12" x14ac:dyDescent="0.25">
      <c r="J1303" s="16">
        <v>4</v>
      </c>
      <c r="K1303" s="193" t="s">
        <v>1115</v>
      </c>
      <c r="L1303" s="193">
        <f>[1]Sheet1!$L294</f>
        <v>8.0136289596557617</v>
      </c>
    </row>
    <row r="1304" spans="10:12" x14ac:dyDescent="0.25">
      <c r="J1304" s="16">
        <v>5</v>
      </c>
      <c r="K1304" s="193">
        <v>-1.9978382587432859</v>
      </c>
      <c r="L1304" s="193">
        <f>[1]Sheet1!$L295</f>
        <v>8.0395832061767578</v>
      </c>
    </row>
    <row r="1305" spans="10:12" x14ac:dyDescent="0.25">
      <c r="J1305" s="16">
        <v>6</v>
      </c>
      <c r="K1305" s="193">
        <v>-1.8297938450471181</v>
      </c>
      <c r="L1305" s="193">
        <f>[1]Sheet1!$L296</f>
        <v>8.055262565612793</v>
      </c>
    </row>
    <row r="1306" spans="10:12" x14ac:dyDescent="0.25">
      <c r="J1306" s="16">
        <v>7</v>
      </c>
      <c r="K1306" s="193">
        <v>-1.671944141387939</v>
      </c>
      <c r="L1306" s="193">
        <f>[1]Sheet1!$L297</f>
        <v>8.0507755279541016</v>
      </c>
    </row>
    <row r="1307" spans="10:12" x14ac:dyDescent="0.25">
      <c r="J1307" s="16">
        <v>8</v>
      </c>
      <c r="K1307" s="193">
        <v>-1.4434263200437241</v>
      </c>
      <c r="L1307" s="193">
        <f>[1]Sheet1!$L298</f>
        <v>8.0440282821655273</v>
      </c>
    </row>
    <row r="1308" spans="10:12" x14ac:dyDescent="0.25">
      <c r="J1308" s="16">
        <v>9</v>
      </c>
      <c r="K1308" s="193">
        <v>-1.187628086193802</v>
      </c>
      <c r="L1308" s="193">
        <f>[1]Sheet1!$L299</f>
        <v>8.0518321990966797</v>
      </c>
    </row>
    <row r="1309" spans="10:12" x14ac:dyDescent="0.25">
      <c r="J1309" s="16">
        <v>10</v>
      </c>
      <c r="K1309" s="193">
        <v>-0.87710845451350727</v>
      </c>
      <c r="L1309" s="193">
        <f>[1]Sheet1!$L300</f>
        <v>8.0597448348999023</v>
      </c>
    </row>
    <row r="1310" spans="10:12" x14ac:dyDescent="0.25">
      <c r="J1310" s="16">
        <v>11</v>
      </c>
      <c r="K1310" s="193">
        <v>-0.84601497650146484</v>
      </c>
      <c r="L1310" s="193">
        <f>[1]Sheet1!$L301</f>
        <v>8.0798606872558594</v>
      </c>
    </row>
    <row r="1311" spans="10:12" x14ac:dyDescent="0.25">
      <c r="J1311" s="16">
        <v>12</v>
      </c>
      <c r="K1311" s="193">
        <v>-0.65786963701248169</v>
      </c>
      <c r="L1311" s="193">
        <f>[1]Sheet1!$L302</f>
        <v>8.0843734741210938</v>
      </c>
    </row>
    <row r="1312" spans="10:12" x14ac:dyDescent="0.25">
      <c r="J1312" s="16">
        <v>13</v>
      </c>
      <c r="K1312" s="193">
        <v>-0.62514269613591888</v>
      </c>
      <c r="L1312" s="193">
        <f>[1]Sheet1!$L303</f>
        <v>8.0480108261108398</v>
      </c>
    </row>
    <row r="1313" spans="10:12" x14ac:dyDescent="0.25">
      <c r="J1313" s="16">
        <v>14</v>
      </c>
      <c r="K1313" s="193">
        <v>-0.61965709074306086</v>
      </c>
      <c r="L1313" s="193">
        <f>[1]Sheet1!$L304</f>
        <v>8.0388994216918945</v>
      </c>
    </row>
    <row r="1314" spans="10:12" x14ac:dyDescent="0.25">
      <c r="J1314" s="16">
        <v>15</v>
      </c>
      <c r="K1314" s="193">
        <v>-0.68903938088778893</v>
      </c>
      <c r="L1314" s="193">
        <f>[1]Sheet1!$L305</f>
        <v>8.0480623245239258</v>
      </c>
    </row>
    <row r="1315" spans="10:12" x14ac:dyDescent="0.25">
      <c r="J1315" s="16">
        <v>16</v>
      </c>
      <c r="K1315" s="193">
        <v>-0.6674494743347168</v>
      </c>
      <c r="L1315" s="193">
        <f>[1]Sheet1!$L306</f>
        <v>8.0435113906860352</v>
      </c>
    </row>
    <row r="1316" spans="10:12" x14ac:dyDescent="0.25">
      <c r="J1316" s="16">
        <v>17</v>
      </c>
      <c r="K1316" s="193">
        <v>-0.65966558273861309</v>
      </c>
      <c r="L1316" s="193">
        <f>[1]Sheet1!$L307</f>
        <v>8.0235271453857422</v>
      </c>
    </row>
    <row r="1317" spans="10:12" x14ac:dyDescent="0.25">
      <c r="J1317" s="16">
        <v>18</v>
      </c>
      <c r="K1317" s="193">
        <v>-0.63537421251184489</v>
      </c>
      <c r="L1317" s="193">
        <f>[1]Sheet1!$L308</f>
        <v>8.0147800445556641</v>
      </c>
    </row>
    <row r="1318" spans="10:12" x14ac:dyDescent="0.25">
      <c r="J1318" s="16">
        <v>19</v>
      </c>
      <c r="K1318" s="193">
        <v>-0.67931068830213281</v>
      </c>
      <c r="L1318" s="193">
        <f>[1]Sheet1!$L309</f>
        <v>8.0083045959472656</v>
      </c>
    </row>
    <row r="1319" spans="10:12" x14ac:dyDescent="0.25">
      <c r="J1319" s="16">
        <v>20</v>
      </c>
      <c r="K1319" s="193">
        <v>-0.68293457018281534</v>
      </c>
      <c r="L1319" s="193">
        <f>[1]Sheet1!$L310</f>
        <v>7.997467041015625</v>
      </c>
    </row>
    <row r="1320" spans="10:12" x14ac:dyDescent="0.25">
      <c r="J1320" s="16">
        <v>21</v>
      </c>
      <c r="K1320" s="193">
        <v>-0.70059384753200349</v>
      </c>
      <c r="L1320" s="193">
        <f>[1]Sheet1!$L311</f>
        <v>7.9852237701416016</v>
      </c>
    </row>
    <row r="1321" spans="10:12" x14ac:dyDescent="0.25">
      <c r="J1321" s="16">
        <v>22</v>
      </c>
      <c r="K1321" s="193">
        <v>-0.74055324461936112</v>
      </c>
      <c r="L1321" s="193">
        <f>[1]Sheet1!$L312</f>
        <v>7.9797511100769043</v>
      </c>
    </row>
    <row r="1322" spans="10:12" x14ac:dyDescent="0.25">
      <c r="J1322" s="16">
        <v>23</v>
      </c>
      <c r="K1322" s="193">
        <v>-0.76806783676147461</v>
      </c>
      <c r="L1322" s="193">
        <f>[1]Sheet1!$L313</f>
        <v>7.9650321006774902</v>
      </c>
    </row>
    <row r="1323" spans="10:12" x14ac:dyDescent="0.25">
      <c r="J1323" s="16">
        <v>24</v>
      </c>
      <c r="K1323" s="193">
        <v>-0.78886242626406422</v>
      </c>
      <c r="L1323" s="193">
        <f>[1]Sheet1!$L314</f>
        <v>7.9596829414367676</v>
      </c>
    </row>
    <row r="1324" spans="10:12" x14ac:dyDescent="0.25">
      <c r="J1324" s="16">
        <v>25</v>
      </c>
      <c r="K1324" s="193">
        <v>-0.80379041108322535</v>
      </c>
      <c r="L1324" s="193">
        <f>[1]Sheet1!$L315</f>
        <v>7.9544668197631836</v>
      </c>
    </row>
    <row r="1325" spans="10:12" x14ac:dyDescent="0.25">
      <c r="J1325" s="16">
        <v>26</v>
      </c>
      <c r="K1325" s="193">
        <v>-0.85297727889083053</v>
      </c>
      <c r="L1325" s="193">
        <f>[1]Sheet1!$L316</f>
        <v>7.9445805549621582</v>
      </c>
    </row>
    <row r="1326" spans="10:12" x14ac:dyDescent="0.25">
      <c r="J1326" s="16">
        <v>27</v>
      </c>
      <c r="K1326" s="193">
        <v>-0.88761270046234131</v>
      </c>
      <c r="L1326" s="193">
        <f>[1]Sheet1!$L317</f>
        <v>7.9367280006408691</v>
      </c>
    </row>
    <row r="1327" spans="10:12" x14ac:dyDescent="0.25">
      <c r="J1327" s="16">
        <v>28</v>
      </c>
      <c r="K1327" s="193">
        <v>-0.95418759972023681</v>
      </c>
      <c r="L1327" s="193">
        <f>[1]Sheet1!$L318</f>
        <v>7.8967432975769043</v>
      </c>
    </row>
    <row r="1328" spans="10:12" x14ac:dyDescent="0.25">
      <c r="J1328" s="16">
        <v>29</v>
      </c>
      <c r="K1328" s="193">
        <v>-0.95222330996162885</v>
      </c>
      <c r="L1328" s="193">
        <f>[1]Sheet1!$L319</f>
        <v>7.8955755233764648</v>
      </c>
    </row>
    <row r="1329" spans="10:12" x14ac:dyDescent="0.25">
      <c r="J1329" s="16">
        <v>30</v>
      </c>
      <c r="K1329" s="193">
        <v>-0.98043603343157903</v>
      </c>
      <c r="L1329" s="193">
        <f>[1]Sheet1!$L320</f>
        <v>7.8798661231994629</v>
      </c>
    </row>
    <row r="1330" spans="10:12" x14ac:dyDescent="0.25">
      <c r="J1330" s="16">
        <v>31</v>
      </c>
      <c r="K1330" s="193">
        <v>-1.024144320102945</v>
      </c>
      <c r="L1330" s="193">
        <f>[1]Sheet1!$L321</f>
        <v>7.8677430152893066</v>
      </c>
    </row>
    <row r="1331" spans="10:12" x14ac:dyDescent="0.25">
      <c r="J1331" s="16">
        <v>32</v>
      </c>
      <c r="K1331" s="193">
        <v>-1.043515086174011</v>
      </c>
      <c r="L1331" s="193">
        <f>[1]Sheet1!$L322</f>
        <v>7.8515744209289551</v>
      </c>
    </row>
    <row r="1332" spans="10:12" x14ac:dyDescent="0.25">
      <c r="J1332" s="16">
        <v>33</v>
      </c>
      <c r="K1332" s="193">
        <v>-1.1096415438764899</v>
      </c>
      <c r="L1332" s="193">
        <f>[1]Sheet1!$L323</f>
        <v>7.8329925537109384</v>
      </c>
    </row>
    <row r="1333" spans="10:12" x14ac:dyDescent="0.25">
      <c r="J1333" s="16">
        <v>34</v>
      </c>
      <c r="K1333" s="193">
        <v>-1.129165396780176</v>
      </c>
      <c r="L1333" s="193">
        <f>[1]Sheet1!$L324</f>
        <v>7.8197407722473136</v>
      </c>
    </row>
    <row r="1334" spans="10:12" x14ac:dyDescent="0.25">
      <c r="J1334" s="16">
        <v>35</v>
      </c>
      <c r="K1334" s="193">
        <v>-1.1612773535951859</v>
      </c>
      <c r="L1334" s="193">
        <f>[1]Sheet1!$L325</f>
        <v>7.7853598594665527</v>
      </c>
    </row>
    <row r="1335" spans="10:12" x14ac:dyDescent="0.25">
      <c r="J1335" s="16">
        <v>36</v>
      </c>
      <c r="K1335" s="193">
        <v>-1.1720612049102781</v>
      </c>
      <c r="L1335" s="193">
        <f>[1]Sheet1!$L326</f>
        <v>7.7558841705322266</v>
      </c>
    </row>
    <row r="1336" spans="10:12" x14ac:dyDescent="0.25">
      <c r="J1336" s="16">
        <v>37</v>
      </c>
      <c r="K1336" s="193">
        <v>-1.1833704710006709</v>
      </c>
      <c r="L1336" s="193">
        <f>[1]Sheet1!$L327</f>
        <v>7.7135558128356934</v>
      </c>
    </row>
    <row r="1337" spans="10:12" x14ac:dyDescent="0.25">
      <c r="J1337" s="16">
        <v>38</v>
      </c>
      <c r="K1337" s="193">
        <v>-1.2019622813117581</v>
      </c>
      <c r="L1337" s="193">
        <f>[1]Sheet1!$L328</f>
        <v>7.6670403480529794</v>
      </c>
    </row>
    <row r="1338" spans="10:12" x14ac:dyDescent="0.25">
      <c r="J1338" s="16">
        <v>39</v>
      </c>
      <c r="K1338" s="193">
        <v>-1.202278638711888</v>
      </c>
      <c r="L1338" s="193">
        <f>[1]Sheet1!$L329</f>
        <v>7.6195430755615234</v>
      </c>
    </row>
    <row r="1339" spans="10:12" x14ac:dyDescent="0.25">
      <c r="J1339" s="16">
        <v>40</v>
      </c>
      <c r="K1339" s="193">
        <v>-1.201105036125627</v>
      </c>
      <c r="L1339" s="193">
        <f>[1]Sheet1!$L330</f>
        <v>7.5846772193908691</v>
      </c>
    </row>
    <row r="1340" spans="10:12" x14ac:dyDescent="0.25">
      <c r="J1340" s="16">
        <v>41</v>
      </c>
      <c r="K1340" s="193">
        <v>-1.189508318901062</v>
      </c>
      <c r="L1340" s="193">
        <f>[1]Sheet1!$L331</f>
        <v>7.5596156120300293</v>
      </c>
    </row>
    <row r="1341" spans="10:12" x14ac:dyDescent="0.25">
      <c r="J1341" s="16">
        <v>42</v>
      </c>
      <c r="K1341" s="193">
        <v>-1.170015119606628</v>
      </c>
      <c r="L1341" s="193">
        <f>[1]Sheet1!$L332</f>
        <v>7.5261993408203116</v>
      </c>
    </row>
    <row r="1342" spans="10:12" x14ac:dyDescent="0.25">
      <c r="J1342" s="16">
        <v>43</v>
      </c>
      <c r="K1342" s="193">
        <v>-1.132902744790528</v>
      </c>
      <c r="L1342" s="193">
        <f>[1]Sheet1!$L333</f>
        <v>7.492823600769043</v>
      </c>
    </row>
    <row r="1343" spans="10:12" x14ac:dyDescent="0.25">
      <c r="J1343" s="16">
        <v>44</v>
      </c>
      <c r="K1343" s="193">
        <v>-1.1180970611259149</v>
      </c>
      <c r="L1343" s="193">
        <f>[1]Sheet1!$L334</f>
        <v>7.4569258689880371</v>
      </c>
    </row>
    <row r="1344" spans="10:12" x14ac:dyDescent="0.25">
      <c r="J1344" s="16">
        <v>45</v>
      </c>
      <c r="K1344" s="193">
        <v>-1.1474906206130979</v>
      </c>
      <c r="L1344" s="193">
        <f>[1]Sheet1!$L335</f>
        <v>7.4181342124938956</v>
      </c>
    </row>
    <row r="1345" spans="10:12" x14ac:dyDescent="0.25">
      <c r="J1345" s="16">
        <v>46</v>
      </c>
      <c r="K1345" s="193">
        <v>-1.1348029519111</v>
      </c>
      <c r="L1345" s="193">
        <f>[1]Sheet1!$L336</f>
        <v>7.3696713447570801</v>
      </c>
    </row>
    <row r="1346" spans="10:12" x14ac:dyDescent="0.25">
      <c r="J1346" s="16">
        <v>47</v>
      </c>
      <c r="K1346" s="193">
        <v>-1.1415424940586369</v>
      </c>
      <c r="L1346" s="193">
        <f>[1]Sheet1!$L337</f>
        <v>7.3106913566589364</v>
      </c>
    </row>
    <row r="1347" spans="10:12" x14ac:dyDescent="0.25">
      <c r="J1347" s="16">
        <v>48</v>
      </c>
      <c r="K1347" s="193">
        <v>-1.1182830333709719</v>
      </c>
      <c r="L1347" s="193">
        <f>[1]Sheet1!$L338</f>
        <v>7.2398147583007813</v>
      </c>
    </row>
    <row r="1348" spans="10:12" x14ac:dyDescent="0.25">
      <c r="J1348" s="16">
        <v>49</v>
      </c>
      <c r="K1348" s="193">
        <v>-1.151381546348542</v>
      </c>
      <c r="L1348" s="193">
        <f>[1]Sheet1!$L339</f>
        <v>7.1882109642028809</v>
      </c>
    </row>
    <row r="1349" spans="10:12" x14ac:dyDescent="0.25">
      <c r="J1349" s="16">
        <v>50</v>
      </c>
      <c r="K1349" s="193">
        <v>-1.1627427036678211</v>
      </c>
      <c r="L1349" s="193">
        <f>[1]Sheet1!$L340</f>
        <v>7.1371936798095703</v>
      </c>
    </row>
    <row r="1350" spans="10:12" x14ac:dyDescent="0.25">
      <c r="J1350" s="16">
        <v>51</v>
      </c>
      <c r="K1350" s="193">
        <v>-1.210301352312654</v>
      </c>
      <c r="L1350" s="193">
        <f>[1]Sheet1!$L341</f>
        <v>7.0817995071411133</v>
      </c>
    </row>
    <row r="1351" spans="10:12" x14ac:dyDescent="0.25">
      <c r="J1351" s="16">
        <v>52</v>
      </c>
      <c r="K1351" s="193">
        <v>-1.2229892015457151</v>
      </c>
      <c r="L1351" s="193">
        <f>[1]Sheet1!$L342</f>
        <v>7.0090560913085938</v>
      </c>
    </row>
    <row r="1352" spans="10:12" x14ac:dyDescent="0.25">
      <c r="J1352" s="16">
        <v>53</v>
      </c>
      <c r="K1352" s="193">
        <v>-1.2617861860756869</v>
      </c>
      <c r="L1352" s="193">
        <f>[1]Sheet1!$L343</f>
        <v>6.9317178726196289</v>
      </c>
    </row>
    <row r="1353" spans="10:12" x14ac:dyDescent="0.25">
      <c r="J1353" s="16">
        <v>54</v>
      </c>
      <c r="K1353" s="193">
        <v>-1.2657560617549259</v>
      </c>
      <c r="L1353" s="193">
        <f>[1]Sheet1!$L344</f>
        <v>6.8702812194824219</v>
      </c>
    </row>
    <row r="1354" spans="10:12" x14ac:dyDescent="0.25">
      <c r="J1354" s="16">
        <v>55</v>
      </c>
      <c r="K1354" s="193">
        <v>-1.3580611557587201</v>
      </c>
      <c r="L1354" s="193">
        <f>[1]Sheet1!$L345</f>
        <v>6.7990989685058594</v>
      </c>
    </row>
    <row r="1355" spans="10:12" x14ac:dyDescent="0.25">
      <c r="J1355" s="16">
        <v>56</v>
      </c>
      <c r="K1355" s="193">
        <v>-1.4822728588629861</v>
      </c>
      <c r="L1355" s="193">
        <f>[1]Sheet1!$L346</f>
        <v>6.7181649208068848</v>
      </c>
    </row>
    <row r="1356" spans="10:12" x14ac:dyDescent="0.25">
      <c r="J1356" s="16">
        <v>57</v>
      </c>
      <c r="K1356" s="193">
        <v>-1.506723165512085</v>
      </c>
      <c r="L1356" s="193">
        <f>[1]Sheet1!$L347</f>
        <v>6.6346979141235352</v>
      </c>
    </row>
    <row r="1357" spans="10:12" x14ac:dyDescent="0.25">
      <c r="J1357" s="16">
        <v>58</v>
      </c>
      <c r="K1357" s="193">
        <v>-1.5377124020803381</v>
      </c>
      <c r="L1357" s="193">
        <f>[1]Sheet1!$L348</f>
        <v>6.5298967361450204</v>
      </c>
    </row>
    <row r="1358" spans="10:12" x14ac:dyDescent="0.25">
      <c r="J1358" s="16">
        <v>59</v>
      </c>
      <c r="K1358" s="193">
        <v>-1.550096691241412</v>
      </c>
      <c r="L1358" s="193">
        <f>[1]Sheet1!$L349</f>
        <v>6.405393123626709</v>
      </c>
    </row>
    <row r="1359" spans="10:12" x14ac:dyDescent="0.25">
      <c r="J1359" s="16">
        <v>60</v>
      </c>
      <c r="K1359" s="193">
        <v>-1.5743630400232611</v>
      </c>
      <c r="L1359" s="193">
        <f>[1]Sheet1!$L350</f>
        <v>6.2629833221435547</v>
      </c>
    </row>
    <row r="1360" spans="10:12" x14ac:dyDescent="0.25">
      <c r="J1360" s="16">
        <v>61</v>
      </c>
      <c r="K1360" s="193">
        <v>-1.5992846488952639</v>
      </c>
      <c r="L1360" s="193">
        <f>[1]Sheet1!$L351</f>
        <v>6.1180615425109863</v>
      </c>
    </row>
    <row r="1361" spans="10:12" x14ac:dyDescent="0.25">
      <c r="J1361" s="16">
        <v>62</v>
      </c>
      <c r="K1361" s="193">
        <v>-1.649261072184856</v>
      </c>
      <c r="L1361" s="193">
        <f>[1]Sheet1!$L352</f>
        <v>5.9870810508728027</v>
      </c>
    </row>
    <row r="1362" spans="10:12" x14ac:dyDescent="0.25">
      <c r="J1362" s="16">
        <v>63</v>
      </c>
      <c r="K1362" s="193">
        <v>-1.66880819805092</v>
      </c>
      <c r="L1362" s="193">
        <f>[1]Sheet1!$L353</f>
        <v>5.828986644744873</v>
      </c>
    </row>
    <row r="1363" spans="10:12" x14ac:dyDescent="0.25">
      <c r="J1363" s="16">
        <v>64</v>
      </c>
      <c r="K1363" s="193">
        <v>-1.723978066567174</v>
      </c>
      <c r="L1363" s="193">
        <f>[1]Sheet1!$L354</f>
        <v>5.688197135925293</v>
      </c>
    </row>
    <row r="1364" spans="10:12" x14ac:dyDescent="0.25">
      <c r="J1364" s="16">
        <v>65</v>
      </c>
      <c r="K1364" s="193">
        <v>-1.7207858175725681</v>
      </c>
      <c r="L1364" s="193">
        <f>[1]Sheet1!$L355</f>
        <v>5.5578160285949707</v>
      </c>
    </row>
    <row r="1365" spans="10:12" x14ac:dyDescent="0.25">
      <c r="J1365" s="16">
        <v>66</v>
      </c>
      <c r="K1365" s="193">
        <v>-1.699670791625977</v>
      </c>
      <c r="L1365" s="193">
        <f>[1]Sheet1!$L356</f>
        <v>5.4561166763305664</v>
      </c>
    </row>
    <row r="1366" spans="10:12" x14ac:dyDescent="0.25">
      <c r="J1366" s="16">
        <v>67</v>
      </c>
      <c r="K1366" s="193">
        <v>-1.688210142708652</v>
      </c>
      <c r="L1366" s="193">
        <f>[1]Sheet1!$L357</f>
        <v>5.346611499786377</v>
      </c>
    </row>
    <row r="1367" spans="10:12" x14ac:dyDescent="0.25">
      <c r="J1367" s="16">
        <v>68</v>
      </c>
      <c r="K1367" s="193">
        <v>-1.675908747152385</v>
      </c>
      <c r="L1367" s="193">
        <f>[1]Sheet1!$L358</f>
        <v>5.2219266891479492</v>
      </c>
    </row>
    <row r="1368" spans="10:12" x14ac:dyDescent="0.25">
      <c r="J1368" s="16">
        <v>69</v>
      </c>
      <c r="K1368" s="193">
        <v>-1.6538991241726031</v>
      </c>
      <c r="L1368" s="193">
        <f>[1]Sheet1!$L359</f>
        <v>5.1081581115722656</v>
      </c>
    </row>
    <row r="1369" spans="10:12" x14ac:dyDescent="0.25">
      <c r="J1369" s="16">
        <v>70</v>
      </c>
      <c r="K1369" s="193">
        <v>-1.643327474594116</v>
      </c>
      <c r="L1369" s="193">
        <f>[1]Sheet1!$L360</f>
        <v>5.0159468650817871</v>
      </c>
    </row>
    <row r="1370" spans="10:12" x14ac:dyDescent="0.25">
      <c r="J1370" s="16">
        <v>71</v>
      </c>
      <c r="K1370" s="193">
        <v>-1.6403483036942841</v>
      </c>
      <c r="L1370" s="193">
        <f>[1]Sheet1!$L361</f>
        <v>4.8847289085388184</v>
      </c>
    </row>
    <row r="1371" spans="10:12" x14ac:dyDescent="0.25">
      <c r="J1371" s="16">
        <v>72</v>
      </c>
      <c r="K1371" s="193">
        <v>-1.6414431503958999</v>
      </c>
      <c r="L1371" s="193">
        <f>[1]Sheet1!$L362</f>
        <v>4.7518267631530762</v>
      </c>
    </row>
    <row r="1372" spans="10:12" x14ac:dyDescent="0.25">
      <c r="J1372" s="16">
        <v>73</v>
      </c>
      <c r="K1372" s="193">
        <v>-1.617836475372314</v>
      </c>
      <c r="L1372" s="193">
        <f>[1]Sheet1!$L363</f>
        <v>4.6195979118347168</v>
      </c>
    </row>
    <row r="1373" spans="10:12" x14ac:dyDescent="0.25">
      <c r="J1373" s="16">
        <v>74</v>
      </c>
      <c r="K1373" s="193">
        <v>-1.6199400646045521</v>
      </c>
      <c r="L1373" s="193">
        <f>[1]Sheet1!$L364</f>
        <v>4.4969630241394043</v>
      </c>
    </row>
    <row r="1374" spans="10:12" x14ac:dyDescent="0.25">
      <c r="J1374" s="16">
        <v>75</v>
      </c>
      <c r="K1374" s="193">
        <v>-1.6235141354893621</v>
      </c>
      <c r="L1374" s="193">
        <f>[1]Sheet1!$L365</f>
        <v>4.3690800666809082</v>
      </c>
    </row>
    <row r="1375" spans="10:12" x14ac:dyDescent="0.25">
      <c r="J1375" s="16">
        <v>76</v>
      </c>
      <c r="K1375" s="193">
        <v>-1.6198646486067201</v>
      </c>
      <c r="L1375" s="193">
        <f>[1]Sheet1!$L366</f>
        <v>4.2447571754455566</v>
      </c>
    </row>
    <row r="1376" spans="10:12" x14ac:dyDescent="0.25">
      <c r="J1376" s="16">
        <v>77</v>
      </c>
      <c r="K1376" s="193">
        <v>-1.630640029907227</v>
      </c>
      <c r="L1376" s="193">
        <f>[1]Sheet1!$L367</f>
        <v>4.1068997383117676</v>
      </c>
    </row>
    <row r="1377" spans="10:12" x14ac:dyDescent="0.25">
      <c r="J1377" s="16">
        <v>78</v>
      </c>
      <c r="K1377" s="193">
        <v>-1.651571153837792</v>
      </c>
      <c r="L1377" s="193">
        <f>[1]Sheet1!$L368</f>
        <v>3.9862899780273442</v>
      </c>
    </row>
    <row r="1378" spans="10:12" x14ac:dyDescent="0.25">
      <c r="J1378" s="16">
        <v>79</v>
      </c>
      <c r="K1378" s="193">
        <v>-1.653739840290599</v>
      </c>
      <c r="L1378" s="193">
        <f>[1]Sheet1!$L369</f>
        <v>3.8336679935455318</v>
      </c>
    </row>
    <row r="1379" spans="10:12" x14ac:dyDescent="0.25">
      <c r="J1379" s="16">
        <v>80</v>
      </c>
      <c r="K1379" s="193">
        <v>-1.670824317304159</v>
      </c>
      <c r="L1379" s="193">
        <f>[1]Sheet1!$L370</f>
        <v>3.6789319515228271</v>
      </c>
    </row>
    <row r="1380" spans="10:12" x14ac:dyDescent="0.25">
      <c r="J1380" s="16">
        <v>81</v>
      </c>
      <c r="K1380" s="193">
        <v>-1.667179460893516</v>
      </c>
      <c r="L1380" s="193">
        <f>[1]Sheet1!$L371</f>
        <v>3.521273136138916</v>
      </c>
    </row>
    <row r="1381" spans="10:12" x14ac:dyDescent="0.25">
      <c r="J1381" s="16">
        <v>82</v>
      </c>
      <c r="K1381" s="193">
        <v>-1.673096299171448</v>
      </c>
      <c r="L1381" s="193">
        <f>[1]Sheet1!$L372</f>
        <v>3.3647201061248779</v>
      </c>
    </row>
    <row r="1382" spans="10:12" x14ac:dyDescent="0.25">
      <c r="J1382" s="16">
        <v>83</v>
      </c>
      <c r="K1382" s="193">
        <v>-1.686622273191174</v>
      </c>
      <c r="L1382" s="193">
        <f>[1]Sheet1!$L373</f>
        <v>3.2144615650177002</v>
      </c>
    </row>
    <row r="1383" spans="10:12" x14ac:dyDescent="0.25">
      <c r="J1383" s="16">
        <v>84</v>
      </c>
      <c r="K1383" s="193">
        <v>-1.69629502743236</v>
      </c>
      <c r="L1383" s="193">
        <f>[1]Sheet1!$L374</f>
        <v>3.0489654541015621</v>
      </c>
    </row>
    <row r="1384" spans="10:12" x14ac:dyDescent="0.25">
      <c r="J1384" s="16">
        <v>85</v>
      </c>
      <c r="K1384" s="193">
        <v>-1.715058267441246</v>
      </c>
      <c r="L1384" s="193">
        <f>[1]Sheet1!$L375</f>
        <v>2.8976314067840581</v>
      </c>
    </row>
    <row r="1385" spans="10:12" x14ac:dyDescent="0.25">
      <c r="J1385" s="16">
        <v>86</v>
      </c>
      <c r="K1385" s="193" t="s">
        <v>1115</v>
      </c>
      <c r="L1385" s="193">
        <f>[1]Sheet1!$L376</f>
        <v>2.773881196975708</v>
      </c>
    </row>
    <row r="1386" spans="10:12" x14ac:dyDescent="0.25">
      <c r="J1386" s="16">
        <v>87</v>
      </c>
      <c r="K1386" s="193" t="s">
        <v>1115</v>
      </c>
      <c r="L1386" s="193">
        <f>[1]Sheet1!$L377</f>
        <v>2.635575532913208</v>
      </c>
    </row>
    <row r="1387" spans="10:12" x14ac:dyDescent="0.25">
      <c r="J1387" s="16">
        <v>88</v>
      </c>
      <c r="K1387" s="193" t="s">
        <v>1115</v>
      </c>
      <c r="L1387" s="193">
        <f>[1]Sheet1!$L378</f>
        <v>2.4779758453369141</v>
      </c>
    </row>
    <row r="1388" spans="10:12" x14ac:dyDescent="0.25">
      <c r="J1388" s="16">
        <v>89</v>
      </c>
      <c r="K1388" s="193">
        <v>-1.6638346930518699</v>
      </c>
      <c r="L1388" s="193">
        <f>[1]Sheet1!$L379</f>
        <v>2.319292545318604</v>
      </c>
    </row>
    <row r="1389" spans="10:12" x14ac:dyDescent="0.25">
      <c r="J1389" s="16">
        <v>90</v>
      </c>
      <c r="K1389" s="193">
        <v>-1.6394261688467611</v>
      </c>
      <c r="L1389" s="193">
        <f>[1]Sheet1!$L380</f>
        <v>2.1746125221252441</v>
      </c>
    </row>
    <row r="1390" spans="10:12" x14ac:dyDescent="0.25">
      <c r="J1390" s="16">
        <v>91</v>
      </c>
      <c r="K1390" s="193">
        <v>-1.6257244348526001</v>
      </c>
      <c r="L1390" s="193">
        <f>[1]Sheet1!$L381</f>
        <v>2.005430936813354</v>
      </c>
    </row>
    <row r="1391" spans="10:12" x14ac:dyDescent="0.25">
      <c r="J1391" s="16">
        <v>92</v>
      </c>
      <c r="K1391" s="193">
        <v>-1.6126504874737591</v>
      </c>
      <c r="L1391" s="193">
        <f>[1]Sheet1!$L382</f>
        <v>1.846296072006226</v>
      </c>
    </row>
    <row r="1392" spans="10:12" x14ac:dyDescent="0.25">
      <c r="J1392" s="16">
        <v>93</v>
      </c>
      <c r="K1392" s="193">
        <v>-1.6021658190565149</v>
      </c>
      <c r="L1392" s="193">
        <f>[1]Sheet1!$L383</f>
        <v>1.702834367752075</v>
      </c>
    </row>
    <row r="1393" spans="10:12" x14ac:dyDescent="0.25">
      <c r="J1393" s="16">
        <v>94</v>
      </c>
      <c r="K1393" s="193">
        <v>-1.579151045131707</v>
      </c>
      <c r="L1393" s="193">
        <f>[1]Sheet1!$L384</f>
        <v>1.5681015253067021</v>
      </c>
    </row>
    <row r="1394" spans="10:12" x14ac:dyDescent="0.25">
      <c r="J1394" s="16">
        <v>95</v>
      </c>
      <c r="K1394" s="193">
        <v>-1.5665537118911741</v>
      </c>
      <c r="L1394" s="193">
        <f>[1]Sheet1!$L385</f>
        <v>1.43571400642395</v>
      </c>
    </row>
    <row r="1395" spans="10:12" x14ac:dyDescent="0.25">
      <c r="J1395" s="16">
        <v>96</v>
      </c>
      <c r="K1395" s="193">
        <v>-1.5602053094207029</v>
      </c>
      <c r="L1395" s="193">
        <f>[1]Sheet1!$L386</f>
        <v>1.3316249847412109</v>
      </c>
    </row>
    <row r="1396" spans="10:12" x14ac:dyDescent="0.25">
      <c r="J1396" s="16">
        <v>97</v>
      </c>
      <c r="K1396" s="193">
        <v>-1.5604921143506749</v>
      </c>
      <c r="L1396" s="193">
        <f>[1]Sheet1!$L387</f>
        <v>1.259770274162292</v>
      </c>
    </row>
    <row r="1397" spans="10:12" x14ac:dyDescent="0.25">
      <c r="J1397" s="16">
        <v>98</v>
      </c>
      <c r="K1397" s="193">
        <v>-1.538188099861145</v>
      </c>
      <c r="L1397" s="193">
        <f>[1]Sheet1!$L388</f>
        <v>1.163434743881226</v>
      </c>
    </row>
    <row r="1398" spans="10:12" x14ac:dyDescent="0.25">
      <c r="J1398" s="16">
        <v>99</v>
      </c>
      <c r="K1398" s="193">
        <v>-1.4691698063736049</v>
      </c>
      <c r="L1398" s="193">
        <f>[1]Sheet1!$L389</f>
        <v>1.09562611579895</v>
      </c>
    </row>
    <row r="1399" spans="10:12" x14ac:dyDescent="0.25">
      <c r="J1399" s="16">
        <v>100</v>
      </c>
      <c r="K1399" s="193">
        <v>-1.4553976544666001</v>
      </c>
      <c r="L1399" s="193">
        <f>[1]Sheet1!$L390</f>
        <v>1.0690886974334719</v>
      </c>
    </row>
    <row r="1400" spans="10:12" x14ac:dyDescent="0.25">
      <c r="J1400" s="16">
        <v>101</v>
      </c>
      <c r="K1400" s="193">
        <v>-1.4295410001305211</v>
      </c>
      <c r="L1400" s="193">
        <f>[1]Sheet1!$L391</f>
        <v>1.0368926525115969</v>
      </c>
    </row>
    <row r="1401" spans="10:12" x14ac:dyDescent="0.25">
      <c r="J1401" s="16">
        <v>102</v>
      </c>
      <c r="K1401" s="193">
        <v>-1.415363550186157</v>
      </c>
      <c r="L1401" s="193">
        <f>[1]Sheet1!$L392</f>
        <v>1.0391256809234619</v>
      </c>
    </row>
    <row r="1402" spans="10:12" x14ac:dyDescent="0.25">
      <c r="J1402" s="16">
        <v>103</v>
      </c>
      <c r="K1402" s="193">
        <v>-1.4141597982538689</v>
      </c>
      <c r="L1402" s="193">
        <f>[1]Sheet1!$L393</f>
        <v>1.058913946151733</v>
      </c>
    </row>
    <row r="1403" spans="10:12" x14ac:dyDescent="0.25">
      <c r="J1403" s="16">
        <v>104</v>
      </c>
      <c r="K1403" s="193">
        <v>-1.4049104452133181</v>
      </c>
      <c r="L1403" s="193">
        <f>[1]Sheet1!$L394</f>
        <v>0.92738902568817139</v>
      </c>
    </row>
    <row r="1404" spans="10:12" x14ac:dyDescent="0.25">
      <c r="J1404" s="16">
        <v>105</v>
      </c>
      <c r="K1404" s="193">
        <v>-1.3877272292994709</v>
      </c>
      <c r="L1404" s="193">
        <f>[1]Sheet1!$L395</f>
        <v>0.93645733594894409</v>
      </c>
    </row>
    <row r="1405" spans="10:12" x14ac:dyDescent="0.25">
      <c r="J1405" s="16">
        <v>106</v>
      </c>
      <c r="K1405" s="193">
        <v>-1.385856426981894</v>
      </c>
      <c r="L1405" s="193">
        <f>[1]Sheet1!$L396</f>
        <v>0.96171331405639648</v>
      </c>
    </row>
    <row r="1406" spans="10:12" x14ac:dyDescent="0.25">
      <c r="J1406" s="16">
        <v>107</v>
      </c>
      <c r="K1406" s="193">
        <v>-1.379369258880615</v>
      </c>
      <c r="L1406" s="193">
        <f>[1]Sheet1!$L397</f>
        <v>0.98103505373001099</v>
      </c>
    </row>
    <row r="1407" spans="10:12" x14ac:dyDescent="0.25">
      <c r="J1407" s="16">
        <v>108</v>
      </c>
      <c r="K1407" s="193">
        <v>-1.377948434534275</v>
      </c>
      <c r="L1407" s="193">
        <f>[1]Sheet1!$L398</f>
        <v>0.98000997304916382</v>
      </c>
    </row>
    <row r="1408" spans="10:12" x14ac:dyDescent="0.25">
      <c r="J1408" s="16">
        <v>109</v>
      </c>
      <c r="K1408" s="193">
        <v>-1.378860942254351</v>
      </c>
      <c r="L1408" s="193">
        <f>[1]Sheet1!$L399</f>
        <v>0.98915565013885498</v>
      </c>
    </row>
    <row r="1409" spans="10:12" x14ac:dyDescent="0.25">
      <c r="J1409" s="16">
        <v>110</v>
      </c>
      <c r="K1409" s="193">
        <v>-1.378746228563545</v>
      </c>
      <c r="L1409" s="193">
        <f>[1]Sheet1!$L400</f>
        <v>1.024167656898499</v>
      </c>
    </row>
    <row r="1410" spans="10:12" x14ac:dyDescent="0.25">
      <c r="J1410" s="16">
        <v>111</v>
      </c>
      <c r="K1410" s="193">
        <v>-1.3698832988739009</v>
      </c>
      <c r="L1410" s="193">
        <f>[1]Sheet1!$L401</f>
        <v>1.0563362836837771</v>
      </c>
    </row>
    <row r="1411" spans="10:12" x14ac:dyDescent="0.25">
      <c r="J1411" s="16">
        <v>112</v>
      </c>
      <c r="K1411" s="193">
        <v>-1.356035166552209</v>
      </c>
      <c r="L1411" s="193">
        <f>[1]Sheet1!$L402</f>
        <v>1.1131061315536499</v>
      </c>
    </row>
    <row r="1412" spans="10:12" x14ac:dyDescent="0.25">
      <c r="J1412" s="16">
        <v>113</v>
      </c>
      <c r="K1412" s="193">
        <v>-1.350782325114873</v>
      </c>
      <c r="L1412" s="193">
        <f>[1]Sheet1!$L403</f>
        <v>1.1156685352325439</v>
      </c>
    </row>
    <row r="1413" spans="10:12" x14ac:dyDescent="0.25">
      <c r="J1413" s="16">
        <v>114</v>
      </c>
      <c r="K1413" s="193">
        <v>-1.35912490138474</v>
      </c>
      <c r="L1413" s="193">
        <f>[1]Sheet1!$L404</f>
        <v>1.1214002370834351</v>
      </c>
    </row>
    <row r="1414" spans="10:12" x14ac:dyDescent="0.25">
      <c r="J1414" s="16">
        <v>115</v>
      </c>
      <c r="K1414" s="193">
        <v>-1.3595256066224279</v>
      </c>
      <c r="L1414" s="193">
        <f>[1]Sheet1!$L405</f>
        <v>1.1558786630630491</v>
      </c>
    </row>
    <row r="1415" spans="10:12" x14ac:dyDescent="0.25">
      <c r="J1415" s="16">
        <v>116</v>
      </c>
      <c r="K1415" s="193">
        <v>-1.343075752258301</v>
      </c>
      <c r="L1415" s="193">
        <f>[1]Sheet1!$L406</f>
        <v>1.171464204788208</v>
      </c>
    </row>
    <row r="1416" spans="10:12" x14ac:dyDescent="0.25">
      <c r="J1416" s="16">
        <v>117</v>
      </c>
      <c r="K1416" s="193">
        <v>-1.338217618650644</v>
      </c>
      <c r="L1416" s="193">
        <f>[1]Sheet1!$L407</f>
        <v>1.177525997161865</v>
      </c>
    </row>
    <row r="1417" spans="10:12" x14ac:dyDescent="0.25">
      <c r="J1417" s="16">
        <v>118</v>
      </c>
      <c r="K1417" s="193">
        <v>-1.352938046852205</v>
      </c>
      <c r="L1417" s="193">
        <f>[1]Sheet1!$L408</f>
        <v>1.220273613929749</v>
      </c>
    </row>
    <row r="1418" spans="10:12" x14ac:dyDescent="0.25">
      <c r="J1418" s="16">
        <v>119</v>
      </c>
      <c r="K1418" s="193">
        <v>-1.356183424410095</v>
      </c>
      <c r="L1418" s="193">
        <f>[1]Sheet1!$L409</f>
        <v>1.230029225349426</v>
      </c>
    </row>
    <row r="1419" spans="10:12" x14ac:dyDescent="0.25">
      <c r="J1419" s="16">
        <v>120</v>
      </c>
      <c r="K1419" s="193">
        <v>-1.296334981918335</v>
      </c>
      <c r="L1419" s="193">
        <f>[1]Sheet1!$L410</f>
        <v>1.244844794273376</v>
      </c>
    </row>
    <row r="1420" spans="10:12" x14ac:dyDescent="0.25">
      <c r="J1420" s="16">
        <v>121</v>
      </c>
      <c r="K1420" s="193">
        <v>-1.221715157299184</v>
      </c>
      <c r="L1420" s="193">
        <f>[1]Sheet1!$L411</f>
        <v>1.276553153991699</v>
      </c>
    </row>
    <row r="1421" spans="10:12" x14ac:dyDescent="0.25">
      <c r="J1421" s="16">
        <v>122</v>
      </c>
      <c r="K1421" s="193">
        <v>-1.2171046571352351</v>
      </c>
      <c r="L1421" s="193">
        <f>[1]Sheet1!$L412</f>
        <v>1.310594320297241</v>
      </c>
    </row>
    <row r="1422" spans="10:12" x14ac:dyDescent="0.25">
      <c r="J1422" s="16">
        <v>123</v>
      </c>
      <c r="K1422" s="193">
        <v>-1.210399389266968</v>
      </c>
      <c r="L1422" s="193">
        <f>[1]Sheet1!$L413</f>
        <v>1.3288824558258061</v>
      </c>
    </row>
    <row r="1423" spans="10:12" x14ac:dyDescent="0.25">
      <c r="J1423" s="16">
        <v>124</v>
      </c>
      <c r="K1423" s="193">
        <v>-1.246861841762392</v>
      </c>
      <c r="L1423" s="193">
        <f>[1]Sheet1!$L414</f>
        <v>1.3525962829589839</v>
      </c>
    </row>
    <row r="1424" spans="10:12" x14ac:dyDescent="0.25">
      <c r="J1424" s="16">
        <v>125</v>
      </c>
      <c r="K1424" s="193">
        <v>-1.2541370459124681</v>
      </c>
      <c r="L1424" s="193">
        <f>[1]Sheet1!$L415</f>
        <v>1.377973079681396</v>
      </c>
    </row>
    <row r="1425" spans="10:12" x14ac:dyDescent="0.25">
      <c r="J1425" s="16">
        <v>126</v>
      </c>
      <c r="K1425" s="193">
        <v>-1.26974738884492</v>
      </c>
      <c r="L1425" s="193">
        <f>[1]Sheet1!$L416</f>
        <v>1.3881938457489009</v>
      </c>
    </row>
    <row r="1426" spans="10:12" x14ac:dyDescent="0.25">
      <c r="J1426" s="16">
        <v>127</v>
      </c>
      <c r="K1426" s="193">
        <v>-1.2785917520523069</v>
      </c>
      <c r="L1426" s="193">
        <f>[1]Sheet1!$L417</f>
        <v>1.4072854518890381</v>
      </c>
    </row>
    <row r="1427" spans="10:12" x14ac:dyDescent="0.25">
      <c r="J1427" s="16">
        <v>128</v>
      </c>
      <c r="K1427" s="193">
        <v>-1.2908001436406631</v>
      </c>
      <c r="L1427" s="193">
        <f>[1]Sheet1!$L418</f>
        <v>1.4337726831436159</v>
      </c>
    </row>
    <row r="1428" spans="10:12" x14ac:dyDescent="0.25">
      <c r="J1428" s="16">
        <v>129</v>
      </c>
      <c r="K1428" s="193">
        <v>-1.295567393302917</v>
      </c>
      <c r="L1428" s="193">
        <f>[1]Sheet1!$L419</f>
        <v>1.4402860403060911</v>
      </c>
    </row>
    <row r="1429" spans="10:12" x14ac:dyDescent="0.25">
      <c r="J1429" s="16">
        <v>130</v>
      </c>
      <c r="K1429" s="193">
        <v>-1.298430811777975</v>
      </c>
      <c r="L1429" s="193">
        <f>[1]Sheet1!$L420</f>
        <v>1.416039347648621</v>
      </c>
    </row>
    <row r="1430" spans="10:12" x14ac:dyDescent="0.25">
      <c r="J1430" s="16">
        <v>131</v>
      </c>
      <c r="K1430" s="193">
        <v>-1.298182101597398</v>
      </c>
      <c r="L1430" s="193">
        <f>[1]Sheet1!$L421</f>
        <v>1.3420925140380859</v>
      </c>
    </row>
    <row r="1431" spans="10:12" x14ac:dyDescent="0.25">
      <c r="J1431" s="16">
        <v>132</v>
      </c>
      <c r="K1431" s="193">
        <v>-1.3009687662124629</v>
      </c>
      <c r="L1431" s="193">
        <f>[1]Sheet1!$L422</f>
        <v>1.2715485095977781</v>
      </c>
    </row>
    <row r="1432" spans="10:12" x14ac:dyDescent="0.25">
      <c r="J1432" s="16">
        <v>133</v>
      </c>
      <c r="K1432" s="193">
        <v>-1.3040660260043819</v>
      </c>
      <c r="L1432" s="193">
        <f>[1]Sheet1!$L423</f>
        <v>1.166749238967896</v>
      </c>
    </row>
    <row r="1433" spans="10:12" x14ac:dyDescent="0.25">
      <c r="J1433" s="16">
        <v>134</v>
      </c>
      <c r="K1433" s="193">
        <v>-1.3071776983902179</v>
      </c>
      <c r="L1433" s="193">
        <f>[1]Sheet1!$L424</f>
        <v>1.0566139221191411</v>
      </c>
    </row>
    <row r="1434" spans="10:12" x14ac:dyDescent="0.25">
      <c r="J1434" s="16">
        <v>135</v>
      </c>
      <c r="K1434" s="193">
        <v>-1.30930562944281</v>
      </c>
      <c r="L1434" s="193">
        <f>[1]Sheet1!$L425</f>
        <v>0.97515136003494263</v>
      </c>
    </row>
    <row r="1435" spans="10:12" x14ac:dyDescent="0.25">
      <c r="J1435" s="16">
        <v>136</v>
      </c>
      <c r="K1435" s="193">
        <v>-1.3142470121383669</v>
      </c>
      <c r="L1435" s="193">
        <f>[1]Sheet1!$L426</f>
        <v>0.88311254978179932</v>
      </c>
    </row>
    <row r="1436" spans="10:12" x14ac:dyDescent="0.25">
      <c r="J1436" s="16">
        <v>137</v>
      </c>
      <c r="K1436" s="193">
        <v>-1.3111934434542529</v>
      </c>
      <c r="L1436" s="193">
        <f>[1]Sheet1!$L427</f>
        <v>0.78861737251281738</v>
      </c>
    </row>
    <row r="1437" spans="10:12" x14ac:dyDescent="0.25">
      <c r="J1437" s="16">
        <v>138</v>
      </c>
      <c r="K1437" s="193">
        <v>-1.3096771047960241</v>
      </c>
      <c r="L1437" s="193">
        <f>[1]Sheet1!$L428</f>
        <v>0.80726176500320435</v>
      </c>
    </row>
    <row r="1438" spans="10:12" x14ac:dyDescent="0.25">
      <c r="J1438" s="16">
        <v>139</v>
      </c>
      <c r="K1438" s="193">
        <v>-1.3111661422308161</v>
      </c>
      <c r="L1438" s="193">
        <f>[1]Sheet1!$L429</f>
        <v>0.83742308616638184</v>
      </c>
    </row>
    <row r="1439" spans="10:12" x14ac:dyDescent="0.25">
      <c r="J1439" s="16">
        <v>140</v>
      </c>
      <c r="K1439" s="193">
        <v>-1.304978669808853</v>
      </c>
      <c r="L1439" s="193">
        <f>[1]Sheet1!$L430</f>
        <v>0.85990315675735474</v>
      </c>
    </row>
    <row r="1440" spans="10:12" x14ac:dyDescent="0.25">
      <c r="J1440" s="16">
        <v>141</v>
      </c>
      <c r="K1440" s="193">
        <v>-1.314429044723511</v>
      </c>
      <c r="L1440" s="193">
        <f>[1]Sheet1!$L431</f>
        <v>0.87302196025848389</v>
      </c>
    </row>
    <row r="1441" spans="10:12" x14ac:dyDescent="0.25">
      <c r="J1441" s="16">
        <v>142</v>
      </c>
      <c r="K1441" s="193">
        <v>-1.316604127133117</v>
      </c>
      <c r="L1441" s="193">
        <f>[1]Sheet1!$L432</f>
        <v>0.90379345417022705</v>
      </c>
    </row>
    <row r="1442" spans="10:12" x14ac:dyDescent="0.25">
      <c r="J1442" s="16">
        <v>143</v>
      </c>
      <c r="K1442" s="193">
        <v>-1.3136659177964309</v>
      </c>
      <c r="L1442" s="193">
        <f>[1]Sheet1!$L433</f>
        <v>0.92326098680496216</v>
      </c>
    </row>
    <row r="1443" spans="10:12" x14ac:dyDescent="0.25">
      <c r="J1443" s="16">
        <v>144</v>
      </c>
      <c r="K1443" s="193">
        <v>-1.3156774970854019</v>
      </c>
      <c r="L1443" s="193">
        <f>[1]Sheet1!$L434</f>
        <v>0.9465215802192688</v>
      </c>
    </row>
    <row r="1444" spans="10:12" x14ac:dyDescent="0.25">
      <c r="J1444" s="16">
        <v>145</v>
      </c>
      <c r="K1444" s="193">
        <v>-1.3128722906112671</v>
      </c>
      <c r="L1444" s="193">
        <f>[1]Sheet1!$L435</f>
        <v>0.97446459531784058</v>
      </c>
    </row>
    <row r="1445" spans="10:12" x14ac:dyDescent="0.25">
      <c r="J1445" s="16">
        <v>146</v>
      </c>
      <c r="K1445" s="193">
        <v>-1.311748298576906</v>
      </c>
      <c r="L1445" s="193">
        <f>[1]Sheet1!$L436</f>
        <v>0.98123091459274292</v>
      </c>
    </row>
    <row r="1446" spans="10:12" x14ac:dyDescent="0.25">
      <c r="J1446" s="16">
        <v>147</v>
      </c>
      <c r="K1446" s="193">
        <v>-1.278219450644382</v>
      </c>
      <c r="L1446" s="193">
        <f>[1]Sheet1!$L437</f>
        <v>1.0139143466949461</v>
      </c>
    </row>
    <row r="1447" spans="10:12" x14ac:dyDescent="0.25">
      <c r="J1447" s="16">
        <v>148</v>
      </c>
      <c r="K1447" s="193">
        <v>-1.2539999485015869</v>
      </c>
      <c r="L1447" s="193">
        <f>[1]Sheet1!$L438</f>
        <v>1.0100318193435669</v>
      </c>
    </row>
    <row r="1448" spans="10:12" x14ac:dyDescent="0.25">
      <c r="J1448" s="16">
        <v>149</v>
      </c>
      <c r="K1448" s="193">
        <v>-1.262299629481374</v>
      </c>
      <c r="L1448" s="193">
        <f>[1]Sheet1!$L439</f>
        <v>1.0501971244812009</v>
      </c>
    </row>
    <row r="1449" spans="10:12" x14ac:dyDescent="0.25">
      <c r="J1449" s="16">
        <v>150</v>
      </c>
      <c r="K1449" s="193">
        <v>-1.2695605795438689</v>
      </c>
      <c r="L1449" s="193">
        <f>[1]Sheet1!$L440</f>
        <v>1.077883243560791</v>
      </c>
    </row>
    <row r="1450" spans="10:12" x14ac:dyDescent="0.25">
      <c r="J1450" s="16">
        <v>151</v>
      </c>
      <c r="K1450" s="193">
        <v>-1.26774400547883</v>
      </c>
      <c r="L1450" s="193">
        <f>[1]Sheet1!$L441</f>
        <v>1.089786648750305</v>
      </c>
    </row>
    <row r="1451" spans="10:12" x14ac:dyDescent="0.25">
      <c r="J1451" s="16">
        <v>152</v>
      </c>
      <c r="K1451" s="193">
        <v>0</v>
      </c>
      <c r="L1451" s="193">
        <f>[1]Sheet1!$L442</f>
        <v>1.1095166206359861</v>
      </c>
    </row>
    <row r="1452" spans="10:12" x14ac:dyDescent="0.25">
      <c r="J1452" s="16">
        <v>153</v>
      </c>
      <c r="K1452" s="193">
        <v>0</v>
      </c>
      <c r="L1452" s="193">
        <f>[1]Sheet1!$L443</f>
        <v>1.1413124799728389</v>
      </c>
    </row>
    <row r="1453" spans="10:12" x14ac:dyDescent="0.25">
      <c r="J1453" s="16">
        <v>154</v>
      </c>
      <c r="K1453" s="193">
        <v>0</v>
      </c>
      <c r="L1453" s="193">
        <f>[1]Sheet1!$L444</f>
        <v>1.1286822557449341</v>
      </c>
    </row>
    <row r="1454" spans="10:12" x14ac:dyDescent="0.25">
      <c r="J1454" s="16">
        <v>155</v>
      </c>
      <c r="K1454" s="193">
        <v>0</v>
      </c>
      <c r="L1454" s="193">
        <f>[1]Sheet1!$L445</f>
        <v>1.154256224632263</v>
      </c>
    </row>
    <row r="1455" spans="10:12" x14ac:dyDescent="0.25">
      <c r="J1455" s="16">
        <v>156</v>
      </c>
      <c r="K1455" s="193">
        <v>0</v>
      </c>
      <c r="L1455" s="193">
        <f>[1]Sheet1!$L446</f>
        <v>1.175486207008362</v>
      </c>
    </row>
    <row r="1456" spans="10:12" x14ac:dyDescent="0.25">
      <c r="J1456" s="16">
        <v>157</v>
      </c>
      <c r="K1456" s="193">
        <v>0</v>
      </c>
      <c r="L1456" s="193">
        <f>[1]Sheet1!$L447</f>
        <v>1.1879540681838989</v>
      </c>
    </row>
    <row r="1457" spans="10:12" x14ac:dyDescent="0.25">
      <c r="J1457" s="16">
        <v>158</v>
      </c>
      <c r="K1457" s="193">
        <v>0</v>
      </c>
      <c r="L1457" s="193">
        <f>[1]Sheet1!$L448</f>
        <v>1.2258380651473999</v>
      </c>
    </row>
    <row r="1458" spans="10:12" x14ac:dyDescent="0.25">
      <c r="J1458" s="16">
        <v>159</v>
      </c>
      <c r="K1458" s="193">
        <v>0</v>
      </c>
      <c r="L1458" s="193">
        <f>[1]Sheet1!$L449</f>
        <v>1.2499091625213621</v>
      </c>
    </row>
    <row r="1459" spans="10:12" x14ac:dyDescent="0.25">
      <c r="J1459" s="16">
        <v>160</v>
      </c>
      <c r="K1459" s="193">
        <v>0</v>
      </c>
      <c r="L1459" s="193">
        <f>[1]Sheet1!$L450</f>
        <v>1.2602469921112061</v>
      </c>
    </row>
    <row r="1460" spans="10:12" x14ac:dyDescent="0.25">
      <c r="J1460" s="16">
        <v>161</v>
      </c>
      <c r="K1460" s="193">
        <v>0</v>
      </c>
      <c r="L1460" s="193">
        <f>[1]Sheet1!$L451</f>
        <v>1.2337988615036011</v>
      </c>
    </row>
    <row r="1461" spans="10:12" x14ac:dyDescent="0.25">
      <c r="J1461" s="16">
        <v>162</v>
      </c>
      <c r="K1461" s="193">
        <v>0</v>
      </c>
      <c r="L1461" s="193">
        <f>[1]Sheet1!$L452</f>
        <v>1.2611796855926509</v>
      </c>
    </row>
    <row r="1462" spans="10:12" x14ac:dyDescent="0.25">
      <c r="J1462" s="16">
        <v>163</v>
      </c>
      <c r="K1462" s="193">
        <v>0</v>
      </c>
      <c r="L1462" s="193">
        <f>[1]Sheet1!$L453</f>
        <v>1.2887909412384031</v>
      </c>
    </row>
    <row r="1463" spans="10:12" x14ac:dyDescent="0.25">
      <c r="J1463" s="16">
        <v>164</v>
      </c>
      <c r="K1463" s="193">
        <v>0</v>
      </c>
      <c r="L1463" s="193">
        <f>[1]Sheet1!$L454</f>
        <v>1.283244252204895</v>
      </c>
    </row>
    <row r="1464" spans="10:12" x14ac:dyDescent="0.25">
      <c r="J1464" s="16">
        <v>165</v>
      </c>
      <c r="K1464" s="193">
        <v>0</v>
      </c>
      <c r="L1464" s="193">
        <f>[1]Sheet1!$L455</f>
        <v>1.300214886665344</v>
      </c>
    </row>
    <row r="1465" spans="10:12" x14ac:dyDescent="0.25">
      <c r="J1465" s="16">
        <v>166</v>
      </c>
      <c r="K1465" s="193">
        <v>0</v>
      </c>
      <c r="L1465" s="193">
        <f>[1]Sheet1!$L456</f>
        <v>1.323428153991699</v>
      </c>
    </row>
    <row r="1466" spans="10:12" x14ac:dyDescent="0.25">
      <c r="J1466" s="16">
        <v>167</v>
      </c>
      <c r="K1466" s="193">
        <v>0</v>
      </c>
      <c r="L1466" s="193">
        <f>[1]Sheet1!$L457</f>
        <v>1.357457756996155</v>
      </c>
    </row>
    <row r="1467" spans="10:12" x14ac:dyDescent="0.25">
      <c r="J1467" s="16">
        <v>168</v>
      </c>
      <c r="K1467" s="193">
        <v>0</v>
      </c>
      <c r="L1467" s="193">
        <f>[1]Sheet1!$L458</f>
        <v>1.4235584735870359</v>
      </c>
    </row>
    <row r="1468" spans="10:12" x14ac:dyDescent="0.25">
      <c r="J1468" s="16">
        <v>169</v>
      </c>
      <c r="K1468" s="193">
        <v>0</v>
      </c>
      <c r="L1468" s="193">
        <f>[1]Sheet1!$L459</f>
        <v>1.5540661811828611</v>
      </c>
    </row>
    <row r="1469" spans="10:12" x14ac:dyDescent="0.25">
      <c r="J1469" s="16">
        <v>170</v>
      </c>
      <c r="K1469" s="193">
        <v>0</v>
      </c>
      <c r="L1469" s="193">
        <f>[1]Sheet1!$L460</f>
        <v>1.75472104549408</v>
      </c>
    </row>
    <row r="1470" spans="10:12" x14ac:dyDescent="0.25">
      <c r="J1470" s="16">
        <v>171</v>
      </c>
      <c r="K1470" s="193">
        <v>0</v>
      </c>
      <c r="L1470" s="193">
        <f>[1]Sheet1!$L461</f>
        <v>2.0024440288543701</v>
      </c>
    </row>
    <row r="1471" spans="10:12" x14ac:dyDescent="0.25">
      <c r="J1471" s="16">
        <v>172</v>
      </c>
      <c r="K1471" s="193">
        <v>0</v>
      </c>
      <c r="L1471" s="193">
        <f>[1]Sheet1!$L462</f>
        <v>2.230616569519043</v>
      </c>
    </row>
    <row r="1472" spans="10:12" x14ac:dyDescent="0.25">
      <c r="J1472" s="16">
        <v>173</v>
      </c>
      <c r="K1472" s="193">
        <v>0</v>
      </c>
      <c r="L1472" s="193">
        <f>[1]Sheet1!$L463</f>
        <v>2.4512093067169189</v>
      </c>
    </row>
    <row r="1473" spans="10:12" x14ac:dyDescent="0.25">
      <c r="J1473" s="16">
        <v>174</v>
      </c>
      <c r="K1473" s="193">
        <v>0</v>
      </c>
      <c r="L1473" s="193">
        <f>[1]Sheet1!$L464</f>
        <v>2.6709318161010742</v>
      </c>
    </row>
    <row r="1474" spans="10:12" x14ac:dyDescent="0.25">
      <c r="J1474" s="16">
        <v>175</v>
      </c>
      <c r="K1474" s="193">
        <v>0</v>
      </c>
      <c r="L1474" s="193">
        <f>[1]Sheet1!$L465</f>
        <v>3.3478999137878418</v>
      </c>
    </row>
    <row r="1475" spans="10:12" x14ac:dyDescent="0.25">
      <c r="J1475" s="16">
        <v>176</v>
      </c>
      <c r="K1475" s="193">
        <v>0</v>
      </c>
      <c r="L1475" s="193">
        <f>[1]Sheet1!$L466</f>
        <v>3.3478999137878418</v>
      </c>
    </row>
    <row r="1476" spans="10:12" x14ac:dyDescent="0.25">
      <c r="J1476" s="16">
        <v>177</v>
      </c>
      <c r="K1476" s="193">
        <v>0</v>
      </c>
      <c r="L1476" s="193">
        <f>[1]Sheet1!$L467</f>
        <v>3.5730724334716801</v>
      </c>
    </row>
    <row r="1477" spans="10:12" x14ac:dyDescent="0.25">
      <c r="J1477" s="16">
        <v>178</v>
      </c>
      <c r="K1477" s="193">
        <v>0</v>
      </c>
      <c r="L1477" s="193">
        <f>[1]Sheet1!$L468</f>
        <v>3.831570148468018</v>
      </c>
    </row>
    <row r="1478" spans="10:12" x14ac:dyDescent="0.25">
      <c r="J1478" s="16">
        <v>179</v>
      </c>
      <c r="K1478" s="193">
        <v>0</v>
      </c>
      <c r="L1478" s="193">
        <f>[1]Sheet1!$L469</f>
        <v>4.1234431266784668</v>
      </c>
    </row>
    <row r="1479" spans="10:12" x14ac:dyDescent="0.25">
      <c r="J1479" s="16">
        <v>180</v>
      </c>
      <c r="K1479" s="193">
        <v>0</v>
      </c>
      <c r="L1479" s="193">
        <f>[1]Sheet1!$L470</f>
        <v>4.3980617523193359</v>
      </c>
    </row>
    <row r="1480" spans="10:12" x14ac:dyDescent="0.25">
      <c r="J1480" s="16">
        <v>181</v>
      </c>
      <c r="K1480" s="193">
        <v>0</v>
      </c>
      <c r="L1480" s="193">
        <f>[1]Sheet1!$L471</f>
        <v>4.5845909118652344</v>
      </c>
    </row>
    <row r="1481" spans="10:12" x14ac:dyDescent="0.25">
      <c r="J1481" s="16">
        <v>182</v>
      </c>
      <c r="K1481" s="193">
        <v>0</v>
      </c>
      <c r="L1481" s="193">
        <f>[1]Sheet1!$L472</f>
        <v>4.6862034797668457</v>
      </c>
    </row>
    <row r="1482" spans="10:12" x14ac:dyDescent="0.25">
      <c r="J1482" s="16">
        <v>183</v>
      </c>
      <c r="K1482" s="193">
        <v>0</v>
      </c>
      <c r="L1482" s="193" t="str">
        <f>[1]Sheet1!$L473</f>
        <v>--</v>
      </c>
    </row>
    <row r="1483" spans="10:12" x14ac:dyDescent="0.25">
      <c r="J1483" s="16">
        <v>184</v>
      </c>
      <c r="K1483" s="193">
        <v>0</v>
      </c>
      <c r="L1483" s="193" t="str">
        <f>[1]Sheet1!$L474</f>
        <v>--</v>
      </c>
    </row>
    <row r="1484" spans="10:12" x14ac:dyDescent="0.25">
      <c r="J1484" s="16">
        <v>185</v>
      </c>
      <c r="K1484" s="193">
        <v>0</v>
      </c>
      <c r="L1484" s="193">
        <f>[1]Sheet1!$L475</f>
        <v>5.7685017585754386</v>
      </c>
    </row>
    <row r="1485" spans="10:12" x14ac:dyDescent="0.25">
      <c r="J1485" s="16">
        <v>186</v>
      </c>
      <c r="K1485" s="193">
        <v>0</v>
      </c>
      <c r="L1485" s="193">
        <f>[1]Sheet1!$L476</f>
        <v>5.8828449249267578</v>
      </c>
    </row>
    <row r="1486" spans="10:12" x14ac:dyDescent="0.25">
      <c r="J1486" s="16">
        <v>187</v>
      </c>
      <c r="K1486" s="193">
        <v>0</v>
      </c>
      <c r="L1486" s="193">
        <f>[1]Sheet1!$L477</f>
        <v>6.0722041130065918</v>
      </c>
    </row>
    <row r="1487" spans="10:12" x14ac:dyDescent="0.25">
      <c r="J1487" s="16">
        <v>188</v>
      </c>
      <c r="K1487" s="193">
        <v>0</v>
      </c>
      <c r="L1487" s="193">
        <f>[1]Sheet1!$L478</f>
        <v>6.1208324432373047</v>
      </c>
    </row>
    <row r="1488" spans="10:12" x14ac:dyDescent="0.25">
      <c r="J1488" s="16">
        <v>189</v>
      </c>
      <c r="K1488" s="193">
        <v>0</v>
      </c>
      <c r="L1488" s="193" t="str">
        <f>[1]Sheet1!$L479</f>
        <v>--</v>
      </c>
    </row>
    <row r="1489" spans="10:12" x14ac:dyDescent="0.25">
      <c r="J1489" s="16">
        <v>190</v>
      </c>
      <c r="K1489" s="193">
        <v>0</v>
      </c>
      <c r="L1489" s="193" t="str">
        <f>[1]Sheet1!$L480</f>
        <v>--</v>
      </c>
    </row>
    <row r="1490" spans="10:12" x14ac:dyDescent="0.25">
      <c r="J1490" s="16">
        <v>191</v>
      </c>
      <c r="K1490" s="193">
        <v>0</v>
      </c>
      <c r="L1490" s="193">
        <f>[1]Sheet1!$L481</f>
        <v>6.2323102951049796</v>
      </c>
    </row>
    <row r="1491" spans="10:12" x14ac:dyDescent="0.25">
      <c r="J1491" s="16">
        <v>192</v>
      </c>
      <c r="K1491" s="193">
        <v>0</v>
      </c>
      <c r="L1491" s="193">
        <f>[1]Sheet1!$L482</f>
        <v>6.1992688179016113</v>
      </c>
    </row>
    <row r="1492" spans="10:12" x14ac:dyDescent="0.25">
      <c r="J1492" s="16">
        <v>193</v>
      </c>
      <c r="K1492" s="193">
        <v>0</v>
      </c>
      <c r="L1492" s="193">
        <f>[1]Sheet1!$L483</f>
        <v>6.1966485977172852</v>
      </c>
    </row>
    <row r="1493" spans="10:12" x14ac:dyDescent="0.25">
      <c r="J1493" s="16">
        <v>194</v>
      </c>
      <c r="K1493" s="193">
        <v>0</v>
      </c>
      <c r="L1493" s="193">
        <f>[1]Sheet1!$L484</f>
        <v>6.1909823417663574</v>
      </c>
    </row>
    <row r="1494" spans="10:12" x14ac:dyDescent="0.25">
      <c r="J1494" s="16">
        <v>195</v>
      </c>
      <c r="K1494" s="193">
        <v>0</v>
      </c>
      <c r="L1494" s="193">
        <f>[1]Sheet1!$L485</f>
        <v>6.2195925712585449</v>
      </c>
    </row>
    <row r="1495" spans="10:12" x14ac:dyDescent="0.25">
      <c r="J1495" s="16">
        <v>196</v>
      </c>
      <c r="K1495" s="193">
        <v>0</v>
      </c>
      <c r="L1495" s="193">
        <f>[1]Sheet1!$L486</f>
        <v>6.2448797225952148</v>
      </c>
    </row>
    <row r="1496" spans="10:12" x14ac:dyDescent="0.25">
      <c r="J1496" s="16">
        <v>197</v>
      </c>
      <c r="K1496" s="193">
        <v>0</v>
      </c>
      <c r="L1496" s="193">
        <f>[1]Sheet1!$L487</f>
        <v>6.2196097373962402</v>
      </c>
    </row>
    <row r="1497" spans="10:12" x14ac:dyDescent="0.25">
      <c r="J1497" s="16">
        <v>198</v>
      </c>
      <c r="K1497" s="193">
        <v>0</v>
      </c>
      <c r="L1497" s="193">
        <f>[1]Sheet1!$L488</f>
        <v>6.1938672065734863</v>
      </c>
    </row>
    <row r="1498" spans="10:12" x14ac:dyDescent="0.25">
      <c r="J1498" s="16">
        <v>199</v>
      </c>
      <c r="K1498" s="193">
        <v>0</v>
      </c>
      <c r="L1498" s="193">
        <f>[1]Sheet1!$L489</f>
        <v>6.1906461715698242</v>
      </c>
    </row>
    <row r="1499" spans="10:12" x14ac:dyDescent="0.25">
      <c r="J1499" s="16">
        <v>200</v>
      </c>
      <c r="K1499" s="193">
        <v>0</v>
      </c>
      <c r="L1499" s="193">
        <f>[1]Sheet1!$L490</f>
        <v>6.1907358169555664</v>
      </c>
    </row>
    <row r="1500" spans="10:12" x14ac:dyDescent="0.25">
      <c r="J1500" s="16">
        <v>201</v>
      </c>
      <c r="K1500" s="193">
        <v>0</v>
      </c>
      <c r="L1500" s="193">
        <f>[1]Sheet1!$L491</f>
        <v>6.188718318939209</v>
      </c>
    </row>
    <row r="1501" spans="10:12" x14ac:dyDescent="0.25">
      <c r="J1501" s="16">
        <v>202</v>
      </c>
      <c r="K1501" s="193">
        <v>0</v>
      </c>
      <c r="L1501" s="193">
        <f>[1]Sheet1!$L492</f>
        <v>6.1778202056884766</v>
      </c>
    </row>
    <row r="1502" spans="10:12" x14ac:dyDescent="0.25">
      <c r="J1502" s="16">
        <v>203</v>
      </c>
      <c r="K1502" s="193">
        <v>0</v>
      </c>
      <c r="L1502" s="193">
        <f>[1]Sheet1!$L493</f>
        <v>6.1796832084655762</v>
      </c>
    </row>
    <row r="1503" spans="10:12" x14ac:dyDescent="0.25">
      <c r="J1503" s="16">
        <v>204</v>
      </c>
      <c r="K1503" s="193">
        <v>0</v>
      </c>
      <c r="L1503" s="193">
        <f>[1]Sheet1!$L494</f>
        <v>6.1604447364807129</v>
      </c>
    </row>
    <row r="1504" spans="10:12" x14ac:dyDescent="0.25">
      <c r="J1504" s="16">
        <v>205</v>
      </c>
      <c r="K1504" s="193">
        <v>0</v>
      </c>
      <c r="L1504" s="193">
        <f>[1]Sheet1!$L495</f>
        <v>6.1639046669006348</v>
      </c>
    </row>
    <row r="1505" spans="10:12" x14ac:dyDescent="0.25">
      <c r="J1505" s="16">
        <v>206</v>
      </c>
      <c r="K1505" s="193">
        <v>0</v>
      </c>
      <c r="L1505" s="193">
        <f>[1]Sheet1!$L496</f>
        <v>6.1685686111450204</v>
      </c>
    </row>
    <row r="1506" spans="10:12" x14ac:dyDescent="0.25">
      <c r="J1506" s="16">
        <v>207</v>
      </c>
      <c r="K1506" s="193">
        <v>0</v>
      </c>
      <c r="L1506" s="193">
        <f>[1]Sheet1!$L497</f>
        <v>6.1741838455200204</v>
      </c>
    </row>
    <row r="1507" spans="10:12" x14ac:dyDescent="0.25">
      <c r="J1507" s="16">
        <v>208</v>
      </c>
      <c r="K1507" s="193">
        <v>0</v>
      </c>
      <c r="L1507" s="193">
        <f>[1]Sheet1!$L498</f>
        <v>6.1666312217712402</v>
      </c>
    </row>
    <row r="1508" spans="10:12" x14ac:dyDescent="0.25">
      <c r="J1508" s="16">
        <v>209</v>
      </c>
      <c r="K1508" s="193">
        <v>0</v>
      </c>
      <c r="L1508" s="193">
        <f>[1]Sheet1!$L499</f>
        <v>6.1462235450744629</v>
      </c>
    </row>
    <row r="1509" spans="10:12" x14ac:dyDescent="0.25">
      <c r="J1509" s="16">
        <v>210</v>
      </c>
      <c r="K1509" s="193">
        <v>0</v>
      </c>
      <c r="L1509" s="193">
        <f>[1]Sheet1!$L500</f>
        <v>6.1289381980895996</v>
      </c>
    </row>
    <row r="1510" spans="10:12" x14ac:dyDescent="0.25">
      <c r="J1510" s="16">
        <v>211</v>
      </c>
      <c r="K1510" s="193">
        <v>0</v>
      </c>
      <c r="L1510" s="193">
        <f>[1]Sheet1!$L501</f>
        <v>6.1297097206115723</v>
      </c>
    </row>
    <row r="1511" spans="10:12" x14ac:dyDescent="0.25">
      <c r="J1511" s="16">
        <v>212</v>
      </c>
      <c r="K1511" s="193">
        <v>0</v>
      </c>
      <c r="L1511" s="193">
        <f>[1]Sheet1!$L502</f>
        <v>6.1131439208984384</v>
      </c>
    </row>
    <row r="1512" spans="10:12" x14ac:dyDescent="0.25">
      <c r="J1512" s="16">
        <v>213</v>
      </c>
      <c r="K1512" s="193">
        <v>0</v>
      </c>
      <c r="L1512" s="193">
        <f>[1]Sheet1!$L503</f>
        <v>6.1061515808105469</v>
      </c>
    </row>
    <row r="1513" spans="10:12" x14ac:dyDescent="0.25">
      <c r="J1513" s="16">
        <v>214</v>
      </c>
      <c r="K1513" s="193">
        <v>0</v>
      </c>
      <c r="L1513" s="193">
        <f>[1]Sheet1!$L504</f>
        <v>6.0957555770874023</v>
      </c>
    </row>
    <row r="1514" spans="10:12" x14ac:dyDescent="0.25">
      <c r="J1514" s="16">
        <v>215</v>
      </c>
      <c r="K1514" s="193">
        <v>0</v>
      </c>
      <c r="L1514" s="193">
        <f>[1]Sheet1!$L505</f>
        <v>6.0910439491271973</v>
      </c>
    </row>
    <row r="1515" spans="10:12" x14ac:dyDescent="0.25">
      <c r="J1515" s="16">
        <v>216</v>
      </c>
      <c r="K1515" s="193">
        <v>0</v>
      </c>
      <c r="L1515" s="193">
        <f>[1]Sheet1!$L506</f>
        <v>6.1049880981445313</v>
      </c>
    </row>
    <row r="1516" spans="10:12" x14ac:dyDescent="0.25">
      <c r="J1516" s="16">
        <v>217</v>
      </c>
      <c r="K1516" s="193">
        <v>0</v>
      </c>
      <c r="L1516" s="193">
        <f>[1]Sheet1!$L507</f>
        <v>6.0671629905700684</v>
      </c>
    </row>
    <row r="1517" spans="10:12" x14ac:dyDescent="0.25">
      <c r="J1517" s="16">
        <v>218</v>
      </c>
      <c r="K1517" s="193">
        <v>0</v>
      </c>
      <c r="L1517" s="193">
        <f>[1]Sheet1!$L508</f>
        <v>6.0013618469238281</v>
      </c>
    </row>
    <row r="1518" spans="10:12" x14ac:dyDescent="0.25">
      <c r="J1518" s="16">
        <v>219</v>
      </c>
      <c r="K1518" s="193">
        <v>0</v>
      </c>
      <c r="L1518" s="193">
        <f>[1]Sheet1!$L509</f>
        <v>6.0144138336181641</v>
      </c>
    </row>
    <row r="1519" spans="10:12" x14ac:dyDescent="0.25">
      <c r="J1519" s="16">
        <v>220</v>
      </c>
      <c r="K1519" s="193">
        <v>0</v>
      </c>
      <c r="L1519" s="193">
        <f>[1]Sheet1!$L510</f>
        <v>6.030616283416748</v>
      </c>
    </row>
    <row r="1520" spans="10:12" x14ac:dyDescent="0.25">
      <c r="J1520" s="16">
        <v>221</v>
      </c>
      <c r="K1520" s="193">
        <v>0</v>
      </c>
      <c r="L1520" s="193">
        <f>[1]Sheet1!$L511</f>
        <v>6.0366439819335938</v>
      </c>
    </row>
    <row r="1521" spans="10:12" x14ac:dyDescent="0.25">
      <c r="J1521" s="16">
        <v>222</v>
      </c>
      <c r="K1521" s="193">
        <v>0</v>
      </c>
      <c r="L1521" s="193">
        <f>[1]Sheet1!$L512</f>
        <v>6.0326156616210938</v>
      </c>
    </row>
    <row r="1522" spans="10:12" x14ac:dyDescent="0.25">
      <c r="J1522" s="16">
        <v>223</v>
      </c>
      <c r="K1522" s="193">
        <v>0</v>
      </c>
      <c r="L1522" s="193">
        <f>[1]Sheet1!$L513</f>
        <v>6.0626840591430664</v>
      </c>
    </row>
    <row r="1523" spans="10:12" x14ac:dyDescent="0.25">
      <c r="J1523" s="16">
        <v>224</v>
      </c>
      <c r="K1523" s="193">
        <v>0</v>
      </c>
      <c r="L1523" s="193">
        <f>[1]Sheet1!$L514</f>
        <v>6.1437225341796884</v>
      </c>
    </row>
    <row r="1524" spans="10:12" x14ac:dyDescent="0.25">
      <c r="J1524" s="16">
        <v>225</v>
      </c>
      <c r="K1524" s="193">
        <v>0</v>
      </c>
      <c r="L1524" s="193">
        <f>[1]Sheet1!$L515</f>
        <v>6.1662759780883789</v>
      </c>
    </row>
    <row r="1525" spans="10:12" x14ac:dyDescent="0.25">
      <c r="J1525" s="16">
        <v>226</v>
      </c>
      <c r="K1525" s="193">
        <v>0</v>
      </c>
      <c r="L1525" s="193">
        <f>[1]Sheet1!$L516</f>
        <v>6.212425708770752</v>
      </c>
    </row>
    <row r="1526" spans="10:12" x14ac:dyDescent="0.25">
      <c r="J1526" s="16">
        <v>227</v>
      </c>
      <c r="K1526" s="193">
        <v>0</v>
      </c>
      <c r="L1526" s="193">
        <f>[1]Sheet1!$L517</f>
        <v>6.1794171333312988</v>
      </c>
    </row>
    <row r="1527" spans="10:12" x14ac:dyDescent="0.25">
      <c r="J1527" s="16">
        <v>228</v>
      </c>
      <c r="K1527" s="193">
        <v>0</v>
      </c>
      <c r="L1527" s="193">
        <f>[1]Sheet1!$L518</f>
        <v>6.1341114044189453</v>
      </c>
    </row>
    <row r="1528" spans="10:12" x14ac:dyDescent="0.25">
      <c r="J1528" s="16">
        <v>229</v>
      </c>
      <c r="K1528" s="193">
        <v>0</v>
      </c>
      <c r="L1528" s="193">
        <f>[1]Sheet1!$L519</f>
        <v>6.079810619354248</v>
      </c>
    </row>
    <row r="1529" spans="10:12" x14ac:dyDescent="0.25">
      <c r="J1529" s="16">
        <v>230</v>
      </c>
      <c r="K1529" s="193">
        <v>0</v>
      </c>
      <c r="L1529" s="193">
        <f>[1]Sheet1!$L520</f>
        <v>6.0315914154052734</v>
      </c>
    </row>
    <row r="1530" spans="10:12" x14ac:dyDescent="0.25">
      <c r="J1530" s="16">
        <v>231</v>
      </c>
      <c r="K1530" s="193">
        <v>0</v>
      </c>
      <c r="L1530" s="193">
        <f>[1]Sheet1!$L521</f>
        <v>5.9672198295593262</v>
      </c>
    </row>
    <row r="1531" spans="10:12" x14ac:dyDescent="0.25">
      <c r="J1531" s="16">
        <v>232</v>
      </c>
      <c r="K1531" s="193">
        <v>0</v>
      </c>
      <c r="L1531" s="193">
        <f>[1]Sheet1!$L522</f>
        <v>5.9239306449890137</v>
      </c>
    </row>
    <row r="1532" spans="10:12" x14ac:dyDescent="0.25">
      <c r="J1532" s="16">
        <v>233</v>
      </c>
      <c r="K1532" s="193">
        <v>0</v>
      </c>
      <c r="L1532" s="193">
        <f>[1]Sheet1!$L523</f>
        <v>5.8531284332275391</v>
      </c>
    </row>
    <row r="1533" spans="10:12" x14ac:dyDescent="0.25">
      <c r="J1533" s="16">
        <v>234</v>
      </c>
      <c r="K1533" s="193">
        <v>0</v>
      </c>
      <c r="L1533" s="193">
        <f>[1]Sheet1!$L524</f>
        <v>0</v>
      </c>
    </row>
    <row r="1534" spans="10:12" x14ac:dyDescent="0.25">
      <c r="J1534" s="16">
        <v>235</v>
      </c>
      <c r="K1534" s="193">
        <v>0</v>
      </c>
      <c r="L1534" s="193">
        <f>[1]Sheet1!$L525</f>
        <v>0</v>
      </c>
    </row>
    <row r="1535" spans="10:12" x14ac:dyDescent="0.25">
      <c r="J1535" s="16">
        <v>236</v>
      </c>
      <c r="K1535" s="193">
        <v>0</v>
      </c>
      <c r="L1535" s="193">
        <f>[1]Sheet1!$L526</f>
        <v>0</v>
      </c>
    </row>
    <row r="1536" spans="10:12" x14ac:dyDescent="0.25">
      <c r="J1536" s="16">
        <v>237</v>
      </c>
      <c r="K1536" s="193">
        <v>0</v>
      </c>
      <c r="L1536" s="193">
        <f>[1]Sheet1!$L527</f>
        <v>0</v>
      </c>
    </row>
    <row r="1537" spans="10:12" x14ac:dyDescent="0.25">
      <c r="J1537" s="16">
        <v>238</v>
      </c>
      <c r="K1537" s="193">
        <v>0</v>
      </c>
      <c r="L1537" s="193">
        <f>[1]Sheet1!$L528</f>
        <v>0</v>
      </c>
    </row>
    <row r="1538" spans="10:12" x14ac:dyDescent="0.25">
      <c r="J1538" s="16">
        <v>239</v>
      </c>
      <c r="K1538" s="193">
        <v>0</v>
      </c>
      <c r="L1538" s="193">
        <f>[1]Sheet1!$L529</f>
        <v>0</v>
      </c>
    </row>
    <row r="1539" spans="10:12" x14ac:dyDescent="0.25">
      <c r="J1539" s="16">
        <v>240</v>
      </c>
      <c r="K1539" s="193">
        <v>0</v>
      </c>
      <c r="L1539" s="193">
        <f>[1]Sheet1!$L530</f>
        <v>0</v>
      </c>
    </row>
    <row r="1540" spans="10:12" x14ac:dyDescent="0.25">
      <c r="J1540" s="16">
        <v>241</v>
      </c>
      <c r="K1540" s="193">
        <v>0</v>
      </c>
      <c r="L1540" s="193">
        <f>[1]Sheet1!$L531</f>
        <v>0</v>
      </c>
    </row>
    <row r="1541" spans="10:12" x14ac:dyDescent="0.25">
      <c r="J1541" s="16">
        <v>242</v>
      </c>
      <c r="K1541" s="193">
        <v>0</v>
      </c>
      <c r="L1541" s="193">
        <f>[1]Sheet1!$L532</f>
        <v>0</v>
      </c>
    </row>
    <row r="1542" spans="10:12" x14ac:dyDescent="0.25">
      <c r="J1542" s="16">
        <v>243</v>
      </c>
      <c r="K1542" s="193">
        <v>0</v>
      </c>
      <c r="L1542" s="193">
        <f>[1]Sheet1!$L533</f>
        <v>0</v>
      </c>
    </row>
    <row r="1543" spans="10:12" x14ac:dyDescent="0.25">
      <c r="J1543" s="16">
        <v>244</v>
      </c>
      <c r="K1543" s="193">
        <v>0</v>
      </c>
      <c r="L1543" s="193">
        <f>[1]Sheet1!$L534</f>
        <v>0</v>
      </c>
    </row>
    <row r="1544" spans="10:12" x14ac:dyDescent="0.25">
      <c r="J1544" s="16">
        <v>245</v>
      </c>
      <c r="K1544" s="193">
        <v>0</v>
      </c>
      <c r="L1544" s="193">
        <f>[1]Sheet1!$L535</f>
        <v>0</v>
      </c>
    </row>
    <row r="1545" spans="10:12" x14ac:dyDescent="0.25">
      <c r="J1545" s="16">
        <v>246</v>
      </c>
      <c r="K1545" s="193">
        <v>0</v>
      </c>
      <c r="L1545" s="193">
        <f>[1]Sheet1!$L536</f>
        <v>0</v>
      </c>
    </row>
    <row r="1546" spans="10:12" x14ac:dyDescent="0.25">
      <c r="J1546" s="16">
        <v>247</v>
      </c>
      <c r="K1546" s="193">
        <v>0</v>
      </c>
      <c r="L1546" s="193">
        <f>[1]Sheet1!$L537</f>
        <v>0</v>
      </c>
    </row>
    <row r="1547" spans="10:12" x14ac:dyDescent="0.25">
      <c r="J1547" s="16">
        <v>248</v>
      </c>
      <c r="K1547" s="193">
        <v>0</v>
      </c>
      <c r="L1547" s="193">
        <f>[1]Sheet1!$L538</f>
        <v>0</v>
      </c>
    </row>
    <row r="1548" spans="10:12" x14ac:dyDescent="0.25">
      <c r="J1548" s="16">
        <v>249</v>
      </c>
      <c r="K1548" s="193">
        <v>0</v>
      </c>
      <c r="L1548" s="193">
        <f>[1]Sheet1!$L539</f>
        <v>0</v>
      </c>
    </row>
    <row r="1549" spans="10:12" x14ac:dyDescent="0.25">
      <c r="J1549" s="16">
        <v>250</v>
      </c>
      <c r="K1549" s="193">
        <v>0</v>
      </c>
      <c r="L1549" s="193">
        <f>[1]Sheet1!$L540</f>
        <v>0</v>
      </c>
    </row>
    <row r="1550" spans="10:12" x14ac:dyDescent="0.25">
      <c r="J1550" s="16">
        <v>251</v>
      </c>
      <c r="K1550" s="193">
        <v>0</v>
      </c>
      <c r="L1550" s="193">
        <f>[1]Sheet1!$L541</f>
        <v>0</v>
      </c>
    </row>
    <row r="1551" spans="10:12" x14ac:dyDescent="0.25">
      <c r="J1551" s="16">
        <v>252</v>
      </c>
      <c r="K1551" s="193">
        <v>0</v>
      </c>
      <c r="L1551" s="193">
        <f>[1]Sheet1!$L542</f>
        <v>0</v>
      </c>
    </row>
    <row r="1552" spans="10:12" x14ac:dyDescent="0.25">
      <c r="J1552" s="16">
        <v>253</v>
      </c>
      <c r="K1552" s="193">
        <v>0</v>
      </c>
      <c r="L1552" s="193">
        <f>[1]Sheet1!$L543</f>
        <v>0</v>
      </c>
    </row>
    <row r="1553" spans="10:12" x14ac:dyDescent="0.25">
      <c r="J1553" s="16">
        <v>254</v>
      </c>
      <c r="K1553" s="193">
        <v>0</v>
      </c>
      <c r="L1553" s="193">
        <f>[1]Sheet1!$L544</f>
        <v>0</v>
      </c>
    </row>
    <row r="1554" spans="10:12" x14ac:dyDescent="0.25">
      <c r="J1554" s="16">
        <v>255</v>
      </c>
      <c r="K1554" s="193">
        <v>0</v>
      </c>
      <c r="L1554" s="193">
        <f>[1]Sheet1!$L545</f>
        <v>0</v>
      </c>
    </row>
    <row r="1555" spans="10:12" x14ac:dyDescent="0.25">
      <c r="J1555" s="16">
        <v>256</v>
      </c>
      <c r="K1555" s="193">
        <v>0</v>
      </c>
      <c r="L1555" s="193">
        <f>[1]Sheet1!$L546</f>
        <v>0</v>
      </c>
    </row>
    <row r="1556" spans="10:12" x14ac:dyDescent="0.25">
      <c r="J1556" s="16">
        <v>257</v>
      </c>
      <c r="K1556" s="193">
        <v>0</v>
      </c>
      <c r="L1556" s="193">
        <f>[1]Sheet1!$L547</f>
        <v>0</v>
      </c>
    </row>
    <row r="1557" spans="10:12" x14ac:dyDescent="0.25">
      <c r="J1557" s="16">
        <v>258</v>
      </c>
      <c r="K1557" s="193">
        <v>0</v>
      </c>
      <c r="L1557" s="193">
        <f>[1]Sheet1!$L548</f>
        <v>0</v>
      </c>
    </row>
    <row r="1558" spans="10:12" x14ac:dyDescent="0.25">
      <c r="J1558" s="16">
        <v>259</v>
      </c>
      <c r="K1558" s="193">
        <v>0</v>
      </c>
      <c r="L1558" s="193">
        <f>[1]Sheet1!$L549</f>
        <v>0</v>
      </c>
    </row>
    <row r="1559" spans="10:12" x14ac:dyDescent="0.25">
      <c r="J1559" s="16">
        <v>260</v>
      </c>
      <c r="K1559" s="193">
        <v>0</v>
      </c>
      <c r="L1559" s="193">
        <f>[1]Sheet1!$L550</f>
        <v>0</v>
      </c>
    </row>
    <row r="1560" spans="10:12" x14ac:dyDescent="0.25">
      <c r="J1560" s="16">
        <v>261</v>
      </c>
      <c r="K1560" s="193">
        <v>0</v>
      </c>
      <c r="L1560" s="193">
        <f>[1]Sheet1!$L551</f>
        <v>0</v>
      </c>
    </row>
    <row r="1561" spans="10:12" x14ac:dyDescent="0.25">
      <c r="J1561" s="16">
        <v>262</v>
      </c>
      <c r="K1561" s="193">
        <v>0</v>
      </c>
      <c r="L1561" s="193">
        <f>[1]Sheet1!$L552</f>
        <v>0</v>
      </c>
    </row>
    <row r="1562" spans="10:12" x14ac:dyDescent="0.25">
      <c r="J1562" s="16">
        <v>263</v>
      </c>
      <c r="K1562" s="193">
        <v>0</v>
      </c>
      <c r="L1562" s="193">
        <f>[1]Sheet1!$L553</f>
        <v>0</v>
      </c>
    </row>
    <row r="1563" spans="10:12" x14ac:dyDescent="0.25">
      <c r="J1563" s="16">
        <v>264</v>
      </c>
      <c r="K1563" s="193">
        <v>0</v>
      </c>
      <c r="L1563" s="193">
        <f>[1]Sheet1!$L554</f>
        <v>0</v>
      </c>
    </row>
    <row r="1564" spans="10:12" x14ac:dyDescent="0.25">
      <c r="J1564" s="16">
        <v>265</v>
      </c>
      <c r="K1564" s="193">
        <v>0</v>
      </c>
      <c r="L1564" s="193">
        <f>[1]Sheet1!$L555</f>
        <v>0</v>
      </c>
    </row>
    <row r="1565" spans="10:12" x14ac:dyDescent="0.25">
      <c r="J1565" s="16">
        <v>266</v>
      </c>
      <c r="K1565" s="193">
        <v>0</v>
      </c>
      <c r="L1565" s="193">
        <f>[1]Sheet1!$L556</f>
        <v>0</v>
      </c>
    </row>
    <row r="1566" spans="10:12" x14ac:dyDescent="0.25">
      <c r="J1566" s="16">
        <v>267</v>
      </c>
      <c r="K1566" s="193">
        <v>0</v>
      </c>
      <c r="L1566" s="193">
        <f>[1]Sheet1!$L557</f>
        <v>0</v>
      </c>
    </row>
    <row r="1567" spans="10:12" x14ac:dyDescent="0.25">
      <c r="J1567" s="16">
        <v>268</v>
      </c>
      <c r="K1567" s="193">
        <v>0</v>
      </c>
      <c r="L1567" s="193">
        <f>[1]Sheet1!$L558</f>
        <v>0</v>
      </c>
    </row>
    <row r="1568" spans="10:12" x14ac:dyDescent="0.25">
      <c r="J1568" s="16">
        <v>269</v>
      </c>
      <c r="K1568" s="193">
        <v>0</v>
      </c>
      <c r="L1568" s="193">
        <f>[1]Sheet1!$L559</f>
        <v>0</v>
      </c>
    </row>
    <row r="1569" spans="10:12" x14ac:dyDescent="0.25">
      <c r="J1569" s="16">
        <v>270</v>
      </c>
      <c r="K1569" s="193">
        <v>0</v>
      </c>
      <c r="L1569" s="193">
        <f>[1]Sheet1!$L560</f>
        <v>0</v>
      </c>
    </row>
    <row r="1570" spans="10:12" x14ac:dyDescent="0.25">
      <c r="J1570" s="16">
        <v>271</v>
      </c>
      <c r="K1570" s="193">
        <v>0</v>
      </c>
      <c r="L1570" s="193">
        <f>[1]Sheet1!$L561</f>
        <v>0</v>
      </c>
    </row>
    <row r="1571" spans="10:12" x14ac:dyDescent="0.25">
      <c r="J1571" s="16">
        <v>272</v>
      </c>
      <c r="K1571" s="193">
        <v>0</v>
      </c>
      <c r="L1571" s="193">
        <f>[1]Sheet1!$L562</f>
        <v>0</v>
      </c>
    </row>
    <row r="1572" spans="10:12" x14ac:dyDescent="0.25">
      <c r="J1572" s="16">
        <v>273</v>
      </c>
      <c r="K1572" s="193">
        <v>0</v>
      </c>
      <c r="L1572" s="193">
        <f>[1]Sheet1!$L563</f>
        <v>0</v>
      </c>
    </row>
    <row r="1573" spans="10:12" x14ac:dyDescent="0.25">
      <c r="J1573" s="16">
        <v>274</v>
      </c>
      <c r="K1573" s="193">
        <v>0</v>
      </c>
      <c r="L1573" s="193">
        <f>[1]Sheet1!$L564</f>
        <v>0</v>
      </c>
    </row>
    <row r="1574" spans="10:12" x14ac:dyDescent="0.25">
      <c r="J1574" s="16">
        <v>275</v>
      </c>
      <c r="K1574" s="193">
        <v>0</v>
      </c>
      <c r="L1574" s="193">
        <f>[1]Sheet1!$L565</f>
        <v>0</v>
      </c>
    </row>
    <row r="1575" spans="10:12" x14ac:dyDescent="0.25">
      <c r="J1575" s="16">
        <v>276</v>
      </c>
      <c r="K1575" s="193">
        <v>0</v>
      </c>
      <c r="L1575" s="193">
        <f>[1]Sheet1!$L566</f>
        <v>0</v>
      </c>
    </row>
    <row r="1576" spans="10:12" x14ac:dyDescent="0.25">
      <c r="J1576" s="16">
        <v>277</v>
      </c>
      <c r="K1576" s="193">
        <v>0</v>
      </c>
      <c r="L1576" s="193">
        <f>[1]Sheet1!$L567</f>
        <v>0</v>
      </c>
    </row>
    <row r="1577" spans="10:12" x14ac:dyDescent="0.25">
      <c r="J1577" s="16">
        <v>278</v>
      </c>
      <c r="K1577" s="193">
        <v>0</v>
      </c>
      <c r="L1577" s="193">
        <f>[1]Sheet1!$L568</f>
        <v>0</v>
      </c>
    </row>
    <row r="1578" spans="10:12" x14ac:dyDescent="0.25">
      <c r="J1578" s="16">
        <v>279</v>
      </c>
      <c r="K1578" s="193">
        <v>0</v>
      </c>
      <c r="L1578" s="193">
        <f>[1]Sheet1!$L569</f>
        <v>0</v>
      </c>
    </row>
    <row r="1579" spans="10:12" x14ac:dyDescent="0.25">
      <c r="J1579" s="16">
        <v>280</v>
      </c>
      <c r="K1579" s="193">
        <v>0</v>
      </c>
      <c r="L1579" s="193">
        <f>[1]Sheet1!$L570</f>
        <v>0</v>
      </c>
    </row>
    <row r="1580" spans="10:12" x14ac:dyDescent="0.25">
      <c r="J1580" s="16">
        <v>281</v>
      </c>
      <c r="K1580" s="193">
        <v>0</v>
      </c>
      <c r="L1580" s="193">
        <f>[1]Sheet1!$L571</f>
        <v>0</v>
      </c>
    </row>
    <row r="1581" spans="10:12" x14ac:dyDescent="0.25">
      <c r="J1581" s="16">
        <v>282</v>
      </c>
      <c r="K1581" s="193">
        <v>0</v>
      </c>
      <c r="L1581" s="193">
        <f>[1]Sheet1!$L572</f>
        <v>0</v>
      </c>
    </row>
    <row r="1582" spans="10:12" x14ac:dyDescent="0.25">
      <c r="J1582" s="16">
        <v>283</v>
      </c>
      <c r="K1582" s="193">
        <v>0</v>
      </c>
      <c r="L1582" s="193">
        <f>[1]Sheet1!$L573</f>
        <v>0</v>
      </c>
    </row>
    <row r="1583" spans="10:12" x14ac:dyDescent="0.25">
      <c r="J1583" s="16">
        <v>284</v>
      </c>
      <c r="K1583" s="193">
        <v>0</v>
      </c>
      <c r="L1583" s="193">
        <f>[1]Sheet1!$L574</f>
        <v>0</v>
      </c>
    </row>
    <row r="1584" spans="10:12" x14ac:dyDescent="0.25">
      <c r="J1584" s="16">
        <v>285</v>
      </c>
      <c r="K1584" s="193">
        <v>0</v>
      </c>
      <c r="L1584" s="193">
        <f>[1]Sheet1!$L575</f>
        <v>0</v>
      </c>
    </row>
    <row r="1585" spans="10:12" x14ac:dyDescent="0.25">
      <c r="J1585" s="16">
        <v>286</v>
      </c>
      <c r="K1585" s="193">
        <v>0</v>
      </c>
      <c r="L1585" s="193">
        <f>[1]Sheet1!$L576</f>
        <v>0</v>
      </c>
    </row>
    <row r="1586" spans="10:12" x14ac:dyDescent="0.25">
      <c r="J1586" s="16">
        <v>287</v>
      </c>
      <c r="K1586" s="193">
        <v>0</v>
      </c>
      <c r="L1586" s="193">
        <f>[1]Sheet1!$L577</f>
        <v>0</v>
      </c>
    </row>
    <row r="1587" spans="10:12" x14ac:dyDescent="0.25">
      <c r="J1587" s="16">
        <v>288</v>
      </c>
      <c r="K1587" s="193">
        <v>0</v>
      </c>
      <c r="L1587" s="193">
        <f>[1]Sheet1!$L578</f>
        <v>0</v>
      </c>
    </row>
    <row r="1588" spans="10:12" x14ac:dyDescent="0.25">
      <c r="J1588" s="16">
        <v>289</v>
      </c>
      <c r="K1588" s="193">
        <v>0</v>
      </c>
      <c r="L1588" s="193">
        <f>[1]Sheet1!$L579</f>
        <v>0</v>
      </c>
    </row>
    <row r="1589" spans="10:12" x14ac:dyDescent="0.25">
      <c r="J1589" s="16">
        <v>290</v>
      </c>
      <c r="K1589" s="193">
        <v>0</v>
      </c>
      <c r="L1589" s="193">
        <f>[1]Sheet1!$L580</f>
        <v>0</v>
      </c>
    </row>
    <row r="1590" spans="10:12" x14ac:dyDescent="0.25">
      <c r="J1590" s="16">
        <v>291</v>
      </c>
      <c r="K1590" s="193">
        <v>0</v>
      </c>
      <c r="L1590" s="193">
        <f>[1]Sheet1!$L581</f>
        <v>0</v>
      </c>
    </row>
    <row r="1591" spans="10:12" x14ac:dyDescent="0.25">
      <c r="J1591" s="16">
        <v>292</v>
      </c>
      <c r="K1591" s="193">
        <v>0</v>
      </c>
      <c r="L1591" s="193">
        <f>[1]Sheet1!$L582</f>
        <v>0</v>
      </c>
    </row>
    <row r="1592" spans="10:12" x14ac:dyDescent="0.25">
      <c r="J1592" s="16">
        <v>293</v>
      </c>
      <c r="K1592" s="193">
        <v>0</v>
      </c>
      <c r="L1592" s="193">
        <f>[1]Sheet1!$L583</f>
        <v>0</v>
      </c>
    </row>
    <row r="1593" spans="10:12" x14ac:dyDescent="0.25">
      <c r="J1593" s="16">
        <v>294</v>
      </c>
      <c r="K1593" s="193">
        <v>0</v>
      </c>
      <c r="L1593" s="193">
        <f>[1]Sheet1!$L584</f>
        <v>0</v>
      </c>
    </row>
    <row r="1594" spans="10:12" x14ac:dyDescent="0.25">
      <c r="J1594" s="16">
        <v>295</v>
      </c>
      <c r="K1594" s="193">
        <v>0</v>
      </c>
      <c r="L1594" s="193">
        <f>[1]Sheet1!$L585</f>
        <v>0</v>
      </c>
    </row>
    <row r="1595" spans="10:12" x14ac:dyDescent="0.25">
      <c r="J1595" s="16">
        <v>296</v>
      </c>
      <c r="K1595" s="193">
        <v>0</v>
      </c>
      <c r="L1595" s="193">
        <f>[1]Sheet1!$L586</f>
        <v>0</v>
      </c>
    </row>
    <row r="1596" spans="10:12" x14ac:dyDescent="0.25">
      <c r="J1596" s="16">
        <v>297</v>
      </c>
      <c r="K1596" s="193">
        <v>0</v>
      </c>
      <c r="L1596" s="193">
        <f>[1]Sheet1!$L587</f>
        <v>0</v>
      </c>
    </row>
    <row r="1597" spans="10:12" x14ac:dyDescent="0.25">
      <c r="J1597" s="16">
        <v>298</v>
      </c>
      <c r="K1597" s="193">
        <v>0</v>
      </c>
      <c r="L1597" s="193">
        <f>[1]Sheet1!$L588</f>
        <v>0</v>
      </c>
    </row>
    <row r="1598" spans="10:12" x14ac:dyDescent="0.25">
      <c r="J1598" s="16">
        <v>299</v>
      </c>
      <c r="K1598" s="193">
        <v>0</v>
      </c>
      <c r="L1598" s="193">
        <f>[1]Sheet1!$L589</f>
        <v>0</v>
      </c>
    </row>
    <row r="1599" spans="10:12" x14ac:dyDescent="0.25">
      <c r="J1599" s="16">
        <v>300</v>
      </c>
      <c r="K1599" s="193">
        <v>0</v>
      </c>
      <c r="L1599" s="193">
        <f>[1]Sheet1!$L590</f>
        <v>0</v>
      </c>
    </row>
    <row r="1600" spans="10:12" x14ac:dyDescent="0.25">
      <c r="J1600" s="16">
        <v>301</v>
      </c>
      <c r="K1600" s="193">
        <v>0</v>
      </c>
      <c r="L1600" s="193">
        <f>[1]Sheet1!$L591</f>
        <v>0</v>
      </c>
    </row>
    <row r="1601" spans="10:12" x14ac:dyDescent="0.25">
      <c r="J1601" s="16">
        <v>302</v>
      </c>
      <c r="K1601" s="193">
        <v>0</v>
      </c>
      <c r="L1601" s="193">
        <f>[1]Sheet1!$L592</f>
        <v>0</v>
      </c>
    </row>
    <row r="1602" spans="10:12" x14ac:dyDescent="0.25">
      <c r="J1602" s="16">
        <v>303</v>
      </c>
      <c r="K1602" s="193">
        <v>0</v>
      </c>
      <c r="L1602" s="193">
        <f>[1]Sheet1!$L593</f>
        <v>0</v>
      </c>
    </row>
    <row r="1603" spans="10:12" x14ac:dyDescent="0.25">
      <c r="J1603" s="16">
        <v>304</v>
      </c>
      <c r="K1603" s="193">
        <v>0</v>
      </c>
      <c r="L1603" s="193">
        <f>[1]Sheet1!$L594</f>
        <v>0</v>
      </c>
    </row>
    <row r="1604" spans="10:12" x14ac:dyDescent="0.25">
      <c r="J1604" s="16">
        <v>305</v>
      </c>
      <c r="K1604" s="193">
        <v>0</v>
      </c>
      <c r="L1604" s="193">
        <f>[1]Sheet1!$L595</f>
        <v>0</v>
      </c>
    </row>
    <row r="1605" spans="10:12" x14ac:dyDescent="0.25">
      <c r="J1605" s="16">
        <v>306</v>
      </c>
      <c r="K1605" s="193">
        <v>0</v>
      </c>
      <c r="L1605" s="193">
        <f>[1]Sheet1!$L596</f>
        <v>0</v>
      </c>
    </row>
    <row r="1606" spans="10:12" x14ac:dyDescent="0.25">
      <c r="J1606" s="16">
        <v>307</v>
      </c>
      <c r="K1606" s="193">
        <v>0</v>
      </c>
      <c r="L1606" s="193">
        <f>[1]Sheet1!$L597</f>
        <v>0</v>
      </c>
    </row>
    <row r="1607" spans="10:12" x14ac:dyDescent="0.25">
      <c r="J1607" s="16">
        <v>308</v>
      </c>
      <c r="K1607" s="193">
        <v>0</v>
      </c>
      <c r="L1607" s="193">
        <f>[1]Sheet1!$L598</f>
        <v>0</v>
      </c>
    </row>
    <row r="1608" spans="10:12" x14ac:dyDescent="0.25">
      <c r="J1608" s="16">
        <v>309</v>
      </c>
      <c r="K1608" s="193">
        <v>0</v>
      </c>
      <c r="L1608" s="193">
        <f>[1]Sheet1!$L599</f>
        <v>0</v>
      </c>
    </row>
    <row r="1609" spans="10:12" x14ac:dyDescent="0.25">
      <c r="J1609" s="16">
        <v>310</v>
      </c>
      <c r="K1609" s="193">
        <v>0</v>
      </c>
      <c r="L1609" s="193">
        <f>[1]Sheet1!$L600</f>
        <v>0</v>
      </c>
    </row>
    <row r="1610" spans="10:12" x14ac:dyDescent="0.25">
      <c r="J1610" s="16">
        <v>311</v>
      </c>
      <c r="K1610" s="193">
        <v>0</v>
      </c>
      <c r="L1610" s="193">
        <f>[1]Sheet1!$L601</f>
        <v>0</v>
      </c>
    </row>
    <row r="1611" spans="10:12" x14ac:dyDescent="0.25">
      <c r="J1611" s="16">
        <v>312</v>
      </c>
      <c r="K1611" s="193">
        <v>0</v>
      </c>
      <c r="L1611" s="193">
        <f>[1]Sheet1!$L602</f>
        <v>0</v>
      </c>
    </row>
    <row r="1612" spans="10:12" x14ac:dyDescent="0.25">
      <c r="J1612" s="16">
        <v>313</v>
      </c>
      <c r="K1612" s="193">
        <v>0</v>
      </c>
      <c r="L1612" s="193">
        <f>[1]Sheet1!$L603</f>
        <v>0</v>
      </c>
    </row>
    <row r="1613" spans="10:12" x14ac:dyDescent="0.25">
      <c r="J1613" s="16">
        <v>314</v>
      </c>
      <c r="K1613" s="193">
        <v>0</v>
      </c>
      <c r="L1613" s="193">
        <f>[1]Sheet1!$L604</f>
        <v>0</v>
      </c>
    </row>
    <row r="1614" spans="10:12" x14ac:dyDescent="0.25">
      <c r="J1614" s="16">
        <v>315</v>
      </c>
      <c r="K1614" s="193">
        <v>0</v>
      </c>
      <c r="L1614" s="193">
        <f>[1]Sheet1!$L605</f>
        <v>0</v>
      </c>
    </row>
    <row r="1615" spans="10:12" x14ac:dyDescent="0.25">
      <c r="J1615" s="16">
        <v>316</v>
      </c>
      <c r="K1615" s="193">
        <v>0</v>
      </c>
      <c r="L1615" s="193">
        <f>[1]Sheet1!$L606</f>
        <v>0</v>
      </c>
    </row>
    <row r="1616" spans="10:12" x14ac:dyDescent="0.25">
      <c r="J1616" s="16">
        <v>317</v>
      </c>
      <c r="K1616" s="193">
        <v>0</v>
      </c>
      <c r="L1616" s="193">
        <f>[1]Sheet1!$L607</f>
        <v>0</v>
      </c>
    </row>
    <row r="1617" spans="10:12" x14ac:dyDescent="0.25">
      <c r="J1617" s="16">
        <v>318</v>
      </c>
      <c r="K1617" s="193">
        <v>0</v>
      </c>
      <c r="L1617" s="193">
        <f>[1]Sheet1!$L608</f>
        <v>0</v>
      </c>
    </row>
    <row r="1618" spans="10:12" x14ac:dyDescent="0.25">
      <c r="J1618" s="16">
        <v>319</v>
      </c>
      <c r="K1618" s="193">
        <v>0</v>
      </c>
      <c r="L1618" s="193">
        <f>[1]Sheet1!$L609</f>
        <v>0</v>
      </c>
    </row>
    <row r="1619" spans="10:12" x14ac:dyDescent="0.25">
      <c r="J1619" s="16">
        <v>320</v>
      </c>
      <c r="K1619" s="193">
        <v>0</v>
      </c>
      <c r="L1619" s="193">
        <f>[1]Sheet1!$L610</f>
        <v>0</v>
      </c>
    </row>
    <row r="1620" spans="10:12" x14ac:dyDescent="0.25">
      <c r="J1620" s="16">
        <v>321</v>
      </c>
      <c r="K1620" s="193">
        <v>0</v>
      </c>
      <c r="L1620" s="193">
        <f>[1]Sheet1!$L611</f>
        <v>0</v>
      </c>
    </row>
    <row r="1621" spans="10:12" x14ac:dyDescent="0.25">
      <c r="J1621" s="16">
        <v>322</v>
      </c>
      <c r="K1621" s="193">
        <v>0</v>
      </c>
      <c r="L1621" s="193">
        <f>[1]Sheet1!$L612</f>
        <v>0</v>
      </c>
    </row>
    <row r="1622" spans="10:12" x14ac:dyDescent="0.25">
      <c r="J1622" s="16">
        <v>323</v>
      </c>
      <c r="K1622" s="193">
        <v>0</v>
      </c>
      <c r="L1622" s="193">
        <f>[1]Sheet1!$L613</f>
        <v>0</v>
      </c>
    </row>
    <row r="1623" spans="10:12" x14ac:dyDescent="0.25">
      <c r="J1623" s="16">
        <v>324</v>
      </c>
      <c r="K1623" s="193">
        <v>0</v>
      </c>
      <c r="L1623" s="193">
        <f>[1]Sheet1!$L614</f>
        <v>0</v>
      </c>
    </row>
    <row r="1624" spans="10:12" x14ac:dyDescent="0.25">
      <c r="J1624" s="16">
        <v>325</v>
      </c>
      <c r="K1624" s="193">
        <v>0</v>
      </c>
      <c r="L1624" s="193">
        <f>[1]Sheet1!$L615</f>
        <v>0</v>
      </c>
    </row>
    <row r="1625" spans="10:12" x14ac:dyDescent="0.25">
      <c r="J1625" s="16">
        <v>326</v>
      </c>
      <c r="K1625" s="193">
        <v>0</v>
      </c>
      <c r="L1625" s="193">
        <f>[1]Sheet1!$L616</f>
        <v>0</v>
      </c>
    </row>
    <row r="1626" spans="10:12" x14ac:dyDescent="0.25">
      <c r="J1626" s="16">
        <v>327</v>
      </c>
      <c r="K1626" s="193">
        <v>0</v>
      </c>
      <c r="L1626" s="193">
        <f>[1]Sheet1!$L617</f>
        <v>0</v>
      </c>
    </row>
    <row r="1627" spans="10:12" x14ac:dyDescent="0.25">
      <c r="J1627" s="16">
        <v>328</v>
      </c>
      <c r="K1627" s="193">
        <v>0</v>
      </c>
      <c r="L1627" s="193">
        <f>[1]Sheet1!$L618</f>
        <v>0</v>
      </c>
    </row>
    <row r="1628" spans="10:12" x14ac:dyDescent="0.25">
      <c r="J1628" s="16">
        <v>329</v>
      </c>
      <c r="K1628" s="193">
        <v>0</v>
      </c>
      <c r="L1628" s="193">
        <f>[1]Sheet1!$L619</f>
        <v>0</v>
      </c>
    </row>
    <row r="1629" spans="10:12" x14ac:dyDescent="0.25">
      <c r="J1629" s="16">
        <v>330</v>
      </c>
      <c r="K1629" s="193">
        <v>0</v>
      </c>
      <c r="L1629" s="193">
        <f>[1]Sheet1!$L620</f>
        <v>0</v>
      </c>
    </row>
    <row r="1630" spans="10:12" x14ac:dyDescent="0.25">
      <c r="J1630" s="16">
        <v>331</v>
      </c>
      <c r="K1630" s="193">
        <v>0</v>
      </c>
      <c r="L1630" s="193">
        <f>[1]Sheet1!$L621</f>
        <v>0</v>
      </c>
    </row>
    <row r="1631" spans="10:12" x14ac:dyDescent="0.25">
      <c r="J1631" s="16">
        <v>332</v>
      </c>
      <c r="K1631" s="193">
        <v>0</v>
      </c>
      <c r="L1631" s="193">
        <f>[1]Sheet1!$L622</f>
        <v>0</v>
      </c>
    </row>
    <row r="1632" spans="10:12" x14ac:dyDescent="0.25">
      <c r="J1632" s="16">
        <v>333</v>
      </c>
      <c r="K1632" s="193">
        <v>0</v>
      </c>
      <c r="L1632" s="193">
        <f>[1]Sheet1!$L623</f>
        <v>0</v>
      </c>
    </row>
    <row r="1633" spans="10:12" x14ac:dyDescent="0.25">
      <c r="J1633" s="16">
        <v>334</v>
      </c>
      <c r="K1633" s="193">
        <v>0</v>
      </c>
      <c r="L1633" s="193">
        <f>[1]Sheet1!$L624</f>
        <v>0</v>
      </c>
    </row>
    <row r="1634" spans="10:12" x14ac:dyDescent="0.25">
      <c r="J1634" s="16">
        <v>335</v>
      </c>
      <c r="K1634" s="193">
        <v>0</v>
      </c>
      <c r="L1634" s="193">
        <f>[1]Sheet1!$L625</f>
        <v>0</v>
      </c>
    </row>
    <row r="1635" spans="10:12" x14ac:dyDescent="0.25">
      <c r="J1635" s="16">
        <v>336</v>
      </c>
      <c r="K1635" s="193">
        <v>0</v>
      </c>
      <c r="L1635" s="193">
        <f>[1]Sheet1!$L626</f>
        <v>0</v>
      </c>
    </row>
    <row r="1636" spans="10:12" x14ac:dyDescent="0.25">
      <c r="J1636" s="16">
        <v>337</v>
      </c>
      <c r="K1636" s="193">
        <v>0</v>
      </c>
      <c r="L1636" s="193">
        <f>[1]Sheet1!$L627</f>
        <v>0</v>
      </c>
    </row>
    <row r="1637" spans="10:12" x14ac:dyDescent="0.25">
      <c r="J1637" s="16">
        <v>338</v>
      </c>
      <c r="K1637" s="193">
        <v>0</v>
      </c>
      <c r="L1637" s="193">
        <f>[1]Sheet1!$L628</f>
        <v>0</v>
      </c>
    </row>
    <row r="1638" spans="10:12" x14ac:dyDescent="0.25">
      <c r="J1638" s="16">
        <v>339</v>
      </c>
      <c r="K1638" s="193">
        <v>0</v>
      </c>
      <c r="L1638" s="193">
        <f>[1]Sheet1!$L629</f>
        <v>0</v>
      </c>
    </row>
    <row r="1639" spans="10:12" x14ac:dyDescent="0.25">
      <c r="J1639" s="16">
        <v>340</v>
      </c>
      <c r="K1639" s="193">
        <v>0</v>
      </c>
      <c r="L1639" s="193">
        <f>[1]Sheet1!$L630</f>
        <v>0</v>
      </c>
    </row>
    <row r="1640" spans="10:12" x14ac:dyDescent="0.25">
      <c r="J1640" s="16">
        <v>341</v>
      </c>
      <c r="K1640" s="193">
        <v>0</v>
      </c>
      <c r="L1640" s="193">
        <f>[1]Sheet1!$L631</f>
        <v>0</v>
      </c>
    </row>
    <row r="1641" spans="10:12" x14ac:dyDescent="0.25">
      <c r="J1641" s="16">
        <v>342</v>
      </c>
      <c r="K1641" s="193">
        <v>0</v>
      </c>
      <c r="L1641" s="193">
        <f>[1]Sheet1!$L632</f>
        <v>0</v>
      </c>
    </row>
    <row r="1642" spans="10:12" x14ac:dyDescent="0.25">
      <c r="J1642" s="16">
        <v>343</v>
      </c>
      <c r="K1642" s="193">
        <v>0</v>
      </c>
      <c r="L1642" s="193">
        <f>[1]Sheet1!$L633</f>
        <v>0</v>
      </c>
    </row>
    <row r="1643" spans="10:12" x14ac:dyDescent="0.25">
      <c r="J1643" s="16">
        <v>344</v>
      </c>
      <c r="K1643" s="193">
        <v>0</v>
      </c>
      <c r="L1643" s="193">
        <f>[1]Sheet1!$L634</f>
        <v>0</v>
      </c>
    </row>
    <row r="1644" spans="10:12" x14ac:dyDescent="0.25">
      <c r="J1644" s="16">
        <v>345</v>
      </c>
      <c r="K1644" s="193">
        <v>0</v>
      </c>
      <c r="L1644" s="193">
        <f>[1]Sheet1!$L635</f>
        <v>0</v>
      </c>
    </row>
    <row r="1645" spans="10:12" x14ac:dyDescent="0.25">
      <c r="J1645" s="16">
        <v>346</v>
      </c>
      <c r="K1645" s="193">
        <v>0</v>
      </c>
      <c r="L1645" s="193">
        <f>[1]Sheet1!$L636</f>
        <v>0</v>
      </c>
    </row>
    <row r="1646" spans="10:12" x14ac:dyDescent="0.25">
      <c r="J1646" s="16">
        <v>347</v>
      </c>
      <c r="K1646" s="193">
        <v>0</v>
      </c>
      <c r="L1646" s="193">
        <f>[1]Sheet1!$L637</f>
        <v>0</v>
      </c>
    </row>
    <row r="1647" spans="10:12" x14ac:dyDescent="0.25">
      <c r="J1647" s="16">
        <v>348</v>
      </c>
      <c r="K1647" s="193">
        <v>0</v>
      </c>
      <c r="L1647" s="193">
        <f>[1]Sheet1!$L638</f>
        <v>0</v>
      </c>
    </row>
    <row r="1648" spans="10:12" x14ac:dyDescent="0.25">
      <c r="J1648" s="16">
        <v>349</v>
      </c>
      <c r="K1648" s="193">
        <v>0</v>
      </c>
      <c r="L1648" s="193">
        <f>[1]Sheet1!$L639</f>
        <v>0</v>
      </c>
    </row>
    <row r="1649" spans="10:12" x14ac:dyDescent="0.25">
      <c r="J1649" s="16">
        <v>350</v>
      </c>
      <c r="K1649" s="193">
        <v>0</v>
      </c>
      <c r="L1649" s="193">
        <f>[1]Sheet1!$L640</f>
        <v>0</v>
      </c>
    </row>
    <row r="1650" spans="10:12" x14ac:dyDescent="0.25">
      <c r="J1650" s="16">
        <v>351</v>
      </c>
      <c r="K1650" s="193">
        <v>0</v>
      </c>
      <c r="L1650" s="193">
        <f>[1]Sheet1!$L641</f>
        <v>0</v>
      </c>
    </row>
    <row r="1651" spans="10:12" x14ac:dyDescent="0.25">
      <c r="J1651" s="16">
        <v>352</v>
      </c>
      <c r="K1651" s="193">
        <v>0</v>
      </c>
      <c r="L1651" s="193">
        <f>[1]Sheet1!$L642</f>
        <v>0</v>
      </c>
    </row>
    <row r="1652" spans="10:12" x14ac:dyDescent="0.25">
      <c r="J1652" s="16">
        <v>353</v>
      </c>
      <c r="K1652" s="193">
        <v>0</v>
      </c>
      <c r="L1652" s="193">
        <f>[1]Sheet1!$L643</f>
        <v>0</v>
      </c>
    </row>
    <row r="1653" spans="10:12" x14ac:dyDescent="0.25">
      <c r="J1653" s="16">
        <v>354</v>
      </c>
      <c r="K1653" s="193">
        <v>0</v>
      </c>
      <c r="L1653" s="193">
        <f>[1]Sheet1!$L644</f>
        <v>0</v>
      </c>
    </row>
    <row r="1654" spans="10:12" x14ac:dyDescent="0.25">
      <c r="J1654" s="16">
        <v>355</v>
      </c>
      <c r="K1654" s="193">
        <v>0</v>
      </c>
      <c r="L1654" s="193">
        <f>[1]Sheet1!$L645</f>
        <v>0</v>
      </c>
    </row>
    <row r="1655" spans="10:12" x14ac:dyDescent="0.25">
      <c r="J1655" s="16">
        <v>356</v>
      </c>
      <c r="K1655" s="193">
        <v>0</v>
      </c>
      <c r="L1655" s="193">
        <f>[1]Sheet1!$L646</f>
        <v>0</v>
      </c>
    </row>
    <row r="1656" spans="10:12" x14ac:dyDescent="0.25">
      <c r="J1656" s="16">
        <v>357</v>
      </c>
      <c r="K1656" s="193">
        <v>0</v>
      </c>
      <c r="L1656" s="193">
        <f>[1]Sheet1!$L647</f>
        <v>0</v>
      </c>
    </row>
    <row r="1657" spans="10:12" x14ac:dyDescent="0.25">
      <c r="J1657" s="16">
        <v>358</v>
      </c>
      <c r="K1657" s="193">
        <v>0</v>
      </c>
      <c r="L1657" s="193">
        <f>[1]Sheet1!$L648</f>
        <v>0</v>
      </c>
    </row>
    <row r="1658" spans="10:12" x14ac:dyDescent="0.25">
      <c r="J1658" s="16">
        <v>359</v>
      </c>
      <c r="K1658" s="193">
        <v>0</v>
      </c>
      <c r="L1658" s="193">
        <f>[1]Sheet1!$L649</f>
        <v>0</v>
      </c>
    </row>
    <row r="1659" spans="10:12" x14ac:dyDescent="0.25">
      <c r="J1659" s="16">
        <v>360</v>
      </c>
      <c r="K1659" s="193">
        <v>0</v>
      </c>
      <c r="L1659" s="193">
        <f>[1]Sheet1!$L650</f>
        <v>0</v>
      </c>
    </row>
    <row r="1660" spans="10:12" x14ac:dyDescent="0.25">
      <c r="J1660" s="16">
        <v>361</v>
      </c>
      <c r="K1660" s="193">
        <v>0</v>
      </c>
      <c r="L1660" s="193">
        <f>[1]Sheet1!$L651</f>
        <v>0</v>
      </c>
    </row>
    <row r="1661" spans="10:12" x14ac:dyDescent="0.25">
      <c r="J1661" s="16">
        <v>362</v>
      </c>
      <c r="K1661" s="193">
        <v>0</v>
      </c>
      <c r="L1661" s="193">
        <f>[1]Sheet1!$L652</f>
        <v>0</v>
      </c>
    </row>
    <row r="1662" spans="10:12" x14ac:dyDescent="0.25">
      <c r="J1662" s="16">
        <v>363</v>
      </c>
      <c r="K1662" s="193">
        <v>0</v>
      </c>
      <c r="L1662" s="193">
        <f>[1]Sheet1!$L653</f>
        <v>0</v>
      </c>
    </row>
    <row r="1663" spans="10:12" x14ac:dyDescent="0.25">
      <c r="J1663" s="16">
        <v>364</v>
      </c>
      <c r="K1663" s="193">
        <v>0</v>
      </c>
      <c r="L1663" s="193">
        <f>[1]Sheet1!$L654</f>
        <v>0</v>
      </c>
    </row>
    <row r="1664" spans="10:12" x14ac:dyDescent="0.25">
      <c r="J1664" s="16">
        <v>365</v>
      </c>
      <c r="K1664" s="193">
        <v>0</v>
      </c>
      <c r="L1664" s="193">
        <f>[1]Sheet1!$L655</f>
        <v>0</v>
      </c>
    </row>
    <row r="1665" spans="10:12" x14ac:dyDescent="0.25">
      <c r="J1665" s="16">
        <v>366</v>
      </c>
      <c r="K1665" s="193">
        <v>0</v>
      </c>
      <c r="L1665" s="193">
        <f>[1]Sheet1!$L656</f>
        <v>0</v>
      </c>
    </row>
    <row r="1666" spans="10:12" x14ac:dyDescent="0.25">
      <c r="J1666" s="16">
        <v>367</v>
      </c>
      <c r="K1666" s="193">
        <v>0</v>
      </c>
      <c r="L1666" s="193">
        <f>[1]Sheet1!$L657</f>
        <v>0</v>
      </c>
    </row>
    <row r="1667" spans="10:12" x14ac:dyDescent="0.25">
      <c r="J1667" s="16">
        <v>368</v>
      </c>
      <c r="K1667" s="193">
        <v>0</v>
      </c>
      <c r="L1667" s="193">
        <f>[1]Sheet1!$L658</f>
        <v>0</v>
      </c>
    </row>
    <row r="1668" spans="10:12" x14ac:dyDescent="0.25">
      <c r="J1668" s="16">
        <v>369</v>
      </c>
      <c r="K1668" s="193">
        <v>0</v>
      </c>
      <c r="L1668" s="193">
        <f>[1]Sheet1!$L659</f>
        <v>0</v>
      </c>
    </row>
    <row r="1669" spans="10:12" x14ac:dyDescent="0.25">
      <c r="J1669" s="16">
        <v>370</v>
      </c>
      <c r="K1669" s="193">
        <v>0</v>
      </c>
      <c r="L1669" s="193">
        <f>[1]Sheet1!$L660</f>
        <v>0</v>
      </c>
    </row>
    <row r="1670" spans="10:12" x14ac:dyDescent="0.25">
      <c r="J1670" s="16">
        <v>371</v>
      </c>
      <c r="K1670" s="193">
        <v>0</v>
      </c>
      <c r="L1670" s="193">
        <f>[1]Sheet1!$L661</f>
        <v>0</v>
      </c>
    </row>
    <row r="1671" spans="10:12" x14ac:dyDescent="0.25">
      <c r="J1671" s="16">
        <v>372</v>
      </c>
      <c r="K1671" s="193">
        <v>0</v>
      </c>
      <c r="L1671" s="193">
        <f>[1]Sheet1!$L662</f>
        <v>0</v>
      </c>
    </row>
    <row r="1672" spans="10:12" x14ac:dyDescent="0.25">
      <c r="J1672" s="16">
        <v>373</v>
      </c>
      <c r="K1672" s="193">
        <v>0</v>
      </c>
      <c r="L1672" s="193">
        <f>[1]Sheet1!$L663</f>
        <v>0</v>
      </c>
    </row>
    <row r="1673" spans="10:12" x14ac:dyDescent="0.25">
      <c r="J1673" s="16">
        <v>374</v>
      </c>
      <c r="K1673" s="193">
        <v>0</v>
      </c>
      <c r="L1673" s="193">
        <f>[1]Sheet1!$L664</f>
        <v>0</v>
      </c>
    </row>
    <row r="1674" spans="10:12" x14ac:dyDescent="0.25">
      <c r="J1674" s="16">
        <v>375</v>
      </c>
      <c r="K1674" s="193">
        <v>0</v>
      </c>
      <c r="L1674" s="193">
        <f>[1]Sheet1!$L665</f>
        <v>0</v>
      </c>
    </row>
    <row r="1675" spans="10:12" x14ac:dyDescent="0.25">
      <c r="J1675" s="16">
        <v>376</v>
      </c>
      <c r="K1675" s="193">
        <v>0</v>
      </c>
      <c r="L1675" s="193">
        <f>[1]Sheet1!$L666</f>
        <v>0</v>
      </c>
    </row>
    <row r="1676" spans="10:12" x14ac:dyDescent="0.25">
      <c r="J1676" s="16">
        <v>377</v>
      </c>
      <c r="K1676" s="193">
        <v>0</v>
      </c>
      <c r="L1676" s="193">
        <f>[1]Sheet1!$L667</f>
        <v>0</v>
      </c>
    </row>
    <row r="1677" spans="10:12" x14ac:dyDescent="0.25">
      <c r="J1677" s="16">
        <v>378</v>
      </c>
      <c r="K1677" s="193">
        <v>0</v>
      </c>
      <c r="L1677" s="193">
        <f>[1]Sheet1!$L668</f>
        <v>0</v>
      </c>
    </row>
    <row r="1678" spans="10:12" x14ac:dyDescent="0.25">
      <c r="J1678" s="16">
        <v>379</v>
      </c>
      <c r="K1678" s="193">
        <v>0</v>
      </c>
      <c r="L1678" s="193">
        <f>[1]Sheet1!$L669</f>
        <v>0</v>
      </c>
    </row>
    <row r="1679" spans="10:12" x14ac:dyDescent="0.25">
      <c r="J1679" s="16">
        <v>380</v>
      </c>
      <c r="K1679" s="193">
        <v>0</v>
      </c>
      <c r="L1679" s="193">
        <f>[1]Sheet1!$L670</f>
        <v>0</v>
      </c>
    </row>
    <row r="1680" spans="10:12" x14ac:dyDescent="0.25">
      <c r="J1680" s="16">
        <v>381</v>
      </c>
      <c r="K1680" s="193">
        <v>0</v>
      </c>
      <c r="L1680" s="193">
        <f>[1]Sheet1!$L671</f>
        <v>0</v>
      </c>
    </row>
    <row r="1681" spans="10:12" x14ac:dyDescent="0.25">
      <c r="J1681" s="16">
        <v>382</v>
      </c>
      <c r="K1681" s="193">
        <v>0</v>
      </c>
      <c r="L1681" s="193">
        <f>[1]Sheet1!$L672</f>
        <v>0</v>
      </c>
    </row>
    <row r="1682" spans="10:12" x14ac:dyDescent="0.25">
      <c r="J1682" s="16">
        <v>383</v>
      </c>
      <c r="K1682" s="193">
        <v>0</v>
      </c>
      <c r="L1682" s="193">
        <f>[1]Sheet1!$L673</f>
        <v>0</v>
      </c>
    </row>
    <row r="1683" spans="10:12" x14ac:dyDescent="0.25">
      <c r="J1683" s="16">
        <v>384</v>
      </c>
      <c r="K1683" s="193">
        <v>0</v>
      </c>
      <c r="L1683" s="193">
        <f>[1]Sheet1!$L674</f>
        <v>0</v>
      </c>
    </row>
    <row r="1684" spans="10:12" x14ac:dyDescent="0.25">
      <c r="J1684" s="16">
        <v>385</v>
      </c>
      <c r="K1684" s="193">
        <v>0</v>
      </c>
      <c r="L1684" s="193">
        <f>[1]Sheet1!$L675</f>
        <v>0</v>
      </c>
    </row>
    <row r="1685" spans="10:12" x14ac:dyDescent="0.25">
      <c r="J1685" s="16">
        <v>386</v>
      </c>
      <c r="K1685" s="193">
        <v>0</v>
      </c>
      <c r="L1685" s="193">
        <f>[1]Sheet1!$L676</f>
        <v>0</v>
      </c>
    </row>
    <row r="1686" spans="10:12" x14ac:dyDescent="0.25">
      <c r="J1686" s="16">
        <v>387</v>
      </c>
      <c r="K1686" s="193">
        <v>0</v>
      </c>
      <c r="L1686" s="193">
        <f>[1]Sheet1!$L677</f>
        <v>0</v>
      </c>
    </row>
    <row r="1687" spans="10:12" x14ac:dyDescent="0.25">
      <c r="J1687" s="16">
        <v>388</v>
      </c>
      <c r="K1687" s="193">
        <v>0</v>
      </c>
      <c r="L1687" s="193">
        <f>[1]Sheet1!$L678</f>
        <v>0</v>
      </c>
    </row>
    <row r="1688" spans="10:12" x14ac:dyDescent="0.25">
      <c r="J1688" s="16">
        <v>389</v>
      </c>
      <c r="K1688" s="193">
        <v>0</v>
      </c>
      <c r="L1688" s="193">
        <f>[1]Sheet1!$L679</f>
        <v>0</v>
      </c>
    </row>
    <row r="1689" spans="10:12" x14ac:dyDescent="0.25">
      <c r="J1689" s="16">
        <v>390</v>
      </c>
      <c r="K1689" s="193">
        <v>0</v>
      </c>
      <c r="L1689" s="193">
        <f>[1]Sheet1!$L680</f>
        <v>0</v>
      </c>
    </row>
    <row r="1690" spans="10:12" x14ac:dyDescent="0.25">
      <c r="J1690" s="16">
        <v>391</v>
      </c>
      <c r="K1690" s="193">
        <v>0</v>
      </c>
      <c r="L1690" s="193">
        <f>[1]Sheet1!$L681</f>
        <v>0</v>
      </c>
    </row>
    <row r="1691" spans="10:12" x14ac:dyDescent="0.25">
      <c r="J1691" s="16">
        <v>392</v>
      </c>
      <c r="K1691" s="193">
        <v>0</v>
      </c>
      <c r="L1691" s="193">
        <f>[1]Sheet1!$L682</f>
        <v>0</v>
      </c>
    </row>
    <row r="1692" spans="10:12" x14ac:dyDescent="0.25">
      <c r="J1692" s="16">
        <v>393</v>
      </c>
      <c r="K1692" s="193">
        <v>0</v>
      </c>
      <c r="L1692" s="193">
        <f>[1]Sheet1!$L683</f>
        <v>0</v>
      </c>
    </row>
    <row r="1693" spans="10:12" x14ac:dyDescent="0.25">
      <c r="J1693" s="16">
        <v>394</v>
      </c>
      <c r="K1693" s="193">
        <v>0</v>
      </c>
      <c r="L1693" s="193">
        <f>[1]Sheet1!$L684</f>
        <v>0</v>
      </c>
    </row>
    <row r="1694" spans="10:12" x14ac:dyDescent="0.25">
      <c r="J1694" s="16">
        <v>395</v>
      </c>
      <c r="K1694" s="193">
        <v>0</v>
      </c>
      <c r="L1694" s="193">
        <f>[1]Sheet1!$L685</f>
        <v>0</v>
      </c>
    </row>
    <row r="1695" spans="10:12" x14ac:dyDescent="0.25">
      <c r="J1695" s="16">
        <v>396</v>
      </c>
      <c r="K1695" s="193">
        <v>0</v>
      </c>
      <c r="L1695" s="193">
        <f>[1]Sheet1!$L686</f>
        <v>0</v>
      </c>
    </row>
    <row r="1696" spans="10:12" x14ac:dyDescent="0.25">
      <c r="J1696" s="16">
        <v>397</v>
      </c>
      <c r="K1696" s="193">
        <v>0</v>
      </c>
      <c r="L1696" s="193">
        <f>[1]Sheet1!$L687</f>
        <v>0</v>
      </c>
    </row>
    <row r="1697" spans="10:12" x14ac:dyDescent="0.25">
      <c r="J1697" s="16">
        <v>398</v>
      </c>
      <c r="K1697" s="193">
        <v>0</v>
      </c>
      <c r="L1697" s="193">
        <f>[1]Sheet1!$L688</f>
        <v>0</v>
      </c>
    </row>
    <row r="1698" spans="10:12" x14ac:dyDescent="0.25">
      <c r="J1698" s="16">
        <v>399</v>
      </c>
      <c r="K1698" s="193">
        <v>0</v>
      </c>
      <c r="L1698" s="193">
        <f>[1]Sheet1!$L689</f>
        <v>0</v>
      </c>
    </row>
    <row r="1699" spans="10:12" x14ac:dyDescent="0.25">
      <c r="J1699" s="16">
        <v>400</v>
      </c>
      <c r="K1699" s="193">
        <v>0</v>
      </c>
      <c r="L1699" s="193">
        <f>[1]Sheet1!$L690</f>
        <v>0</v>
      </c>
    </row>
    <row r="1700" spans="10:12" x14ac:dyDescent="0.25">
      <c r="J1700" s="16">
        <v>401</v>
      </c>
      <c r="K1700" s="193">
        <v>0</v>
      </c>
      <c r="L1700" s="193">
        <f>[1]Sheet1!$L691</f>
        <v>0</v>
      </c>
    </row>
    <row r="1701" spans="10:12" x14ac:dyDescent="0.25">
      <c r="J1701" s="16">
        <v>402</v>
      </c>
      <c r="K1701" s="193">
        <v>0</v>
      </c>
      <c r="L1701" s="193">
        <f>[1]Sheet1!$L692</f>
        <v>0</v>
      </c>
    </row>
    <row r="1702" spans="10:12" x14ac:dyDescent="0.25">
      <c r="J1702" s="16">
        <v>403</v>
      </c>
      <c r="K1702" s="193">
        <v>0</v>
      </c>
      <c r="L1702" s="193">
        <f>[1]Sheet1!$L693</f>
        <v>0</v>
      </c>
    </row>
    <row r="1703" spans="10:12" x14ac:dyDescent="0.25">
      <c r="J1703" s="16">
        <v>404</v>
      </c>
      <c r="K1703" s="193">
        <v>0</v>
      </c>
      <c r="L1703" s="193">
        <f>[1]Sheet1!$L694</f>
        <v>0</v>
      </c>
    </row>
    <row r="1704" spans="10:12" x14ac:dyDescent="0.25">
      <c r="J1704" s="16">
        <v>405</v>
      </c>
      <c r="K1704" s="193">
        <v>0</v>
      </c>
      <c r="L1704" s="193">
        <f>[1]Sheet1!$L695</f>
        <v>0</v>
      </c>
    </row>
    <row r="1705" spans="10:12" x14ac:dyDescent="0.25">
      <c r="J1705" s="16">
        <v>406</v>
      </c>
      <c r="K1705" s="193">
        <v>0</v>
      </c>
      <c r="L1705" s="193">
        <f>[1]Sheet1!$L696</f>
        <v>0</v>
      </c>
    </row>
    <row r="1706" spans="10:12" x14ac:dyDescent="0.25">
      <c r="J1706" s="16">
        <v>407</v>
      </c>
      <c r="K1706" s="193">
        <v>0</v>
      </c>
      <c r="L1706" s="193">
        <f>[1]Sheet1!$L697</f>
        <v>0</v>
      </c>
    </row>
    <row r="1707" spans="10:12" x14ac:dyDescent="0.25">
      <c r="J1707" s="16">
        <v>408</v>
      </c>
      <c r="K1707" s="193">
        <v>0</v>
      </c>
      <c r="L1707" s="193">
        <f>[1]Sheet1!$L698</f>
        <v>0</v>
      </c>
    </row>
    <row r="1708" spans="10:12" x14ac:dyDescent="0.25">
      <c r="J1708" s="16">
        <v>409</v>
      </c>
      <c r="K1708" s="193">
        <v>0</v>
      </c>
      <c r="L1708" s="193">
        <f>[1]Sheet1!$L699</f>
        <v>0</v>
      </c>
    </row>
    <row r="1709" spans="10:12" x14ac:dyDescent="0.25">
      <c r="J1709" s="16">
        <v>410</v>
      </c>
      <c r="K1709" s="193">
        <v>0</v>
      </c>
      <c r="L1709" s="193">
        <f>[1]Sheet1!$L700</f>
        <v>0</v>
      </c>
    </row>
    <row r="1710" spans="10:12" x14ac:dyDescent="0.25">
      <c r="J1710" s="16">
        <v>411</v>
      </c>
      <c r="K1710" s="193">
        <v>0</v>
      </c>
      <c r="L1710" s="193">
        <f>[1]Sheet1!$L701</f>
        <v>0</v>
      </c>
    </row>
    <row r="1711" spans="10:12" x14ac:dyDescent="0.25">
      <c r="J1711" s="16">
        <v>412</v>
      </c>
      <c r="K1711" s="193">
        <v>0</v>
      </c>
      <c r="L1711" s="193">
        <f>[1]Sheet1!$L702</f>
        <v>0</v>
      </c>
    </row>
    <row r="1712" spans="10:12" x14ac:dyDescent="0.25">
      <c r="J1712" s="16">
        <v>413</v>
      </c>
      <c r="K1712" s="193">
        <v>0</v>
      </c>
      <c r="L1712" s="193">
        <f>[1]Sheet1!$L703</f>
        <v>0</v>
      </c>
    </row>
    <row r="1713" spans="10:12" x14ac:dyDescent="0.25">
      <c r="J1713" s="16">
        <v>414</v>
      </c>
      <c r="K1713" s="193">
        <v>0</v>
      </c>
      <c r="L1713" s="193">
        <f>[1]Sheet1!$L704</f>
        <v>0</v>
      </c>
    </row>
    <row r="1714" spans="10:12" x14ac:dyDescent="0.25">
      <c r="J1714" s="16">
        <v>415</v>
      </c>
      <c r="K1714" s="193">
        <v>0</v>
      </c>
      <c r="L1714" s="193">
        <f>[1]Sheet1!$L705</f>
        <v>0</v>
      </c>
    </row>
    <row r="1715" spans="10:12" x14ac:dyDescent="0.25">
      <c r="J1715" s="16">
        <v>416</v>
      </c>
      <c r="K1715" s="193">
        <v>0</v>
      </c>
      <c r="L1715" s="193">
        <f>[1]Sheet1!$L706</f>
        <v>0</v>
      </c>
    </row>
    <row r="1716" spans="10:12" x14ac:dyDescent="0.25">
      <c r="J1716" s="16">
        <v>417</v>
      </c>
      <c r="K1716" s="193">
        <v>0</v>
      </c>
      <c r="L1716" s="193">
        <f>[1]Sheet1!$L707</f>
        <v>0</v>
      </c>
    </row>
    <row r="1717" spans="10:12" x14ac:dyDescent="0.25">
      <c r="J1717" s="16">
        <v>418</v>
      </c>
      <c r="K1717" s="193">
        <v>0</v>
      </c>
      <c r="L1717" s="193">
        <f>[1]Sheet1!$L708</f>
        <v>0</v>
      </c>
    </row>
    <row r="1718" spans="10:12" x14ac:dyDescent="0.25">
      <c r="J1718" s="16">
        <v>419</v>
      </c>
      <c r="K1718" s="193">
        <v>0</v>
      </c>
      <c r="L1718" s="193">
        <f>[1]Sheet1!$L709</f>
        <v>0</v>
      </c>
    </row>
    <row r="1719" spans="10:12" x14ac:dyDescent="0.25">
      <c r="J1719" s="16">
        <v>420</v>
      </c>
      <c r="K1719" s="193">
        <v>0</v>
      </c>
      <c r="L1719" s="193">
        <f>[1]Sheet1!$L710</f>
        <v>0</v>
      </c>
    </row>
    <row r="1720" spans="10:12" x14ac:dyDescent="0.25">
      <c r="J1720" s="16">
        <v>421</v>
      </c>
      <c r="K1720" s="193">
        <v>0</v>
      </c>
      <c r="L1720" s="193">
        <f>[1]Sheet1!$L711</f>
        <v>0</v>
      </c>
    </row>
    <row r="1721" spans="10:12" x14ac:dyDescent="0.25">
      <c r="J1721" s="16">
        <v>422</v>
      </c>
      <c r="K1721" s="193">
        <v>0</v>
      </c>
      <c r="L1721" s="193">
        <f>[1]Sheet1!$L712</f>
        <v>0</v>
      </c>
    </row>
    <row r="1722" spans="10:12" x14ac:dyDescent="0.25">
      <c r="J1722" s="16">
        <v>423</v>
      </c>
      <c r="K1722" s="193">
        <v>0</v>
      </c>
      <c r="L1722" s="193">
        <f>[1]Sheet1!$L713</f>
        <v>0</v>
      </c>
    </row>
    <row r="1723" spans="10:12" x14ac:dyDescent="0.25">
      <c r="J1723" s="16">
        <v>424</v>
      </c>
      <c r="K1723" s="193">
        <v>0</v>
      </c>
      <c r="L1723" s="193">
        <f>[1]Sheet1!$L714</f>
        <v>0</v>
      </c>
    </row>
    <row r="1724" spans="10:12" x14ac:dyDescent="0.25">
      <c r="J1724" s="16">
        <v>425</v>
      </c>
      <c r="K1724" s="193">
        <v>0</v>
      </c>
      <c r="L1724" s="193">
        <f>[1]Sheet1!$L715</f>
        <v>0</v>
      </c>
    </row>
    <row r="1725" spans="10:12" x14ac:dyDescent="0.25">
      <c r="J1725" s="16">
        <v>426</v>
      </c>
      <c r="K1725" s="193">
        <v>0</v>
      </c>
      <c r="L1725" s="193">
        <f>[1]Sheet1!$L716</f>
        <v>0</v>
      </c>
    </row>
    <row r="1726" spans="10:12" x14ac:dyDescent="0.25">
      <c r="J1726" s="16">
        <v>427</v>
      </c>
      <c r="K1726" s="193">
        <v>0</v>
      </c>
      <c r="L1726" s="193">
        <f>[1]Sheet1!$L717</f>
        <v>0</v>
      </c>
    </row>
    <row r="1727" spans="10:12" x14ac:dyDescent="0.25">
      <c r="J1727" s="16">
        <v>428</v>
      </c>
      <c r="K1727" s="193">
        <v>0</v>
      </c>
      <c r="L1727" s="193">
        <f>[1]Sheet1!$L718</f>
        <v>0</v>
      </c>
    </row>
    <row r="1728" spans="10:12" x14ac:dyDescent="0.25">
      <c r="J1728" s="16">
        <v>429</v>
      </c>
      <c r="K1728" s="193">
        <v>0</v>
      </c>
      <c r="L1728" s="193">
        <f>[1]Sheet1!$L719</f>
        <v>0</v>
      </c>
    </row>
    <row r="1729" spans="10:12" x14ac:dyDescent="0.25">
      <c r="J1729" s="16">
        <v>430</v>
      </c>
      <c r="K1729" s="193">
        <v>0</v>
      </c>
      <c r="L1729" s="193">
        <f>[1]Sheet1!$L720</f>
        <v>0</v>
      </c>
    </row>
    <row r="1730" spans="10:12" x14ac:dyDescent="0.25">
      <c r="J1730" s="16">
        <v>431</v>
      </c>
      <c r="K1730" s="193">
        <v>0</v>
      </c>
      <c r="L1730" s="193">
        <f>[1]Sheet1!$L721</f>
        <v>0</v>
      </c>
    </row>
    <row r="1731" spans="10:12" x14ac:dyDescent="0.25">
      <c r="J1731" s="16">
        <v>432</v>
      </c>
      <c r="K1731" s="193">
        <v>0</v>
      </c>
      <c r="L1731" s="193">
        <f>[1]Sheet1!$L722</f>
        <v>0</v>
      </c>
    </row>
    <row r="1732" spans="10:12" x14ac:dyDescent="0.25">
      <c r="J1732" s="16">
        <v>433</v>
      </c>
      <c r="K1732" s="193">
        <v>0</v>
      </c>
      <c r="L1732" s="193">
        <f>[1]Sheet1!$L723</f>
        <v>0</v>
      </c>
    </row>
    <row r="1733" spans="10:12" x14ac:dyDescent="0.25">
      <c r="J1733" s="16">
        <v>434</v>
      </c>
      <c r="K1733" s="193">
        <v>0</v>
      </c>
      <c r="L1733" s="193">
        <f>[1]Sheet1!$L724</f>
        <v>0</v>
      </c>
    </row>
    <row r="1734" spans="10:12" x14ac:dyDescent="0.25">
      <c r="J1734" s="16">
        <v>435</v>
      </c>
      <c r="K1734" s="193">
        <v>0</v>
      </c>
      <c r="L1734" s="193">
        <f>[1]Sheet1!$L725</f>
        <v>0</v>
      </c>
    </row>
    <row r="1735" spans="10:12" x14ac:dyDescent="0.25">
      <c r="J1735" s="16">
        <v>436</v>
      </c>
      <c r="K1735" s="193">
        <v>0</v>
      </c>
      <c r="L1735" s="193">
        <f>[1]Sheet1!$L726</f>
        <v>0</v>
      </c>
    </row>
    <row r="1736" spans="10:12" x14ac:dyDescent="0.25">
      <c r="J1736" s="16">
        <v>437</v>
      </c>
      <c r="K1736" s="193">
        <v>0</v>
      </c>
      <c r="L1736" s="193">
        <f>[1]Sheet1!$L727</f>
        <v>0</v>
      </c>
    </row>
    <row r="1737" spans="10:12" x14ac:dyDescent="0.25">
      <c r="J1737" s="16">
        <v>438</v>
      </c>
      <c r="K1737" s="193">
        <v>0</v>
      </c>
      <c r="L1737" s="193">
        <f>[1]Sheet1!$L728</f>
        <v>0</v>
      </c>
    </row>
    <row r="1738" spans="10:12" x14ac:dyDescent="0.25">
      <c r="J1738" s="16">
        <v>439</v>
      </c>
      <c r="K1738" s="193">
        <v>0</v>
      </c>
      <c r="L1738" s="193">
        <f>[1]Sheet1!$L729</f>
        <v>0</v>
      </c>
    </row>
    <row r="1739" spans="10:12" x14ac:dyDescent="0.25">
      <c r="J1739" s="16">
        <v>440</v>
      </c>
      <c r="K1739" s="193">
        <v>0</v>
      </c>
      <c r="L1739" s="193">
        <f>[1]Sheet1!$L730</f>
        <v>0</v>
      </c>
    </row>
    <row r="1740" spans="10:12" x14ac:dyDescent="0.25">
      <c r="J1740" s="16">
        <v>441</v>
      </c>
      <c r="K1740" s="193">
        <v>0</v>
      </c>
      <c r="L1740" s="193">
        <f>[1]Sheet1!$L731</f>
        <v>0</v>
      </c>
    </row>
    <row r="1741" spans="10:12" x14ac:dyDescent="0.25">
      <c r="J1741" s="16">
        <v>442</v>
      </c>
      <c r="K1741" s="193">
        <v>0</v>
      </c>
      <c r="L1741" s="193">
        <f>[1]Sheet1!$L732</f>
        <v>0</v>
      </c>
    </row>
    <row r="1742" spans="10:12" x14ac:dyDescent="0.25">
      <c r="J1742" s="16">
        <v>443</v>
      </c>
      <c r="K1742" s="193">
        <v>0</v>
      </c>
      <c r="L1742" s="193">
        <f>[1]Sheet1!$L733</f>
        <v>0</v>
      </c>
    </row>
    <row r="1743" spans="10:12" x14ac:dyDescent="0.25">
      <c r="J1743" s="16">
        <v>444</v>
      </c>
      <c r="K1743" s="193">
        <v>0</v>
      </c>
      <c r="L1743" s="193">
        <f>[1]Sheet1!$L734</f>
        <v>0</v>
      </c>
    </row>
    <row r="1744" spans="10:12" x14ac:dyDescent="0.25">
      <c r="J1744" s="16">
        <v>445</v>
      </c>
      <c r="K1744" s="193">
        <v>0</v>
      </c>
      <c r="L1744" s="193">
        <f>[1]Sheet1!$L735</f>
        <v>0</v>
      </c>
    </row>
    <row r="1745" spans="10:12" x14ac:dyDescent="0.25">
      <c r="J1745" s="16">
        <v>446</v>
      </c>
      <c r="K1745" s="193">
        <v>0</v>
      </c>
      <c r="L1745" s="193">
        <f>[1]Sheet1!$L736</f>
        <v>0</v>
      </c>
    </row>
    <row r="1746" spans="10:12" x14ac:dyDescent="0.25">
      <c r="J1746" s="16">
        <v>447</v>
      </c>
      <c r="K1746" s="193">
        <v>0</v>
      </c>
      <c r="L1746" s="193">
        <f>[1]Sheet1!$L737</f>
        <v>0</v>
      </c>
    </row>
    <row r="1747" spans="10:12" x14ac:dyDescent="0.25">
      <c r="J1747" s="16">
        <v>448</v>
      </c>
      <c r="K1747" s="193">
        <v>0</v>
      </c>
      <c r="L1747" s="193">
        <f>[1]Sheet1!$L738</f>
        <v>0</v>
      </c>
    </row>
    <row r="1748" spans="10:12" x14ac:dyDescent="0.25">
      <c r="J1748" s="16">
        <v>449</v>
      </c>
      <c r="K1748" s="193">
        <v>0</v>
      </c>
      <c r="L1748" s="193">
        <f>[1]Sheet1!$L739</f>
        <v>0</v>
      </c>
    </row>
    <row r="1749" spans="10:12" x14ac:dyDescent="0.25">
      <c r="J1749" s="16">
        <v>450</v>
      </c>
      <c r="K1749" s="193">
        <v>0</v>
      </c>
      <c r="L1749" s="193">
        <f>[1]Sheet1!$L740</f>
        <v>0</v>
      </c>
    </row>
    <row r="1750" spans="10:12" x14ac:dyDescent="0.25">
      <c r="J1750" s="16">
        <v>451</v>
      </c>
      <c r="K1750" s="193">
        <v>0</v>
      </c>
      <c r="L1750" s="193">
        <f>[1]Sheet1!$L741</f>
        <v>0</v>
      </c>
    </row>
    <row r="1751" spans="10:12" x14ac:dyDescent="0.25">
      <c r="J1751" s="16">
        <v>452</v>
      </c>
      <c r="K1751" s="193">
        <v>0</v>
      </c>
      <c r="L1751" s="193">
        <f>[1]Sheet1!$L742</f>
        <v>0</v>
      </c>
    </row>
    <row r="1752" spans="10:12" x14ac:dyDescent="0.25">
      <c r="J1752" s="16">
        <v>453</v>
      </c>
      <c r="K1752" s="193">
        <v>0</v>
      </c>
      <c r="L1752" s="193">
        <f>[1]Sheet1!$L743</f>
        <v>0</v>
      </c>
    </row>
    <row r="1753" spans="10:12" x14ac:dyDescent="0.25">
      <c r="J1753" s="16">
        <v>454</v>
      </c>
      <c r="K1753" s="193">
        <v>0</v>
      </c>
      <c r="L1753" s="193">
        <f>[1]Sheet1!$L744</f>
        <v>0</v>
      </c>
    </row>
    <row r="1754" spans="10:12" x14ac:dyDescent="0.25">
      <c r="J1754" s="16">
        <v>455</v>
      </c>
      <c r="K1754" s="193">
        <v>0</v>
      </c>
      <c r="L1754" s="193">
        <f>[1]Sheet1!$L745</f>
        <v>0</v>
      </c>
    </row>
    <row r="1755" spans="10:12" x14ac:dyDescent="0.25">
      <c r="J1755" s="16">
        <v>456</v>
      </c>
      <c r="K1755" s="193">
        <v>0</v>
      </c>
      <c r="L1755" s="193">
        <f>[1]Sheet1!$L746</f>
        <v>0</v>
      </c>
    </row>
    <row r="1756" spans="10:12" x14ac:dyDescent="0.25">
      <c r="J1756" s="16">
        <v>457</v>
      </c>
      <c r="K1756" s="193">
        <v>0</v>
      </c>
      <c r="L1756" s="193">
        <f>[1]Sheet1!$L747</f>
        <v>0</v>
      </c>
    </row>
    <row r="1757" spans="10:12" x14ac:dyDescent="0.25">
      <c r="J1757" s="16">
        <v>458</v>
      </c>
      <c r="K1757" s="193">
        <v>0</v>
      </c>
      <c r="L1757" s="193">
        <f>[1]Sheet1!$L748</f>
        <v>0</v>
      </c>
    </row>
    <row r="1758" spans="10:12" x14ac:dyDescent="0.25">
      <c r="J1758" s="16">
        <v>459</v>
      </c>
      <c r="K1758" s="193">
        <v>0</v>
      </c>
      <c r="L1758" s="193">
        <f>[1]Sheet1!$L749</f>
        <v>0</v>
      </c>
    </row>
    <row r="1759" spans="10:12" x14ac:dyDescent="0.25">
      <c r="J1759" s="16">
        <v>460</v>
      </c>
      <c r="K1759" s="193">
        <v>0</v>
      </c>
      <c r="L1759" s="193">
        <f>[1]Sheet1!$L750</f>
        <v>0</v>
      </c>
    </row>
    <row r="1760" spans="10:12" x14ac:dyDescent="0.25">
      <c r="J1760" s="16">
        <v>461</v>
      </c>
      <c r="K1760" s="193">
        <v>0</v>
      </c>
      <c r="L1760" s="193">
        <f>[1]Sheet1!$L751</f>
        <v>0</v>
      </c>
    </row>
    <row r="1761" spans="10:12" x14ac:dyDescent="0.25">
      <c r="J1761" s="16">
        <v>462</v>
      </c>
      <c r="K1761" s="193">
        <v>0</v>
      </c>
      <c r="L1761" s="193">
        <f>[1]Sheet1!$L752</f>
        <v>0</v>
      </c>
    </row>
    <row r="1762" spans="10:12" x14ac:dyDescent="0.25">
      <c r="J1762" s="16">
        <v>463</v>
      </c>
      <c r="K1762" s="193">
        <v>0</v>
      </c>
      <c r="L1762" s="193">
        <f>[1]Sheet1!$L753</f>
        <v>0</v>
      </c>
    </row>
    <row r="1763" spans="10:12" x14ac:dyDescent="0.25">
      <c r="J1763" s="16">
        <v>464</v>
      </c>
      <c r="K1763" s="193">
        <v>0</v>
      </c>
      <c r="L1763" s="193">
        <f>[1]Sheet1!$L754</f>
        <v>0</v>
      </c>
    </row>
    <row r="1764" spans="10:12" x14ac:dyDescent="0.25">
      <c r="J1764" s="16">
        <v>465</v>
      </c>
      <c r="K1764" s="193">
        <v>0</v>
      </c>
      <c r="L1764" s="193">
        <f>[1]Sheet1!$L755</f>
        <v>0</v>
      </c>
    </row>
    <row r="1765" spans="10:12" x14ac:dyDescent="0.25">
      <c r="J1765" s="16">
        <v>466</v>
      </c>
      <c r="K1765" s="193">
        <v>0</v>
      </c>
      <c r="L1765" s="193">
        <f>[1]Sheet1!$L756</f>
        <v>0</v>
      </c>
    </row>
    <row r="1766" spans="10:12" x14ac:dyDescent="0.25">
      <c r="J1766" s="16">
        <v>467</v>
      </c>
      <c r="K1766" s="193">
        <v>0</v>
      </c>
      <c r="L1766" s="193">
        <f>[1]Sheet1!$L757</f>
        <v>0</v>
      </c>
    </row>
    <row r="1767" spans="10:12" x14ac:dyDescent="0.25">
      <c r="J1767" s="16">
        <v>468</v>
      </c>
      <c r="K1767" s="193">
        <v>0</v>
      </c>
      <c r="L1767" s="193">
        <f>[1]Sheet1!$L758</f>
        <v>0</v>
      </c>
    </row>
    <row r="1768" spans="10:12" x14ac:dyDescent="0.25">
      <c r="J1768" s="16">
        <v>469</v>
      </c>
      <c r="K1768" s="193">
        <v>0</v>
      </c>
      <c r="L1768" s="193">
        <f>[1]Sheet1!$L759</f>
        <v>0</v>
      </c>
    </row>
    <row r="1769" spans="10:12" x14ac:dyDescent="0.25">
      <c r="J1769" s="16">
        <v>470</v>
      </c>
      <c r="K1769" s="193">
        <v>0</v>
      </c>
      <c r="L1769" s="193">
        <f>[1]Sheet1!$L760</f>
        <v>0</v>
      </c>
    </row>
    <row r="1770" spans="10:12" x14ac:dyDescent="0.25">
      <c r="J1770" s="16">
        <v>471</v>
      </c>
      <c r="K1770" s="193">
        <v>0</v>
      </c>
      <c r="L1770" s="193">
        <f>[1]Sheet1!$L761</f>
        <v>0</v>
      </c>
    </row>
    <row r="1771" spans="10:12" x14ac:dyDescent="0.25">
      <c r="J1771" s="16">
        <v>472</v>
      </c>
      <c r="K1771" s="193">
        <v>0</v>
      </c>
      <c r="L1771" s="193">
        <f>[1]Sheet1!$L762</f>
        <v>0</v>
      </c>
    </row>
    <row r="1772" spans="10:12" x14ac:dyDescent="0.25">
      <c r="J1772" s="16">
        <v>473</v>
      </c>
      <c r="K1772" s="193">
        <v>0</v>
      </c>
      <c r="L1772" s="193">
        <f>[1]Sheet1!$L763</f>
        <v>0</v>
      </c>
    </row>
    <row r="1773" spans="10:12" x14ac:dyDescent="0.25">
      <c r="J1773" s="16">
        <v>474</v>
      </c>
      <c r="K1773" s="193">
        <v>0</v>
      </c>
      <c r="L1773" s="193">
        <f>[1]Sheet1!$L764</f>
        <v>0</v>
      </c>
    </row>
    <row r="1774" spans="10:12" x14ac:dyDescent="0.25">
      <c r="J1774" s="16">
        <v>475</v>
      </c>
      <c r="K1774" s="193">
        <v>0</v>
      </c>
      <c r="L1774" s="193">
        <f>[1]Sheet1!$L765</f>
        <v>0</v>
      </c>
    </row>
    <row r="1775" spans="10:12" x14ac:dyDescent="0.25">
      <c r="J1775" s="16">
        <v>476</v>
      </c>
      <c r="K1775" s="193">
        <v>0</v>
      </c>
      <c r="L1775" s="193">
        <f>[1]Sheet1!$L766</f>
        <v>0</v>
      </c>
    </row>
    <row r="1776" spans="10:12" x14ac:dyDescent="0.25">
      <c r="J1776" s="16">
        <v>477</v>
      </c>
      <c r="K1776" s="193">
        <v>0</v>
      </c>
      <c r="L1776" s="193">
        <f>[1]Sheet1!$L767</f>
        <v>0</v>
      </c>
    </row>
    <row r="1777" spans="10:12" x14ac:dyDescent="0.25">
      <c r="J1777" s="16">
        <v>478</v>
      </c>
      <c r="K1777" s="193">
        <v>0</v>
      </c>
      <c r="L1777" s="193">
        <f>[1]Sheet1!$L768</f>
        <v>0</v>
      </c>
    </row>
    <row r="1778" spans="10:12" x14ac:dyDescent="0.25">
      <c r="J1778" s="16">
        <v>479</v>
      </c>
      <c r="K1778" s="193">
        <v>0</v>
      </c>
      <c r="L1778" s="193">
        <f>[1]Sheet1!$L769</f>
        <v>0</v>
      </c>
    </row>
    <row r="1779" spans="10:12" x14ac:dyDescent="0.25">
      <c r="J1779" s="16">
        <v>480</v>
      </c>
      <c r="K1779" s="193">
        <v>0</v>
      </c>
      <c r="L1779" s="193">
        <f>[1]Sheet1!$L770</f>
        <v>0</v>
      </c>
    </row>
    <row r="1780" spans="10:12" x14ac:dyDescent="0.25">
      <c r="J1780" s="16">
        <v>481</v>
      </c>
      <c r="K1780" s="193">
        <v>0</v>
      </c>
      <c r="L1780" s="193">
        <f>[1]Sheet1!$L771</f>
        <v>0</v>
      </c>
    </row>
    <row r="1781" spans="10:12" x14ac:dyDescent="0.25">
      <c r="J1781" s="16">
        <v>482</v>
      </c>
      <c r="K1781" s="193">
        <v>0</v>
      </c>
      <c r="L1781" s="193">
        <f>[1]Sheet1!$L772</f>
        <v>0</v>
      </c>
    </row>
    <row r="1782" spans="10:12" x14ac:dyDescent="0.25">
      <c r="J1782" s="16">
        <v>483</v>
      </c>
      <c r="K1782" s="193">
        <v>0</v>
      </c>
      <c r="L1782" s="193">
        <f>[1]Sheet1!$L773</f>
        <v>0</v>
      </c>
    </row>
    <row r="1783" spans="10:12" x14ac:dyDescent="0.25">
      <c r="J1783" s="16">
        <v>484</v>
      </c>
      <c r="K1783" s="193">
        <v>0</v>
      </c>
      <c r="L1783" s="193">
        <f>[1]Sheet1!$L774</f>
        <v>0</v>
      </c>
    </row>
    <row r="1784" spans="10:12" x14ac:dyDescent="0.25">
      <c r="J1784" s="16">
        <v>485</v>
      </c>
      <c r="K1784" s="193">
        <v>0</v>
      </c>
      <c r="L1784" s="193">
        <f>[1]Sheet1!$L775</f>
        <v>0</v>
      </c>
    </row>
    <row r="1785" spans="10:12" x14ac:dyDescent="0.25">
      <c r="J1785" s="16">
        <v>486</v>
      </c>
      <c r="K1785" s="193">
        <v>0</v>
      </c>
      <c r="L1785" s="193">
        <f>[1]Sheet1!$L776</f>
        <v>0</v>
      </c>
    </row>
    <row r="1786" spans="10:12" x14ac:dyDescent="0.25">
      <c r="J1786" s="16">
        <v>487</v>
      </c>
      <c r="K1786" s="193">
        <v>0</v>
      </c>
      <c r="L1786" s="193">
        <f>[1]Sheet1!$L777</f>
        <v>0</v>
      </c>
    </row>
    <row r="1787" spans="10:12" x14ac:dyDescent="0.25">
      <c r="J1787" s="16">
        <v>488</v>
      </c>
      <c r="K1787" s="193">
        <v>0</v>
      </c>
      <c r="L1787" s="193">
        <f>[1]Sheet1!$L778</f>
        <v>0</v>
      </c>
    </row>
    <row r="1788" spans="10:12" x14ac:dyDescent="0.25">
      <c r="J1788" s="16">
        <v>489</v>
      </c>
      <c r="K1788" s="193">
        <v>0</v>
      </c>
      <c r="L1788" s="193">
        <f>[1]Sheet1!$L779</f>
        <v>0</v>
      </c>
    </row>
    <row r="1789" spans="10:12" x14ac:dyDescent="0.25">
      <c r="J1789" s="16">
        <v>490</v>
      </c>
      <c r="K1789" s="193">
        <v>0</v>
      </c>
      <c r="L1789" s="193">
        <f>[1]Sheet1!$L780</f>
        <v>0</v>
      </c>
    </row>
    <row r="1790" spans="10:12" x14ac:dyDescent="0.25">
      <c r="J1790" s="16">
        <v>491</v>
      </c>
      <c r="K1790" s="193">
        <v>0</v>
      </c>
      <c r="L1790" s="193">
        <f>[1]Sheet1!$L781</f>
        <v>0</v>
      </c>
    </row>
    <row r="1791" spans="10:12" x14ac:dyDescent="0.25">
      <c r="J1791" s="16">
        <v>492</v>
      </c>
      <c r="K1791" s="193">
        <v>0</v>
      </c>
      <c r="L1791" s="193">
        <f>[1]Sheet1!$L782</f>
        <v>0</v>
      </c>
    </row>
    <row r="1792" spans="10:12" x14ac:dyDescent="0.25">
      <c r="J1792" s="16">
        <v>493</v>
      </c>
      <c r="K1792" s="193">
        <v>0</v>
      </c>
      <c r="L1792" s="193">
        <f>[1]Sheet1!$L783</f>
        <v>0</v>
      </c>
    </row>
    <row r="1793" spans="10:12" x14ac:dyDescent="0.25">
      <c r="J1793" s="16">
        <v>494</v>
      </c>
      <c r="K1793" s="193">
        <v>0</v>
      </c>
      <c r="L1793" s="193">
        <f>[1]Sheet1!$L784</f>
        <v>0</v>
      </c>
    </row>
    <row r="1794" spans="10:12" x14ac:dyDescent="0.25">
      <c r="J1794" s="16">
        <v>495</v>
      </c>
      <c r="K1794" s="193">
        <v>0</v>
      </c>
      <c r="L1794" s="193">
        <f>[1]Sheet1!$L785</f>
        <v>0</v>
      </c>
    </row>
    <row r="1795" spans="10:12" x14ac:dyDescent="0.25">
      <c r="J1795" s="16">
        <v>496</v>
      </c>
      <c r="K1795" s="193">
        <v>0</v>
      </c>
      <c r="L1795" s="193">
        <f>[1]Sheet1!$L786</f>
        <v>0</v>
      </c>
    </row>
    <row r="1796" spans="10:12" x14ac:dyDescent="0.25">
      <c r="J1796" s="16">
        <v>497</v>
      </c>
      <c r="K1796" s="193">
        <v>0</v>
      </c>
      <c r="L1796" s="193">
        <f>[1]Sheet1!$L787</f>
        <v>0</v>
      </c>
    </row>
    <row r="1797" spans="10:12" x14ac:dyDescent="0.25">
      <c r="J1797" s="16">
        <v>498</v>
      </c>
      <c r="K1797" s="193">
        <v>0</v>
      </c>
      <c r="L1797" s="193">
        <f>[1]Sheet1!$L788</f>
        <v>0</v>
      </c>
    </row>
    <row r="1798" spans="10:12" x14ac:dyDescent="0.25">
      <c r="J1798" s="16">
        <v>499</v>
      </c>
      <c r="K1798" s="193">
        <v>0</v>
      </c>
      <c r="L1798" s="193">
        <f>[1]Sheet1!$L789</f>
        <v>0</v>
      </c>
    </row>
    <row r="1799" spans="10:12" x14ac:dyDescent="0.25">
      <c r="J1799" s="16">
        <v>500</v>
      </c>
      <c r="K1799" s="193">
        <v>0</v>
      </c>
      <c r="L1799" s="193">
        <f>[1]Sheet1!$L790</f>
        <v>0</v>
      </c>
    </row>
    <row r="1800" spans="10:12" x14ac:dyDescent="0.25">
      <c r="J1800" s="16">
        <v>501</v>
      </c>
      <c r="K1800" s="193">
        <v>0</v>
      </c>
      <c r="L1800" s="193">
        <f>[1]Sheet1!$L791</f>
        <v>0</v>
      </c>
    </row>
    <row r="1801" spans="10:12" x14ac:dyDescent="0.25">
      <c r="J1801" s="16">
        <v>502</v>
      </c>
      <c r="K1801" s="193">
        <v>0</v>
      </c>
      <c r="L1801" s="193">
        <f>[1]Sheet1!$L792</f>
        <v>0</v>
      </c>
    </row>
    <row r="1802" spans="10:12" x14ac:dyDescent="0.25">
      <c r="J1802" s="16">
        <v>503</v>
      </c>
      <c r="K1802" s="193">
        <v>0</v>
      </c>
      <c r="L1802" s="193">
        <f>[1]Sheet1!$L793</f>
        <v>0</v>
      </c>
    </row>
    <row r="1803" spans="10:12" x14ac:dyDescent="0.25">
      <c r="J1803" s="16">
        <v>504</v>
      </c>
      <c r="K1803" s="193">
        <v>0</v>
      </c>
      <c r="L1803" s="193">
        <f>[1]Sheet1!$L794</f>
        <v>0</v>
      </c>
    </row>
    <row r="1804" spans="10:12" x14ac:dyDescent="0.25">
      <c r="J1804" s="16">
        <v>505</v>
      </c>
      <c r="K1804" s="193">
        <v>0</v>
      </c>
      <c r="L1804" s="193">
        <f>[1]Sheet1!$L795</f>
        <v>0</v>
      </c>
    </row>
    <row r="1805" spans="10:12" x14ac:dyDescent="0.25">
      <c r="J1805" s="16">
        <v>506</v>
      </c>
      <c r="K1805" s="193">
        <v>0</v>
      </c>
      <c r="L1805" s="193">
        <f>[1]Sheet1!$L796</f>
        <v>0</v>
      </c>
    </row>
    <row r="1806" spans="10:12" x14ac:dyDescent="0.25">
      <c r="J1806" s="16">
        <v>507</v>
      </c>
      <c r="K1806" s="193">
        <v>0</v>
      </c>
      <c r="L1806" s="193">
        <f>[1]Sheet1!$L797</f>
        <v>0</v>
      </c>
    </row>
    <row r="1807" spans="10:12" x14ac:dyDescent="0.25">
      <c r="J1807" s="16">
        <v>508</v>
      </c>
      <c r="K1807" s="193">
        <v>0</v>
      </c>
      <c r="L1807" s="193">
        <f>[1]Sheet1!$L798</f>
        <v>0</v>
      </c>
    </row>
    <row r="1808" spans="10:12" x14ac:dyDescent="0.25">
      <c r="J1808" s="16">
        <v>509</v>
      </c>
      <c r="K1808" s="193">
        <v>0</v>
      </c>
      <c r="L1808" s="193">
        <f>[1]Sheet1!$L799</f>
        <v>0</v>
      </c>
    </row>
    <row r="1809" spans="10:12" x14ac:dyDescent="0.25">
      <c r="J1809" s="16">
        <v>510</v>
      </c>
      <c r="K1809" s="193">
        <v>0</v>
      </c>
      <c r="L1809" s="193">
        <f>[1]Sheet1!$L800</f>
        <v>0</v>
      </c>
    </row>
    <row r="1810" spans="10:12" x14ac:dyDescent="0.25">
      <c r="J1810" s="16">
        <v>511</v>
      </c>
      <c r="K1810" s="193">
        <v>0</v>
      </c>
      <c r="L1810" s="193">
        <f>[1]Sheet1!$L801</f>
        <v>0</v>
      </c>
    </row>
    <row r="1811" spans="10:12" x14ac:dyDescent="0.25">
      <c r="J1811" s="16">
        <v>512</v>
      </c>
      <c r="K1811" s="193">
        <v>0</v>
      </c>
      <c r="L1811" s="193">
        <f>[1]Sheet1!$L802</f>
        <v>0</v>
      </c>
    </row>
    <row r="1812" spans="10:12" x14ac:dyDescent="0.25">
      <c r="J1812" s="16">
        <v>513</v>
      </c>
      <c r="K1812" s="193">
        <v>0</v>
      </c>
      <c r="L1812" s="193">
        <f>[1]Sheet1!$L803</f>
        <v>0</v>
      </c>
    </row>
    <row r="1813" spans="10:12" x14ac:dyDescent="0.25">
      <c r="J1813" s="16">
        <v>514</v>
      </c>
      <c r="K1813" s="193">
        <v>0</v>
      </c>
      <c r="L1813" s="193">
        <f>[1]Sheet1!$L804</f>
        <v>0</v>
      </c>
    </row>
    <row r="1814" spans="10:12" x14ac:dyDescent="0.25">
      <c r="J1814" s="16">
        <v>515</v>
      </c>
      <c r="K1814" s="193">
        <v>0</v>
      </c>
      <c r="L1814" s="193">
        <f>[1]Sheet1!$L805</f>
        <v>0</v>
      </c>
    </row>
    <row r="1815" spans="10:12" x14ac:dyDescent="0.25">
      <c r="J1815" s="16">
        <v>516</v>
      </c>
      <c r="K1815" s="193">
        <v>0</v>
      </c>
      <c r="L1815" s="193">
        <f>[1]Sheet1!$L806</f>
        <v>0</v>
      </c>
    </row>
    <row r="1816" spans="10:12" x14ac:dyDescent="0.25">
      <c r="J1816" s="16">
        <v>517</v>
      </c>
      <c r="K1816" s="193">
        <v>0</v>
      </c>
      <c r="L1816" s="193">
        <f>[1]Sheet1!$L807</f>
        <v>0</v>
      </c>
    </row>
    <row r="1817" spans="10:12" x14ac:dyDescent="0.25">
      <c r="J1817" s="16">
        <v>518</v>
      </c>
      <c r="K1817" s="193">
        <v>0</v>
      </c>
      <c r="L1817" s="193">
        <f>[1]Sheet1!$L808</f>
        <v>0</v>
      </c>
    </row>
    <row r="1818" spans="10:12" x14ac:dyDescent="0.25">
      <c r="J1818" s="16">
        <v>519</v>
      </c>
      <c r="K1818" s="193">
        <v>0</v>
      </c>
      <c r="L1818" s="193">
        <f>[1]Sheet1!$L809</f>
        <v>0</v>
      </c>
    </row>
    <row r="1819" spans="10:12" x14ac:dyDescent="0.25">
      <c r="J1819" s="16">
        <v>520</v>
      </c>
      <c r="K1819" s="193">
        <v>0</v>
      </c>
      <c r="L1819" s="193">
        <f>[1]Sheet1!$L810</f>
        <v>0</v>
      </c>
    </row>
    <row r="1820" spans="10:12" x14ac:dyDescent="0.25">
      <c r="J1820" s="16">
        <v>521</v>
      </c>
      <c r="K1820" s="193">
        <v>0</v>
      </c>
      <c r="L1820" s="193">
        <f>[1]Sheet1!$L811</f>
        <v>0</v>
      </c>
    </row>
    <row r="1821" spans="10:12" x14ac:dyDescent="0.25">
      <c r="J1821" s="16">
        <v>522</v>
      </c>
      <c r="K1821" s="193">
        <v>0</v>
      </c>
      <c r="L1821" s="193">
        <f>[1]Sheet1!$L812</f>
        <v>0</v>
      </c>
    </row>
    <row r="1822" spans="10:12" x14ac:dyDescent="0.25">
      <c r="J1822" s="16">
        <v>523</v>
      </c>
      <c r="K1822" s="193">
        <v>0</v>
      </c>
      <c r="L1822" s="193">
        <f>[1]Sheet1!$L813</f>
        <v>0</v>
      </c>
    </row>
    <row r="1823" spans="10:12" x14ac:dyDescent="0.25">
      <c r="J1823" s="16">
        <v>524</v>
      </c>
      <c r="K1823" s="193">
        <v>0</v>
      </c>
      <c r="L1823" s="193">
        <f>[1]Sheet1!$L814</f>
        <v>0</v>
      </c>
    </row>
    <row r="1824" spans="10:12" x14ac:dyDescent="0.25">
      <c r="J1824" s="16">
        <v>525</v>
      </c>
      <c r="K1824" s="193">
        <v>0</v>
      </c>
      <c r="L1824" s="193">
        <f>[1]Sheet1!$L815</f>
        <v>0</v>
      </c>
    </row>
    <row r="1825" spans="10:12" x14ac:dyDescent="0.25">
      <c r="J1825" s="16">
        <v>526</v>
      </c>
      <c r="K1825" s="193">
        <v>0</v>
      </c>
      <c r="L1825" s="193">
        <f>[1]Sheet1!$L816</f>
        <v>0</v>
      </c>
    </row>
    <row r="1826" spans="10:12" x14ac:dyDescent="0.25">
      <c r="J1826" s="16">
        <v>527</v>
      </c>
      <c r="K1826" s="193">
        <v>0</v>
      </c>
      <c r="L1826" s="193">
        <f>[1]Sheet1!$L817</f>
        <v>0</v>
      </c>
    </row>
    <row r="1827" spans="10:12" x14ac:dyDescent="0.25">
      <c r="J1827" s="16">
        <v>528</v>
      </c>
      <c r="K1827" s="193">
        <v>0</v>
      </c>
      <c r="L1827" s="193">
        <f>[1]Sheet1!$L818</f>
        <v>0</v>
      </c>
    </row>
    <row r="1828" spans="10:12" x14ac:dyDescent="0.25">
      <c r="J1828" s="16">
        <v>529</v>
      </c>
      <c r="K1828" s="193">
        <v>0</v>
      </c>
      <c r="L1828" s="193">
        <f>[1]Sheet1!$L819</f>
        <v>0</v>
      </c>
    </row>
    <row r="1829" spans="10:12" x14ac:dyDescent="0.25">
      <c r="J1829" s="16">
        <v>530</v>
      </c>
      <c r="K1829" s="193">
        <v>0</v>
      </c>
      <c r="L1829" s="193">
        <f>[1]Sheet1!$L820</f>
        <v>0</v>
      </c>
    </row>
    <row r="1830" spans="10:12" x14ac:dyDescent="0.25">
      <c r="J1830" s="16">
        <v>531</v>
      </c>
      <c r="K1830" s="193">
        <v>0</v>
      </c>
      <c r="L1830" s="193">
        <f>[1]Sheet1!$L821</f>
        <v>0</v>
      </c>
    </row>
    <row r="1831" spans="10:12" x14ac:dyDescent="0.25">
      <c r="J1831" s="16">
        <v>532</v>
      </c>
      <c r="K1831" s="193">
        <v>0</v>
      </c>
      <c r="L1831" s="193">
        <f>[1]Sheet1!$L822</f>
        <v>0</v>
      </c>
    </row>
    <row r="1832" spans="10:12" x14ac:dyDescent="0.25">
      <c r="J1832" s="16">
        <v>533</v>
      </c>
      <c r="K1832" s="193">
        <v>0</v>
      </c>
      <c r="L1832" s="193">
        <f>[1]Sheet1!$L823</f>
        <v>0</v>
      </c>
    </row>
    <row r="1833" spans="10:12" x14ac:dyDescent="0.25">
      <c r="J1833" s="16">
        <v>534</v>
      </c>
      <c r="K1833" s="193">
        <v>0</v>
      </c>
      <c r="L1833" s="193">
        <f>[1]Sheet1!$L824</f>
        <v>0</v>
      </c>
    </row>
    <row r="1834" spans="10:12" x14ac:dyDescent="0.25">
      <c r="J1834" s="16">
        <v>535</v>
      </c>
      <c r="K1834" s="193">
        <v>0</v>
      </c>
      <c r="L1834" s="193">
        <f>[1]Sheet1!$L825</f>
        <v>0</v>
      </c>
    </row>
    <row r="1835" spans="10:12" x14ac:dyDescent="0.25">
      <c r="J1835" s="16">
        <v>536</v>
      </c>
      <c r="K1835" s="193">
        <v>0</v>
      </c>
      <c r="L1835" s="193">
        <f>[1]Sheet1!$L826</f>
        <v>0</v>
      </c>
    </row>
    <row r="1836" spans="10:12" x14ac:dyDescent="0.25">
      <c r="J1836" s="16">
        <v>537</v>
      </c>
      <c r="K1836" s="193">
        <v>0</v>
      </c>
      <c r="L1836" s="193">
        <f>[1]Sheet1!$L827</f>
        <v>0</v>
      </c>
    </row>
    <row r="1837" spans="10:12" x14ac:dyDescent="0.25">
      <c r="J1837" s="16">
        <v>538</v>
      </c>
      <c r="K1837" s="193">
        <v>0</v>
      </c>
      <c r="L1837" s="193">
        <f>[1]Sheet1!$L828</f>
        <v>0</v>
      </c>
    </row>
    <row r="1838" spans="10:12" x14ac:dyDescent="0.25">
      <c r="J1838" s="16">
        <v>539</v>
      </c>
      <c r="K1838" s="193">
        <v>0</v>
      </c>
      <c r="L1838" s="193">
        <f>[1]Sheet1!$L829</f>
        <v>0</v>
      </c>
    </row>
    <row r="1839" spans="10:12" x14ac:dyDescent="0.25">
      <c r="J1839" s="16">
        <v>540</v>
      </c>
      <c r="K1839" s="193">
        <v>0</v>
      </c>
      <c r="L1839" s="193">
        <f>[1]Sheet1!$L830</f>
        <v>0</v>
      </c>
    </row>
    <row r="1840" spans="10:12" x14ac:dyDescent="0.25">
      <c r="J1840" s="16">
        <v>541</v>
      </c>
      <c r="K1840" s="193">
        <v>0</v>
      </c>
      <c r="L1840" s="193">
        <f>[1]Sheet1!$L831</f>
        <v>0</v>
      </c>
    </row>
    <row r="1841" spans="10:12" x14ac:dyDescent="0.25">
      <c r="J1841" s="16">
        <v>542</v>
      </c>
      <c r="K1841" s="193">
        <v>0</v>
      </c>
      <c r="L1841" s="193">
        <f>[1]Sheet1!$L832</f>
        <v>0</v>
      </c>
    </row>
    <row r="1842" spans="10:12" x14ac:dyDescent="0.25">
      <c r="J1842" s="16">
        <v>543</v>
      </c>
      <c r="K1842" s="193">
        <v>0</v>
      </c>
      <c r="L1842" s="193">
        <f>[1]Sheet1!$L833</f>
        <v>0</v>
      </c>
    </row>
    <row r="1843" spans="10:12" x14ac:dyDescent="0.25">
      <c r="J1843" s="16">
        <v>544</v>
      </c>
      <c r="K1843" s="193">
        <v>0</v>
      </c>
      <c r="L1843" s="193">
        <f>[1]Sheet1!$L834</f>
        <v>0</v>
      </c>
    </row>
    <row r="1844" spans="10:12" x14ac:dyDescent="0.25">
      <c r="J1844" s="16">
        <v>545</v>
      </c>
      <c r="K1844" s="193">
        <v>0</v>
      </c>
      <c r="L1844" s="193">
        <f>[1]Sheet1!$L835</f>
        <v>0</v>
      </c>
    </row>
    <row r="1845" spans="10:12" x14ac:dyDescent="0.25">
      <c r="J1845" s="16">
        <v>546</v>
      </c>
      <c r="K1845" s="193">
        <v>0</v>
      </c>
      <c r="L1845" s="193">
        <f>[1]Sheet1!$L836</f>
        <v>0</v>
      </c>
    </row>
    <row r="1846" spans="10:12" x14ac:dyDescent="0.25">
      <c r="J1846" s="16">
        <v>547</v>
      </c>
      <c r="K1846" s="193">
        <v>0</v>
      </c>
      <c r="L1846" s="193">
        <f>[1]Sheet1!$L837</f>
        <v>0</v>
      </c>
    </row>
    <row r="1847" spans="10:12" x14ac:dyDescent="0.25">
      <c r="J1847" s="16">
        <v>548</v>
      </c>
      <c r="K1847" s="193">
        <v>0</v>
      </c>
      <c r="L1847" s="193">
        <f>[1]Sheet1!$L838</f>
        <v>0</v>
      </c>
    </row>
    <row r="1848" spans="10:12" x14ac:dyDescent="0.25">
      <c r="J1848" s="16">
        <v>549</v>
      </c>
      <c r="K1848" s="193">
        <v>0</v>
      </c>
      <c r="L1848" s="193">
        <f>[1]Sheet1!$L839</f>
        <v>0</v>
      </c>
    </row>
    <row r="1849" spans="10:12" x14ac:dyDescent="0.25">
      <c r="J1849" s="16">
        <v>550</v>
      </c>
      <c r="K1849" s="193">
        <v>0</v>
      </c>
      <c r="L1849" s="193">
        <f>[1]Sheet1!$L840</f>
        <v>0</v>
      </c>
    </row>
    <row r="1850" spans="10:12" x14ac:dyDescent="0.25">
      <c r="J1850" s="16">
        <v>551</v>
      </c>
      <c r="K1850" s="193">
        <v>0</v>
      </c>
      <c r="L1850" s="193">
        <f>[1]Sheet1!$L841</f>
        <v>0</v>
      </c>
    </row>
    <row r="1851" spans="10:12" x14ac:dyDescent="0.25">
      <c r="J1851" s="16">
        <v>552</v>
      </c>
      <c r="K1851" s="193">
        <v>0</v>
      </c>
      <c r="L1851" s="193">
        <f>[1]Sheet1!$L842</f>
        <v>0</v>
      </c>
    </row>
    <row r="1852" spans="10:12" x14ac:dyDescent="0.25">
      <c r="J1852" s="16">
        <v>553</v>
      </c>
      <c r="K1852" s="193">
        <v>0</v>
      </c>
      <c r="L1852" s="193">
        <f>[1]Sheet1!$L843</f>
        <v>0</v>
      </c>
    </row>
    <row r="1853" spans="10:12" x14ac:dyDescent="0.25">
      <c r="J1853" s="16">
        <v>554</v>
      </c>
      <c r="K1853" s="193">
        <v>0</v>
      </c>
      <c r="L1853" s="193">
        <f>[1]Sheet1!$L844</f>
        <v>0</v>
      </c>
    </row>
    <row r="1854" spans="10:12" x14ac:dyDescent="0.25">
      <c r="J1854" s="16">
        <v>555</v>
      </c>
      <c r="K1854" s="193">
        <v>0</v>
      </c>
      <c r="L1854" s="193">
        <f>[1]Sheet1!$L845</f>
        <v>0</v>
      </c>
    </row>
    <row r="1855" spans="10:12" x14ac:dyDescent="0.25">
      <c r="J1855" s="16">
        <v>556</v>
      </c>
      <c r="K1855" s="193">
        <v>0</v>
      </c>
      <c r="L1855" s="193">
        <f>[1]Sheet1!$L846</f>
        <v>0</v>
      </c>
    </row>
    <row r="1856" spans="10:12" x14ac:dyDescent="0.25">
      <c r="J1856" s="16">
        <v>557</v>
      </c>
      <c r="K1856" s="193">
        <v>0</v>
      </c>
      <c r="L1856" s="193">
        <f>[1]Sheet1!$L847</f>
        <v>0</v>
      </c>
    </row>
    <row r="1857" spans="10:12" x14ac:dyDescent="0.25">
      <c r="J1857" s="16">
        <v>558</v>
      </c>
      <c r="K1857" s="193">
        <v>0</v>
      </c>
      <c r="L1857" s="193">
        <f>[1]Sheet1!$L848</f>
        <v>0</v>
      </c>
    </row>
    <row r="1858" spans="10:12" x14ac:dyDescent="0.25">
      <c r="J1858" s="16">
        <v>559</v>
      </c>
      <c r="K1858" s="193">
        <v>0</v>
      </c>
      <c r="L1858" s="193">
        <f>[1]Sheet1!$L849</f>
        <v>0</v>
      </c>
    </row>
    <row r="1859" spans="10:12" x14ac:dyDescent="0.25">
      <c r="J1859" s="16">
        <v>560</v>
      </c>
      <c r="K1859" s="193">
        <v>0</v>
      </c>
      <c r="L1859" s="193">
        <f>[1]Sheet1!$L850</f>
        <v>0</v>
      </c>
    </row>
    <row r="1860" spans="10:12" x14ac:dyDescent="0.25">
      <c r="J1860" s="16">
        <v>561</v>
      </c>
      <c r="K1860" s="193">
        <v>0</v>
      </c>
      <c r="L1860" s="193">
        <f>[1]Sheet1!$L851</f>
        <v>0</v>
      </c>
    </row>
    <row r="1861" spans="10:12" x14ac:dyDescent="0.25">
      <c r="J1861" s="16">
        <v>562</v>
      </c>
      <c r="K1861" s="193">
        <v>0</v>
      </c>
      <c r="L1861" s="193">
        <f>[1]Sheet1!$L852</f>
        <v>0</v>
      </c>
    </row>
    <row r="1862" spans="10:12" x14ac:dyDescent="0.25">
      <c r="J1862" s="16">
        <v>563</v>
      </c>
      <c r="K1862" s="193">
        <v>0</v>
      </c>
      <c r="L1862" s="193">
        <f>[1]Sheet1!$L853</f>
        <v>0</v>
      </c>
    </row>
    <row r="1863" spans="10:12" x14ac:dyDescent="0.25">
      <c r="J1863" s="16">
        <v>564</v>
      </c>
      <c r="K1863" s="193">
        <v>0</v>
      </c>
      <c r="L1863" s="193">
        <f>[1]Sheet1!$L854</f>
        <v>0</v>
      </c>
    </row>
    <row r="1864" spans="10:12" x14ac:dyDescent="0.25">
      <c r="J1864" s="16">
        <v>565</v>
      </c>
      <c r="K1864" s="193">
        <v>0</v>
      </c>
      <c r="L1864" s="193">
        <f>[1]Sheet1!$L855</f>
        <v>0</v>
      </c>
    </row>
    <row r="1865" spans="10:12" x14ac:dyDescent="0.25">
      <c r="J1865" s="16">
        <v>566</v>
      </c>
      <c r="K1865" s="193">
        <v>0</v>
      </c>
      <c r="L1865" s="193">
        <f>[1]Sheet1!$L856</f>
        <v>0</v>
      </c>
    </row>
    <row r="1866" spans="10:12" x14ac:dyDescent="0.25">
      <c r="J1866" s="16">
        <v>567</v>
      </c>
      <c r="K1866" s="193">
        <v>0</v>
      </c>
      <c r="L1866" s="193">
        <f>[1]Sheet1!$L857</f>
        <v>0</v>
      </c>
    </row>
    <row r="1867" spans="10:12" x14ac:dyDescent="0.25">
      <c r="J1867" s="16">
        <v>568</v>
      </c>
      <c r="K1867" s="193">
        <v>0</v>
      </c>
      <c r="L1867" s="193">
        <f>[1]Sheet1!$L858</f>
        <v>0</v>
      </c>
    </row>
    <row r="1868" spans="10:12" x14ac:dyDescent="0.25">
      <c r="J1868" s="16">
        <v>569</v>
      </c>
      <c r="K1868" s="193">
        <v>0</v>
      </c>
      <c r="L1868" s="193">
        <f>[1]Sheet1!$L859</f>
        <v>0</v>
      </c>
    </row>
    <row r="1869" spans="10:12" x14ac:dyDescent="0.25">
      <c r="J1869" s="16">
        <v>570</v>
      </c>
      <c r="K1869" s="193">
        <v>0</v>
      </c>
      <c r="L1869" s="193">
        <f>[1]Sheet1!$L860</f>
        <v>0</v>
      </c>
    </row>
    <row r="1870" spans="10:12" x14ac:dyDescent="0.25">
      <c r="J1870" s="16">
        <v>571</v>
      </c>
      <c r="K1870" s="193">
        <v>0</v>
      </c>
      <c r="L1870" s="193">
        <f>[1]Sheet1!$L861</f>
        <v>0</v>
      </c>
    </row>
    <row r="1871" spans="10:12" x14ac:dyDescent="0.25">
      <c r="J1871" s="16">
        <v>572</v>
      </c>
      <c r="K1871" s="193">
        <v>0</v>
      </c>
      <c r="L1871" s="193">
        <f>[1]Sheet1!$L862</f>
        <v>0</v>
      </c>
    </row>
    <row r="1872" spans="10:12" x14ac:dyDescent="0.25">
      <c r="J1872" s="16">
        <v>573</v>
      </c>
      <c r="K1872" s="193">
        <v>0</v>
      </c>
      <c r="L1872" s="193">
        <f>[1]Sheet1!$L863</f>
        <v>0</v>
      </c>
    </row>
    <row r="1873" spans="10:12" x14ac:dyDescent="0.25">
      <c r="J1873" s="16">
        <v>574</v>
      </c>
      <c r="K1873" s="193">
        <v>0</v>
      </c>
      <c r="L1873" s="193">
        <f>[1]Sheet1!$L864</f>
        <v>0</v>
      </c>
    </row>
    <row r="1874" spans="10:12" x14ac:dyDescent="0.25">
      <c r="J1874" s="16">
        <v>575</v>
      </c>
      <c r="K1874" s="193">
        <v>0</v>
      </c>
      <c r="L1874" s="193">
        <f>[1]Sheet1!$L865</f>
        <v>0</v>
      </c>
    </row>
    <row r="1875" spans="10:12" x14ac:dyDescent="0.25">
      <c r="J1875" s="16">
        <v>576</v>
      </c>
      <c r="K1875" s="193">
        <v>0</v>
      </c>
      <c r="L1875" s="193">
        <f>[1]Sheet1!$L866</f>
        <v>0</v>
      </c>
    </row>
    <row r="1876" spans="10:12" x14ac:dyDescent="0.25">
      <c r="J1876" s="16">
        <v>577</v>
      </c>
      <c r="K1876" s="193">
        <v>0</v>
      </c>
      <c r="L1876" s="193">
        <f>[1]Sheet1!$L867</f>
        <v>0</v>
      </c>
    </row>
    <row r="1877" spans="10:12" x14ac:dyDescent="0.25">
      <c r="J1877" s="16">
        <v>578</v>
      </c>
      <c r="K1877" s="193">
        <v>0</v>
      </c>
      <c r="L1877" s="193">
        <f>[1]Sheet1!$L868</f>
        <v>0</v>
      </c>
    </row>
    <row r="1878" spans="10:12" x14ac:dyDescent="0.25">
      <c r="J1878" s="16">
        <v>579</v>
      </c>
      <c r="K1878" s="193">
        <v>0</v>
      </c>
      <c r="L1878" s="193">
        <f>[1]Sheet1!$L869</f>
        <v>0</v>
      </c>
    </row>
    <row r="1879" spans="10:12" x14ac:dyDescent="0.25">
      <c r="J1879" s="16">
        <v>580</v>
      </c>
      <c r="K1879" s="193">
        <v>0</v>
      </c>
      <c r="L1879" s="193">
        <f>[1]Sheet1!$L870</f>
        <v>0</v>
      </c>
    </row>
    <row r="1880" spans="10:12" x14ac:dyDescent="0.25">
      <c r="J1880" s="16">
        <v>581</v>
      </c>
      <c r="K1880" s="193">
        <v>0</v>
      </c>
      <c r="L1880" s="193">
        <f>[1]Sheet1!$L871</f>
        <v>0</v>
      </c>
    </row>
    <row r="1881" spans="10:12" x14ac:dyDescent="0.25">
      <c r="J1881" s="16">
        <v>582</v>
      </c>
      <c r="K1881" s="193">
        <v>0</v>
      </c>
      <c r="L1881" s="193">
        <f>[1]Sheet1!$L872</f>
        <v>0</v>
      </c>
    </row>
    <row r="1882" spans="10:12" x14ac:dyDescent="0.25">
      <c r="J1882" s="16">
        <v>583</v>
      </c>
      <c r="K1882" s="193">
        <v>0</v>
      </c>
      <c r="L1882" s="193">
        <f>[1]Sheet1!$L873</f>
        <v>0</v>
      </c>
    </row>
    <row r="1883" spans="10:12" x14ac:dyDescent="0.25">
      <c r="J1883" s="16">
        <v>584</v>
      </c>
      <c r="K1883" s="193">
        <v>0</v>
      </c>
      <c r="L1883" s="193">
        <f>[1]Sheet1!$L874</f>
        <v>0</v>
      </c>
    </row>
    <row r="1884" spans="10:12" x14ac:dyDescent="0.25">
      <c r="J1884" s="16">
        <v>585</v>
      </c>
      <c r="K1884" s="193">
        <v>0</v>
      </c>
      <c r="L1884" s="193">
        <f>[1]Sheet1!$L875</f>
        <v>0</v>
      </c>
    </row>
    <row r="1885" spans="10:12" x14ac:dyDescent="0.25">
      <c r="J1885" s="16">
        <v>586</v>
      </c>
      <c r="K1885" s="193">
        <v>0</v>
      </c>
      <c r="L1885" s="193">
        <f>[1]Sheet1!$L876</f>
        <v>0</v>
      </c>
    </row>
    <row r="1886" spans="10:12" x14ac:dyDescent="0.25">
      <c r="J1886" s="16">
        <v>587</v>
      </c>
      <c r="K1886" s="193">
        <v>0</v>
      </c>
      <c r="L1886" s="193">
        <f>[1]Sheet1!$L877</f>
        <v>0</v>
      </c>
    </row>
    <row r="1887" spans="10:12" x14ac:dyDescent="0.25">
      <c r="J1887" s="16">
        <v>588</v>
      </c>
      <c r="K1887" s="193">
        <v>0</v>
      </c>
      <c r="L1887" s="193">
        <f>[1]Sheet1!$L878</f>
        <v>0</v>
      </c>
    </row>
    <row r="1888" spans="10:12" x14ac:dyDescent="0.25">
      <c r="J1888" s="16">
        <v>589</v>
      </c>
      <c r="K1888" s="193">
        <v>0</v>
      </c>
      <c r="L1888" s="193">
        <f>[1]Sheet1!$L879</f>
        <v>0</v>
      </c>
    </row>
    <row r="1889" spans="10:12" x14ac:dyDescent="0.25">
      <c r="J1889" s="16">
        <v>590</v>
      </c>
      <c r="K1889" s="193">
        <v>0</v>
      </c>
      <c r="L1889" s="193">
        <f>[1]Sheet1!$L880</f>
        <v>0</v>
      </c>
    </row>
    <row r="1890" spans="10:12" x14ac:dyDescent="0.25">
      <c r="J1890" s="16">
        <v>591</v>
      </c>
      <c r="K1890" s="193">
        <v>0</v>
      </c>
      <c r="L1890" s="193">
        <f>[1]Sheet1!$L881</f>
        <v>0</v>
      </c>
    </row>
    <row r="1891" spans="10:12" x14ac:dyDescent="0.25">
      <c r="J1891" s="16">
        <v>592</v>
      </c>
      <c r="K1891" s="193">
        <v>0</v>
      </c>
      <c r="L1891" s="193">
        <f>[1]Sheet1!$L882</f>
        <v>0</v>
      </c>
    </row>
    <row r="1892" spans="10:12" x14ac:dyDescent="0.25">
      <c r="J1892" s="16">
        <v>593</v>
      </c>
      <c r="K1892" s="193">
        <v>0</v>
      </c>
      <c r="L1892" s="193">
        <f>[1]Sheet1!$L883</f>
        <v>0</v>
      </c>
    </row>
    <row r="1893" spans="10:12" x14ac:dyDescent="0.25">
      <c r="J1893" s="16">
        <v>594</v>
      </c>
      <c r="K1893" s="193">
        <v>0</v>
      </c>
      <c r="L1893" s="193">
        <f>[1]Sheet1!$L884</f>
        <v>0</v>
      </c>
    </row>
    <row r="1894" spans="10:12" x14ac:dyDescent="0.25">
      <c r="J1894" s="16">
        <v>595</v>
      </c>
      <c r="K1894" s="193">
        <v>0</v>
      </c>
      <c r="L1894" s="193">
        <f>[1]Sheet1!$L885</f>
        <v>0</v>
      </c>
    </row>
    <row r="1895" spans="10:12" x14ac:dyDescent="0.25">
      <c r="J1895" s="16">
        <v>596</v>
      </c>
      <c r="K1895" s="193">
        <v>0</v>
      </c>
      <c r="L1895" s="193">
        <f>[1]Sheet1!$L886</f>
        <v>0</v>
      </c>
    </row>
    <row r="1896" spans="10:12" x14ac:dyDescent="0.25">
      <c r="J1896" s="16">
        <v>597</v>
      </c>
      <c r="K1896" s="193">
        <v>0</v>
      </c>
      <c r="L1896" s="193">
        <f>[1]Sheet1!$L887</f>
        <v>0</v>
      </c>
    </row>
    <row r="1897" spans="10:12" x14ac:dyDescent="0.25">
      <c r="J1897" s="16">
        <v>598</v>
      </c>
      <c r="K1897" s="193">
        <v>0</v>
      </c>
      <c r="L1897" s="193">
        <f>[1]Sheet1!$L888</f>
        <v>0</v>
      </c>
    </row>
    <row r="1898" spans="10:12" x14ac:dyDescent="0.25">
      <c r="J1898" s="16">
        <v>599</v>
      </c>
      <c r="K1898" s="193">
        <v>0</v>
      </c>
      <c r="L1898" s="193">
        <f>[1]Sheet1!$L889</f>
        <v>0</v>
      </c>
    </row>
    <row r="1899" spans="10:12" x14ac:dyDescent="0.25">
      <c r="J1899" s="16">
        <v>600</v>
      </c>
      <c r="K1899" s="193">
        <v>0</v>
      </c>
      <c r="L1899" s="193">
        <f>[1]Sheet1!$L890</f>
        <v>0</v>
      </c>
    </row>
    <row r="1900" spans="10:12" x14ac:dyDescent="0.25">
      <c r="J1900" s="16">
        <v>601</v>
      </c>
      <c r="K1900" s="193">
        <v>0</v>
      </c>
      <c r="L1900" s="193">
        <f>[1]Sheet1!$L891</f>
        <v>0</v>
      </c>
    </row>
    <row r="1901" spans="10:12" x14ac:dyDescent="0.25">
      <c r="J1901" s="16">
        <v>602</v>
      </c>
      <c r="K1901" s="193">
        <v>0</v>
      </c>
      <c r="L1901" s="193">
        <f>[1]Sheet1!$L892</f>
        <v>0</v>
      </c>
    </row>
    <row r="1902" spans="10:12" x14ac:dyDescent="0.25">
      <c r="J1902" s="16">
        <v>603</v>
      </c>
      <c r="K1902" s="193">
        <v>0</v>
      </c>
      <c r="L1902" s="193">
        <f>[1]Sheet1!$L893</f>
        <v>0</v>
      </c>
    </row>
    <row r="1903" spans="10:12" x14ac:dyDescent="0.25">
      <c r="J1903" s="16">
        <v>604</v>
      </c>
      <c r="K1903" s="193">
        <v>0</v>
      </c>
      <c r="L1903" s="193">
        <f>[1]Sheet1!$L894</f>
        <v>0</v>
      </c>
    </row>
    <row r="1904" spans="10:12" x14ac:dyDescent="0.25">
      <c r="J1904" s="16">
        <v>605</v>
      </c>
      <c r="K1904" s="193">
        <v>0</v>
      </c>
      <c r="L1904" s="193">
        <f>[1]Sheet1!$L895</f>
        <v>0</v>
      </c>
    </row>
    <row r="1905" spans="10:12" x14ac:dyDescent="0.25">
      <c r="J1905" s="16">
        <v>606</v>
      </c>
      <c r="K1905" s="193">
        <v>0</v>
      </c>
      <c r="L1905" s="193">
        <f>[1]Sheet1!$L896</f>
        <v>0</v>
      </c>
    </row>
    <row r="1906" spans="10:12" x14ac:dyDescent="0.25">
      <c r="J1906" s="16">
        <v>607</v>
      </c>
      <c r="K1906" s="193">
        <v>0</v>
      </c>
      <c r="L1906" s="193">
        <f>[1]Sheet1!$L897</f>
        <v>0</v>
      </c>
    </row>
    <row r="1907" spans="10:12" x14ac:dyDescent="0.25">
      <c r="J1907" s="16">
        <v>608</v>
      </c>
      <c r="K1907" s="193">
        <v>0</v>
      </c>
      <c r="L1907" s="193">
        <f>[1]Sheet1!$L898</f>
        <v>0</v>
      </c>
    </row>
    <row r="1908" spans="10:12" x14ac:dyDescent="0.25">
      <c r="J1908" s="16">
        <v>609</v>
      </c>
      <c r="K1908" s="193">
        <v>0</v>
      </c>
      <c r="L1908" s="193">
        <f>[1]Sheet1!$L899</f>
        <v>0</v>
      </c>
    </row>
    <row r="1909" spans="10:12" x14ac:dyDescent="0.25">
      <c r="J1909" s="16">
        <v>610</v>
      </c>
      <c r="K1909" s="193">
        <v>0</v>
      </c>
      <c r="L1909" s="193">
        <f>[1]Sheet1!$L900</f>
        <v>0</v>
      </c>
    </row>
    <row r="1910" spans="10:12" x14ac:dyDescent="0.25">
      <c r="J1910" s="16">
        <v>611</v>
      </c>
      <c r="K1910" s="193">
        <v>0</v>
      </c>
      <c r="L1910" s="193">
        <f>[1]Sheet1!$L901</f>
        <v>0</v>
      </c>
    </row>
    <row r="1911" spans="10:12" x14ac:dyDescent="0.25">
      <c r="J1911" s="16">
        <v>612</v>
      </c>
      <c r="K1911" s="193">
        <v>0</v>
      </c>
      <c r="L1911" s="193">
        <f>[1]Sheet1!$L902</f>
        <v>0</v>
      </c>
    </row>
    <row r="1912" spans="10:12" x14ac:dyDescent="0.25">
      <c r="J1912" s="16">
        <v>613</v>
      </c>
      <c r="K1912" s="193">
        <v>0</v>
      </c>
      <c r="L1912" s="193">
        <f>[1]Sheet1!$L903</f>
        <v>0</v>
      </c>
    </row>
    <row r="1913" spans="10:12" x14ac:dyDescent="0.25">
      <c r="J1913" s="16">
        <v>614</v>
      </c>
      <c r="K1913" s="193">
        <v>0</v>
      </c>
      <c r="L1913" s="193">
        <f>[1]Sheet1!$L904</f>
        <v>0</v>
      </c>
    </row>
    <row r="1914" spans="10:12" x14ac:dyDescent="0.25">
      <c r="J1914" s="16">
        <v>615</v>
      </c>
      <c r="K1914" s="193">
        <v>0</v>
      </c>
      <c r="L1914" s="193">
        <f>[1]Sheet1!$L905</f>
        <v>0</v>
      </c>
    </row>
    <row r="1915" spans="10:12" x14ac:dyDescent="0.25">
      <c r="J1915" s="16">
        <v>616</v>
      </c>
      <c r="K1915" s="193">
        <v>0</v>
      </c>
      <c r="L1915" s="193">
        <f>[1]Sheet1!$L906</f>
        <v>0</v>
      </c>
    </row>
    <row r="1916" spans="10:12" x14ac:dyDescent="0.25">
      <c r="J1916" s="16">
        <v>617</v>
      </c>
      <c r="K1916" s="193">
        <v>0</v>
      </c>
      <c r="L1916" s="193">
        <f>[1]Sheet1!$L907</f>
        <v>0</v>
      </c>
    </row>
    <row r="1917" spans="10:12" x14ac:dyDescent="0.25">
      <c r="J1917" s="16">
        <v>618</v>
      </c>
      <c r="K1917" s="193">
        <v>0</v>
      </c>
      <c r="L1917" s="193">
        <f>[1]Sheet1!$L908</f>
        <v>0</v>
      </c>
    </row>
    <row r="1918" spans="10:12" x14ac:dyDescent="0.25">
      <c r="J1918" s="16">
        <v>619</v>
      </c>
      <c r="K1918" s="193">
        <v>0</v>
      </c>
      <c r="L1918" s="193">
        <f>[1]Sheet1!$L909</f>
        <v>0</v>
      </c>
    </row>
    <row r="1919" spans="10:12" x14ac:dyDescent="0.25">
      <c r="J1919" s="16">
        <v>620</v>
      </c>
      <c r="K1919" s="193">
        <v>0</v>
      </c>
      <c r="L1919" s="193">
        <f>[1]Sheet1!$L910</f>
        <v>0</v>
      </c>
    </row>
    <row r="1920" spans="10:12" x14ac:dyDescent="0.25">
      <c r="J1920" s="16">
        <v>621</v>
      </c>
      <c r="K1920" s="193">
        <v>0</v>
      </c>
      <c r="L1920" s="193">
        <f>[1]Sheet1!$L911</f>
        <v>0</v>
      </c>
    </row>
    <row r="1921" spans="10:12" x14ac:dyDescent="0.25">
      <c r="J1921" s="16">
        <v>622</v>
      </c>
      <c r="K1921" s="193">
        <v>0</v>
      </c>
      <c r="L1921" s="193">
        <f>[1]Sheet1!$L912</f>
        <v>0</v>
      </c>
    </row>
    <row r="1922" spans="10:12" x14ac:dyDescent="0.25">
      <c r="J1922" s="16">
        <v>623</v>
      </c>
      <c r="K1922" s="193">
        <v>0</v>
      </c>
      <c r="L1922" s="193">
        <f>[1]Sheet1!$L913</f>
        <v>0</v>
      </c>
    </row>
    <row r="1923" spans="10:12" x14ac:dyDescent="0.25">
      <c r="J1923" s="16">
        <v>624</v>
      </c>
      <c r="K1923" s="193">
        <v>0</v>
      </c>
      <c r="L1923" s="193">
        <f>[1]Sheet1!$L914</f>
        <v>0</v>
      </c>
    </row>
    <row r="1924" spans="10:12" x14ac:dyDescent="0.25">
      <c r="J1924" s="16">
        <v>625</v>
      </c>
      <c r="K1924" s="193">
        <v>0</v>
      </c>
      <c r="L1924" s="193">
        <f>[1]Sheet1!$L915</f>
        <v>0</v>
      </c>
    </row>
    <row r="1925" spans="10:12" x14ac:dyDescent="0.25">
      <c r="J1925" s="16">
        <v>626</v>
      </c>
      <c r="K1925" s="193">
        <v>0</v>
      </c>
      <c r="L1925" s="193">
        <f>[1]Sheet1!$L916</f>
        <v>0</v>
      </c>
    </row>
    <row r="1926" spans="10:12" x14ac:dyDescent="0.25">
      <c r="J1926" s="16">
        <v>627</v>
      </c>
      <c r="K1926" s="193">
        <v>0</v>
      </c>
      <c r="L1926" s="193">
        <f>[1]Sheet1!$L917</f>
        <v>0</v>
      </c>
    </row>
    <row r="1927" spans="10:12" x14ac:dyDescent="0.25">
      <c r="J1927" s="16">
        <v>628</v>
      </c>
      <c r="K1927" s="193">
        <v>0</v>
      </c>
      <c r="L1927" s="193">
        <f>[1]Sheet1!$L918</f>
        <v>0</v>
      </c>
    </row>
    <row r="1928" spans="10:12" x14ac:dyDescent="0.25">
      <c r="J1928" s="16">
        <v>629</v>
      </c>
      <c r="K1928" s="193">
        <v>0</v>
      </c>
      <c r="L1928" s="193">
        <f>[1]Sheet1!$L919</f>
        <v>0</v>
      </c>
    </row>
    <row r="1929" spans="10:12" x14ac:dyDescent="0.25">
      <c r="J1929" s="16">
        <v>630</v>
      </c>
      <c r="K1929" s="193">
        <v>0</v>
      </c>
      <c r="L1929" s="193">
        <f>[1]Sheet1!$L920</f>
        <v>0</v>
      </c>
    </row>
    <row r="1930" spans="10:12" x14ac:dyDescent="0.25">
      <c r="J1930" s="16">
        <v>631</v>
      </c>
      <c r="K1930" s="193">
        <v>0</v>
      </c>
      <c r="L1930" s="193">
        <f>[1]Sheet1!$L921</f>
        <v>0</v>
      </c>
    </row>
    <row r="1931" spans="10:12" x14ac:dyDescent="0.25">
      <c r="J1931" s="16">
        <v>632</v>
      </c>
      <c r="K1931" s="193">
        <v>0</v>
      </c>
      <c r="L1931" s="193">
        <f>[1]Sheet1!$L922</f>
        <v>0</v>
      </c>
    </row>
    <row r="1932" spans="10:12" x14ac:dyDescent="0.25">
      <c r="J1932" s="16">
        <v>633</v>
      </c>
      <c r="K1932" s="193">
        <v>0</v>
      </c>
      <c r="L1932" s="193">
        <f>[1]Sheet1!$L923</f>
        <v>0</v>
      </c>
    </row>
    <row r="1933" spans="10:12" x14ac:dyDescent="0.25">
      <c r="J1933" s="16">
        <v>634</v>
      </c>
      <c r="K1933" s="193">
        <v>0</v>
      </c>
      <c r="L1933" s="193">
        <f>[1]Sheet1!$L924</f>
        <v>0</v>
      </c>
    </row>
    <row r="1934" spans="10:12" x14ac:dyDescent="0.25">
      <c r="J1934" s="16">
        <v>635</v>
      </c>
      <c r="K1934" s="193">
        <v>0</v>
      </c>
      <c r="L1934" s="193">
        <f>[1]Sheet1!$L925</f>
        <v>0</v>
      </c>
    </row>
    <row r="1935" spans="10:12" x14ac:dyDescent="0.25">
      <c r="J1935" s="16">
        <v>636</v>
      </c>
      <c r="K1935" s="193">
        <v>0</v>
      </c>
      <c r="L1935" s="193">
        <f>[1]Sheet1!$L926</f>
        <v>0</v>
      </c>
    </row>
    <row r="1936" spans="10:12" x14ac:dyDescent="0.25">
      <c r="J1936" s="16">
        <v>637</v>
      </c>
      <c r="K1936" s="193">
        <v>0</v>
      </c>
      <c r="L1936" s="193">
        <f>[1]Sheet1!$L927</f>
        <v>0</v>
      </c>
    </row>
    <row r="1937" spans="10:12" x14ac:dyDescent="0.25">
      <c r="J1937" s="16">
        <v>638</v>
      </c>
      <c r="K1937" s="193">
        <v>0</v>
      </c>
      <c r="L1937" s="193">
        <f>[1]Sheet1!$L928</f>
        <v>0</v>
      </c>
    </row>
    <row r="1938" spans="10:12" x14ac:dyDescent="0.25">
      <c r="J1938" s="16">
        <v>639</v>
      </c>
      <c r="K1938" s="193">
        <v>0</v>
      </c>
      <c r="L1938" s="193">
        <f>[1]Sheet1!$L929</f>
        <v>0</v>
      </c>
    </row>
    <row r="1939" spans="10:12" x14ac:dyDescent="0.25">
      <c r="J1939" s="16">
        <v>640</v>
      </c>
      <c r="K1939" s="193">
        <v>0</v>
      </c>
      <c r="L1939" s="193">
        <f>[1]Sheet1!$L930</f>
        <v>0</v>
      </c>
    </row>
    <row r="1940" spans="10:12" x14ac:dyDescent="0.25">
      <c r="J1940" s="16">
        <v>641</v>
      </c>
      <c r="K1940" s="193">
        <v>0</v>
      </c>
      <c r="L1940" s="193">
        <f>[1]Sheet1!$L931</f>
        <v>0</v>
      </c>
    </row>
    <row r="1941" spans="10:12" x14ac:dyDescent="0.25">
      <c r="J1941" s="16">
        <v>642</v>
      </c>
      <c r="K1941" s="193">
        <v>0</v>
      </c>
      <c r="L1941" s="193">
        <f>[1]Sheet1!$L932</f>
        <v>0</v>
      </c>
    </row>
    <row r="1942" spans="10:12" x14ac:dyDescent="0.25">
      <c r="J1942" s="16">
        <v>643</v>
      </c>
      <c r="K1942" s="193">
        <v>0</v>
      </c>
      <c r="L1942" s="193">
        <f>[1]Sheet1!$L933</f>
        <v>0</v>
      </c>
    </row>
    <row r="1943" spans="10:12" x14ac:dyDescent="0.25">
      <c r="J1943" s="16">
        <v>644</v>
      </c>
      <c r="K1943" s="193">
        <v>0</v>
      </c>
      <c r="L1943" s="193">
        <f>[1]Sheet1!$L934</f>
        <v>0</v>
      </c>
    </row>
    <row r="1944" spans="10:12" x14ac:dyDescent="0.25">
      <c r="J1944" s="16">
        <v>645</v>
      </c>
      <c r="K1944" s="193">
        <v>0</v>
      </c>
      <c r="L1944" s="193">
        <f>[1]Sheet1!$L935</f>
        <v>0</v>
      </c>
    </row>
    <row r="1945" spans="10:12" x14ac:dyDescent="0.25">
      <c r="J1945" s="16">
        <v>646</v>
      </c>
      <c r="K1945" s="193">
        <v>0</v>
      </c>
      <c r="L1945" s="193">
        <f>[1]Sheet1!$L936</f>
        <v>0</v>
      </c>
    </row>
    <row r="1946" spans="10:12" x14ac:dyDescent="0.25">
      <c r="J1946" s="16">
        <v>647</v>
      </c>
      <c r="K1946" s="193">
        <v>0</v>
      </c>
      <c r="L1946" s="193">
        <f>[1]Sheet1!$L937</f>
        <v>0</v>
      </c>
    </row>
    <row r="1947" spans="10:12" x14ac:dyDescent="0.25">
      <c r="J1947" s="16">
        <v>648</v>
      </c>
      <c r="K1947" s="193">
        <v>0</v>
      </c>
      <c r="L1947" s="193">
        <f>[1]Sheet1!$L938</f>
        <v>0</v>
      </c>
    </row>
    <row r="1948" spans="10:12" x14ac:dyDescent="0.25">
      <c r="J1948" s="16">
        <v>649</v>
      </c>
      <c r="K1948" s="193">
        <v>0</v>
      </c>
      <c r="L1948" s="193">
        <f>[1]Sheet1!$L939</f>
        <v>0</v>
      </c>
    </row>
    <row r="1949" spans="10:12" x14ac:dyDescent="0.25">
      <c r="J1949" s="16">
        <v>650</v>
      </c>
      <c r="K1949" s="193">
        <v>0</v>
      </c>
      <c r="L1949" s="193">
        <f>[1]Sheet1!$L940</f>
        <v>0</v>
      </c>
    </row>
    <row r="1950" spans="10:12" x14ac:dyDescent="0.25">
      <c r="J1950" s="16">
        <v>651</v>
      </c>
      <c r="K1950" s="193">
        <v>0</v>
      </c>
      <c r="L1950" s="193">
        <f>[1]Sheet1!$L941</f>
        <v>0</v>
      </c>
    </row>
    <row r="1951" spans="10:12" x14ac:dyDescent="0.25">
      <c r="J1951" s="16">
        <v>652</v>
      </c>
      <c r="K1951" s="193">
        <v>0</v>
      </c>
      <c r="L1951" s="193">
        <f>[1]Sheet1!$L942</f>
        <v>0</v>
      </c>
    </row>
    <row r="1952" spans="10:12" x14ac:dyDescent="0.25">
      <c r="J1952" s="16">
        <v>653</v>
      </c>
      <c r="K1952" s="193">
        <v>0</v>
      </c>
      <c r="L1952" s="193">
        <f>[1]Sheet1!$L943</f>
        <v>0</v>
      </c>
    </row>
    <row r="1953" spans="10:12" x14ac:dyDescent="0.25">
      <c r="J1953" s="16">
        <v>654</v>
      </c>
      <c r="K1953" s="193">
        <v>0</v>
      </c>
      <c r="L1953" s="193">
        <f>[1]Sheet1!$L944</f>
        <v>0</v>
      </c>
    </row>
    <row r="1954" spans="10:12" x14ac:dyDescent="0.25">
      <c r="J1954" s="16">
        <v>655</v>
      </c>
      <c r="K1954" s="193">
        <v>0</v>
      </c>
      <c r="L1954" s="193">
        <f>[1]Sheet1!$L945</f>
        <v>0</v>
      </c>
    </row>
    <row r="1955" spans="10:12" x14ac:dyDescent="0.25">
      <c r="J1955" s="16">
        <v>656</v>
      </c>
      <c r="K1955" s="193">
        <v>0</v>
      </c>
      <c r="L1955" s="193">
        <f>[1]Sheet1!$L946</f>
        <v>0</v>
      </c>
    </row>
    <row r="1956" spans="10:12" x14ac:dyDescent="0.25">
      <c r="J1956" s="16">
        <v>657</v>
      </c>
      <c r="K1956" s="193">
        <v>0</v>
      </c>
      <c r="L1956" s="193">
        <f>[1]Sheet1!$L947</f>
        <v>0</v>
      </c>
    </row>
    <row r="1957" spans="10:12" x14ac:dyDescent="0.25">
      <c r="J1957" s="16">
        <v>658</v>
      </c>
      <c r="K1957" s="193">
        <v>0</v>
      </c>
      <c r="L1957" s="193">
        <f>[1]Sheet1!$L948</f>
        <v>0</v>
      </c>
    </row>
    <row r="1958" spans="10:12" x14ac:dyDescent="0.25">
      <c r="J1958" s="16">
        <v>659</v>
      </c>
      <c r="K1958" s="193">
        <v>0</v>
      </c>
      <c r="L1958" s="193">
        <f>[1]Sheet1!$L949</f>
        <v>0</v>
      </c>
    </row>
    <row r="1959" spans="10:12" x14ac:dyDescent="0.25">
      <c r="J1959" s="16">
        <v>660</v>
      </c>
      <c r="K1959" s="193">
        <v>0</v>
      </c>
      <c r="L1959" s="193">
        <f>[1]Sheet1!$L950</f>
        <v>0</v>
      </c>
    </row>
    <row r="1960" spans="10:12" x14ac:dyDescent="0.25">
      <c r="J1960" s="16">
        <v>661</v>
      </c>
      <c r="K1960" s="193">
        <v>0</v>
      </c>
      <c r="L1960" s="193">
        <f>[1]Sheet1!$L951</f>
        <v>0</v>
      </c>
    </row>
    <row r="1961" spans="10:12" x14ac:dyDescent="0.25">
      <c r="J1961" s="16">
        <v>662</v>
      </c>
      <c r="K1961" s="193">
        <v>0</v>
      </c>
      <c r="L1961" s="193">
        <f>[1]Sheet1!$L952</f>
        <v>0</v>
      </c>
    </row>
    <row r="1962" spans="10:12" x14ac:dyDescent="0.25">
      <c r="J1962" s="16">
        <v>663</v>
      </c>
      <c r="K1962" s="193">
        <v>0</v>
      </c>
      <c r="L1962" s="193">
        <f>[1]Sheet1!$L953</f>
        <v>0</v>
      </c>
    </row>
    <row r="1963" spans="10:12" x14ac:dyDescent="0.25">
      <c r="J1963" s="16">
        <v>664</v>
      </c>
      <c r="K1963" s="193">
        <v>0</v>
      </c>
      <c r="L1963" s="193">
        <f>[1]Sheet1!$L954</f>
        <v>0</v>
      </c>
    </row>
    <row r="1964" spans="10:12" x14ac:dyDescent="0.25">
      <c r="J1964" s="16">
        <v>665</v>
      </c>
      <c r="K1964" s="193">
        <v>0</v>
      </c>
      <c r="L1964" s="193">
        <f>[1]Sheet1!$L955</f>
        <v>0</v>
      </c>
    </row>
    <row r="1965" spans="10:12" x14ac:dyDescent="0.25">
      <c r="J1965" s="16">
        <v>666</v>
      </c>
      <c r="K1965" s="193">
        <v>0</v>
      </c>
      <c r="L1965" s="193">
        <f>[1]Sheet1!$L956</f>
        <v>0</v>
      </c>
    </row>
    <row r="1966" spans="10:12" x14ac:dyDescent="0.25">
      <c r="J1966" s="16">
        <v>667</v>
      </c>
      <c r="K1966" s="193">
        <v>0</v>
      </c>
      <c r="L1966" s="193">
        <f>[1]Sheet1!$L957</f>
        <v>0</v>
      </c>
    </row>
    <row r="1967" spans="10:12" x14ac:dyDescent="0.25">
      <c r="J1967" s="16">
        <v>668</v>
      </c>
      <c r="K1967" s="193">
        <v>0</v>
      </c>
      <c r="L1967" s="193">
        <f>[1]Sheet1!$L958</f>
        <v>0</v>
      </c>
    </row>
    <row r="1968" spans="10:12" x14ac:dyDescent="0.25">
      <c r="J1968" s="16">
        <v>669</v>
      </c>
      <c r="K1968" s="193">
        <v>0</v>
      </c>
      <c r="L1968" s="193">
        <f>[1]Sheet1!$L959</f>
        <v>0</v>
      </c>
    </row>
    <row r="1969" spans="10:12" x14ac:dyDescent="0.25">
      <c r="J1969" s="16">
        <v>670</v>
      </c>
      <c r="K1969" s="193">
        <v>0</v>
      </c>
      <c r="L1969" s="193">
        <f>[1]Sheet1!$L960</f>
        <v>0</v>
      </c>
    </row>
    <row r="1970" spans="10:12" x14ac:dyDescent="0.25">
      <c r="J1970" s="16">
        <v>671</v>
      </c>
      <c r="K1970" s="193">
        <v>0</v>
      </c>
      <c r="L1970" s="193">
        <f>[1]Sheet1!$L961</f>
        <v>0</v>
      </c>
    </row>
    <row r="1971" spans="10:12" x14ac:dyDescent="0.25">
      <c r="J1971" s="16">
        <v>672</v>
      </c>
      <c r="K1971" s="193">
        <v>0</v>
      </c>
      <c r="L1971" s="193">
        <f>[1]Sheet1!$L962</f>
        <v>0</v>
      </c>
    </row>
    <row r="1972" spans="10:12" x14ac:dyDescent="0.25">
      <c r="J1972" s="16">
        <v>673</v>
      </c>
      <c r="K1972" s="193">
        <v>0</v>
      </c>
      <c r="L1972" s="193">
        <f>[1]Sheet1!$L963</f>
        <v>0</v>
      </c>
    </row>
    <row r="1973" spans="10:12" x14ac:dyDescent="0.25">
      <c r="J1973" s="16">
        <v>674</v>
      </c>
      <c r="K1973" s="193">
        <v>0</v>
      </c>
      <c r="L1973" s="193">
        <f>[1]Sheet1!$L964</f>
        <v>0</v>
      </c>
    </row>
    <row r="1974" spans="10:12" x14ac:dyDescent="0.25">
      <c r="J1974" s="16">
        <v>675</v>
      </c>
      <c r="K1974" s="193">
        <v>0</v>
      </c>
      <c r="L1974" s="193">
        <f>[1]Sheet1!$L965</f>
        <v>0</v>
      </c>
    </row>
    <row r="1975" spans="10:12" x14ac:dyDescent="0.25">
      <c r="J1975" s="16">
        <v>676</v>
      </c>
      <c r="K1975" s="193">
        <v>0</v>
      </c>
      <c r="L1975" s="193">
        <f>[1]Sheet1!$L966</f>
        <v>0</v>
      </c>
    </row>
    <row r="1976" spans="10:12" x14ac:dyDescent="0.25">
      <c r="J1976" s="16">
        <v>677</v>
      </c>
      <c r="K1976" s="193">
        <v>0</v>
      </c>
      <c r="L1976" s="193">
        <f>[1]Sheet1!$L967</f>
        <v>0</v>
      </c>
    </row>
    <row r="1977" spans="10:12" x14ac:dyDescent="0.25">
      <c r="J1977" s="16">
        <v>678</v>
      </c>
      <c r="K1977" s="193">
        <v>0</v>
      </c>
      <c r="L1977" s="193">
        <f>[1]Sheet1!$L968</f>
        <v>0</v>
      </c>
    </row>
    <row r="1978" spans="10:12" x14ac:dyDescent="0.25">
      <c r="J1978" s="16">
        <v>679</v>
      </c>
      <c r="K1978" s="193">
        <v>0</v>
      </c>
      <c r="L1978" s="193">
        <f>[1]Sheet1!$L969</f>
        <v>0</v>
      </c>
    </row>
    <row r="1979" spans="10:12" x14ac:dyDescent="0.25">
      <c r="J1979" s="16">
        <v>680</v>
      </c>
      <c r="K1979" s="193">
        <v>0</v>
      </c>
      <c r="L1979" s="193">
        <f>[1]Sheet1!$L970</f>
        <v>0</v>
      </c>
    </row>
    <row r="1980" spans="10:12" x14ac:dyDescent="0.25">
      <c r="J1980" s="16">
        <v>681</v>
      </c>
      <c r="K1980" s="193">
        <v>0</v>
      </c>
      <c r="L1980" s="193">
        <f>[1]Sheet1!$L971</f>
        <v>0</v>
      </c>
    </row>
    <row r="1981" spans="10:12" x14ac:dyDescent="0.25">
      <c r="J1981" s="16">
        <v>682</v>
      </c>
      <c r="K1981" s="193">
        <v>0</v>
      </c>
      <c r="L1981" s="193">
        <f>[1]Sheet1!$L972</f>
        <v>0</v>
      </c>
    </row>
    <row r="1982" spans="10:12" x14ac:dyDescent="0.25">
      <c r="J1982" s="16">
        <v>683</v>
      </c>
      <c r="K1982" s="193">
        <v>0</v>
      </c>
      <c r="L1982" s="193">
        <f>[1]Sheet1!$L973</f>
        <v>0</v>
      </c>
    </row>
    <row r="1983" spans="10:12" x14ac:dyDescent="0.25">
      <c r="J1983" s="16">
        <v>684</v>
      </c>
      <c r="K1983" s="193">
        <v>0</v>
      </c>
      <c r="L1983" s="193">
        <f>[1]Sheet1!$L974</f>
        <v>0</v>
      </c>
    </row>
    <row r="1984" spans="10:12" x14ac:dyDescent="0.25">
      <c r="J1984" s="16">
        <v>685</v>
      </c>
      <c r="K1984" s="193">
        <v>0</v>
      </c>
      <c r="L1984" s="193">
        <f>[1]Sheet1!$L975</f>
        <v>0</v>
      </c>
    </row>
    <row r="1985" spans="10:12" x14ac:dyDescent="0.25">
      <c r="J1985" s="16">
        <v>686</v>
      </c>
      <c r="K1985" s="193">
        <v>0</v>
      </c>
      <c r="L1985" s="193">
        <f>[1]Sheet1!$L976</f>
        <v>0</v>
      </c>
    </row>
    <row r="1986" spans="10:12" x14ac:dyDescent="0.25">
      <c r="J1986" s="16">
        <v>687</v>
      </c>
      <c r="K1986" s="193">
        <v>0</v>
      </c>
      <c r="L1986" s="193">
        <f>[1]Sheet1!$L977</f>
        <v>0</v>
      </c>
    </row>
    <row r="1987" spans="10:12" x14ac:dyDescent="0.25">
      <c r="J1987" s="16">
        <v>688</v>
      </c>
      <c r="K1987" s="193">
        <v>0</v>
      </c>
      <c r="L1987" s="193">
        <f>[1]Sheet1!$L978</f>
        <v>0</v>
      </c>
    </row>
    <row r="1988" spans="10:12" x14ac:dyDescent="0.25">
      <c r="J1988" s="16">
        <v>689</v>
      </c>
      <c r="K1988" s="193">
        <v>0</v>
      </c>
      <c r="L1988" s="193">
        <f>[1]Sheet1!$L979</f>
        <v>0</v>
      </c>
    </row>
    <row r="1989" spans="10:12" x14ac:dyDescent="0.25">
      <c r="J1989" s="16">
        <v>690</v>
      </c>
      <c r="K1989" s="193">
        <v>0</v>
      </c>
      <c r="L1989" s="193">
        <f>[1]Sheet1!$L980</f>
        <v>0</v>
      </c>
    </row>
    <row r="1990" spans="10:12" x14ac:dyDescent="0.25">
      <c r="J1990" s="16">
        <v>691</v>
      </c>
      <c r="K1990" s="193">
        <v>0</v>
      </c>
      <c r="L1990" s="193">
        <f>[1]Sheet1!$L981</f>
        <v>0</v>
      </c>
    </row>
    <row r="1991" spans="10:12" x14ac:dyDescent="0.25">
      <c r="J1991" s="16">
        <v>692</v>
      </c>
      <c r="K1991" s="193">
        <v>0</v>
      </c>
      <c r="L1991" s="193">
        <f>[1]Sheet1!$L982</f>
        <v>0</v>
      </c>
    </row>
    <row r="1992" spans="10:12" x14ac:dyDescent="0.25">
      <c r="J1992" s="16">
        <v>693</v>
      </c>
      <c r="K1992" s="193">
        <v>0</v>
      </c>
      <c r="L1992" s="193">
        <f>[1]Sheet1!$L983</f>
        <v>0</v>
      </c>
    </row>
    <row r="1993" spans="10:12" x14ac:dyDescent="0.25">
      <c r="J1993" s="16">
        <v>694</v>
      </c>
      <c r="K1993" s="193">
        <v>0</v>
      </c>
      <c r="L1993" s="193">
        <f>[1]Sheet1!$L984</f>
        <v>0</v>
      </c>
    </row>
    <row r="1994" spans="10:12" x14ac:dyDescent="0.25">
      <c r="J1994" s="16">
        <v>695</v>
      </c>
      <c r="K1994" s="193">
        <v>0</v>
      </c>
      <c r="L1994" s="193">
        <f>[1]Sheet1!$L985</f>
        <v>0</v>
      </c>
    </row>
    <row r="1995" spans="10:12" x14ac:dyDescent="0.25">
      <c r="J1995" s="16">
        <v>696</v>
      </c>
      <c r="K1995" s="193">
        <v>0</v>
      </c>
      <c r="L1995" s="193">
        <f>[1]Sheet1!$L986</f>
        <v>0</v>
      </c>
    </row>
    <row r="1996" spans="10:12" x14ac:dyDescent="0.25">
      <c r="J1996" s="16">
        <v>697</v>
      </c>
      <c r="K1996" s="193">
        <v>0</v>
      </c>
      <c r="L1996" s="193">
        <f>[1]Sheet1!$L987</f>
        <v>0</v>
      </c>
    </row>
    <row r="1997" spans="10:12" x14ac:dyDescent="0.25">
      <c r="J1997" s="16">
        <v>698</v>
      </c>
      <c r="K1997" s="193">
        <v>0</v>
      </c>
      <c r="L1997" s="193">
        <f>[1]Sheet1!$L988</f>
        <v>0</v>
      </c>
    </row>
    <row r="1998" spans="10:12" x14ac:dyDescent="0.25">
      <c r="J1998" s="16">
        <v>699</v>
      </c>
      <c r="K1998" s="193">
        <v>0</v>
      </c>
      <c r="L1998" s="193">
        <f>[1]Sheet1!$L989</f>
        <v>0</v>
      </c>
    </row>
    <row r="1999" spans="10:12" x14ac:dyDescent="0.25">
      <c r="J1999" s="16">
        <v>700</v>
      </c>
      <c r="K1999" s="193">
        <v>0</v>
      </c>
      <c r="L1999" s="193">
        <f>[1]Sheet1!$L990</f>
        <v>0</v>
      </c>
    </row>
    <row r="2000" spans="10:12" x14ac:dyDescent="0.25">
      <c r="J2000" s="16">
        <v>701</v>
      </c>
      <c r="K2000" s="193">
        <v>0</v>
      </c>
      <c r="L2000" s="193">
        <f>[1]Sheet1!$L991</f>
        <v>0</v>
      </c>
    </row>
    <row r="2001" spans="10:12" x14ac:dyDescent="0.25">
      <c r="J2001" s="16">
        <v>702</v>
      </c>
      <c r="K2001" s="193">
        <v>0</v>
      </c>
      <c r="L2001" s="193">
        <f>[1]Sheet1!$L992</f>
        <v>0</v>
      </c>
    </row>
    <row r="2002" spans="10:12" x14ac:dyDescent="0.25">
      <c r="J2002" s="16">
        <v>703</v>
      </c>
      <c r="K2002" s="193">
        <v>0</v>
      </c>
      <c r="L2002" s="193">
        <f>[1]Sheet1!$L993</f>
        <v>0</v>
      </c>
    </row>
    <row r="2003" spans="10:12" x14ac:dyDescent="0.25">
      <c r="J2003" s="16">
        <v>704</v>
      </c>
      <c r="K2003" s="193">
        <v>0</v>
      </c>
      <c r="L2003" s="193">
        <f>[1]Sheet1!$L994</f>
        <v>0</v>
      </c>
    </row>
    <row r="2004" spans="10:12" x14ac:dyDescent="0.25">
      <c r="J2004" s="16">
        <v>705</v>
      </c>
      <c r="K2004" s="193">
        <v>0</v>
      </c>
      <c r="L2004" s="193">
        <f>[1]Sheet1!$L995</f>
        <v>0</v>
      </c>
    </row>
    <row r="2005" spans="10:12" x14ac:dyDescent="0.25">
      <c r="J2005" s="16">
        <v>706</v>
      </c>
      <c r="K2005" s="193">
        <v>0</v>
      </c>
      <c r="L2005" s="193">
        <f>[1]Sheet1!$L996</f>
        <v>0</v>
      </c>
    </row>
    <row r="2006" spans="10:12" x14ac:dyDescent="0.25">
      <c r="J2006" s="16">
        <v>707</v>
      </c>
      <c r="K2006" s="193">
        <v>0</v>
      </c>
      <c r="L2006" s="193">
        <f>[1]Sheet1!$L997</f>
        <v>0</v>
      </c>
    </row>
    <row r="2007" spans="10:12" x14ac:dyDescent="0.25">
      <c r="J2007" s="16">
        <v>708</v>
      </c>
      <c r="K2007" s="193">
        <v>0</v>
      </c>
      <c r="L2007" s="193">
        <f>[1]Sheet1!$L998</f>
        <v>0</v>
      </c>
    </row>
    <row r="2008" spans="10:12" x14ac:dyDescent="0.25">
      <c r="J2008" s="16">
        <v>709</v>
      </c>
      <c r="K2008" s="193">
        <v>0</v>
      </c>
      <c r="L2008" s="193">
        <f>[1]Sheet1!$L999</f>
        <v>0</v>
      </c>
    </row>
    <row r="2009" spans="10:12" x14ac:dyDescent="0.25">
      <c r="J2009" s="16">
        <v>710</v>
      </c>
      <c r="K2009" s="193">
        <v>0</v>
      </c>
      <c r="L2009" s="193">
        <f>[1]Sheet1!$L1000</f>
        <v>0</v>
      </c>
    </row>
    <row r="2010" spans="10:12" x14ac:dyDescent="0.25">
      <c r="J2010" s="16">
        <v>711</v>
      </c>
      <c r="K2010" s="193">
        <v>0</v>
      </c>
      <c r="L2010" s="193">
        <f>[1]Sheet1!$L1001</f>
        <v>0</v>
      </c>
    </row>
    <row r="2011" spans="10:12" x14ac:dyDescent="0.25">
      <c r="J2011" s="16">
        <v>712</v>
      </c>
      <c r="K2011" s="193">
        <v>0</v>
      </c>
      <c r="L2011" s="193">
        <f>[1]Sheet1!$L1002</f>
        <v>0</v>
      </c>
    </row>
    <row r="2012" spans="10:12" x14ac:dyDescent="0.25">
      <c r="J2012" s="16">
        <v>713</v>
      </c>
      <c r="K2012" s="193">
        <v>0</v>
      </c>
      <c r="L2012" s="193">
        <f>[1]Sheet1!$L1003</f>
        <v>0</v>
      </c>
    </row>
    <row r="2013" spans="10:12" x14ac:dyDescent="0.25">
      <c r="J2013" s="16">
        <v>714</v>
      </c>
      <c r="K2013" s="193">
        <v>0</v>
      </c>
      <c r="L2013" s="193">
        <f>[1]Sheet1!$L1004</f>
        <v>0</v>
      </c>
    </row>
    <row r="2014" spans="10:12" x14ac:dyDescent="0.25">
      <c r="J2014" s="16">
        <v>715</v>
      </c>
      <c r="K2014" s="193">
        <v>0</v>
      </c>
      <c r="L2014" s="193">
        <f>[1]Sheet1!$L1005</f>
        <v>0</v>
      </c>
    </row>
    <row r="2015" spans="10:12" x14ac:dyDescent="0.25">
      <c r="J2015" s="16">
        <v>716</v>
      </c>
      <c r="K2015" s="193">
        <v>0</v>
      </c>
      <c r="L2015" s="193">
        <f>[1]Sheet1!$L1006</f>
        <v>0</v>
      </c>
    </row>
    <row r="2016" spans="10:12" x14ac:dyDescent="0.25">
      <c r="J2016" s="16">
        <v>717</v>
      </c>
      <c r="K2016" s="193">
        <v>0</v>
      </c>
      <c r="L2016" s="193">
        <f>[1]Sheet1!$L1007</f>
        <v>0</v>
      </c>
    </row>
    <row r="2017" spans="10:12" x14ac:dyDescent="0.25">
      <c r="J2017" s="16">
        <v>718</v>
      </c>
      <c r="K2017" s="193">
        <v>0</v>
      </c>
      <c r="L2017" s="193">
        <f>[1]Sheet1!$L1008</f>
        <v>0</v>
      </c>
    </row>
    <row r="2018" spans="10:12" x14ac:dyDescent="0.25">
      <c r="J2018" s="16">
        <v>719</v>
      </c>
      <c r="K2018" s="193">
        <v>0</v>
      </c>
      <c r="L2018" s="193">
        <f>[1]Sheet1!$L1009</f>
        <v>0</v>
      </c>
    </row>
    <row r="2019" spans="10:12" x14ac:dyDescent="0.25">
      <c r="J2019" s="16">
        <v>720</v>
      </c>
      <c r="K2019" s="193">
        <v>0</v>
      </c>
      <c r="L2019" s="193">
        <f>[1]Sheet1!$L1010</f>
        <v>0</v>
      </c>
    </row>
    <row r="2020" spans="10:12" x14ac:dyDescent="0.25">
      <c r="J2020" s="16">
        <v>721</v>
      </c>
      <c r="K2020" s="193">
        <v>0</v>
      </c>
      <c r="L2020" s="193">
        <f>[1]Sheet1!$L1011</f>
        <v>0</v>
      </c>
    </row>
    <row r="2021" spans="10:12" x14ac:dyDescent="0.25">
      <c r="J2021" s="16">
        <v>722</v>
      </c>
      <c r="K2021" s="193">
        <v>0</v>
      </c>
      <c r="L2021" s="193">
        <f>[1]Sheet1!$L1012</f>
        <v>0</v>
      </c>
    </row>
    <row r="2022" spans="10:12" x14ac:dyDescent="0.25">
      <c r="J2022" s="16">
        <v>723</v>
      </c>
      <c r="K2022" s="193">
        <v>0</v>
      </c>
      <c r="L2022" s="193">
        <f>[1]Sheet1!$L1013</f>
        <v>0</v>
      </c>
    </row>
    <row r="2023" spans="10:12" x14ac:dyDescent="0.25">
      <c r="J2023" s="16">
        <v>724</v>
      </c>
      <c r="K2023" s="193">
        <v>0</v>
      </c>
      <c r="L2023" s="193">
        <f>[1]Sheet1!$L1014</f>
        <v>0</v>
      </c>
    </row>
    <row r="2024" spans="10:12" x14ac:dyDescent="0.25">
      <c r="J2024" s="16">
        <v>725</v>
      </c>
      <c r="K2024" s="193">
        <v>0</v>
      </c>
      <c r="L2024" s="193">
        <f>[1]Sheet1!$L1015</f>
        <v>0</v>
      </c>
    </row>
    <row r="2025" spans="10:12" x14ac:dyDescent="0.25">
      <c r="J2025" s="16">
        <v>726</v>
      </c>
      <c r="K2025" s="193">
        <v>0</v>
      </c>
      <c r="L2025" s="193">
        <f>[1]Sheet1!$L1016</f>
        <v>0</v>
      </c>
    </row>
    <row r="2026" spans="10:12" x14ac:dyDescent="0.25">
      <c r="J2026" s="16">
        <v>727</v>
      </c>
      <c r="K2026" s="193">
        <v>0</v>
      </c>
      <c r="L2026" s="193">
        <f>[1]Sheet1!$L1017</f>
        <v>0</v>
      </c>
    </row>
    <row r="2027" spans="10:12" x14ac:dyDescent="0.25">
      <c r="J2027" s="16">
        <v>728</v>
      </c>
      <c r="K2027" s="193">
        <v>0</v>
      </c>
      <c r="L2027" s="193">
        <f>[1]Sheet1!$L1018</f>
        <v>0</v>
      </c>
    </row>
    <row r="2028" spans="10:12" x14ac:dyDescent="0.25">
      <c r="J2028" s="16">
        <v>729</v>
      </c>
      <c r="K2028" s="193">
        <v>0</v>
      </c>
      <c r="L2028" s="193">
        <f>[1]Sheet1!$L1019</f>
        <v>0</v>
      </c>
    </row>
    <row r="2029" spans="10:12" x14ac:dyDescent="0.25">
      <c r="J2029" s="16">
        <v>730</v>
      </c>
      <c r="K2029" s="193">
        <v>0</v>
      </c>
      <c r="L2029" s="193">
        <f>[1]Sheet1!$L1020</f>
        <v>0</v>
      </c>
    </row>
    <row r="2030" spans="10:12" x14ac:dyDescent="0.25">
      <c r="J2030" s="16">
        <v>731</v>
      </c>
      <c r="K2030" s="193">
        <v>0</v>
      </c>
      <c r="L2030" s="193">
        <f>[1]Sheet1!$L1021</f>
        <v>0</v>
      </c>
    </row>
    <row r="2031" spans="10:12" x14ac:dyDescent="0.25">
      <c r="J2031" s="16">
        <v>732</v>
      </c>
      <c r="K2031" s="193">
        <v>0</v>
      </c>
      <c r="L2031" s="193">
        <f>[1]Sheet1!$L1022</f>
        <v>0</v>
      </c>
    </row>
    <row r="2032" spans="10:12" x14ac:dyDescent="0.25">
      <c r="J2032" s="16">
        <v>733</v>
      </c>
      <c r="K2032" s="193">
        <v>0</v>
      </c>
      <c r="L2032" s="193">
        <f>[1]Sheet1!$L1023</f>
        <v>0</v>
      </c>
    </row>
    <row r="2033" spans="10:12" x14ac:dyDescent="0.25">
      <c r="J2033" s="16">
        <v>734</v>
      </c>
      <c r="K2033" s="193">
        <v>0</v>
      </c>
      <c r="L2033" s="193">
        <f>[1]Sheet1!$L1024</f>
        <v>0</v>
      </c>
    </row>
    <row r="2034" spans="10:12" x14ac:dyDescent="0.25">
      <c r="J2034" s="16">
        <v>735</v>
      </c>
      <c r="K2034" s="193">
        <v>0</v>
      </c>
      <c r="L2034" s="193">
        <f>[1]Sheet1!$L1025</f>
        <v>0</v>
      </c>
    </row>
    <row r="2035" spans="10:12" x14ac:dyDescent="0.25">
      <c r="J2035" s="16">
        <v>736</v>
      </c>
      <c r="K2035" s="193">
        <v>0</v>
      </c>
      <c r="L2035" s="193">
        <f>[1]Sheet1!$L1026</f>
        <v>0</v>
      </c>
    </row>
    <row r="2036" spans="10:12" x14ac:dyDescent="0.25">
      <c r="J2036" s="16">
        <v>737</v>
      </c>
      <c r="K2036" s="193">
        <v>0</v>
      </c>
      <c r="L2036" s="193">
        <f>[1]Sheet1!$L1027</f>
        <v>0</v>
      </c>
    </row>
    <row r="2037" spans="10:12" x14ac:dyDescent="0.25">
      <c r="J2037" s="16">
        <v>738</v>
      </c>
      <c r="K2037" s="193">
        <v>0</v>
      </c>
      <c r="L2037" s="193">
        <f>[1]Sheet1!$L1028</f>
        <v>0</v>
      </c>
    </row>
    <row r="2038" spans="10:12" x14ac:dyDescent="0.25">
      <c r="J2038" s="16">
        <v>739</v>
      </c>
      <c r="K2038" s="193">
        <v>0</v>
      </c>
      <c r="L2038" s="193">
        <f>[1]Sheet1!$L1029</f>
        <v>0</v>
      </c>
    </row>
    <row r="2039" spans="10:12" x14ac:dyDescent="0.25">
      <c r="J2039" s="16">
        <v>740</v>
      </c>
      <c r="K2039" s="193">
        <v>0</v>
      </c>
      <c r="L2039" s="193">
        <f>[1]Sheet1!$L1030</f>
        <v>0</v>
      </c>
    </row>
    <row r="2040" spans="10:12" x14ac:dyDescent="0.25">
      <c r="J2040" s="16">
        <v>741</v>
      </c>
      <c r="K2040" s="193">
        <v>0</v>
      </c>
      <c r="L2040" s="193">
        <f>[1]Sheet1!$L1031</f>
        <v>0</v>
      </c>
    </row>
    <row r="2041" spans="10:12" x14ac:dyDescent="0.25">
      <c r="J2041" s="16">
        <v>742</v>
      </c>
      <c r="K2041" s="193">
        <v>0</v>
      </c>
      <c r="L2041" s="193">
        <f>[1]Sheet1!$L1032</f>
        <v>0</v>
      </c>
    </row>
    <row r="2042" spans="10:12" x14ac:dyDescent="0.25">
      <c r="J2042" s="16">
        <v>743</v>
      </c>
      <c r="K2042" s="193">
        <v>0</v>
      </c>
      <c r="L2042" s="193">
        <f>[1]Sheet1!$L1033</f>
        <v>0</v>
      </c>
    </row>
    <row r="2043" spans="10:12" x14ac:dyDescent="0.25">
      <c r="J2043" s="16">
        <v>744</v>
      </c>
      <c r="K2043" s="193">
        <v>0</v>
      </c>
      <c r="L2043" s="193">
        <f>[1]Sheet1!$L1034</f>
        <v>0</v>
      </c>
    </row>
    <row r="2044" spans="10:12" x14ac:dyDescent="0.25">
      <c r="J2044" s="16">
        <v>745</v>
      </c>
      <c r="K2044" s="193">
        <v>0</v>
      </c>
      <c r="L2044" s="193">
        <f>[1]Sheet1!$L1035</f>
        <v>0</v>
      </c>
    </row>
    <row r="2045" spans="10:12" x14ac:dyDescent="0.25">
      <c r="J2045" s="16">
        <v>746</v>
      </c>
      <c r="K2045" s="193">
        <v>0</v>
      </c>
      <c r="L2045" s="193">
        <f>[1]Sheet1!$L1036</f>
        <v>0</v>
      </c>
    </row>
    <row r="2046" spans="10:12" x14ac:dyDescent="0.25">
      <c r="J2046" s="16">
        <v>747</v>
      </c>
      <c r="K2046" s="193">
        <v>0</v>
      </c>
      <c r="L2046" s="193">
        <f>[1]Sheet1!$L1037</f>
        <v>0</v>
      </c>
    </row>
    <row r="2047" spans="10:12" x14ac:dyDescent="0.25">
      <c r="J2047" s="16">
        <v>748</v>
      </c>
      <c r="K2047" s="193">
        <v>0</v>
      </c>
      <c r="L2047" s="193">
        <f>[1]Sheet1!$L1038</f>
        <v>0</v>
      </c>
    </row>
    <row r="2048" spans="10:12" x14ac:dyDescent="0.25">
      <c r="J2048" s="16">
        <v>749</v>
      </c>
      <c r="K2048" s="193">
        <v>0</v>
      </c>
      <c r="L2048" s="193">
        <f>[1]Sheet1!$L1039</f>
        <v>0</v>
      </c>
    </row>
    <row r="2049" spans="10:12" x14ac:dyDescent="0.25">
      <c r="J2049" s="16">
        <v>750</v>
      </c>
      <c r="K2049" s="193">
        <v>0</v>
      </c>
      <c r="L2049" s="193">
        <f>[1]Sheet1!$L1040</f>
        <v>0</v>
      </c>
    </row>
    <row r="2050" spans="10:12" x14ac:dyDescent="0.25">
      <c r="J2050" s="16">
        <v>751</v>
      </c>
      <c r="K2050" s="193">
        <v>0</v>
      </c>
      <c r="L2050" s="193">
        <f>[1]Sheet1!$L1041</f>
        <v>0</v>
      </c>
    </row>
    <row r="2051" spans="10:12" x14ac:dyDescent="0.25">
      <c r="J2051" s="16">
        <v>752</v>
      </c>
      <c r="K2051" s="193">
        <v>0</v>
      </c>
      <c r="L2051" s="193">
        <f>[1]Sheet1!$L1042</f>
        <v>0</v>
      </c>
    </row>
    <row r="2052" spans="10:12" x14ac:dyDescent="0.25">
      <c r="J2052" s="16">
        <v>753</v>
      </c>
      <c r="K2052" s="193">
        <v>0</v>
      </c>
      <c r="L2052" s="193">
        <f>[1]Sheet1!$L1043</f>
        <v>0</v>
      </c>
    </row>
    <row r="2053" spans="10:12" x14ac:dyDescent="0.25">
      <c r="J2053" s="16">
        <v>754</v>
      </c>
      <c r="K2053" s="193">
        <v>0</v>
      </c>
      <c r="L2053" s="193">
        <f>[1]Sheet1!$L1044</f>
        <v>0</v>
      </c>
    </row>
    <row r="2054" spans="10:12" x14ac:dyDescent="0.25">
      <c r="J2054" s="16">
        <v>755</v>
      </c>
      <c r="K2054" s="193">
        <v>0</v>
      </c>
      <c r="L2054" s="193">
        <f>[1]Sheet1!$L1045</f>
        <v>0</v>
      </c>
    </row>
    <row r="2055" spans="10:12" x14ac:dyDescent="0.25">
      <c r="J2055" s="16">
        <v>756</v>
      </c>
      <c r="K2055" s="193">
        <v>0</v>
      </c>
      <c r="L2055" s="193">
        <f>[1]Sheet1!$L1046</f>
        <v>0</v>
      </c>
    </row>
    <row r="2056" spans="10:12" x14ac:dyDescent="0.25">
      <c r="J2056" s="16">
        <v>757</v>
      </c>
      <c r="K2056" s="193">
        <v>0</v>
      </c>
      <c r="L2056" s="193">
        <f>[1]Sheet1!$L1047</f>
        <v>0</v>
      </c>
    </row>
    <row r="2057" spans="10:12" x14ac:dyDescent="0.25">
      <c r="J2057" s="16">
        <v>758</v>
      </c>
      <c r="K2057" s="193">
        <v>0</v>
      </c>
      <c r="L2057" s="193">
        <f>[1]Sheet1!$L1048</f>
        <v>0</v>
      </c>
    </row>
    <row r="2058" spans="10:12" x14ac:dyDescent="0.25">
      <c r="J2058" s="16">
        <v>759</v>
      </c>
      <c r="K2058" s="193">
        <v>0</v>
      </c>
      <c r="L2058" s="193">
        <f>[1]Sheet1!$L1049</f>
        <v>0</v>
      </c>
    </row>
    <row r="2059" spans="10:12" x14ac:dyDescent="0.25">
      <c r="J2059" s="16">
        <v>760</v>
      </c>
      <c r="K2059" s="193">
        <v>0</v>
      </c>
      <c r="L2059" s="193">
        <f>[1]Sheet1!$L1050</f>
        <v>0</v>
      </c>
    </row>
    <row r="2060" spans="10:12" x14ac:dyDescent="0.25">
      <c r="J2060" s="16">
        <v>761</v>
      </c>
      <c r="K2060" s="193">
        <v>0</v>
      </c>
      <c r="L2060" s="193">
        <f>[1]Sheet1!$L1051</f>
        <v>0</v>
      </c>
    </row>
    <row r="2061" spans="10:12" x14ac:dyDescent="0.25">
      <c r="J2061" s="16">
        <v>762</v>
      </c>
      <c r="K2061" s="193">
        <v>0</v>
      </c>
      <c r="L2061" s="193">
        <f>[1]Sheet1!$L1052</f>
        <v>0</v>
      </c>
    </row>
    <row r="2062" spans="10:12" x14ac:dyDescent="0.25">
      <c r="J2062" s="16">
        <v>763</v>
      </c>
      <c r="K2062" s="193">
        <v>0</v>
      </c>
      <c r="L2062" s="193">
        <f>[1]Sheet1!$L1053</f>
        <v>0</v>
      </c>
    </row>
    <row r="2063" spans="10:12" x14ac:dyDescent="0.25">
      <c r="J2063" s="16">
        <v>764</v>
      </c>
      <c r="K2063" s="193">
        <v>0</v>
      </c>
      <c r="L2063" s="193">
        <f>[1]Sheet1!$L1054</f>
        <v>0</v>
      </c>
    </row>
    <row r="2064" spans="10:12" x14ac:dyDescent="0.25">
      <c r="J2064" s="16">
        <v>765</v>
      </c>
      <c r="K2064" s="193">
        <v>0</v>
      </c>
      <c r="L2064" s="193">
        <f>[1]Sheet1!$L1055</f>
        <v>0</v>
      </c>
    </row>
    <row r="2065" spans="10:12" x14ac:dyDescent="0.25">
      <c r="J2065" s="16">
        <v>766</v>
      </c>
      <c r="K2065" s="193">
        <v>0</v>
      </c>
      <c r="L2065" s="193">
        <f>[1]Sheet1!$L1056</f>
        <v>0</v>
      </c>
    </row>
    <row r="2066" spans="10:12" x14ac:dyDescent="0.25">
      <c r="J2066" s="16">
        <v>767</v>
      </c>
      <c r="K2066" s="193">
        <v>0</v>
      </c>
      <c r="L2066" s="193">
        <f>[1]Sheet1!$L1057</f>
        <v>0</v>
      </c>
    </row>
    <row r="2067" spans="10:12" x14ac:dyDescent="0.25">
      <c r="J2067" s="16">
        <v>768</v>
      </c>
      <c r="K2067" s="193">
        <v>0</v>
      </c>
      <c r="L2067" s="193">
        <f>[1]Sheet1!$L1058</f>
        <v>0</v>
      </c>
    </row>
    <row r="2068" spans="10:12" x14ac:dyDescent="0.25">
      <c r="J2068" s="16">
        <v>769</v>
      </c>
      <c r="K2068" s="193">
        <v>0</v>
      </c>
      <c r="L2068" s="193">
        <f>[1]Sheet1!$L1059</f>
        <v>0</v>
      </c>
    </row>
    <row r="2069" spans="10:12" x14ac:dyDescent="0.25">
      <c r="J2069" s="16">
        <v>770</v>
      </c>
      <c r="K2069" s="193">
        <v>0</v>
      </c>
      <c r="L2069" s="193">
        <f>[1]Sheet1!$L1060</f>
        <v>0</v>
      </c>
    </row>
    <row r="2070" spans="10:12" x14ac:dyDescent="0.25">
      <c r="J2070" s="16">
        <v>771</v>
      </c>
      <c r="K2070" s="193">
        <v>0</v>
      </c>
      <c r="L2070" s="193">
        <f>[1]Sheet1!$L1061</f>
        <v>0</v>
      </c>
    </row>
    <row r="2071" spans="10:12" x14ac:dyDescent="0.25">
      <c r="J2071" s="16">
        <v>772</v>
      </c>
      <c r="K2071" s="193">
        <v>0</v>
      </c>
      <c r="L2071" s="193">
        <f>[1]Sheet1!$L1062</f>
        <v>0</v>
      </c>
    </row>
    <row r="2072" spans="10:12" x14ac:dyDescent="0.25">
      <c r="J2072" s="16">
        <v>773</v>
      </c>
      <c r="K2072" s="193">
        <v>0</v>
      </c>
      <c r="L2072" s="193">
        <f>[1]Sheet1!$L1063</f>
        <v>0</v>
      </c>
    </row>
    <row r="2073" spans="10:12" x14ac:dyDescent="0.25">
      <c r="J2073" s="16">
        <v>774</v>
      </c>
      <c r="K2073" s="193">
        <v>0</v>
      </c>
      <c r="L2073" s="193">
        <f>[1]Sheet1!$L1064</f>
        <v>0</v>
      </c>
    </row>
    <row r="2074" spans="10:12" x14ac:dyDescent="0.25">
      <c r="J2074" s="16">
        <v>775</v>
      </c>
      <c r="K2074" s="193">
        <v>0</v>
      </c>
      <c r="L2074" s="193">
        <f>[1]Sheet1!$L1065</f>
        <v>0</v>
      </c>
    </row>
    <row r="2075" spans="10:12" x14ac:dyDescent="0.25">
      <c r="J2075" s="16">
        <v>776</v>
      </c>
      <c r="K2075" s="193">
        <v>0</v>
      </c>
      <c r="L2075" s="193">
        <f>[1]Sheet1!$L1066</f>
        <v>0</v>
      </c>
    </row>
    <row r="2076" spans="10:12" x14ac:dyDescent="0.25">
      <c r="J2076" s="16">
        <v>777</v>
      </c>
      <c r="K2076" s="193">
        <v>0</v>
      </c>
      <c r="L2076" s="193">
        <f>[1]Sheet1!$L1067</f>
        <v>0</v>
      </c>
    </row>
    <row r="2077" spans="10:12" x14ac:dyDescent="0.25">
      <c r="J2077" s="16">
        <v>778</v>
      </c>
      <c r="K2077" s="193">
        <v>0</v>
      </c>
      <c r="L2077" s="193">
        <f>[1]Sheet1!$L1068</f>
        <v>0</v>
      </c>
    </row>
    <row r="2078" spans="10:12" x14ac:dyDescent="0.25">
      <c r="J2078" s="16">
        <v>779</v>
      </c>
      <c r="K2078" s="193">
        <v>0</v>
      </c>
      <c r="L2078" s="193">
        <f>[1]Sheet1!$L1069</f>
        <v>0</v>
      </c>
    </row>
    <row r="2079" spans="10:12" x14ac:dyDescent="0.25">
      <c r="J2079" s="16">
        <v>780</v>
      </c>
      <c r="K2079" s="193">
        <v>0</v>
      </c>
      <c r="L2079" s="193">
        <f>[1]Sheet1!$L1070</f>
        <v>0</v>
      </c>
    </row>
    <row r="2080" spans="10:12" x14ac:dyDescent="0.25">
      <c r="J2080" s="16">
        <v>781</v>
      </c>
      <c r="K2080" s="193">
        <v>0</v>
      </c>
      <c r="L2080" s="193">
        <f>[1]Sheet1!$L1071</f>
        <v>0</v>
      </c>
    </row>
    <row r="2081" spans="10:12" x14ac:dyDescent="0.25">
      <c r="J2081" s="16">
        <v>782</v>
      </c>
      <c r="K2081" s="193">
        <v>0</v>
      </c>
      <c r="L2081" s="193">
        <f>[1]Sheet1!$L1072</f>
        <v>0</v>
      </c>
    </row>
    <row r="2082" spans="10:12" x14ac:dyDescent="0.25">
      <c r="J2082" s="16">
        <v>783</v>
      </c>
      <c r="K2082" s="193">
        <v>0</v>
      </c>
      <c r="L2082" s="193">
        <f>[1]Sheet1!$L1073</f>
        <v>0</v>
      </c>
    </row>
    <row r="2083" spans="10:12" x14ac:dyDescent="0.25">
      <c r="J2083" s="16">
        <v>784</v>
      </c>
      <c r="K2083" s="193">
        <v>0</v>
      </c>
      <c r="L2083" s="193">
        <f>[1]Sheet1!$L1074</f>
        <v>0</v>
      </c>
    </row>
    <row r="2084" spans="10:12" x14ac:dyDescent="0.25">
      <c r="J2084" s="16">
        <v>785</v>
      </c>
      <c r="K2084" s="193">
        <v>0</v>
      </c>
      <c r="L2084" s="193">
        <f>[1]Sheet1!$L1075</f>
        <v>0</v>
      </c>
    </row>
    <row r="2085" spans="10:12" x14ac:dyDescent="0.25">
      <c r="J2085" s="16">
        <v>786</v>
      </c>
      <c r="K2085" s="193">
        <v>0</v>
      </c>
      <c r="L2085" s="193">
        <f>[1]Sheet1!$L1076</f>
        <v>0</v>
      </c>
    </row>
    <row r="2086" spans="10:12" x14ac:dyDescent="0.25">
      <c r="J2086" s="16">
        <v>787</v>
      </c>
      <c r="K2086" s="193">
        <v>0</v>
      </c>
      <c r="L2086" s="193">
        <f>[1]Sheet1!$L1077</f>
        <v>0</v>
      </c>
    </row>
    <row r="2087" spans="10:12" x14ac:dyDescent="0.25">
      <c r="J2087" s="16">
        <v>788</v>
      </c>
      <c r="K2087" s="193">
        <v>0</v>
      </c>
      <c r="L2087" s="193">
        <f>[1]Sheet1!$L1078</f>
        <v>0</v>
      </c>
    </row>
    <row r="2088" spans="10:12" x14ac:dyDescent="0.25">
      <c r="J2088" s="16">
        <v>789</v>
      </c>
      <c r="K2088" s="193">
        <v>0</v>
      </c>
      <c r="L2088" s="193">
        <f>[1]Sheet1!$L1079</f>
        <v>0</v>
      </c>
    </row>
    <row r="2089" spans="10:12" x14ac:dyDescent="0.25">
      <c r="J2089" s="16">
        <v>790</v>
      </c>
      <c r="K2089" s="193">
        <v>0</v>
      </c>
      <c r="L2089" s="193">
        <f>[1]Sheet1!$L1080</f>
        <v>0</v>
      </c>
    </row>
    <row r="2090" spans="10:12" x14ac:dyDescent="0.25">
      <c r="J2090" s="16">
        <v>791</v>
      </c>
      <c r="K2090" s="193">
        <v>0</v>
      </c>
      <c r="L2090" s="193">
        <f>[1]Sheet1!$L1081</f>
        <v>0</v>
      </c>
    </row>
    <row r="2091" spans="10:12" x14ac:dyDescent="0.25">
      <c r="J2091" s="16">
        <v>792</v>
      </c>
      <c r="K2091" s="193">
        <v>0</v>
      </c>
      <c r="L2091" s="193">
        <f>[1]Sheet1!$L1082</f>
        <v>0</v>
      </c>
    </row>
    <row r="2092" spans="10:12" x14ac:dyDescent="0.25">
      <c r="J2092" s="16">
        <v>793</v>
      </c>
      <c r="K2092" s="193">
        <v>0</v>
      </c>
      <c r="L2092" s="193">
        <f>[1]Sheet1!$L1083</f>
        <v>0</v>
      </c>
    </row>
    <row r="2093" spans="10:12" x14ac:dyDescent="0.25">
      <c r="J2093" s="16">
        <v>794</v>
      </c>
      <c r="K2093" s="193">
        <v>0</v>
      </c>
      <c r="L2093" s="193">
        <f>[1]Sheet1!$L1084</f>
        <v>0</v>
      </c>
    </row>
    <row r="2094" spans="10:12" x14ac:dyDescent="0.25">
      <c r="J2094" s="16">
        <v>795</v>
      </c>
      <c r="K2094" s="193">
        <v>0</v>
      </c>
      <c r="L2094" s="193">
        <f>[1]Sheet1!$L1085</f>
        <v>0</v>
      </c>
    </row>
    <row r="2095" spans="10:12" x14ac:dyDescent="0.25">
      <c r="J2095" s="16">
        <v>796</v>
      </c>
      <c r="K2095" s="193">
        <v>0</v>
      </c>
      <c r="L2095" s="193">
        <f>[1]Sheet1!$L1086</f>
        <v>0</v>
      </c>
    </row>
    <row r="2096" spans="10:12" x14ac:dyDescent="0.25">
      <c r="J2096" s="16">
        <v>797</v>
      </c>
      <c r="K2096" s="193">
        <v>0</v>
      </c>
      <c r="L2096" s="193">
        <f>[1]Sheet1!$L1087</f>
        <v>0</v>
      </c>
    </row>
    <row r="2097" spans="10:12" x14ac:dyDescent="0.25">
      <c r="J2097" s="16">
        <v>798</v>
      </c>
      <c r="K2097" s="193">
        <v>0</v>
      </c>
      <c r="L2097" s="193">
        <f>[1]Sheet1!$L1088</f>
        <v>0</v>
      </c>
    </row>
    <row r="2098" spans="10:12" x14ac:dyDescent="0.25">
      <c r="J2098" s="16">
        <v>799</v>
      </c>
      <c r="K2098" s="193">
        <v>0</v>
      </c>
      <c r="L2098" s="193">
        <f>[1]Sheet1!$L1089</f>
        <v>0</v>
      </c>
    </row>
    <row r="2099" spans="10:12" x14ac:dyDescent="0.25">
      <c r="J2099" s="16">
        <v>800</v>
      </c>
      <c r="K2099" s="193">
        <v>0</v>
      </c>
      <c r="L2099" s="193">
        <f>[1]Sheet1!$L1090</f>
        <v>0</v>
      </c>
    </row>
    <row r="2100" spans="10:12" x14ac:dyDescent="0.25">
      <c r="J2100" s="16">
        <v>801</v>
      </c>
      <c r="K2100" s="193">
        <v>0</v>
      </c>
      <c r="L2100" s="193">
        <f>[1]Sheet1!$L1091</f>
        <v>0</v>
      </c>
    </row>
    <row r="2101" spans="10:12" x14ac:dyDescent="0.25">
      <c r="J2101" s="16">
        <v>802</v>
      </c>
      <c r="K2101" s="193">
        <v>0</v>
      </c>
      <c r="L2101" s="193">
        <f>[1]Sheet1!$L1092</f>
        <v>0</v>
      </c>
    </row>
    <row r="2102" spans="10:12" x14ac:dyDescent="0.25">
      <c r="J2102" s="16">
        <v>803</v>
      </c>
      <c r="K2102" s="193">
        <v>0</v>
      </c>
      <c r="L2102" s="193">
        <f>[1]Sheet1!$L1093</f>
        <v>0</v>
      </c>
    </row>
    <row r="2103" spans="10:12" x14ac:dyDescent="0.25">
      <c r="J2103" s="16">
        <v>804</v>
      </c>
      <c r="K2103" s="193">
        <v>0</v>
      </c>
      <c r="L2103" s="193">
        <f>[1]Sheet1!$L1094</f>
        <v>0</v>
      </c>
    </row>
    <row r="2104" spans="10:12" x14ac:dyDescent="0.25">
      <c r="J2104" s="16">
        <v>805</v>
      </c>
      <c r="K2104" s="193">
        <v>0</v>
      </c>
      <c r="L2104" s="193">
        <f>[1]Sheet1!$L1095</f>
        <v>0</v>
      </c>
    </row>
    <row r="2105" spans="10:12" x14ac:dyDescent="0.25">
      <c r="J2105" s="16">
        <v>806</v>
      </c>
      <c r="K2105" s="193">
        <v>0</v>
      </c>
      <c r="L2105" s="193">
        <f>[1]Sheet1!$L1096</f>
        <v>0</v>
      </c>
    </row>
    <row r="2106" spans="10:12" x14ac:dyDescent="0.25">
      <c r="J2106" s="16">
        <v>807</v>
      </c>
      <c r="K2106" s="193">
        <v>0</v>
      </c>
      <c r="L2106" s="193">
        <f>[1]Sheet1!$L1097</f>
        <v>0</v>
      </c>
    </row>
    <row r="2107" spans="10:12" x14ac:dyDescent="0.25">
      <c r="J2107" s="16">
        <v>808</v>
      </c>
      <c r="K2107" s="193">
        <v>0</v>
      </c>
      <c r="L2107" s="193">
        <f>[1]Sheet1!$L1098</f>
        <v>0</v>
      </c>
    </row>
    <row r="2108" spans="10:12" x14ac:dyDescent="0.25">
      <c r="J2108" s="16">
        <v>809</v>
      </c>
      <c r="K2108" s="193">
        <v>0</v>
      </c>
      <c r="L2108" s="193">
        <f>[1]Sheet1!$L1099</f>
        <v>0</v>
      </c>
    </row>
    <row r="2109" spans="10:12" x14ac:dyDescent="0.25">
      <c r="J2109" s="16">
        <v>810</v>
      </c>
      <c r="K2109" s="193">
        <v>0</v>
      </c>
      <c r="L2109" s="193">
        <f>[1]Sheet1!$L1100</f>
        <v>0</v>
      </c>
    </row>
    <row r="2110" spans="10:12" x14ac:dyDescent="0.25">
      <c r="J2110" s="16">
        <v>811</v>
      </c>
      <c r="K2110" s="193">
        <v>0</v>
      </c>
      <c r="L2110" s="193">
        <f>[1]Sheet1!$L1101</f>
        <v>0</v>
      </c>
    </row>
    <row r="2111" spans="10:12" x14ac:dyDescent="0.25">
      <c r="J2111" s="16">
        <v>812</v>
      </c>
      <c r="K2111" s="193">
        <v>0</v>
      </c>
      <c r="L2111" s="193">
        <f>[1]Sheet1!$L1102</f>
        <v>0</v>
      </c>
    </row>
    <row r="2112" spans="10:12" x14ac:dyDescent="0.25">
      <c r="J2112" s="16">
        <v>813</v>
      </c>
      <c r="K2112" s="193">
        <v>0</v>
      </c>
      <c r="L2112" s="193">
        <f>[1]Sheet1!$L1103</f>
        <v>0</v>
      </c>
    </row>
    <row r="2113" spans="10:12" x14ac:dyDescent="0.25">
      <c r="J2113" s="16">
        <v>814</v>
      </c>
      <c r="K2113" s="193">
        <v>0</v>
      </c>
      <c r="L2113" s="193">
        <f>[1]Sheet1!$L1104</f>
        <v>0</v>
      </c>
    </row>
    <row r="2114" spans="10:12" x14ac:dyDescent="0.25">
      <c r="J2114" s="16">
        <v>815</v>
      </c>
      <c r="K2114" s="193">
        <v>0</v>
      </c>
      <c r="L2114" s="193">
        <f>[1]Sheet1!$L1105</f>
        <v>0</v>
      </c>
    </row>
    <row r="2115" spans="10:12" x14ac:dyDescent="0.25">
      <c r="J2115" s="16">
        <v>816</v>
      </c>
      <c r="K2115" s="193">
        <v>0</v>
      </c>
      <c r="L2115" s="193">
        <f>[1]Sheet1!$L1106</f>
        <v>0</v>
      </c>
    </row>
    <row r="2116" spans="10:12" x14ac:dyDescent="0.25">
      <c r="J2116" s="16">
        <v>817</v>
      </c>
      <c r="K2116" s="193">
        <v>0</v>
      </c>
      <c r="L2116" s="193">
        <f>[1]Sheet1!$L1107</f>
        <v>0</v>
      </c>
    </row>
    <row r="2117" spans="10:12" x14ac:dyDescent="0.25">
      <c r="J2117" s="16">
        <v>818</v>
      </c>
      <c r="K2117" s="193">
        <v>0</v>
      </c>
      <c r="L2117" s="193">
        <f>[1]Sheet1!$L1108</f>
        <v>0</v>
      </c>
    </row>
    <row r="2118" spans="10:12" x14ac:dyDescent="0.25">
      <c r="J2118" s="16">
        <v>819</v>
      </c>
      <c r="K2118" s="193">
        <v>0</v>
      </c>
      <c r="L2118" s="193">
        <f>[1]Sheet1!$L1109</f>
        <v>0</v>
      </c>
    </row>
    <row r="2119" spans="10:12" x14ac:dyDescent="0.25">
      <c r="J2119" s="16">
        <v>820</v>
      </c>
      <c r="K2119" s="193">
        <v>0</v>
      </c>
      <c r="L2119" s="193">
        <f>[1]Sheet1!$L1110</f>
        <v>0</v>
      </c>
    </row>
    <row r="2120" spans="10:12" x14ac:dyDescent="0.25">
      <c r="J2120" s="16">
        <v>821</v>
      </c>
      <c r="K2120" s="193">
        <v>0</v>
      </c>
      <c r="L2120" s="193">
        <f>[1]Sheet1!$L1111</f>
        <v>0</v>
      </c>
    </row>
    <row r="2121" spans="10:12" x14ac:dyDescent="0.25">
      <c r="J2121" s="16">
        <v>822</v>
      </c>
      <c r="K2121" s="193">
        <v>0</v>
      </c>
      <c r="L2121" s="193">
        <f>[1]Sheet1!$L1112</f>
        <v>0</v>
      </c>
    </row>
    <row r="2122" spans="10:12" x14ac:dyDescent="0.25">
      <c r="J2122" s="16">
        <v>823</v>
      </c>
      <c r="K2122" s="193">
        <v>0</v>
      </c>
      <c r="L2122" s="193">
        <f>[1]Sheet1!$L1113</f>
        <v>0</v>
      </c>
    </row>
    <row r="2123" spans="10:12" x14ac:dyDescent="0.25">
      <c r="J2123" s="16">
        <v>824</v>
      </c>
      <c r="K2123" s="193">
        <v>0</v>
      </c>
      <c r="L2123" s="193">
        <f>[1]Sheet1!$L1114</f>
        <v>0</v>
      </c>
    </row>
    <row r="2124" spans="10:12" x14ac:dyDescent="0.25">
      <c r="J2124" s="16">
        <v>825</v>
      </c>
      <c r="K2124" s="193">
        <v>0</v>
      </c>
      <c r="L2124" s="193">
        <f>[1]Sheet1!$L1115</f>
        <v>0</v>
      </c>
    </row>
    <row r="2125" spans="10:12" x14ac:dyDescent="0.25">
      <c r="J2125" s="16">
        <v>826</v>
      </c>
      <c r="K2125" s="193">
        <v>0</v>
      </c>
      <c r="L2125" s="193">
        <f>[1]Sheet1!$L1116</f>
        <v>0</v>
      </c>
    </row>
    <row r="2126" spans="10:12" x14ac:dyDescent="0.25">
      <c r="J2126" s="16">
        <v>827</v>
      </c>
      <c r="K2126" s="193">
        <v>0</v>
      </c>
      <c r="L2126" s="193">
        <f>[1]Sheet1!$L1117</f>
        <v>0</v>
      </c>
    </row>
    <row r="2127" spans="10:12" x14ac:dyDescent="0.25">
      <c r="J2127" s="16">
        <v>828</v>
      </c>
      <c r="K2127" s="193">
        <v>0</v>
      </c>
      <c r="L2127" s="193">
        <f>[1]Sheet1!$L1118</f>
        <v>0</v>
      </c>
    </row>
    <row r="2128" spans="10:12" x14ac:dyDescent="0.25">
      <c r="J2128" s="16">
        <v>829</v>
      </c>
      <c r="K2128" s="193">
        <v>0</v>
      </c>
      <c r="L2128" s="193">
        <f>[1]Sheet1!$L1119</f>
        <v>0</v>
      </c>
    </row>
    <row r="2129" spans="10:12" x14ac:dyDescent="0.25">
      <c r="J2129" s="16">
        <v>830</v>
      </c>
      <c r="K2129" s="193">
        <v>0</v>
      </c>
      <c r="L2129" s="193">
        <f>[1]Sheet1!$L1120</f>
        <v>0</v>
      </c>
    </row>
    <row r="2130" spans="10:12" x14ac:dyDescent="0.25">
      <c r="J2130" s="16">
        <v>831</v>
      </c>
      <c r="K2130" s="193">
        <v>0</v>
      </c>
      <c r="L2130" s="193">
        <f>[1]Sheet1!$L1121</f>
        <v>0</v>
      </c>
    </row>
    <row r="2131" spans="10:12" x14ac:dyDescent="0.25">
      <c r="J2131" s="16">
        <v>832</v>
      </c>
      <c r="K2131" s="193">
        <v>0</v>
      </c>
      <c r="L2131" s="193">
        <f>[1]Sheet1!$L1122</f>
        <v>0</v>
      </c>
    </row>
    <row r="2132" spans="10:12" x14ac:dyDescent="0.25">
      <c r="J2132" s="16">
        <v>833</v>
      </c>
      <c r="K2132" s="193">
        <v>0</v>
      </c>
      <c r="L2132" s="193">
        <f>[1]Sheet1!$L1123</f>
        <v>0</v>
      </c>
    </row>
    <row r="2133" spans="10:12" x14ac:dyDescent="0.25">
      <c r="J2133" s="16">
        <v>834</v>
      </c>
      <c r="K2133" s="193">
        <v>0</v>
      </c>
      <c r="L2133" s="193">
        <f>[1]Sheet1!$L1124</f>
        <v>0</v>
      </c>
    </row>
    <row r="2134" spans="10:12" x14ac:dyDescent="0.25">
      <c r="J2134" s="16">
        <v>835</v>
      </c>
      <c r="K2134" s="193">
        <v>0</v>
      </c>
      <c r="L2134" s="193">
        <f>[1]Sheet1!$L1125</f>
        <v>0</v>
      </c>
    </row>
    <row r="2135" spans="10:12" x14ac:dyDescent="0.25">
      <c r="J2135" s="16">
        <v>836</v>
      </c>
      <c r="K2135" s="193">
        <v>0</v>
      </c>
      <c r="L2135" s="193">
        <f>[1]Sheet1!$L1126</f>
        <v>0</v>
      </c>
    </row>
    <row r="2136" spans="10:12" x14ac:dyDescent="0.25">
      <c r="J2136" s="16">
        <v>837</v>
      </c>
      <c r="K2136" s="193">
        <v>0</v>
      </c>
      <c r="L2136" s="193">
        <f>[1]Sheet1!$L1127</f>
        <v>0</v>
      </c>
    </row>
    <row r="2137" spans="10:12" x14ac:dyDescent="0.25">
      <c r="J2137" s="16">
        <v>838</v>
      </c>
      <c r="K2137" s="193">
        <v>0</v>
      </c>
      <c r="L2137" s="193">
        <f>[1]Sheet1!$L1128</f>
        <v>0</v>
      </c>
    </row>
    <row r="2138" spans="10:12" x14ac:dyDescent="0.25">
      <c r="J2138" s="16">
        <v>839</v>
      </c>
      <c r="K2138" s="193">
        <v>0</v>
      </c>
      <c r="L2138" s="193">
        <f>[1]Sheet1!$L1129</f>
        <v>0</v>
      </c>
    </row>
    <row r="2139" spans="10:12" x14ac:dyDescent="0.25">
      <c r="J2139" s="16">
        <v>840</v>
      </c>
      <c r="K2139" s="193">
        <v>0</v>
      </c>
      <c r="L2139" s="193">
        <f>[1]Sheet1!$L1130</f>
        <v>0</v>
      </c>
    </row>
    <row r="2140" spans="10:12" x14ac:dyDescent="0.25">
      <c r="J2140" s="16">
        <v>841</v>
      </c>
      <c r="K2140" s="193">
        <v>0</v>
      </c>
      <c r="L2140" s="193">
        <f>[1]Sheet1!$L1131</f>
        <v>0</v>
      </c>
    </row>
    <row r="2141" spans="10:12" x14ac:dyDescent="0.25">
      <c r="J2141" s="16">
        <v>842</v>
      </c>
      <c r="K2141" s="193">
        <v>0</v>
      </c>
      <c r="L2141" s="193">
        <f>[1]Sheet1!$L1132</f>
        <v>0</v>
      </c>
    </row>
    <row r="2142" spans="10:12" x14ac:dyDescent="0.25">
      <c r="J2142" s="16">
        <v>843</v>
      </c>
      <c r="K2142" s="193">
        <v>0</v>
      </c>
      <c r="L2142" s="193">
        <f>[1]Sheet1!$L1133</f>
        <v>0</v>
      </c>
    </row>
    <row r="2143" spans="10:12" x14ac:dyDescent="0.25">
      <c r="J2143" s="16">
        <v>844</v>
      </c>
      <c r="K2143" s="193">
        <v>0</v>
      </c>
      <c r="L2143" s="193">
        <f>[1]Sheet1!$L1134</f>
        <v>0</v>
      </c>
    </row>
    <row r="2144" spans="10:12" x14ac:dyDescent="0.25">
      <c r="J2144" s="16">
        <v>845</v>
      </c>
      <c r="K2144" s="193">
        <v>0</v>
      </c>
      <c r="L2144" s="193">
        <f>[1]Sheet1!$L1135</f>
        <v>0</v>
      </c>
    </row>
    <row r="2145" spans="10:12" x14ac:dyDescent="0.25">
      <c r="J2145" s="16">
        <v>846</v>
      </c>
      <c r="K2145" s="193">
        <v>0</v>
      </c>
      <c r="L2145" s="193">
        <f>[1]Sheet1!$L1136</f>
        <v>0</v>
      </c>
    </row>
    <row r="2146" spans="10:12" x14ac:dyDescent="0.25">
      <c r="J2146" s="16">
        <v>847</v>
      </c>
      <c r="K2146" s="193">
        <v>0</v>
      </c>
      <c r="L2146" s="193">
        <f>[1]Sheet1!$L1137</f>
        <v>0</v>
      </c>
    </row>
    <row r="2147" spans="10:12" x14ac:dyDescent="0.25">
      <c r="J2147" s="16">
        <v>848</v>
      </c>
      <c r="K2147" s="193">
        <v>0</v>
      </c>
      <c r="L2147" s="193">
        <f>[1]Sheet1!$L1138</f>
        <v>0</v>
      </c>
    </row>
    <row r="2148" spans="10:12" x14ac:dyDescent="0.25">
      <c r="J2148" s="16">
        <v>849</v>
      </c>
      <c r="K2148" s="193">
        <v>0</v>
      </c>
      <c r="L2148" s="193">
        <f>[1]Sheet1!$L1139</f>
        <v>0</v>
      </c>
    </row>
    <row r="2149" spans="10:12" x14ac:dyDescent="0.25">
      <c r="J2149" s="16">
        <v>850</v>
      </c>
      <c r="K2149" s="193">
        <v>0</v>
      </c>
      <c r="L2149" s="193">
        <f>[1]Sheet1!$L1140</f>
        <v>0</v>
      </c>
    </row>
    <row r="2150" spans="10:12" x14ac:dyDescent="0.25">
      <c r="J2150" s="16">
        <v>851</v>
      </c>
      <c r="K2150" s="193">
        <v>0</v>
      </c>
      <c r="L2150" s="193">
        <f>[1]Sheet1!$L1141</f>
        <v>0</v>
      </c>
    </row>
    <row r="2151" spans="10:12" x14ac:dyDescent="0.25">
      <c r="J2151" s="16">
        <v>852</v>
      </c>
      <c r="K2151" s="193">
        <v>0</v>
      </c>
      <c r="L2151" s="193">
        <f>[1]Sheet1!$L1142</f>
        <v>0</v>
      </c>
    </row>
    <row r="2152" spans="10:12" x14ac:dyDescent="0.25">
      <c r="J2152" s="16">
        <v>853</v>
      </c>
      <c r="K2152" s="193">
        <v>0</v>
      </c>
      <c r="L2152" s="193">
        <f>[1]Sheet1!$L1143</f>
        <v>0</v>
      </c>
    </row>
    <row r="2153" spans="10:12" x14ac:dyDescent="0.25">
      <c r="J2153" s="16">
        <v>854</v>
      </c>
      <c r="K2153" s="193">
        <v>0</v>
      </c>
      <c r="L2153" s="193">
        <f>[1]Sheet1!$L1144</f>
        <v>0</v>
      </c>
    </row>
    <row r="2154" spans="10:12" x14ac:dyDescent="0.25">
      <c r="J2154" s="16">
        <v>855</v>
      </c>
      <c r="K2154" s="193">
        <v>0</v>
      </c>
      <c r="L2154" s="193">
        <f>[1]Sheet1!$L1145</f>
        <v>0</v>
      </c>
    </row>
    <row r="2155" spans="10:12" x14ac:dyDescent="0.25">
      <c r="J2155" s="16">
        <v>856</v>
      </c>
      <c r="K2155" s="193">
        <v>0</v>
      </c>
      <c r="L2155" s="193">
        <f>[1]Sheet1!$L1146</f>
        <v>0</v>
      </c>
    </row>
    <row r="2156" spans="10:12" x14ac:dyDescent="0.25">
      <c r="J2156" s="16">
        <v>857</v>
      </c>
      <c r="K2156" s="193">
        <v>0</v>
      </c>
      <c r="L2156" s="193">
        <f>[1]Sheet1!$L1147</f>
        <v>0</v>
      </c>
    </row>
    <row r="2157" spans="10:12" x14ac:dyDescent="0.25">
      <c r="J2157" s="16">
        <v>858</v>
      </c>
      <c r="K2157" s="193">
        <v>0</v>
      </c>
      <c r="L2157" s="193">
        <f>[1]Sheet1!$L1148</f>
        <v>0</v>
      </c>
    </row>
    <row r="2158" spans="10:12" x14ac:dyDescent="0.25">
      <c r="J2158" s="16">
        <v>859</v>
      </c>
      <c r="K2158" s="193">
        <v>0</v>
      </c>
      <c r="L2158" s="193">
        <f>[1]Sheet1!$L1149</f>
        <v>0</v>
      </c>
    </row>
    <row r="2159" spans="10:12" x14ac:dyDescent="0.25">
      <c r="J2159" s="16">
        <v>860</v>
      </c>
      <c r="K2159" s="193">
        <v>0</v>
      </c>
      <c r="L2159" s="193">
        <f>[1]Sheet1!$L1150</f>
        <v>0</v>
      </c>
    </row>
    <row r="2160" spans="10:12" x14ac:dyDescent="0.25">
      <c r="J2160" s="16">
        <v>861</v>
      </c>
      <c r="K2160" s="193">
        <v>0</v>
      </c>
      <c r="L2160" s="193">
        <f>[1]Sheet1!$L1151</f>
        <v>0</v>
      </c>
    </row>
    <row r="2161" spans="10:12" x14ac:dyDescent="0.25">
      <c r="J2161" s="16">
        <v>862</v>
      </c>
      <c r="K2161" s="193">
        <v>0</v>
      </c>
      <c r="L2161" s="193">
        <f>[1]Sheet1!$L1152</f>
        <v>0</v>
      </c>
    </row>
    <row r="2162" spans="10:12" x14ac:dyDescent="0.25">
      <c r="J2162" s="16">
        <v>863</v>
      </c>
      <c r="K2162" s="193">
        <v>0</v>
      </c>
      <c r="L2162" s="193">
        <f>[1]Sheet1!$L1153</f>
        <v>0</v>
      </c>
    </row>
    <row r="2163" spans="10:12" x14ac:dyDescent="0.25">
      <c r="J2163" s="16">
        <v>864</v>
      </c>
      <c r="K2163" s="193">
        <v>0</v>
      </c>
      <c r="L2163" s="193">
        <f>[1]Sheet1!$L1154</f>
        <v>0</v>
      </c>
    </row>
    <row r="2164" spans="10:12" x14ac:dyDescent="0.25">
      <c r="J2164" s="16">
        <v>865</v>
      </c>
      <c r="K2164" s="193">
        <v>0</v>
      </c>
      <c r="L2164" s="193">
        <f>[1]Sheet1!$L1155</f>
        <v>0</v>
      </c>
    </row>
    <row r="2165" spans="10:12" x14ac:dyDescent="0.25">
      <c r="J2165" s="16">
        <v>866</v>
      </c>
      <c r="K2165" s="193">
        <v>0</v>
      </c>
      <c r="L2165" s="193">
        <f>[1]Sheet1!$L1156</f>
        <v>0</v>
      </c>
    </row>
    <row r="2166" spans="10:12" x14ac:dyDescent="0.25">
      <c r="J2166" s="16">
        <v>867</v>
      </c>
      <c r="K2166" s="193">
        <v>0</v>
      </c>
      <c r="L2166" s="193">
        <f>[1]Sheet1!$L1157</f>
        <v>0</v>
      </c>
    </row>
    <row r="2167" spans="10:12" x14ac:dyDescent="0.25">
      <c r="J2167" s="16">
        <v>868</v>
      </c>
      <c r="K2167" s="193">
        <v>0</v>
      </c>
      <c r="L2167" s="193">
        <f>[1]Sheet1!$L1158</f>
        <v>0</v>
      </c>
    </row>
    <row r="2168" spans="10:12" x14ac:dyDescent="0.25">
      <c r="J2168" s="16">
        <v>869</v>
      </c>
      <c r="K2168" s="193">
        <v>0</v>
      </c>
      <c r="L2168" s="193">
        <f>[1]Sheet1!$L1159</f>
        <v>0</v>
      </c>
    </row>
    <row r="2169" spans="10:12" x14ac:dyDescent="0.25">
      <c r="J2169" s="16">
        <v>870</v>
      </c>
      <c r="K2169" s="193">
        <v>0</v>
      </c>
      <c r="L2169" s="193">
        <f>[1]Sheet1!$L1160</f>
        <v>0</v>
      </c>
    </row>
    <row r="2170" spans="10:12" x14ac:dyDescent="0.25">
      <c r="J2170" s="16">
        <v>871</v>
      </c>
      <c r="K2170" s="193">
        <v>0</v>
      </c>
      <c r="L2170" s="193">
        <f>[1]Sheet1!$L1161</f>
        <v>0</v>
      </c>
    </row>
    <row r="2171" spans="10:12" x14ac:dyDescent="0.25">
      <c r="J2171" s="16">
        <v>872</v>
      </c>
      <c r="K2171" s="193">
        <v>0</v>
      </c>
      <c r="L2171" s="193">
        <f>[1]Sheet1!$L1162</f>
        <v>0</v>
      </c>
    </row>
    <row r="2172" spans="10:12" x14ac:dyDescent="0.25">
      <c r="J2172" s="16">
        <v>873</v>
      </c>
      <c r="K2172" s="193">
        <v>0</v>
      </c>
      <c r="L2172" s="193">
        <f>[1]Sheet1!$L1163</f>
        <v>0</v>
      </c>
    </row>
    <row r="2173" spans="10:12" x14ac:dyDescent="0.25">
      <c r="J2173" s="16">
        <v>874</v>
      </c>
      <c r="K2173" s="193">
        <v>0</v>
      </c>
      <c r="L2173" s="193">
        <f>[1]Sheet1!$L1164</f>
        <v>0</v>
      </c>
    </row>
    <row r="2174" spans="10:12" x14ac:dyDescent="0.25">
      <c r="J2174" s="16">
        <v>875</v>
      </c>
      <c r="K2174" s="193">
        <v>0</v>
      </c>
      <c r="L2174" s="193">
        <f>[1]Sheet1!$L1165</f>
        <v>0</v>
      </c>
    </row>
    <row r="2175" spans="10:12" x14ac:dyDescent="0.25">
      <c r="J2175" s="16">
        <v>876</v>
      </c>
      <c r="K2175" s="193">
        <v>0</v>
      </c>
      <c r="L2175" s="193">
        <f>[1]Sheet1!$L1166</f>
        <v>0</v>
      </c>
    </row>
    <row r="2176" spans="10:12" x14ac:dyDescent="0.25">
      <c r="J2176" s="16">
        <v>877</v>
      </c>
      <c r="K2176" s="193">
        <v>0</v>
      </c>
      <c r="L2176" s="193">
        <f>[1]Sheet1!$L1167</f>
        <v>0</v>
      </c>
    </row>
    <row r="2177" spans="10:12" x14ac:dyDescent="0.25">
      <c r="J2177" s="16">
        <v>878</v>
      </c>
      <c r="K2177" s="193">
        <v>0</v>
      </c>
      <c r="L2177" s="193">
        <f>[1]Sheet1!$L1168</f>
        <v>0</v>
      </c>
    </row>
    <row r="2178" spans="10:12" x14ac:dyDescent="0.25">
      <c r="J2178" s="16">
        <v>879</v>
      </c>
      <c r="K2178" s="193">
        <v>0</v>
      </c>
      <c r="L2178" s="193">
        <f>[1]Sheet1!$L1169</f>
        <v>0</v>
      </c>
    </row>
    <row r="2179" spans="10:12" x14ac:dyDescent="0.25">
      <c r="J2179" s="16">
        <v>880</v>
      </c>
      <c r="K2179" s="193">
        <v>0</v>
      </c>
      <c r="L2179" s="193">
        <f>[1]Sheet1!$L1170</f>
        <v>0</v>
      </c>
    </row>
    <row r="2180" spans="10:12" x14ac:dyDescent="0.25">
      <c r="J2180" s="16">
        <v>881</v>
      </c>
      <c r="K2180" s="193">
        <v>0</v>
      </c>
      <c r="L2180" s="193">
        <f>[1]Sheet1!$L1171</f>
        <v>0</v>
      </c>
    </row>
    <row r="2181" spans="10:12" x14ac:dyDescent="0.25">
      <c r="J2181" s="16">
        <v>882</v>
      </c>
      <c r="K2181" s="193">
        <v>0</v>
      </c>
      <c r="L2181" s="193">
        <f>[1]Sheet1!$L1172</f>
        <v>0</v>
      </c>
    </row>
    <row r="2182" spans="10:12" x14ac:dyDescent="0.25">
      <c r="J2182" s="16">
        <v>883</v>
      </c>
      <c r="K2182" s="193">
        <v>0</v>
      </c>
      <c r="L2182" s="193">
        <f>[1]Sheet1!$L1173</f>
        <v>0</v>
      </c>
    </row>
    <row r="2183" spans="10:12" x14ac:dyDescent="0.25">
      <c r="J2183" s="16">
        <v>884</v>
      </c>
      <c r="K2183" s="193">
        <v>0</v>
      </c>
      <c r="L2183" s="193">
        <f>[1]Sheet1!$L1174</f>
        <v>0</v>
      </c>
    </row>
    <row r="2184" spans="10:12" x14ac:dyDescent="0.25">
      <c r="J2184" s="16">
        <v>885</v>
      </c>
      <c r="K2184" s="193">
        <v>0</v>
      </c>
      <c r="L2184" s="193">
        <f>[1]Sheet1!$L1175</f>
        <v>0</v>
      </c>
    </row>
    <row r="2185" spans="10:12" x14ac:dyDescent="0.25">
      <c r="J2185" s="16">
        <v>886</v>
      </c>
      <c r="K2185" s="193">
        <v>0</v>
      </c>
      <c r="L2185" s="193">
        <f>[1]Sheet1!$L1176</f>
        <v>0</v>
      </c>
    </row>
    <row r="2186" spans="10:12" x14ac:dyDescent="0.25">
      <c r="J2186" s="16">
        <v>887</v>
      </c>
      <c r="K2186" s="193">
        <v>0</v>
      </c>
      <c r="L2186" s="193">
        <f>[1]Sheet1!$L1177</f>
        <v>0</v>
      </c>
    </row>
    <row r="2187" spans="10:12" x14ac:dyDescent="0.25">
      <c r="J2187" s="16">
        <v>888</v>
      </c>
      <c r="K2187" s="193">
        <v>0</v>
      </c>
      <c r="L2187" s="193">
        <f>[1]Sheet1!$L1178</f>
        <v>0</v>
      </c>
    </row>
    <row r="2188" spans="10:12" x14ac:dyDescent="0.25">
      <c r="J2188" s="16">
        <v>889</v>
      </c>
      <c r="K2188" s="193">
        <v>0</v>
      </c>
      <c r="L2188" s="193">
        <f>[1]Sheet1!$L1179</f>
        <v>0</v>
      </c>
    </row>
    <row r="2189" spans="10:12" x14ac:dyDescent="0.25">
      <c r="J2189" s="16">
        <v>890</v>
      </c>
      <c r="K2189" s="193">
        <v>0</v>
      </c>
      <c r="L2189" s="193">
        <f>[1]Sheet1!$L1180</f>
        <v>0</v>
      </c>
    </row>
    <row r="2190" spans="10:12" x14ac:dyDescent="0.25">
      <c r="J2190" s="16">
        <v>891</v>
      </c>
      <c r="K2190" s="193">
        <v>0</v>
      </c>
      <c r="L2190" s="193">
        <f>[1]Sheet1!$L1181</f>
        <v>0</v>
      </c>
    </row>
    <row r="2191" spans="10:12" x14ac:dyDescent="0.25">
      <c r="J2191" s="16">
        <v>892</v>
      </c>
      <c r="K2191" s="193">
        <v>0</v>
      </c>
      <c r="L2191" s="193">
        <f>[1]Sheet1!$L1182</f>
        <v>0</v>
      </c>
    </row>
    <row r="2192" spans="10:12" x14ac:dyDescent="0.25">
      <c r="J2192" s="16">
        <v>893</v>
      </c>
      <c r="K2192" s="193">
        <v>0</v>
      </c>
      <c r="L2192" s="193">
        <f>[1]Sheet1!$L1183</f>
        <v>0</v>
      </c>
    </row>
    <row r="2193" spans="10:12" x14ac:dyDescent="0.25">
      <c r="J2193" s="16">
        <v>894</v>
      </c>
      <c r="K2193" s="193">
        <v>0</v>
      </c>
      <c r="L2193" s="193">
        <f>[1]Sheet1!$L1184</f>
        <v>0</v>
      </c>
    </row>
    <row r="2194" spans="10:12" x14ac:dyDescent="0.25">
      <c r="J2194" s="16">
        <v>895</v>
      </c>
      <c r="K2194" s="193">
        <v>0</v>
      </c>
      <c r="L2194" s="193">
        <f>[1]Sheet1!$L1185</f>
        <v>0</v>
      </c>
    </row>
    <row r="2195" spans="10:12" x14ac:dyDescent="0.25">
      <c r="J2195" s="16">
        <v>896</v>
      </c>
      <c r="K2195" s="193">
        <v>0</v>
      </c>
      <c r="L2195" s="193">
        <f>[1]Sheet1!$L1186</f>
        <v>0</v>
      </c>
    </row>
    <row r="2196" spans="10:12" x14ac:dyDescent="0.25">
      <c r="J2196" s="16">
        <v>897</v>
      </c>
      <c r="K2196" s="193">
        <v>0</v>
      </c>
      <c r="L2196" s="193">
        <f>[1]Sheet1!$L1187</f>
        <v>0</v>
      </c>
    </row>
    <row r="2197" spans="10:12" x14ac:dyDescent="0.25">
      <c r="J2197" s="16">
        <v>898</v>
      </c>
      <c r="K2197" s="193">
        <v>0</v>
      </c>
      <c r="L2197" s="193">
        <f>[1]Sheet1!$L1188</f>
        <v>0</v>
      </c>
    </row>
    <row r="2198" spans="10:12" x14ac:dyDescent="0.25">
      <c r="J2198" s="16">
        <v>899</v>
      </c>
      <c r="K2198" s="193">
        <v>0</v>
      </c>
      <c r="L2198" s="193">
        <f>[1]Sheet1!$L1189</f>
        <v>0</v>
      </c>
    </row>
    <row r="2199" spans="10:12" x14ac:dyDescent="0.25">
      <c r="J2199" s="16">
        <v>900</v>
      </c>
      <c r="K2199" s="193">
        <v>0</v>
      </c>
      <c r="L2199" s="193">
        <f>[1]Sheet1!$L1190</f>
        <v>0</v>
      </c>
    </row>
    <row r="2200" spans="10:12" x14ac:dyDescent="0.25">
      <c r="J2200" s="16">
        <v>901</v>
      </c>
      <c r="K2200" s="193">
        <v>0</v>
      </c>
      <c r="L2200" s="193">
        <f>[1]Sheet1!$L1191</f>
        <v>0</v>
      </c>
    </row>
    <row r="2201" spans="10:12" x14ac:dyDescent="0.25">
      <c r="J2201" s="16">
        <v>902</v>
      </c>
      <c r="K2201" s="193">
        <v>0</v>
      </c>
      <c r="L2201" s="193">
        <f>[1]Sheet1!$L1192</f>
        <v>0</v>
      </c>
    </row>
    <row r="2202" spans="10:12" x14ac:dyDescent="0.25">
      <c r="J2202" s="16">
        <v>903</v>
      </c>
      <c r="K2202" s="193">
        <v>0</v>
      </c>
      <c r="L2202" s="193">
        <f>[1]Sheet1!$L1193</f>
        <v>0</v>
      </c>
    </row>
    <row r="2203" spans="10:12" x14ac:dyDescent="0.25">
      <c r="J2203" s="16">
        <v>904</v>
      </c>
      <c r="K2203" s="193">
        <v>0</v>
      </c>
      <c r="L2203" s="193">
        <f>[1]Sheet1!$L1194</f>
        <v>0</v>
      </c>
    </row>
    <row r="2204" spans="10:12" x14ac:dyDescent="0.25">
      <c r="J2204" s="16">
        <v>905</v>
      </c>
      <c r="K2204" s="193">
        <v>0</v>
      </c>
      <c r="L2204" s="193">
        <f>[1]Sheet1!$L1195</f>
        <v>0</v>
      </c>
    </row>
    <row r="2205" spans="10:12" x14ac:dyDescent="0.25">
      <c r="J2205" s="16">
        <v>906</v>
      </c>
      <c r="K2205" s="193">
        <v>0</v>
      </c>
      <c r="L2205" s="193">
        <f>[1]Sheet1!$L1196</f>
        <v>0</v>
      </c>
    </row>
    <row r="2206" spans="10:12" x14ac:dyDescent="0.25">
      <c r="J2206" s="16">
        <v>907</v>
      </c>
      <c r="K2206" s="193">
        <v>0</v>
      </c>
      <c r="L2206" s="193">
        <f>[1]Sheet1!$L1197</f>
        <v>0</v>
      </c>
    </row>
    <row r="2207" spans="10:12" x14ac:dyDescent="0.25">
      <c r="J2207" s="16">
        <v>908</v>
      </c>
      <c r="K2207" s="193">
        <v>0</v>
      </c>
      <c r="L2207" s="193">
        <f>[1]Sheet1!$L1198</f>
        <v>0</v>
      </c>
    </row>
    <row r="2208" spans="10:12" x14ac:dyDescent="0.25">
      <c r="J2208" s="16">
        <v>909</v>
      </c>
      <c r="K2208" s="193">
        <v>0</v>
      </c>
      <c r="L2208" s="193">
        <f>[1]Sheet1!$L1199</f>
        <v>0</v>
      </c>
    </row>
    <row r="2209" spans="10:12" x14ac:dyDescent="0.25">
      <c r="J2209" s="16">
        <v>910</v>
      </c>
      <c r="K2209" s="193">
        <v>0</v>
      </c>
      <c r="L2209" s="193">
        <f>[1]Sheet1!$L1200</f>
        <v>0</v>
      </c>
    </row>
    <row r="2210" spans="10:12" x14ac:dyDescent="0.25">
      <c r="J2210" s="16">
        <v>911</v>
      </c>
      <c r="K2210" s="193">
        <v>0</v>
      </c>
      <c r="L2210" s="193">
        <f>[1]Sheet1!$L1201</f>
        <v>0</v>
      </c>
    </row>
    <row r="2211" spans="10:12" x14ac:dyDescent="0.25">
      <c r="J2211" s="16">
        <v>912</v>
      </c>
      <c r="K2211" s="193">
        <v>0</v>
      </c>
      <c r="L2211" s="193">
        <f>[1]Sheet1!$L1202</f>
        <v>0</v>
      </c>
    </row>
    <row r="2212" spans="10:12" x14ac:dyDescent="0.25">
      <c r="J2212" s="16">
        <v>913</v>
      </c>
      <c r="K2212" s="193">
        <v>0</v>
      </c>
      <c r="L2212" s="193">
        <f>[1]Sheet1!$L1203</f>
        <v>0</v>
      </c>
    </row>
    <row r="2213" spans="10:12" x14ac:dyDescent="0.25">
      <c r="J2213" s="16">
        <v>914</v>
      </c>
      <c r="K2213" s="193">
        <v>0</v>
      </c>
      <c r="L2213" s="193">
        <f>[1]Sheet1!$L1204</f>
        <v>0</v>
      </c>
    </row>
    <row r="2214" spans="10:12" x14ac:dyDescent="0.25">
      <c r="J2214" s="16">
        <v>915</v>
      </c>
      <c r="K2214" s="193">
        <v>0</v>
      </c>
      <c r="L2214" s="193">
        <f>[1]Sheet1!$L1205</f>
        <v>0</v>
      </c>
    </row>
    <row r="2215" spans="10:12" x14ac:dyDescent="0.25">
      <c r="J2215" s="16">
        <v>916</v>
      </c>
      <c r="K2215" s="193">
        <v>0</v>
      </c>
      <c r="L2215" s="193">
        <f>[1]Sheet1!$L1206</f>
        <v>0</v>
      </c>
    </row>
    <row r="2216" spans="10:12" x14ac:dyDescent="0.25">
      <c r="J2216" s="16">
        <v>917</v>
      </c>
      <c r="K2216" s="193">
        <v>0</v>
      </c>
      <c r="L2216" s="193">
        <f>[1]Sheet1!$L1207</f>
        <v>0</v>
      </c>
    </row>
    <row r="2217" spans="10:12" x14ac:dyDescent="0.25">
      <c r="J2217" s="16">
        <v>918</v>
      </c>
      <c r="K2217" s="193">
        <v>0</v>
      </c>
      <c r="L2217" s="193">
        <f>[1]Sheet1!$L1208</f>
        <v>0</v>
      </c>
    </row>
    <row r="2218" spans="10:12" x14ac:dyDescent="0.25">
      <c r="J2218" s="16">
        <v>919</v>
      </c>
      <c r="K2218" s="193">
        <v>0</v>
      </c>
      <c r="L2218" s="193">
        <f>[1]Sheet1!$L1209</f>
        <v>0</v>
      </c>
    </row>
    <row r="2219" spans="10:12" x14ac:dyDescent="0.25">
      <c r="J2219" s="16">
        <v>920</v>
      </c>
      <c r="K2219" s="193">
        <v>0</v>
      </c>
      <c r="L2219" s="193">
        <f>[1]Sheet1!$L1210</f>
        <v>0</v>
      </c>
    </row>
    <row r="2220" spans="10:12" x14ac:dyDescent="0.25">
      <c r="J2220" s="16">
        <v>921</v>
      </c>
      <c r="K2220" s="193">
        <v>0</v>
      </c>
      <c r="L2220" s="193">
        <f>[1]Sheet1!$L1211</f>
        <v>0</v>
      </c>
    </row>
    <row r="2221" spans="10:12" x14ac:dyDescent="0.25">
      <c r="J2221" s="16">
        <v>922</v>
      </c>
      <c r="K2221" s="193">
        <v>0</v>
      </c>
      <c r="L2221" s="193">
        <f>[1]Sheet1!$L1212</f>
        <v>0</v>
      </c>
    </row>
    <row r="2222" spans="10:12" x14ac:dyDescent="0.25">
      <c r="J2222" s="16">
        <v>923</v>
      </c>
      <c r="K2222" s="193">
        <v>0</v>
      </c>
      <c r="L2222" s="193">
        <f>[1]Sheet1!$L1213</f>
        <v>0</v>
      </c>
    </row>
    <row r="2223" spans="10:12" x14ac:dyDescent="0.25">
      <c r="J2223" s="16">
        <v>924</v>
      </c>
      <c r="K2223" s="193">
        <v>0</v>
      </c>
      <c r="L2223" s="193">
        <f>[1]Sheet1!$L1214</f>
        <v>0</v>
      </c>
    </row>
    <row r="2224" spans="10:12" x14ac:dyDescent="0.25">
      <c r="J2224" s="16">
        <v>925</v>
      </c>
      <c r="K2224" s="193">
        <v>0</v>
      </c>
      <c r="L2224" s="193">
        <f>[1]Sheet1!$L1215</f>
        <v>0</v>
      </c>
    </row>
    <row r="2225" spans="10:12" x14ac:dyDescent="0.25">
      <c r="J2225" s="16">
        <v>926</v>
      </c>
      <c r="K2225" s="193">
        <v>0</v>
      </c>
      <c r="L2225" s="193">
        <f>[1]Sheet1!$L1216</f>
        <v>0</v>
      </c>
    </row>
    <row r="2226" spans="10:12" x14ac:dyDescent="0.25">
      <c r="J2226" s="16">
        <v>927</v>
      </c>
      <c r="K2226" s="193">
        <v>0</v>
      </c>
      <c r="L2226" s="193">
        <f>[1]Sheet1!$L1217</f>
        <v>0</v>
      </c>
    </row>
    <row r="2227" spans="10:12" x14ac:dyDescent="0.25">
      <c r="J2227" s="16">
        <v>928</v>
      </c>
      <c r="K2227" s="193">
        <v>0</v>
      </c>
      <c r="L2227" s="193">
        <f>[1]Sheet1!$L1218</f>
        <v>0</v>
      </c>
    </row>
    <row r="2228" spans="10:12" x14ac:dyDescent="0.25">
      <c r="J2228" s="16">
        <v>929</v>
      </c>
      <c r="K2228" s="193">
        <v>0</v>
      </c>
      <c r="L2228" s="193">
        <f>[1]Sheet1!$L1219</f>
        <v>0</v>
      </c>
    </row>
    <row r="2229" spans="10:12" x14ac:dyDescent="0.25">
      <c r="J2229" s="16">
        <v>930</v>
      </c>
      <c r="K2229" s="193">
        <v>0</v>
      </c>
      <c r="L2229" s="193">
        <f>[1]Sheet1!$L1220</f>
        <v>0</v>
      </c>
    </row>
    <row r="2230" spans="10:12" x14ac:dyDescent="0.25">
      <c r="J2230" s="16">
        <v>931</v>
      </c>
      <c r="K2230" s="193">
        <v>0</v>
      </c>
      <c r="L2230" s="193">
        <f>[1]Sheet1!$L1221</f>
        <v>0</v>
      </c>
    </row>
    <row r="2231" spans="10:12" x14ac:dyDescent="0.25">
      <c r="J2231" s="16">
        <v>932</v>
      </c>
      <c r="K2231" s="193">
        <v>0</v>
      </c>
      <c r="L2231" s="193">
        <f>[1]Sheet1!$L1222</f>
        <v>0</v>
      </c>
    </row>
    <row r="2232" spans="10:12" x14ac:dyDescent="0.25">
      <c r="J2232" s="16">
        <v>933</v>
      </c>
      <c r="K2232" s="193">
        <v>0</v>
      </c>
      <c r="L2232" s="193">
        <f>[1]Sheet1!$L1223</f>
        <v>0</v>
      </c>
    </row>
    <row r="2233" spans="10:12" x14ac:dyDescent="0.25">
      <c r="J2233" s="16">
        <v>934</v>
      </c>
      <c r="K2233" s="193">
        <v>0</v>
      </c>
      <c r="L2233" s="193">
        <f>[1]Sheet1!$L1224</f>
        <v>0</v>
      </c>
    </row>
    <row r="2234" spans="10:12" x14ac:dyDescent="0.25">
      <c r="J2234" s="16">
        <v>935</v>
      </c>
      <c r="K2234" s="193">
        <v>0</v>
      </c>
      <c r="L2234" s="193">
        <f>[1]Sheet1!$L1225</f>
        <v>0</v>
      </c>
    </row>
    <row r="2235" spans="10:12" x14ac:dyDescent="0.25">
      <c r="J2235" s="16">
        <v>936</v>
      </c>
      <c r="K2235" s="193">
        <v>0</v>
      </c>
      <c r="L2235" s="193">
        <f>[1]Sheet1!$L1226</f>
        <v>0</v>
      </c>
    </row>
    <row r="2236" spans="10:12" x14ac:dyDescent="0.25">
      <c r="J2236" s="16">
        <v>937</v>
      </c>
      <c r="K2236" s="193">
        <v>0</v>
      </c>
      <c r="L2236" s="193">
        <f>[1]Sheet1!$L1227</f>
        <v>0</v>
      </c>
    </row>
    <row r="2237" spans="10:12" x14ac:dyDescent="0.25">
      <c r="J2237" s="16">
        <v>938</v>
      </c>
      <c r="K2237" s="193">
        <v>0</v>
      </c>
      <c r="L2237" s="193">
        <f>[1]Sheet1!$L1228</f>
        <v>0</v>
      </c>
    </row>
    <row r="2238" spans="10:12" x14ac:dyDescent="0.25">
      <c r="J2238" s="16">
        <v>939</v>
      </c>
      <c r="K2238" s="193">
        <v>0</v>
      </c>
      <c r="L2238" s="193">
        <f>[1]Sheet1!$L1229</f>
        <v>0</v>
      </c>
    </row>
    <row r="2239" spans="10:12" x14ac:dyDescent="0.25">
      <c r="J2239" s="16">
        <v>940</v>
      </c>
      <c r="K2239" s="193">
        <v>0</v>
      </c>
      <c r="L2239" s="193">
        <f>[1]Sheet1!$L1230</f>
        <v>0</v>
      </c>
    </row>
    <row r="2240" spans="10:12" x14ac:dyDescent="0.25">
      <c r="J2240" s="16">
        <v>941</v>
      </c>
      <c r="K2240" s="193">
        <v>0</v>
      </c>
      <c r="L2240" s="193">
        <f>[1]Sheet1!$L1231</f>
        <v>0</v>
      </c>
    </row>
    <row r="2241" spans="10:12" x14ac:dyDescent="0.25">
      <c r="J2241" s="16">
        <v>942</v>
      </c>
      <c r="K2241" s="193">
        <v>0</v>
      </c>
      <c r="L2241" s="193">
        <f>[1]Sheet1!$L1232</f>
        <v>0</v>
      </c>
    </row>
    <row r="2242" spans="10:12" x14ac:dyDescent="0.25">
      <c r="J2242" s="16">
        <v>943</v>
      </c>
      <c r="K2242" s="193">
        <v>0</v>
      </c>
      <c r="L2242" s="193">
        <f>[1]Sheet1!$L1233</f>
        <v>0</v>
      </c>
    </row>
    <row r="2243" spans="10:12" x14ac:dyDescent="0.25">
      <c r="J2243" s="16">
        <v>944</v>
      </c>
      <c r="K2243" s="193">
        <v>0</v>
      </c>
      <c r="L2243" s="193">
        <f>[1]Sheet1!$L1234</f>
        <v>0</v>
      </c>
    </row>
    <row r="2244" spans="10:12" x14ac:dyDescent="0.25">
      <c r="J2244" s="16">
        <v>945</v>
      </c>
      <c r="K2244" s="193">
        <v>0</v>
      </c>
      <c r="L2244" s="193">
        <f>[1]Sheet1!$L1235</f>
        <v>0</v>
      </c>
    </row>
    <row r="2245" spans="10:12" x14ac:dyDescent="0.25">
      <c r="J2245" s="16">
        <v>946</v>
      </c>
      <c r="K2245" s="193">
        <v>0</v>
      </c>
      <c r="L2245" s="193">
        <f>[1]Sheet1!$L1236</f>
        <v>0</v>
      </c>
    </row>
    <row r="2246" spans="10:12" x14ac:dyDescent="0.25">
      <c r="J2246" s="16">
        <v>947</v>
      </c>
      <c r="K2246" s="193">
        <v>0</v>
      </c>
      <c r="L2246" s="193">
        <f>[1]Sheet1!$L1237</f>
        <v>0</v>
      </c>
    </row>
    <row r="2247" spans="10:12" x14ac:dyDescent="0.25">
      <c r="J2247" s="16">
        <v>948</v>
      </c>
      <c r="K2247" s="193">
        <v>0</v>
      </c>
      <c r="L2247" s="193">
        <f>[1]Sheet1!$L1238</f>
        <v>0</v>
      </c>
    </row>
    <row r="2248" spans="10:12" x14ac:dyDescent="0.25">
      <c r="J2248" s="16">
        <v>949</v>
      </c>
      <c r="K2248" s="193">
        <v>0</v>
      </c>
      <c r="L2248" s="193">
        <f>[1]Sheet1!$L1239</f>
        <v>0</v>
      </c>
    </row>
    <row r="2249" spans="10:12" x14ac:dyDescent="0.25">
      <c r="J2249" s="16">
        <v>950</v>
      </c>
      <c r="K2249" s="193">
        <v>0</v>
      </c>
      <c r="L2249" s="193">
        <f>[1]Sheet1!$L1240</f>
        <v>0</v>
      </c>
    </row>
    <row r="2250" spans="10:12" x14ac:dyDescent="0.25">
      <c r="J2250" s="16">
        <v>951</v>
      </c>
      <c r="K2250" s="193">
        <v>0</v>
      </c>
      <c r="L2250" s="193">
        <f>[1]Sheet1!$L1241</f>
        <v>0</v>
      </c>
    </row>
    <row r="2251" spans="10:12" x14ac:dyDescent="0.25">
      <c r="J2251" s="16">
        <v>952</v>
      </c>
      <c r="K2251" s="193">
        <v>0</v>
      </c>
      <c r="L2251" s="193">
        <f>[1]Sheet1!$L1242</f>
        <v>0</v>
      </c>
    </row>
    <row r="2252" spans="10:12" x14ac:dyDescent="0.25">
      <c r="J2252" s="16">
        <v>953</v>
      </c>
      <c r="K2252" s="193">
        <v>0</v>
      </c>
      <c r="L2252" s="193">
        <f>[1]Sheet1!$L1243</f>
        <v>0</v>
      </c>
    </row>
    <row r="2253" spans="10:12" x14ac:dyDescent="0.25">
      <c r="J2253" s="16">
        <v>954</v>
      </c>
      <c r="K2253" s="193">
        <v>0</v>
      </c>
      <c r="L2253" s="193">
        <f>[1]Sheet1!$L1244</f>
        <v>0</v>
      </c>
    </row>
    <row r="2254" spans="10:12" x14ac:dyDescent="0.25">
      <c r="J2254" s="16">
        <v>955</v>
      </c>
      <c r="K2254" s="193">
        <v>0</v>
      </c>
      <c r="L2254" s="193">
        <f>[1]Sheet1!$L1245</f>
        <v>0</v>
      </c>
    </row>
    <row r="2255" spans="10:12" x14ac:dyDescent="0.25">
      <c r="J2255" s="16">
        <v>956</v>
      </c>
      <c r="K2255" s="193">
        <v>0</v>
      </c>
      <c r="L2255" s="193">
        <f>[1]Sheet1!$L1246</f>
        <v>0</v>
      </c>
    </row>
    <row r="2256" spans="10:12" x14ac:dyDescent="0.25">
      <c r="J2256" s="16">
        <v>957</v>
      </c>
      <c r="K2256" s="193">
        <v>0</v>
      </c>
      <c r="L2256" s="193">
        <f>[1]Sheet1!$L1247</f>
        <v>0</v>
      </c>
    </row>
    <row r="2257" spans="10:12" x14ac:dyDescent="0.25">
      <c r="J2257" s="16">
        <v>958</v>
      </c>
      <c r="K2257" s="193">
        <v>0</v>
      </c>
      <c r="L2257" s="193">
        <f>[1]Sheet1!$L1248</f>
        <v>0</v>
      </c>
    </row>
    <row r="2258" spans="10:12" x14ac:dyDescent="0.25">
      <c r="J2258" s="16">
        <v>959</v>
      </c>
      <c r="K2258" s="193">
        <v>0</v>
      </c>
      <c r="L2258" s="193">
        <f>[1]Sheet1!$L1249</f>
        <v>0</v>
      </c>
    </row>
    <row r="2259" spans="10:12" x14ac:dyDescent="0.25">
      <c r="J2259" s="16">
        <v>960</v>
      </c>
      <c r="K2259" s="193">
        <v>0</v>
      </c>
      <c r="L2259" s="193">
        <f>[1]Sheet1!$L1250</f>
        <v>0</v>
      </c>
    </row>
    <row r="2260" spans="10:12" x14ac:dyDescent="0.25">
      <c r="J2260" s="16">
        <v>961</v>
      </c>
      <c r="K2260" s="193">
        <v>0</v>
      </c>
      <c r="L2260" s="193">
        <f>[1]Sheet1!$L1251</f>
        <v>0</v>
      </c>
    </row>
    <row r="2261" spans="10:12" x14ac:dyDescent="0.25">
      <c r="J2261" s="16">
        <v>962</v>
      </c>
      <c r="K2261" s="193">
        <v>0</v>
      </c>
      <c r="L2261" s="193">
        <f>[1]Sheet1!$L1252</f>
        <v>0</v>
      </c>
    </row>
    <row r="2262" spans="10:12" x14ac:dyDescent="0.25">
      <c r="J2262" s="16">
        <v>963</v>
      </c>
      <c r="K2262" s="193">
        <v>0</v>
      </c>
      <c r="L2262" s="193">
        <f>[1]Sheet1!$L1253</f>
        <v>0</v>
      </c>
    </row>
    <row r="2263" spans="10:12" x14ac:dyDescent="0.25">
      <c r="J2263" s="16">
        <v>964</v>
      </c>
      <c r="K2263" s="193">
        <v>0</v>
      </c>
      <c r="L2263" s="193">
        <f>[1]Sheet1!$L1254</f>
        <v>0</v>
      </c>
    </row>
    <row r="2264" spans="10:12" x14ac:dyDescent="0.25">
      <c r="J2264" s="16">
        <v>965</v>
      </c>
      <c r="K2264" s="193">
        <v>0</v>
      </c>
      <c r="L2264" s="193">
        <f>[1]Sheet1!$L1255</f>
        <v>0</v>
      </c>
    </row>
    <row r="2265" spans="10:12" x14ac:dyDescent="0.25">
      <c r="J2265" s="16">
        <v>966</v>
      </c>
      <c r="K2265" s="193">
        <v>0</v>
      </c>
      <c r="L2265" s="193">
        <f>[1]Sheet1!$L1256</f>
        <v>0</v>
      </c>
    </row>
    <row r="2266" spans="10:12" x14ac:dyDescent="0.25">
      <c r="J2266" s="16">
        <v>967</v>
      </c>
      <c r="K2266" s="193">
        <v>0</v>
      </c>
      <c r="L2266" s="193">
        <f>[1]Sheet1!$L1257</f>
        <v>0</v>
      </c>
    </row>
    <row r="2267" spans="10:12" x14ac:dyDescent="0.25">
      <c r="J2267" s="16">
        <v>968</v>
      </c>
      <c r="K2267" s="193">
        <v>0</v>
      </c>
      <c r="L2267" s="193">
        <f>[1]Sheet1!$L1258</f>
        <v>0</v>
      </c>
    </row>
    <row r="2268" spans="10:12" x14ac:dyDescent="0.25">
      <c r="J2268" s="16">
        <v>969</v>
      </c>
      <c r="K2268" s="193">
        <v>0</v>
      </c>
      <c r="L2268" s="193">
        <f>[1]Sheet1!$L1259</f>
        <v>0</v>
      </c>
    </row>
    <row r="2269" spans="10:12" x14ac:dyDescent="0.25">
      <c r="J2269" s="16">
        <v>970</v>
      </c>
      <c r="K2269" s="193">
        <v>0</v>
      </c>
      <c r="L2269" s="193">
        <f>[1]Sheet1!$L1260</f>
        <v>0</v>
      </c>
    </row>
    <row r="2270" spans="10:12" x14ac:dyDescent="0.25">
      <c r="J2270" s="16">
        <v>971</v>
      </c>
      <c r="K2270" s="193">
        <v>0</v>
      </c>
      <c r="L2270" s="193">
        <f>[1]Sheet1!$L1261</f>
        <v>0</v>
      </c>
    </row>
    <row r="2271" spans="10:12" x14ac:dyDescent="0.25">
      <c r="J2271" s="16">
        <v>972</v>
      </c>
      <c r="K2271" s="193">
        <v>0</v>
      </c>
      <c r="L2271" s="193">
        <f>[1]Sheet1!$L1262</f>
        <v>0</v>
      </c>
    </row>
    <row r="2272" spans="10:12" x14ac:dyDescent="0.25">
      <c r="J2272" s="16">
        <v>973</v>
      </c>
      <c r="K2272" s="193">
        <v>0</v>
      </c>
      <c r="L2272" s="193">
        <f>[1]Sheet1!$L1263</f>
        <v>0</v>
      </c>
    </row>
    <row r="2273" spans="10:12" x14ac:dyDescent="0.25">
      <c r="J2273" s="16">
        <v>974</v>
      </c>
      <c r="K2273" s="193">
        <v>0</v>
      </c>
      <c r="L2273" s="193">
        <f>[1]Sheet1!$L1264</f>
        <v>0</v>
      </c>
    </row>
    <row r="2274" spans="10:12" x14ac:dyDescent="0.25">
      <c r="J2274" s="16">
        <v>975</v>
      </c>
      <c r="K2274" s="193">
        <v>0</v>
      </c>
      <c r="L2274" s="193">
        <f>[1]Sheet1!$L1265</f>
        <v>0</v>
      </c>
    </row>
    <row r="2275" spans="10:12" x14ac:dyDescent="0.25">
      <c r="J2275" s="16">
        <v>976</v>
      </c>
      <c r="K2275" s="193">
        <v>0</v>
      </c>
      <c r="L2275" s="193">
        <f>[1]Sheet1!$L1266</f>
        <v>0</v>
      </c>
    </row>
    <row r="2276" spans="10:12" x14ac:dyDescent="0.25">
      <c r="J2276" s="16">
        <v>977</v>
      </c>
      <c r="K2276" s="193">
        <v>0</v>
      </c>
      <c r="L2276" s="193">
        <f>[1]Sheet1!$L1267</f>
        <v>0</v>
      </c>
    </row>
    <row r="2277" spans="10:12" x14ac:dyDescent="0.25">
      <c r="J2277" s="16">
        <v>978</v>
      </c>
      <c r="K2277" s="193">
        <v>0</v>
      </c>
      <c r="L2277" s="193">
        <f>[1]Sheet1!$L1268</f>
        <v>0</v>
      </c>
    </row>
    <row r="2278" spans="10:12" x14ac:dyDescent="0.25">
      <c r="J2278" s="16">
        <v>979</v>
      </c>
      <c r="K2278" s="193">
        <v>0</v>
      </c>
      <c r="L2278" s="193">
        <f>[1]Sheet1!$L1269</f>
        <v>0</v>
      </c>
    </row>
    <row r="2279" spans="10:12" x14ac:dyDescent="0.25">
      <c r="J2279" s="16">
        <v>980</v>
      </c>
      <c r="K2279" s="193">
        <v>0</v>
      </c>
      <c r="L2279" s="193">
        <f>[1]Sheet1!$L1270</f>
        <v>0</v>
      </c>
    </row>
    <row r="2280" spans="10:12" x14ac:dyDescent="0.25">
      <c r="J2280" s="16">
        <v>981</v>
      </c>
      <c r="K2280" s="193">
        <v>0</v>
      </c>
      <c r="L2280" s="193">
        <f>[1]Sheet1!$L1271</f>
        <v>0</v>
      </c>
    </row>
    <row r="2281" spans="10:12" x14ac:dyDescent="0.25">
      <c r="J2281" s="16">
        <v>982</v>
      </c>
      <c r="K2281" s="193">
        <v>0</v>
      </c>
      <c r="L2281" s="193">
        <f>[1]Sheet1!$L1272</f>
        <v>0</v>
      </c>
    </row>
    <row r="2282" spans="10:12" x14ac:dyDescent="0.25">
      <c r="J2282" s="16">
        <v>983</v>
      </c>
      <c r="K2282" s="193">
        <v>0</v>
      </c>
      <c r="L2282" s="193">
        <f>[1]Sheet1!$L1273</f>
        <v>0</v>
      </c>
    </row>
    <row r="2283" spans="10:12" x14ac:dyDescent="0.25">
      <c r="J2283" s="16">
        <v>984</v>
      </c>
      <c r="K2283" s="193">
        <v>0</v>
      </c>
      <c r="L2283" s="193">
        <f>[1]Sheet1!$L1274</f>
        <v>0</v>
      </c>
    </row>
    <row r="2284" spans="10:12" x14ac:dyDescent="0.25">
      <c r="J2284" s="16">
        <v>985</v>
      </c>
      <c r="K2284" s="193">
        <v>0</v>
      </c>
      <c r="L2284" s="193">
        <f>[1]Sheet1!$L1275</f>
        <v>0</v>
      </c>
    </row>
    <row r="2285" spans="10:12" x14ac:dyDescent="0.25">
      <c r="J2285" s="16">
        <v>986</v>
      </c>
      <c r="K2285" s="193">
        <v>0</v>
      </c>
      <c r="L2285" s="193">
        <f>[1]Sheet1!$L1276</f>
        <v>0</v>
      </c>
    </row>
    <row r="2286" spans="10:12" x14ac:dyDescent="0.25">
      <c r="J2286" s="16">
        <v>987</v>
      </c>
      <c r="K2286" s="193">
        <v>0</v>
      </c>
      <c r="L2286" s="193">
        <f>[1]Sheet1!$L1277</f>
        <v>0</v>
      </c>
    </row>
    <row r="2287" spans="10:12" x14ac:dyDescent="0.25">
      <c r="J2287" s="16">
        <v>988</v>
      </c>
      <c r="K2287" s="193">
        <v>0</v>
      </c>
      <c r="L2287" s="193">
        <f>[1]Sheet1!$L1278</f>
        <v>0</v>
      </c>
    </row>
    <row r="2288" spans="10:12" x14ac:dyDescent="0.25">
      <c r="J2288" s="16">
        <v>989</v>
      </c>
      <c r="K2288" s="193">
        <v>0</v>
      </c>
      <c r="L2288" s="193">
        <f>[1]Sheet1!$L1279</f>
        <v>0</v>
      </c>
    </row>
    <row r="2289" spans="10:12" x14ac:dyDescent="0.25">
      <c r="J2289" s="16">
        <v>990</v>
      </c>
      <c r="K2289" s="193">
        <v>0</v>
      </c>
      <c r="L2289" s="193">
        <f>[1]Sheet1!$L1280</f>
        <v>0</v>
      </c>
    </row>
    <row r="2290" spans="10:12" x14ac:dyDescent="0.25">
      <c r="J2290" s="16">
        <v>991</v>
      </c>
      <c r="K2290" s="193">
        <v>0</v>
      </c>
      <c r="L2290" s="193">
        <f>[1]Sheet1!$L1281</f>
        <v>0</v>
      </c>
    </row>
    <row r="2291" spans="10:12" x14ac:dyDescent="0.25">
      <c r="J2291" s="16">
        <v>992</v>
      </c>
      <c r="K2291" s="193">
        <v>0</v>
      </c>
      <c r="L2291" s="193">
        <f>[1]Sheet1!$L1282</f>
        <v>0</v>
      </c>
    </row>
    <row r="2292" spans="10:12" x14ac:dyDescent="0.25">
      <c r="J2292" s="16">
        <v>993</v>
      </c>
      <c r="K2292" s="193">
        <v>0</v>
      </c>
      <c r="L2292" s="193">
        <f>[1]Sheet1!$L1283</f>
        <v>0</v>
      </c>
    </row>
    <row r="2293" spans="10:12" x14ac:dyDescent="0.25">
      <c r="J2293" s="16">
        <v>994</v>
      </c>
      <c r="K2293" s="193">
        <v>0</v>
      </c>
      <c r="L2293" s="193">
        <f>[1]Sheet1!$L1284</f>
        <v>0</v>
      </c>
    </row>
    <row r="2294" spans="10:12" x14ac:dyDescent="0.25">
      <c r="J2294" s="16">
        <v>995</v>
      </c>
      <c r="K2294" s="193">
        <v>0</v>
      </c>
      <c r="L2294" s="193">
        <f>[1]Sheet1!$L1285</f>
        <v>0</v>
      </c>
    </row>
    <row r="2295" spans="10:12" x14ac:dyDescent="0.25">
      <c r="J2295" s="16">
        <v>996</v>
      </c>
      <c r="K2295" s="193">
        <v>0</v>
      </c>
      <c r="L2295" s="193">
        <f>[1]Sheet1!$L1286</f>
        <v>0</v>
      </c>
    </row>
    <row r="2296" spans="10:12" x14ac:dyDescent="0.25">
      <c r="J2296" s="16">
        <v>997</v>
      </c>
      <c r="K2296" s="193">
        <v>0</v>
      </c>
      <c r="L2296" s="193">
        <f>[1]Sheet1!$L1287</f>
        <v>0</v>
      </c>
    </row>
    <row r="2297" spans="10:12" x14ac:dyDescent="0.25">
      <c r="J2297" s="16">
        <v>998</v>
      </c>
      <c r="K2297" s="193">
        <v>0</v>
      </c>
      <c r="L2297" s="193">
        <f>[1]Sheet1!$L1288</f>
        <v>0</v>
      </c>
    </row>
    <row r="2298" spans="10:12" x14ac:dyDescent="0.25">
      <c r="J2298" s="16">
        <v>999</v>
      </c>
      <c r="K2298" s="193">
        <v>0</v>
      </c>
      <c r="L2298" s="193">
        <f>[1]Sheet1!$L1289</f>
        <v>0</v>
      </c>
    </row>
    <row r="2299" spans="10:12" x14ac:dyDescent="0.25">
      <c r="J2299" s="16">
        <v>1000</v>
      </c>
      <c r="K2299" s="193">
        <v>0</v>
      </c>
      <c r="L2299" s="193">
        <f>[1]Sheet1!$L1290</f>
        <v>0</v>
      </c>
    </row>
    <row r="2300" spans="10:12" x14ac:dyDescent="0.25">
      <c r="J2300" s="16">
        <v>1001</v>
      </c>
      <c r="K2300" s="193">
        <v>0</v>
      </c>
      <c r="L2300" s="193">
        <f>[1]Sheet1!$L1291</f>
        <v>0</v>
      </c>
    </row>
  </sheetData>
  <mergeCells count="16">
    <mergeCell ref="J49:Q54"/>
    <mergeCell ref="C57:C60"/>
    <mergeCell ref="E57:E60"/>
    <mergeCell ref="K57:K60"/>
    <mergeCell ref="Z289:AD289"/>
    <mergeCell ref="J57:J60"/>
    <mergeCell ref="L57:L60"/>
    <mergeCell ref="BU289:CB289"/>
    <mergeCell ref="BP289:BS289"/>
    <mergeCell ref="F57:F60"/>
    <mergeCell ref="D57:D60"/>
    <mergeCell ref="G57:G60"/>
    <mergeCell ref="BC289:BJ289"/>
    <mergeCell ref="AT289:BA289"/>
    <mergeCell ref="AM289:AR289"/>
    <mergeCell ref="AF289:AK289"/>
  </mergeCells>
  <phoneticPr fontId="321" type="noConversion"/>
  <conditionalFormatting sqref="AA291:AC432 BU329:CA332">
    <cfRule type="notContainsBlanks" dxfId="191" priority="1512">
      <formula>LEN(TRIM(AA291))&gt;0</formula>
    </cfRule>
  </conditionalFormatting>
  <conditionalFormatting sqref="AA291:AC432 AF291:AI295 AF296:AH310 AI296:AI432">
    <cfRule type="notContainsBlanks" dxfId="190" priority="1511">
      <formula>LEN(TRIM(AA291))&gt;0</formula>
    </cfRule>
  </conditionalFormatting>
  <conditionalFormatting sqref="AJ291:AJ432">
    <cfRule type="notContainsBlanks" dxfId="189" priority="1510">
      <formula>LEN(TRIM(AJ291))&gt;0</formula>
    </cfRule>
  </conditionalFormatting>
  <conditionalFormatting sqref="BC291:BC310 BF291:BH291 BF292:BF432 BG292:BH294 BG299:BG302">
    <cfRule type="notContainsBlanks" dxfId="188" priority="1505">
      <formula>LEN(TRIM(BC291))&gt;0</formula>
    </cfRule>
  </conditionalFormatting>
  <conditionalFormatting sqref="AM291:AP310 AP311:AP432">
    <cfRule type="notContainsBlanks" dxfId="187" priority="1508">
      <formula>LEN(TRIM(AM291))&gt;0</formula>
    </cfRule>
  </conditionalFormatting>
  <conditionalFormatting sqref="AQ291:AQ432">
    <cfRule type="notContainsBlanks" dxfId="186" priority="1507">
      <formula>LEN(TRIM(AQ291))&gt;0</formula>
    </cfRule>
  </conditionalFormatting>
  <conditionalFormatting sqref="AT291:AT310 AW291:AZ295 AW296:AY299 AW300:AW432 AX300:AY310 AZ296:AZ432">
    <cfRule type="notContainsBlanks" dxfId="185" priority="1506">
      <formula>LEN(TRIM(AT291))&gt;0</formula>
    </cfRule>
  </conditionalFormatting>
  <conditionalFormatting sqref="BP329:BR332">
    <cfRule type="notContainsBlanks" dxfId="184" priority="1501">
      <formula>LEN(TRIM(BP329))&gt;0</formula>
    </cfRule>
  </conditionalFormatting>
  <conditionalFormatting sqref="BH299:BH302">
    <cfRule type="notContainsBlanks" dxfId="183" priority="1503">
      <formula>LEN(TRIM(BH299))&gt;0</formula>
    </cfRule>
  </conditionalFormatting>
  <conditionalFormatting sqref="BP291:BR322 BP324:BR332 BU291:CA322 BU324:CA326">
    <cfRule type="notContainsBlanks" dxfId="182" priority="1502">
      <formula>LEN(TRIM(BP291))&gt;0</formula>
    </cfRule>
  </conditionalFormatting>
  <conditionalFormatting sqref="AU291:AV291 AU292:AU310 AV292:AV432">
    <cfRule type="notContainsBlanks" dxfId="181" priority="1500">
      <formula>LEN(TRIM(AU291))&gt;0</formula>
    </cfRule>
  </conditionalFormatting>
  <conditionalFormatting sqref="BD291:BE291 BD292:BD310 BE292:BE432">
    <cfRule type="notContainsBlanks" dxfId="180" priority="1499">
      <formula>LEN(TRIM(BD291))&gt;0</formula>
    </cfRule>
  </conditionalFormatting>
  <conditionalFormatting sqref="BG295:BH298">
    <cfRule type="notContainsBlanks" dxfId="179" priority="1498">
      <formula>LEN(TRIM(BG295))&gt;0</formula>
    </cfRule>
  </conditionalFormatting>
  <conditionalFormatting sqref="BI291:BI433">
    <cfRule type="notContainsBlanks" dxfId="178" priority="1497">
      <formula>LEN(TRIM(BI291))&gt;0</formula>
    </cfRule>
  </conditionalFormatting>
  <conditionalFormatting sqref="D9:D10 D12:D13">
    <cfRule type="expression" dxfId="177" priority="1488">
      <formula>C9&gt;0</formula>
    </cfRule>
  </conditionalFormatting>
  <conditionalFormatting sqref="Z265:Z270">
    <cfRule type="expression" dxfId="176" priority="1483">
      <formula>#REF!&gt;0</formula>
    </cfRule>
  </conditionalFormatting>
  <conditionalFormatting sqref="U278">
    <cfRule type="expression" dxfId="175" priority="1480">
      <formula>$U$278&lt;&gt;-$G$49+$G$52</formula>
    </cfRule>
    <cfRule type="expression" dxfId="174" priority="1481">
      <formula>$U$278=-$G$49+$G$52</formula>
    </cfRule>
  </conditionalFormatting>
  <conditionalFormatting sqref="J287">
    <cfRule type="expression" dxfId="173" priority="1473">
      <formula>ABS($I$287-$I$285&gt;0.15)</formula>
    </cfRule>
    <cfRule type="expression" dxfId="172" priority="1474">
      <formula>ABS($I$287-$I$285&lt;=0.15)</formula>
    </cfRule>
  </conditionalFormatting>
  <conditionalFormatting sqref="C33">
    <cfRule type="expression" dxfId="171" priority="1472">
      <formula>C32&gt;0</formula>
    </cfRule>
  </conditionalFormatting>
  <conditionalFormatting sqref="C30">
    <cfRule type="expression" dxfId="170" priority="1471">
      <formula>C30&lt;&gt;$D$30</formula>
    </cfRule>
  </conditionalFormatting>
  <conditionalFormatting sqref="D11">
    <cfRule type="expression" dxfId="169" priority="1466">
      <formula>C11&gt;0</formula>
    </cfRule>
  </conditionalFormatting>
  <conditionalFormatting sqref="O433">
    <cfRule type="expression" dxfId="168" priority="1513">
      <formula>VLOOKUP($O$433,$O$291:$P$432,2,FALSE)&lt;&gt;$M$10</formula>
    </cfRule>
    <cfRule type="expression" dxfId="167" priority="1514">
      <formula>"vert.zoeken($O$148;$O$111:$P$147;2;onwaar)=$N$9"</formula>
    </cfRule>
  </conditionalFormatting>
  <conditionalFormatting sqref="P9">
    <cfRule type="expression" dxfId="166" priority="1462">
      <formula>P8&gt;0</formula>
    </cfRule>
  </conditionalFormatting>
  <conditionalFormatting sqref="Q9">
    <cfRule type="expression" dxfId="165" priority="1461">
      <formula>Q8&gt;0</formula>
    </cfRule>
  </conditionalFormatting>
  <conditionalFormatting sqref="R9">
    <cfRule type="expression" dxfId="164" priority="1460">
      <formula>R8&gt;0</formula>
    </cfRule>
  </conditionalFormatting>
  <conditionalFormatting sqref="T3">
    <cfRule type="expression" dxfId="163" priority="1455">
      <formula>T2&gt;0</formula>
    </cfRule>
  </conditionalFormatting>
  <conditionalFormatting sqref="C40">
    <cfRule type="cellIs" dxfId="162" priority="1448" operator="lessThan">
      <formula>0</formula>
    </cfRule>
  </conditionalFormatting>
  <conditionalFormatting sqref="C43">
    <cfRule type="cellIs" dxfId="161" priority="1452" operator="lessThan">
      <formula>0</formula>
    </cfRule>
  </conditionalFormatting>
  <conditionalFormatting sqref="C46">
    <cfRule type="cellIs" dxfId="160" priority="1451" operator="lessThan">
      <formula>0</formula>
    </cfRule>
  </conditionalFormatting>
  <conditionalFormatting sqref="C49">
    <cfRule type="cellIs" dxfId="159" priority="1450" operator="lessThan">
      <formula>0</formula>
    </cfRule>
  </conditionalFormatting>
  <conditionalFormatting sqref="C52">
    <cfRule type="cellIs" dxfId="158" priority="1449" operator="lessThan">
      <formula>0</formula>
    </cfRule>
  </conditionalFormatting>
  <conditionalFormatting sqref="L679:L701 L456:L651">
    <cfRule type="colorScale" priority="14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9:L701 L456:L651">
    <cfRule type="colorScale" priority="1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9:L1291 L291:L651">
    <cfRule type="colorScale" priority="14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56:L637">
    <cfRule type="colorScale" priority="14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80 L487:L546">
    <cfRule type="colorScale" priority="14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637">
    <cfRule type="colorScale" priority="14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69:L637">
    <cfRule type="colorScale" priority="14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3:L515">
    <cfRule type="colorScale" priority="13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9:L1291 L456:L651">
    <cfRule type="colorScale" priority="15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9:L1291 L456:L651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9:L1291 L291:L651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0:L637">
    <cfRule type="colorScale" priority="13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1">
    <cfRule type="colorScale" priority="13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69:L637 L567">
    <cfRule type="colorScale" priority="13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4:L586">
    <cfRule type="colorScale" priority="13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3:L489 L470:L473 L495:L504 L508:L546">
    <cfRule type="colorScale" priority="13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80 L487:L546">
    <cfRule type="colorScale" priority="13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1:L546">
    <cfRule type="colorScale" priority="13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6:L546">
    <cfRule type="colorScale" priority="1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8 L631 L624 L626 L628">
    <cfRule type="colorScale" priority="13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4:L586">
    <cfRule type="colorScale" priority="13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7">
    <cfRule type="colorScale" priority="1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1:L480 L484 L486:L546">
    <cfRule type="colorScale" priority="12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2:L546">
    <cfRule type="colorScale" priority="12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0:L476 L478 L483:L546">
    <cfRule type="colorScale" priority="12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2:L546">
    <cfRule type="colorScale" priority="12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6:L637">
    <cfRule type="colorScale" priority="12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9:L629">
    <cfRule type="colorScale" priority="12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8:L483 L494:L501 L510:L516">
    <cfRule type="colorScale" priority="12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0:L476 L478 L483:L546">
    <cfRule type="colorScale" priority="1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6:L546 L484">
    <cfRule type="colorScale" priority="12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1:L516">
    <cfRule type="colorScale" priority="12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3 L626">
    <cfRule type="colorScale" priority="12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9:L629">
    <cfRule type="colorScale" priority="12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2">
    <cfRule type="colorScale" priority="1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2:L526 L481:L489 L470:L473 L495:L504 L506:L516">
    <cfRule type="colorScale" priority="1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7:L546">
    <cfRule type="colorScale" priority="11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5:L548">
    <cfRule type="colorScale" priority="11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0:L542">
    <cfRule type="colorScale" priority="11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6:L548">
    <cfRule type="colorScale" priority="11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8:L555">
    <cfRule type="colorScale" priority="11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3:L545">
    <cfRule type="colorScale" priority="11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9:L555">
    <cfRule type="colorScale" priority="1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0:L543">
    <cfRule type="colorScale" priority="1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9:L555">
    <cfRule type="colorScale" priority="11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5:L537">
    <cfRule type="colorScale" priority="1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1:L543">
    <cfRule type="colorScale" priority="11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3:L546">
    <cfRule type="colorScale" priority="10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8:L540">
    <cfRule type="colorScale" priority="10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4:L546">
    <cfRule type="colorScale" priority="10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6:L529 L494:L501 L510:L516">
    <cfRule type="colorScale" priority="10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9:L525">
    <cfRule type="colorScale" priority="10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80 L487:L546">
    <cfRule type="colorScale" priority="10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7:L529 L495:L501 L511:L516">
    <cfRule type="colorScale" priority="10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3:L516">
    <cfRule type="colorScale" priority="10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2:L524">
    <cfRule type="colorScale" priority="10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7:L480 L492:L546">
    <cfRule type="colorScale" priority="10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4:L516">
    <cfRule type="colorScale" priority="10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80 L487:L546">
    <cfRule type="colorScale" priority="10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4:L516">
    <cfRule type="colorScale" priority="10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0:L476 L478 L483:L546">
    <cfRule type="colorScale" priority="9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5:L480 L473 L488:L546">
    <cfRule type="colorScale" priority="9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2:L546">
    <cfRule type="colorScale" priority="9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7:L54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9:L629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77 L479:L480 L487:L546">
    <cfRule type="colorScale" priority="9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9:L511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1:L555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6:L548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2:L554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4:L55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9:L555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5:L557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6:L549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5:L55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1:L543">
    <cfRule type="colorScale" priority="8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7:L549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9:L555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4:L546">
    <cfRule type="colorScale" priority="8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0:L555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129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88">
    <cfRule type="expression" dxfId="157" priority="840">
      <formula>$L$120&lt;&gt;$I$120</formula>
    </cfRule>
  </conditionalFormatting>
  <conditionalFormatting sqref="L286">
    <cfRule type="cellIs" dxfId="156" priority="838" operator="greaterThan">
      <formula>0</formula>
    </cfRule>
  </conditionalFormatting>
  <conditionalFormatting sqref="L291:L418">
    <cfRule type="colorScale" priority="8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418">
    <cfRule type="colorScale" priority="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418">
    <cfRule type="colorScale" priority="8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8:L500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2:L501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1:L503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3:L501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3:L501">
    <cfRule type="colorScale" priority="7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7:L501">
    <cfRule type="colorScale" priority="7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6:L501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8:L493 L495:L501">
    <cfRule type="colorScale" priority="7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5:L501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4:L506">
    <cfRule type="colorScale" priority="7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6:L501">
    <cfRule type="colorScale" priority="7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8:L501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1:L546">
    <cfRule type="colorScale" priority="7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9:L501">
    <cfRule type="colorScale" priority="7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9:L501">
    <cfRule type="colorScale" priority="7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3:L501">
    <cfRule type="colorScale" priority="7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2:L504"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4:L501">
    <cfRule type="colorScale" priority="6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9:L525"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418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418">
    <cfRule type="colorScale" priority="6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418">
    <cfRule type="colorScale" priority="6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3:L525">
    <cfRule type="colorScale" priority="6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7:L54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8:L525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8:L525"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2:L546">
    <cfRule type="colorScale" priority="6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1:L523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3:L546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0:L525">
    <cfRule type="colorScale" priority="6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1:L523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3:L526">
    <cfRule type="colorScale" priority="5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4:L526"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4:L526">
    <cfRule type="colorScale" priority="5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8:L525">
    <cfRule type="colorScale" priority="5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9:L525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1:L696">
    <cfRule type="colorScale" priority="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7:L499">
    <cfRule type="colorScale" priority="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0:L502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5:L501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9:L532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4:L526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0:L532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2:L539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7:L529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3:L539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4:L527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3:L539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9:L525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5:L527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7:L530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2:L524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8:L530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3:L505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7:L500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6:L508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8:L500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8:L500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1:L503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3:L495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5:L539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0:L532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6:L538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8:L54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3:L539"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9:L541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0:L533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9:L541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5:L527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1:L533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3:L539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8:L530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4:L539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2:L48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6:L480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5:L487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7:L480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7:L480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1:L480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0:L482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2:L477 L479:L480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9:L482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8:L490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0:L482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2:L485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3:L485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3:L485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7:L480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6:L488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78:L480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3:L508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7:L50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1:L505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0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2:L505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2:L50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6:L50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5:L50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7:L502 L504:L50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4:L5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5:L50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7:L51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8:L51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8:L51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2:L50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3:L5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155" priority="2">
      <formula>C8&gt;0</formula>
    </cfRule>
  </conditionalFormatting>
  <conditionalFormatting sqref="D7">
    <cfRule type="expression" dxfId="154" priority="1">
      <formula>C7&gt;0</formula>
    </cfRule>
  </conditionalFormatting>
  <dataValidations count="1">
    <dataValidation type="list" showInputMessage="1" showErrorMessage="1" sqref="T2" xr:uid="{00000000-0002-0000-0100-000000000000}">
      <formula1>$V$1:$V$6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WriteAutoCADScript">
                <anchor moveWithCells="1" sizeWithCells="1">
                  <from>
                    <xdr:col>17</xdr:col>
                    <xdr:colOff>66675</xdr:colOff>
                    <xdr:row>9</xdr:row>
                    <xdr:rowOff>133350</xdr:rowOff>
                  </from>
                  <to>
                    <xdr:col>19</xdr:col>
                    <xdr:colOff>180975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LeidingenKabelsLegen">
                <anchor moveWithCells="1" sizeWithCells="1">
                  <from>
                    <xdr:col>1</xdr:col>
                    <xdr:colOff>85725</xdr:colOff>
                    <xdr:row>56</xdr:row>
                    <xdr:rowOff>38100</xdr:rowOff>
                  </from>
                  <to>
                    <xdr:col>2</xdr:col>
                    <xdr:colOff>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5" name="Button 14">
              <controlPr defaultSize="0" print="0" autoFill="0" autoPict="0" macro="[0]!Hoogtewaarden_legen">
                <anchor moveWithCells="1" sizeWithCells="1">
                  <from>
                    <xdr:col>12</xdr:col>
                    <xdr:colOff>114300</xdr:colOff>
                    <xdr:row>289</xdr:row>
                    <xdr:rowOff>76200</xdr:rowOff>
                  </from>
                  <to>
                    <xdr:col>13</xdr:col>
                    <xdr:colOff>1066800</xdr:colOff>
                    <xdr:row>289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>
                <anchor moveWithCells="1" sizeWithCells="1">
                  <from>
                    <xdr:col>1</xdr:col>
                    <xdr:colOff>85725</xdr:colOff>
                    <xdr:row>56</xdr:row>
                    <xdr:rowOff>38100</xdr:rowOff>
                  </from>
                  <to>
                    <xdr:col>2</xdr:col>
                    <xdr:colOff>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7" name="Button 22">
              <controlPr defaultSize="0" print="0" autoFill="0" autoPict="0" macro="[0]!LeidingenKabelsLegen">
                <anchor moveWithCells="1" sizeWithCells="1">
                  <from>
                    <xdr:col>1</xdr:col>
                    <xdr:colOff>85725</xdr:colOff>
                    <xdr:row>56</xdr:row>
                    <xdr:rowOff>38100</xdr:rowOff>
                  </from>
                  <to>
                    <xdr:col>2</xdr:col>
                    <xdr:colOff>0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8" name="Button 24">
              <controlPr defaultSize="0" print="0" autoFill="0" autoPict="0" macro="[2]!StraalCorrBZK">
                <anchor moveWithCells="1" sizeWithCells="1">
                  <from>
                    <xdr:col>6</xdr:col>
                    <xdr:colOff>276225</xdr:colOff>
                    <xdr:row>0</xdr:row>
                    <xdr:rowOff>38100</xdr:rowOff>
                  </from>
                  <to>
                    <xdr:col>8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RunAhn3Script">
                <anchor moveWithCells="1" sizeWithCells="1">
                  <from>
                    <xdr:col>13</xdr:col>
                    <xdr:colOff>85725</xdr:colOff>
                    <xdr:row>293</xdr:row>
                    <xdr:rowOff>19050</xdr:rowOff>
                  </from>
                  <to>
                    <xdr:col>13</xdr:col>
                    <xdr:colOff>971550</xdr:colOff>
                    <xdr:row>295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" name="Button 26">
              <controlPr defaultSize="0" print="0" autoFill="0" autoPict="0" macro="[0]!CopyTempAhn3Data">
                <anchor moveWithCells="1" sizeWithCells="1">
                  <from>
                    <xdr:col>13</xdr:col>
                    <xdr:colOff>19050</xdr:colOff>
                    <xdr:row>306</xdr:row>
                    <xdr:rowOff>57150</xdr:rowOff>
                  </from>
                  <to>
                    <xdr:col>14</xdr:col>
                    <xdr:colOff>114300</xdr:colOff>
                    <xdr:row>309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1" name="Button 27">
              <controlPr defaultSize="0" print="0" autoFill="0" autoPict="0" macro="[0]!CopyTempAhn4Data">
                <anchor moveWithCells="1" sizeWithCells="1">
                  <from>
                    <xdr:col>13</xdr:col>
                    <xdr:colOff>19050</xdr:colOff>
                    <xdr:row>310</xdr:row>
                    <xdr:rowOff>57150</xdr:rowOff>
                  </from>
                  <to>
                    <xdr:col>14</xdr:col>
                    <xdr:colOff>123825</xdr:colOff>
                    <xdr:row>312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2" name="Button 28">
              <controlPr defaultSize="0" print="0" autoFill="0" autoPict="0" macro="[0]!RunAhn4Script">
                <anchor moveWithCells="1" sizeWithCells="1">
                  <from>
                    <xdr:col>13</xdr:col>
                    <xdr:colOff>85725</xdr:colOff>
                    <xdr:row>298</xdr:row>
                    <xdr:rowOff>19050</xdr:rowOff>
                  </from>
                  <to>
                    <xdr:col>13</xdr:col>
                    <xdr:colOff>971550</xdr:colOff>
                    <xdr:row>300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3" name="Button 29">
              <controlPr defaultSize="0" print="0" autoFill="0" autoPict="0" macro="[0]!PasteAHN3data">
                <anchor moveWithCells="1" sizeWithCells="1">
                  <from>
                    <xdr:col>13</xdr:col>
                    <xdr:colOff>19050</xdr:colOff>
                    <xdr:row>315</xdr:row>
                    <xdr:rowOff>57150</xdr:rowOff>
                  </from>
                  <to>
                    <xdr:col>14</xdr:col>
                    <xdr:colOff>123825</xdr:colOff>
                    <xdr:row>317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4" name="Button 30">
              <controlPr defaultSize="0" print="0" autoFill="0" autoPict="0" macro="[0]!BZadjustLength">
                <anchor moveWithCells="1" sizeWithCells="1">
                  <from>
                    <xdr:col>7</xdr:col>
                    <xdr:colOff>619125</xdr:colOff>
                    <xdr:row>4</xdr:row>
                    <xdr:rowOff>123825</xdr:rowOff>
                  </from>
                  <to>
                    <xdr:col>9</xdr:col>
                    <xdr:colOff>276225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5" name="Button 31">
              <controlPr defaultSize="0" print="0" autoFill="0" autoPict="0" macro="[0]!CopyTempAhn4Data">
                <anchor moveWithCells="1" sizeWithCells="1">
                  <from>
                    <xdr:col>13</xdr:col>
                    <xdr:colOff>66675</xdr:colOff>
                    <xdr:row>319</xdr:row>
                    <xdr:rowOff>47625</xdr:rowOff>
                  </from>
                  <to>
                    <xdr:col>14</xdr:col>
                    <xdr:colOff>171450</xdr:colOff>
                    <xdr:row>321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6" name="Button 32">
              <controlPr defaultSize="0" print="0" autoFill="0" autoPict="0" macro="[0]!CopyXYdata">
                <anchor moveWithCells="1" sizeWithCells="1">
                  <from>
                    <xdr:col>1</xdr:col>
                    <xdr:colOff>419100</xdr:colOff>
                    <xdr:row>288</xdr:row>
                    <xdr:rowOff>152400</xdr:rowOff>
                  </from>
                  <to>
                    <xdr:col>1</xdr:col>
                    <xdr:colOff>2390775</xdr:colOff>
                    <xdr:row>288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32CDD1-CF9C-4754-8DFF-611634A77EEB}">
          <x14:formula1>
            <xm:f>Variabelen!$N$2:$AA$2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M883"/>
  <sheetViews>
    <sheetView topLeftCell="A837" workbookViewId="0">
      <selection activeCell="R867" sqref="R867"/>
    </sheetView>
  </sheetViews>
  <sheetFormatPr defaultRowHeight="12.75" x14ac:dyDescent="0.2"/>
  <sheetData>
    <row r="1" spans="1:13" x14ac:dyDescent="0.2">
      <c r="A1" t="str">
        <f>IF(Ontwerp!A290="","",Ontwerp!A290&amp;","&amp;Ontwerp!B290&amp;","&amp;Ontwerp!C290)</f>
        <v>ID,X,Y</v>
      </c>
      <c r="F1" t="str">
        <f>Ontwerp!AY267</f>
        <v>ID,X,Y,TP</v>
      </c>
      <c r="K1" t="str">
        <f>Ontwerp!A290</f>
        <v>ID</v>
      </c>
      <c r="L1" t="str">
        <f>Ontwerp!B290</f>
        <v>X</v>
      </c>
      <c r="M1" t="str">
        <f>Ontwerp!C290</f>
        <v>Y</v>
      </c>
    </row>
    <row r="2" spans="1:13" x14ac:dyDescent="0.2">
      <c r="A2" t="str">
        <f>IF(Ontwerp!A291="","",Ontwerp!A291&amp;","&amp;Ontwerp!B291&amp;","&amp;Ontwerp!C291)</f>
        <v>1,103896.941034738,489289.542193465</v>
      </c>
      <c r="F2" t="str">
        <f>Ontwerp!AY268</f>
        <v>1,103896.941034738,489289.542193465,A</v>
      </c>
      <c r="K2">
        <f>Ontwerp!A291</f>
        <v>1</v>
      </c>
      <c r="L2">
        <f>Ontwerp!B291</f>
        <v>103896.94103473837</v>
      </c>
      <c r="M2">
        <f>Ontwerp!C291</f>
        <v>489289.54219346534</v>
      </c>
    </row>
    <row r="3" spans="1:13" x14ac:dyDescent="0.2">
      <c r="A3" t="str">
        <f>IF(Ontwerp!A292="","",Ontwerp!A292&amp;","&amp;Ontwerp!B292&amp;","&amp;Ontwerp!C292)</f>
        <v>2,103897.32871605,489289.434133774</v>
      </c>
      <c r="F3" t="str">
        <f>Ontwerp!AY269</f>
        <v>2,103916.399333028,489284.118517753,Tv1</v>
      </c>
      <c r="K3">
        <f>Ontwerp!A292</f>
        <v>2</v>
      </c>
      <c r="L3">
        <f>Ontwerp!B292</f>
        <v>103897.32871605044</v>
      </c>
      <c r="M3">
        <f>Ontwerp!C292</f>
        <v>489289.43413377355</v>
      </c>
    </row>
    <row r="4" spans="1:13" x14ac:dyDescent="0.2">
      <c r="A4" t="str">
        <f>IF(Ontwerp!A293="","",Ontwerp!A293&amp;","&amp;Ontwerp!B293&amp;","&amp;Ontwerp!C293)</f>
        <v>3,103897.716397362,489289.326074082</v>
      </c>
      <c r="F4" t="str">
        <f>Ontwerp!AY270</f>
        <v>3,103934.25952958,489279.140286214,Tv2</v>
      </c>
      <c r="K4">
        <f>Ontwerp!A293</f>
        <v>3</v>
      </c>
      <c r="L4">
        <f>Ontwerp!B293</f>
        <v>103897.7163973625</v>
      </c>
      <c r="M4">
        <f>Ontwerp!C293</f>
        <v>489289.32607408171</v>
      </c>
    </row>
    <row r="5" spans="1:13" x14ac:dyDescent="0.2">
      <c r="A5" t="str">
        <f>IF(Ontwerp!A294="","",Ontwerp!A294&amp;","&amp;Ontwerp!B294&amp;","&amp;Ontwerp!C294)</f>
        <v>4,103898.104078675,489289.21801439</v>
      </c>
      <c r="F5" t="str">
        <f>Ontwerp!AY271</f>
        <v>4,103947.339605307,489275.494433531,Th1</v>
      </c>
      <c r="K5">
        <f>Ontwerp!A294</f>
        <v>4</v>
      </c>
      <c r="L5">
        <f>Ontwerp!B294</f>
        <v>103898.10407867457</v>
      </c>
      <c r="M5">
        <f>Ontwerp!C294</f>
        <v>489289.21801438992</v>
      </c>
    </row>
    <row r="6" spans="1:13" x14ac:dyDescent="0.2">
      <c r="A6" t="str">
        <f>IF(Ontwerp!A295="","",Ontwerp!A295&amp;","&amp;Ontwerp!B295&amp;","&amp;Ontwerp!C295)</f>
        <v>5,103898.491759987,489289.109954698</v>
      </c>
      <c r="F6" t="str">
        <f>Ontwerp!AY272</f>
        <v>5,103960.835553442,489272.396159891,Th2</v>
      </c>
      <c r="K6">
        <f>Ontwerp!A295</f>
        <v>5</v>
      </c>
      <c r="L6">
        <f>Ontwerp!B295</f>
        <v>103898.49175998665</v>
      </c>
      <c r="M6">
        <f>Ontwerp!C295</f>
        <v>489289.10995469813</v>
      </c>
    </row>
    <row r="7" spans="1:13" x14ac:dyDescent="0.2">
      <c r="A7" t="str">
        <f>IF(Ontwerp!A296="","",Ontwerp!A296&amp;","&amp;Ontwerp!B296&amp;","&amp;Ontwerp!C296)</f>
        <v>6,103898.879441299,489289.001895006</v>
      </c>
      <c r="F7" t="str">
        <f>Ontwerp!AY273</f>
        <v>6,104079.732466222,489250.823498242,Tv3</v>
      </c>
      <c r="K7">
        <f>Ontwerp!A296</f>
        <v>6</v>
      </c>
      <c r="L7">
        <f>Ontwerp!B296</f>
        <v>103898.87944129872</v>
      </c>
      <c r="M7">
        <f>Ontwerp!C296</f>
        <v>489289.00189500634</v>
      </c>
    </row>
    <row r="8" spans="1:13" x14ac:dyDescent="0.2">
      <c r="A8" t="str">
        <f>IF(Ontwerp!A297="","",Ontwerp!A297&amp;","&amp;Ontwerp!B297&amp;","&amp;Ontwerp!C297)</f>
        <v>7,103899.267122611,489288.893835314</v>
      </c>
      <c r="F8" t="str">
        <f>Ontwerp!AY274</f>
        <v>7,104109.219559085,489245.473358676,Tv4</v>
      </c>
      <c r="K8">
        <f>Ontwerp!A297</f>
        <v>7</v>
      </c>
      <c r="L8">
        <f>Ontwerp!B297</f>
        <v>103899.26712261078</v>
      </c>
      <c r="M8">
        <f>Ontwerp!C297</f>
        <v>489288.89383531449</v>
      </c>
    </row>
    <row r="9" spans="1:13" x14ac:dyDescent="0.2">
      <c r="A9" t="str">
        <f>IF(Ontwerp!A298="","",Ontwerp!A298&amp;","&amp;Ontwerp!B298&amp;","&amp;Ontwerp!C298)</f>
        <v>8,103899.654803923,489288.785775623</v>
      </c>
      <c r="F9" t="str">
        <f>Ontwerp!AY275</f>
        <v>8,104118.807362367,489243.733747181,B</v>
      </c>
      <c r="K9">
        <f>Ontwerp!A298</f>
        <v>8</v>
      </c>
      <c r="L9">
        <f>Ontwerp!B298</f>
        <v>103899.65480392285</v>
      </c>
      <c r="M9">
        <f>Ontwerp!C298</f>
        <v>489288.7857756227</v>
      </c>
    </row>
    <row r="10" spans="1:13" x14ac:dyDescent="0.2">
      <c r="A10" t="str">
        <f>IF(Ontwerp!A299="","",Ontwerp!A299&amp;","&amp;Ontwerp!B299&amp;","&amp;Ontwerp!C299)</f>
        <v>9,103900.042485235,489288.677715931</v>
      </c>
      <c r="F10" t="str">
        <f>Ontwerp!AY276</f>
        <v>9,,,</v>
      </c>
      <c r="K10">
        <f>Ontwerp!A299</f>
        <v>9</v>
      </c>
      <c r="L10">
        <f>Ontwerp!B299</f>
        <v>103900.04248523492</v>
      </c>
      <c r="M10">
        <f>Ontwerp!C299</f>
        <v>489288.67771593091</v>
      </c>
    </row>
    <row r="11" spans="1:13" x14ac:dyDescent="0.2">
      <c r="A11" t="str">
        <f>IF(Ontwerp!A300="","",Ontwerp!A300&amp;","&amp;Ontwerp!B300&amp;","&amp;Ontwerp!C300)</f>
        <v>10,103900.430166547,489288.569656239</v>
      </c>
      <c r="F11" t="str">
        <f>Ontwerp!AY277</f>
        <v>10,,,</v>
      </c>
      <c r="K11">
        <f>Ontwerp!A300</f>
        <v>10</v>
      </c>
      <c r="L11">
        <f>Ontwerp!B300</f>
        <v>103900.430166547</v>
      </c>
      <c r="M11">
        <f>Ontwerp!C300</f>
        <v>489288.56965623912</v>
      </c>
    </row>
    <row r="12" spans="1:13" x14ac:dyDescent="0.2">
      <c r="A12" t="str">
        <f>IF(Ontwerp!A301="","",Ontwerp!A301&amp;","&amp;Ontwerp!B301&amp;","&amp;Ontwerp!C301)</f>
        <v>11,103900.817847859,489288.461596547</v>
      </c>
      <c r="F12" t="str">
        <f>Ontwerp!AY278</f>
        <v>11,,,</v>
      </c>
      <c r="K12">
        <f>Ontwerp!A301</f>
        <v>11</v>
      </c>
      <c r="L12">
        <f>Ontwerp!B301</f>
        <v>103900.81784785906</v>
      </c>
      <c r="M12">
        <f>Ontwerp!C301</f>
        <v>489288.46159654728</v>
      </c>
    </row>
    <row r="13" spans="1:13" x14ac:dyDescent="0.2">
      <c r="A13" t="str">
        <f>IF(Ontwerp!A302="","",Ontwerp!A302&amp;","&amp;Ontwerp!B302&amp;","&amp;Ontwerp!C302)</f>
        <v>12,103901.205529171,489288.353536855</v>
      </c>
      <c r="F13" t="str">
        <f>Ontwerp!AY279</f>
        <v>12,,,</v>
      </c>
      <c r="K13">
        <f>Ontwerp!A302</f>
        <v>12</v>
      </c>
      <c r="L13">
        <f>Ontwerp!B302</f>
        <v>103901.20552917113</v>
      </c>
      <c r="M13">
        <f>Ontwerp!C302</f>
        <v>489288.35353685549</v>
      </c>
    </row>
    <row r="14" spans="1:13" x14ac:dyDescent="0.2">
      <c r="A14" t="str">
        <f>IF(Ontwerp!A303="","",Ontwerp!A303&amp;","&amp;Ontwerp!B303&amp;","&amp;Ontwerp!C303)</f>
        <v>13,103901.593210483,489288.245477164</v>
      </c>
      <c r="F14" t="str">
        <f>Ontwerp!AY280</f>
        <v>13,0,0,</v>
      </c>
      <c r="K14">
        <f>Ontwerp!A303</f>
        <v>13</v>
      </c>
      <c r="L14">
        <f>Ontwerp!B303</f>
        <v>103901.5932104832</v>
      </c>
      <c r="M14">
        <f>Ontwerp!C303</f>
        <v>489288.2454771637</v>
      </c>
    </row>
    <row r="15" spans="1:13" x14ac:dyDescent="0.2">
      <c r="A15" t="str">
        <f>IF(Ontwerp!A304="","",Ontwerp!A304&amp;","&amp;Ontwerp!B304&amp;","&amp;Ontwerp!C304)</f>
        <v>14,103901.980891795,489288.137417472</v>
      </c>
      <c r="F15" s="1"/>
      <c r="K15">
        <f>Ontwerp!A304</f>
        <v>14</v>
      </c>
      <c r="L15">
        <f>Ontwerp!B304</f>
        <v>103901.98089179528</v>
      </c>
      <c r="M15">
        <f>Ontwerp!C304</f>
        <v>489288.13741747185</v>
      </c>
    </row>
    <row r="16" spans="1:13" x14ac:dyDescent="0.2">
      <c r="A16" t="str">
        <f>IF(Ontwerp!A305="","",Ontwerp!A305&amp;","&amp;Ontwerp!B305&amp;","&amp;Ontwerp!C305)</f>
        <v>15,103902.368573107,489288.02935778</v>
      </c>
      <c r="K16">
        <f>Ontwerp!A305</f>
        <v>15</v>
      </c>
      <c r="L16">
        <f>Ontwerp!B305</f>
        <v>103902.36857310733</v>
      </c>
      <c r="M16">
        <f>Ontwerp!C305</f>
        <v>489288.02935778006</v>
      </c>
    </row>
    <row r="17" spans="1:13" x14ac:dyDescent="0.2">
      <c r="A17" t="str">
        <f>IF(Ontwerp!A306="","",Ontwerp!A306&amp;","&amp;Ontwerp!B306&amp;","&amp;Ontwerp!C306)</f>
        <v>16,103902.756254419,489287.921298088</v>
      </c>
      <c r="K17">
        <f>Ontwerp!A306</f>
        <v>16</v>
      </c>
      <c r="L17">
        <f>Ontwerp!B306</f>
        <v>103902.75625441941</v>
      </c>
      <c r="M17">
        <f>Ontwerp!C306</f>
        <v>489287.92129808827</v>
      </c>
    </row>
    <row r="18" spans="1:13" x14ac:dyDescent="0.2">
      <c r="A18" t="str">
        <f>IF(Ontwerp!A307="","",Ontwerp!A307&amp;","&amp;Ontwerp!B307&amp;","&amp;Ontwerp!C307)</f>
        <v>17,103903.143935731,489287.813238396</v>
      </c>
      <c r="K18">
        <f>Ontwerp!A307</f>
        <v>17</v>
      </c>
      <c r="L18">
        <f>Ontwerp!B307</f>
        <v>103903.14393573148</v>
      </c>
      <c r="M18">
        <f>Ontwerp!C307</f>
        <v>489287.81323839648</v>
      </c>
    </row>
    <row r="19" spans="1:13" x14ac:dyDescent="0.2">
      <c r="A19" t="str">
        <f>IF(Ontwerp!A308="","",Ontwerp!A308&amp;","&amp;Ontwerp!B308&amp;","&amp;Ontwerp!C308)</f>
        <v>18,103903.531617044,489287.705178705</v>
      </c>
      <c r="K19">
        <f>Ontwerp!A308</f>
        <v>18</v>
      </c>
      <c r="L19">
        <f>Ontwerp!B308</f>
        <v>103903.53161704355</v>
      </c>
      <c r="M19">
        <f>Ontwerp!C308</f>
        <v>489287.70517870464</v>
      </c>
    </row>
    <row r="20" spans="1:13" x14ac:dyDescent="0.2">
      <c r="A20" t="str">
        <f>IF(Ontwerp!A309="","",Ontwerp!A309&amp;","&amp;Ontwerp!B309&amp;","&amp;Ontwerp!C309)</f>
        <v>19,103903.919298356,489287.597119013</v>
      </c>
      <c r="K20">
        <f>Ontwerp!A309</f>
        <v>19</v>
      </c>
      <c r="L20">
        <f>Ontwerp!B309</f>
        <v>103903.91929835561</v>
      </c>
      <c r="M20">
        <f>Ontwerp!C309</f>
        <v>489287.59711901285</v>
      </c>
    </row>
    <row r="21" spans="1:13" x14ac:dyDescent="0.2">
      <c r="A21" t="str">
        <f>IF(Ontwerp!A310="","",Ontwerp!A310&amp;","&amp;Ontwerp!B310&amp;","&amp;Ontwerp!C310)</f>
        <v>20,103904.306979668,489287.489059321</v>
      </c>
      <c r="K21">
        <f>Ontwerp!A310</f>
        <v>20</v>
      </c>
      <c r="L21">
        <f>Ontwerp!B310</f>
        <v>103904.30697966769</v>
      </c>
      <c r="M21">
        <f>Ontwerp!C310</f>
        <v>489287.48905932106</v>
      </c>
    </row>
    <row r="22" spans="1:13" x14ac:dyDescent="0.2">
      <c r="A22" t="str">
        <f>IF(Ontwerp!A311="","",Ontwerp!A311&amp;","&amp;Ontwerp!B311&amp;","&amp;Ontwerp!C311)</f>
        <v>21,103904.69466098,489287.380999629</v>
      </c>
      <c r="K22">
        <f>Ontwerp!A311</f>
        <v>21</v>
      </c>
      <c r="L22">
        <f>Ontwerp!B311</f>
        <v>103904.69466097976</v>
      </c>
      <c r="M22">
        <f>Ontwerp!C311</f>
        <v>489287.38099962921</v>
      </c>
    </row>
    <row r="23" spans="1:13" x14ac:dyDescent="0.2">
      <c r="A23" t="str">
        <f>IF(Ontwerp!A312="","",Ontwerp!A312&amp;","&amp;Ontwerp!B312&amp;","&amp;Ontwerp!C312)</f>
        <v>22,103905.082342292,489287.272939937</v>
      </c>
      <c r="K23">
        <f>Ontwerp!A312</f>
        <v>22</v>
      </c>
      <c r="L23">
        <f>Ontwerp!B312</f>
        <v>103905.08234229183</v>
      </c>
      <c r="M23">
        <f>Ontwerp!C312</f>
        <v>489287.27293993742</v>
      </c>
    </row>
    <row r="24" spans="1:13" x14ac:dyDescent="0.2">
      <c r="A24" t="str">
        <f>IF(Ontwerp!A313="","",Ontwerp!A313&amp;","&amp;Ontwerp!B313&amp;","&amp;Ontwerp!C313)</f>
        <v>23,103905.470023604,489287.164880246</v>
      </c>
      <c r="K24">
        <f>Ontwerp!A313</f>
        <v>23</v>
      </c>
      <c r="L24">
        <f>Ontwerp!B313</f>
        <v>103905.47002360389</v>
      </c>
      <c r="M24">
        <f>Ontwerp!C313</f>
        <v>489287.16488024563</v>
      </c>
    </row>
    <row r="25" spans="1:13" x14ac:dyDescent="0.2">
      <c r="A25" t="str">
        <f>IF(Ontwerp!A314="","",Ontwerp!A314&amp;","&amp;Ontwerp!B314&amp;","&amp;Ontwerp!C314)</f>
        <v>24,103905.857704916,489287.056820554</v>
      </c>
      <c r="K25">
        <f>Ontwerp!A314</f>
        <v>24</v>
      </c>
      <c r="L25">
        <f>Ontwerp!B314</f>
        <v>103905.85770491596</v>
      </c>
      <c r="M25">
        <f>Ontwerp!C314</f>
        <v>489287.05682055384</v>
      </c>
    </row>
    <row r="26" spans="1:13" x14ac:dyDescent="0.2">
      <c r="A26" t="str">
        <f>IF(Ontwerp!A315="","",Ontwerp!A315&amp;","&amp;Ontwerp!B315&amp;","&amp;Ontwerp!C315)</f>
        <v>25,103906.245386228,489286.948760862</v>
      </c>
      <c r="K26">
        <f>Ontwerp!A315</f>
        <v>25</v>
      </c>
      <c r="L26">
        <f>Ontwerp!B315</f>
        <v>103906.24538622804</v>
      </c>
      <c r="M26">
        <f>Ontwerp!C315</f>
        <v>489286.948760862</v>
      </c>
    </row>
    <row r="27" spans="1:13" x14ac:dyDescent="0.2">
      <c r="A27" t="str">
        <f>IF(Ontwerp!A316="","",Ontwerp!A316&amp;","&amp;Ontwerp!B316&amp;","&amp;Ontwerp!C316)</f>
        <v>26,103906.63306754,489286.84070117</v>
      </c>
      <c r="K27">
        <f>Ontwerp!A316</f>
        <v>26</v>
      </c>
      <c r="L27">
        <f>Ontwerp!B316</f>
        <v>103906.6330675401</v>
      </c>
      <c r="M27">
        <f>Ontwerp!C316</f>
        <v>489286.84070117021</v>
      </c>
    </row>
    <row r="28" spans="1:13" x14ac:dyDescent="0.2">
      <c r="A28" t="str">
        <f>IF(Ontwerp!A317="","",Ontwerp!A317&amp;","&amp;Ontwerp!B317&amp;","&amp;Ontwerp!C317)</f>
        <v>27,103907.020748852,489286.732641478</v>
      </c>
      <c r="K28">
        <f>Ontwerp!A317</f>
        <v>27</v>
      </c>
      <c r="L28">
        <f>Ontwerp!B317</f>
        <v>103907.02074885217</v>
      </c>
      <c r="M28">
        <f>Ontwerp!C317</f>
        <v>489286.73264147842</v>
      </c>
    </row>
    <row r="29" spans="1:13" x14ac:dyDescent="0.2">
      <c r="A29" t="str">
        <f>IF(Ontwerp!A318="","",Ontwerp!A318&amp;","&amp;Ontwerp!B318&amp;","&amp;Ontwerp!C318)</f>
        <v>28,103907.408430164,489286.624581787</v>
      </c>
      <c r="K29">
        <f>Ontwerp!A318</f>
        <v>28</v>
      </c>
      <c r="L29">
        <f>Ontwerp!B318</f>
        <v>103907.40843016424</v>
      </c>
      <c r="M29">
        <f>Ontwerp!C318</f>
        <v>489286.62458178663</v>
      </c>
    </row>
    <row r="30" spans="1:13" x14ac:dyDescent="0.2">
      <c r="A30" t="str">
        <f>IF(Ontwerp!A319="","",Ontwerp!A319&amp;","&amp;Ontwerp!B319&amp;","&amp;Ontwerp!C319)</f>
        <v>29,103907.796111476,489286.516522095</v>
      </c>
      <c r="K30">
        <f>Ontwerp!A319</f>
        <v>29</v>
      </c>
      <c r="L30">
        <f>Ontwerp!B319</f>
        <v>103907.79611147632</v>
      </c>
      <c r="M30">
        <f>Ontwerp!C319</f>
        <v>489286.51652209478</v>
      </c>
    </row>
    <row r="31" spans="1:13" x14ac:dyDescent="0.2">
      <c r="A31" t="str">
        <f>IF(Ontwerp!A320="","",Ontwerp!A320&amp;","&amp;Ontwerp!B320&amp;","&amp;Ontwerp!C320)</f>
        <v>30,103908.183792788,489286.408462403</v>
      </c>
      <c r="K31">
        <f>Ontwerp!A320</f>
        <v>30</v>
      </c>
      <c r="L31">
        <f>Ontwerp!B320</f>
        <v>103908.18379278838</v>
      </c>
      <c r="M31">
        <f>Ontwerp!C320</f>
        <v>489286.40846240299</v>
      </c>
    </row>
    <row r="32" spans="1:13" x14ac:dyDescent="0.2">
      <c r="A32" t="str">
        <f>IF(Ontwerp!A321="","",Ontwerp!A321&amp;","&amp;Ontwerp!B321&amp;","&amp;Ontwerp!C321)</f>
        <v>31,103908.5714741,489286.300402711</v>
      </c>
      <c r="K32">
        <f>Ontwerp!A321</f>
        <v>31</v>
      </c>
      <c r="L32">
        <f>Ontwerp!B321</f>
        <v>103908.57147410045</v>
      </c>
      <c r="M32">
        <f>Ontwerp!C321</f>
        <v>489286.3004027112</v>
      </c>
    </row>
    <row r="33" spans="1:13" x14ac:dyDescent="0.2">
      <c r="A33" t="str">
        <f>IF(Ontwerp!A322="","",Ontwerp!A322&amp;","&amp;Ontwerp!B322&amp;","&amp;Ontwerp!C322)</f>
        <v>32,103908.959155413,489286.192343019</v>
      </c>
      <c r="K33">
        <f>Ontwerp!A322</f>
        <v>32</v>
      </c>
      <c r="L33">
        <f>Ontwerp!B322</f>
        <v>103908.95915541252</v>
      </c>
      <c r="M33">
        <f>Ontwerp!C322</f>
        <v>489286.19234301936</v>
      </c>
    </row>
    <row r="34" spans="1:13" x14ac:dyDescent="0.2">
      <c r="A34" t="str">
        <f>IF(Ontwerp!A323="","",Ontwerp!A323&amp;","&amp;Ontwerp!B323&amp;","&amp;Ontwerp!C323)</f>
        <v>33,103909.346836725,489286.084283328</v>
      </c>
      <c r="K34">
        <f>Ontwerp!A323</f>
        <v>33</v>
      </c>
      <c r="L34">
        <f>Ontwerp!B323</f>
        <v>103909.3468367246</v>
      </c>
      <c r="M34">
        <f>Ontwerp!C323</f>
        <v>489286.08428332757</v>
      </c>
    </row>
    <row r="35" spans="1:13" x14ac:dyDescent="0.2">
      <c r="A35" t="str">
        <f>IF(Ontwerp!A324="","",Ontwerp!A324&amp;","&amp;Ontwerp!B324&amp;","&amp;Ontwerp!C324)</f>
        <v>34,103909.734518037,489285.976223636</v>
      </c>
      <c r="K35">
        <f>Ontwerp!A324</f>
        <v>34</v>
      </c>
      <c r="L35">
        <f>Ontwerp!B324</f>
        <v>103909.73451803665</v>
      </c>
      <c r="M35">
        <f>Ontwerp!C324</f>
        <v>489285.97622363578</v>
      </c>
    </row>
    <row r="36" spans="1:13" x14ac:dyDescent="0.2">
      <c r="A36" t="str">
        <f>IF(Ontwerp!A325="","",Ontwerp!A325&amp;","&amp;Ontwerp!B325&amp;","&amp;Ontwerp!C325)</f>
        <v>35,103910.122199349,489285.868163944</v>
      </c>
      <c r="K36">
        <f>Ontwerp!A325</f>
        <v>35</v>
      </c>
      <c r="L36">
        <f>Ontwerp!B325</f>
        <v>103910.12219934873</v>
      </c>
      <c r="M36">
        <f>Ontwerp!C325</f>
        <v>489285.86816394399</v>
      </c>
    </row>
    <row r="37" spans="1:13" x14ac:dyDescent="0.2">
      <c r="A37" t="str">
        <f>IF(Ontwerp!A326="","",Ontwerp!A326&amp;","&amp;Ontwerp!B326&amp;","&amp;Ontwerp!C326)</f>
        <v>36,103910.509880661,489285.760104252</v>
      </c>
      <c r="K37">
        <f>Ontwerp!A326</f>
        <v>36</v>
      </c>
      <c r="L37">
        <f>Ontwerp!B326</f>
        <v>103910.5098806608</v>
      </c>
      <c r="M37">
        <f>Ontwerp!C326</f>
        <v>489285.76010425214</v>
      </c>
    </row>
    <row r="38" spans="1:13" x14ac:dyDescent="0.2">
      <c r="A38" t="str">
        <f>IF(Ontwerp!A327="","",Ontwerp!A327&amp;","&amp;Ontwerp!B327&amp;","&amp;Ontwerp!C327)</f>
        <v>37,103910.897561973,489285.65204456</v>
      </c>
      <c r="K38">
        <f>Ontwerp!A327</f>
        <v>37</v>
      </c>
      <c r="L38">
        <f>Ontwerp!B327</f>
        <v>103910.89756197287</v>
      </c>
      <c r="M38">
        <f>Ontwerp!C327</f>
        <v>489285.65204456035</v>
      </c>
    </row>
    <row r="39" spans="1:13" x14ac:dyDescent="0.2">
      <c r="A39" t="str">
        <f>IF(Ontwerp!A328="","",Ontwerp!A328&amp;","&amp;Ontwerp!B328&amp;","&amp;Ontwerp!C328)</f>
        <v>38,103911.285243285,489285.543984869</v>
      </c>
      <c r="K39">
        <f>Ontwerp!A328</f>
        <v>38</v>
      </c>
      <c r="L39">
        <f>Ontwerp!B328</f>
        <v>103911.28524328493</v>
      </c>
      <c r="M39">
        <f>Ontwerp!C328</f>
        <v>489285.54398486856</v>
      </c>
    </row>
    <row r="40" spans="1:13" x14ac:dyDescent="0.2">
      <c r="A40" t="str">
        <f>IF(Ontwerp!A329="","",Ontwerp!A329&amp;","&amp;Ontwerp!B329&amp;","&amp;Ontwerp!C329)</f>
        <v>39,103911.672924597,489285.435925177</v>
      </c>
      <c r="K40">
        <f>Ontwerp!A329</f>
        <v>39</v>
      </c>
      <c r="L40">
        <f>Ontwerp!B329</f>
        <v>103911.67292459701</v>
      </c>
      <c r="M40">
        <f>Ontwerp!C329</f>
        <v>489285.43592517672</v>
      </c>
    </row>
    <row r="41" spans="1:13" x14ac:dyDescent="0.2">
      <c r="A41" t="str">
        <f>IF(Ontwerp!A330="","",Ontwerp!A330&amp;","&amp;Ontwerp!B330&amp;","&amp;Ontwerp!C330)</f>
        <v>40,103912.060605909,489285.327865485</v>
      </c>
      <c r="K41">
        <f>Ontwerp!A330</f>
        <v>40</v>
      </c>
      <c r="L41">
        <f>Ontwerp!B330</f>
        <v>103912.06060590908</v>
      </c>
      <c r="M41">
        <f>Ontwerp!C330</f>
        <v>489285.32786548493</v>
      </c>
    </row>
    <row r="42" spans="1:13" x14ac:dyDescent="0.2">
      <c r="A42" t="str">
        <f>IF(Ontwerp!A331="","",Ontwerp!A331&amp;","&amp;Ontwerp!B331&amp;","&amp;Ontwerp!C331)</f>
        <v>41,103912.448287221,489285.219805793</v>
      </c>
      <c r="K42">
        <f>Ontwerp!A331</f>
        <v>41</v>
      </c>
      <c r="L42">
        <f>Ontwerp!B331</f>
        <v>103912.44828722115</v>
      </c>
      <c r="M42">
        <f>Ontwerp!C331</f>
        <v>489285.21980579314</v>
      </c>
    </row>
    <row r="43" spans="1:13" x14ac:dyDescent="0.2">
      <c r="A43" t="str">
        <f>IF(Ontwerp!A332="","",Ontwerp!A332&amp;","&amp;Ontwerp!B332&amp;","&amp;Ontwerp!C332)</f>
        <v>42,103912.835968533,489285.111746101</v>
      </c>
      <c r="K43">
        <f>Ontwerp!A332</f>
        <v>42</v>
      </c>
      <c r="L43">
        <f>Ontwerp!B332</f>
        <v>103912.83596853321</v>
      </c>
      <c r="M43">
        <f>Ontwerp!C332</f>
        <v>489285.11174610135</v>
      </c>
    </row>
    <row r="44" spans="1:13" x14ac:dyDescent="0.2">
      <c r="A44" t="str">
        <f>IF(Ontwerp!A333="","",Ontwerp!A333&amp;","&amp;Ontwerp!B333&amp;","&amp;Ontwerp!C333)</f>
        <v>43,103913.223649845,489285.00368641</v>
      </c>
      <c r="K44">
        <f>Ontwerp!A333</f>
        <v>43</v>
      </c>
      <c r="L44">
        <f>Ontwerp!B333</f>
        <v>103913.22364984528</v>
      </c>
      <c r="M44">
        <f>Ontwerp!C333</f>
        <v>489285.0036864095</v>
      </c>
    </row>
    <row r="45" spans="1:13" x14ac:dyDescent="0.2">
      <c r="A45" t="str">
        <f>IF(Ontwerp!A334="","",Ontwerp!A334&amp;","&amp;Ontwerp!B334&amp;","&amp;Ontwerp!C334)</f>
        <v>44,103913.611331157,489284.895626718</v>
      </c>
      <c r="K45">
        <f>Ontwerp!A334</f>
        <v>44</v>
      </c>
      <c r="L45">
        <f>Ontwerp!B334</f>
        <v>103913.61133115736</v>
      </c>
      <c r="M45">
        <f>Ontwerp!C334</f>
        <v>489284.89562671771</v>
      </c>
    </row>
    <row r="46" spans="1:13" x14ac:dyDescent="0.2">
      <c r="A46" t="str">
        <f>IF(Ontwerp!A335="","",Ontwerp!A335&amp;","&amp;Ontwerp!B335&amp;","&amp;Ontwerp!C335)</f>
        <v>45,103913.999012469,489284.787567026</v>
      </c>
      <c r="K46">
        <f>Ontwerp!A335</f>
        <v>45</v>
      </c>
      <c r="L46">
        <f>Ontwerp!B335</f>
        <v>103913.99901246942</v>
      </c>
      <c r="M46">
        <f>Ontwerp!C335</f>
        <v>489284.78756702592</v>
      </c>
    </row>
    <row r="47" spans="1:13" x14ac:dyDescent="0.2">
      <c r="A47" t="str">
        <f>IF(Ontwerp!A336="","",Ontwerp!A336&amp;","&amp;Ontwerp!B336&amp;","&amp;Ontwerp!C336)</f>
        <v>46,103914.386693781,489284.679507334</v>
      </c>
      <c r="K47">
        <f>Ontwerp!A336</f>
        <v>46</v>
      </c>
      <c r="L47">
        <f>Ontwerp!B336</f>
        <v>103914.38669378149</v>
      </c>
      <c r="M47">
        <f>Ontwerp!C336</f>
        <v>489284.67950733413</v>
      </c>
    </row>
    <row r="48" spans="1:13" x14ac:dyDescent="0.2">
      <c r="A48" t="str">
        <f>IF(Ontwerp!A337="","",Ontwerp!A337&amp;","&amp;Ontwerp!B337&amp;","&amp;Ontwerp!C337)</f>
        <v>47,103914.774375094,489284.571447642</v>
      </c>
      <c r="K48">
        <f>Ontwerp!A337</f>
        <v>47</v>
      </c>
      <c r="L48">
        <f>Ontwerp!B337</f>
        <v>103914.77437509356</v>
      </c>
      <c r="M48">
        <f>Ontwerp!C337</f>
        <v>489284.57144764229</v>
      </c>
    </row>
    <row r="49" spans="1:13" x14ac:dyDescent="0.2">
      <c r="A49" t="str">
        <f>IF(Ontwerp!A338="","",Ontwerp!A338&amp;","&amp;Ontwerp!B338&amp;","&amp;Ontwerp!C338)</f>
        <v>48,103915.162056406,489284.46338795</v>
      </c>
      <c r="K49">
        <f>Ontwerp!A338</f>
        <v>48</v>
      </c>
      <c r="L49">
        <f>Ontwerp!B338</f>
        <v>103915.16205640564</v>
      </c>
      <c r="M49">
        <f>Ontwerp!C338</f>
        <v>489284.4633879505</v>
      </c>
    </row>
    <row r="50" spans="1:13" x14ac:dyDescent="0.2">
      <c r="A50" t="str">
        <f>IF(Ontwerp!A339="","",Ontwerp!A339&amp;","&amp;Ontwerp!B339&amp;","&amp;Ontwerp!C339)</f>
        <v>49,103915.549737718,489284.355328259</v>
      </c>
      <c r="K50">
        <f>Ontwerp!A339</f>
        <v>49</v>
      </c>
      <c r="L50">
        <f>Ontwerp!B339</f>
        <v>103915.54973771769</v>
      </c>
      <c r="M50">
        <f>Ontwerp!C339</f>
        <v>489284.35532825871</v>
      </c>
    </row>
    <row r="51" spans="1:13" x14ac:dyDescent="0.2">
      <c r="A51" t="str">
        <f>IF(Ontwerp!A340="","",Ontwerp!A340&amp;","&amp;Ontwerp!B340&amp;","&amp;Ontwerp!C340)</f>
        <v>50,103915.93741903,489284.247268567</v>
      </c>
      <c r="K51">
        <f>Ontwerp!A340</f>
        <v>50</v>
      </c>
      <c r="L51">
        <f>Ontwerp!B340</f>
        <v>103915.93741902977</v>
      </c>
      <c r="M51">
        <f>Ontwerp!C340</f>
        <v>489284.24726856686</v>
      </c>
    </row>
    <row r="52" spans="1:13" x14ac:dyDescent="0.2">
      <c r="A52" t="str">
        <f>IF(Ontwerp!A341="","",Ontwerp!A341&amp;","&amp;Ontwerp!B341&amp;","&amp;Ontwerp!C341)</f>
        <v>51,103916.325100342,489284.139208875</v>
      </c>
      <c r="K52">
        <f>Ontwerp!A341</f>
        <v>51</v>
      </c>
      <c r="L52">
        <f>Ontwerp!B341</f>
        <v>103916.32510034184</v>
      </c>
      <c r="M52">
        <f>Ontwerp!C341</f>
        <v>489284.13920887507</v>
      </c>
    </row>
    <row r="53" spans="1:13" x14ac:dyDescent="0.2">
      <c r="A53" t="str">
        <f>IF(Ontwerp!A342="","",Ontwerp!A342&amp;","&amp;Ontwerp!B342&amp;","&amp;Ontwerp!C342)</f>
        <v>52,103916.712781654,489284.031149183</v>
      </c>
      <c r="K53">
        <f>Ontwerp!A342</f>
        <v>52</v>
      </c>
      <c r="L53">
        <f>Ontwerp!B342</f>
        <v>103916.71278165391</v>
      </c>
      <c r="M53">
        <f>Ontwerp!C342</f>
        <v>489284.03114918328</v>
      </c>
    </row>
    <row r="54" spans="1:13" x14ac:dyDescent="0.2">
      <c r="A54" t="str">
        <f>IF(Ontwerp!A343="","",Ontwerp!A343&amp;","&amp;Ontwerp!B343&amp;","&amp;Ontwerp!C343)</f>
        <v>53,103917.100462966,489283.923089491</v>
      </c>
      <c r="K54">
        <f>Ontwerp!A343</f>
        <v>53</v>
      </c>
      <c r="L54">
        <f>Ontwerp!B343</f>
        <v>103917.10046296597</v>
      </c>
      <c r="M54">
        <f>Ontwerp!C343</f>
        <v>489283.92308949149</v>
      </c>
    </row>
    <row r="55" spans="1:13" x14ac:dyDescent="0.2">
      <c r="A55" t="str">
        <f>IF(Ontwerp!A344="","",Ontwerp!A344&amp;","&amp;Ontwerp!B344&amp;","&amp;Ontwerp!C344)</f>
        <v>54,103917.488144278,489283.8150298</v>
      </c>
      <c r="K55">
        <f>Ontwerp!A344</f>
        <v>54</v>
      </c>
      <c r="L55">
        <f>Ontwerp!B344</f>
        <v>103917.48814427805</v>
      </c>
      <c r="M55">
        <f>Ontwerp!C344</f>
        <v>489283.81502979965</v>
      </c>
    </row>
    <row r="56" spans="1:13" x14ac:dyDescent="0.2">
      <c r="A56" t="str">
        <f>IF(Ontwerp!A345="","",Ontwerp!A345&amp;","&amp;Ontwerp!B345&amp;","&amp;Ontwerp!C345)</f>
        <v>55,103917.87582559,489283.706970108</v>
      </c>
      <c r="K56">
        <f>Ontwerp!A345</f>
        <v>55</v>
      </c>
      <c r="L56">
        <f>Ontwerp!B345</f>
        <v>103917.87582559012</v>
      </c>
      <c r="M56">
        <f>Ontwerp!C345</f>
        <v>489283.70697010786</v>
      </c>
    </row>
    <row r="57" spans="1:13" x14ac:dyDescent="0.2">
      <c r="A57" t="str">
        <f>IF(Ontwerp!A346="","",Ontwerp!A346&amp;","&amp;Ontwerp!B346&amp;","&amp;Ontwerp!C346)</f>
        <v>56,103918.263506902,489283.598910416</v>
      </c>
      <c r="K57">
        <f>Ontwerp!A346</f>
        <v>56</v>
      </c>
      <c r="L57">
        <f>Ontwerp!B346</f>
        <v>103918.26350690219</v>
      </c>
      <c r="M57">
        <f>Ontwerp!C346</f>
        <v>489283.59891041607</v>
      </c>
    </row>
    <row r="58" spans="1:13" x14ac:dyDescent="0.2">
      <c r="A58" t="str">
        <f>IF(Ontwerp!A347="","",Ontwerp!A347&amp;","&amp;Ontwerp!B347&amp;","&amp;Ontwerp!C347)</f>
        <v>57,103918.651188214,489283.490850724</v>
      </c>
      <c r="K58">
        <f>Ontwerp!A347</f>
        <v>57</v>
      </c>
      <c r="L58">
        <f>Ontwerp!B347</f>
        <v>103918.65118821425</v>
      </c>
      <c r="M58">
        <f>Ontwerp!C347</f>
        <v>489283.49085072422</v>
      </c>
    </row>
    <row r="59" spans="1:13" x14ac:dyDescent="0.2">
      <c r="A59" t="str">
        <f>IF(Ontwerp!A348="","",Ontwerp!A348&amp;","&amp;Ontwerp!B348&amp;","&amp;Ontwerp!C348)</f>
        <v>58,103919.038869526,489283.382791032</v>
      </c>
      <c r="K59">
        <f>Ontwerp!A348</f>
        <v>58</v>
      </c>
      <c r="L59">
        <f>Ontwerp!B348</f>
        <v>103919.03886952632</v>
      </c>
      <c r="M59">
        <f>Ontwerp!C348</f>
        <v>489283.38279103243</v>
      </c>
    </row>
    <row r="60" spans="1:13" x14ac:dyDescent="0.2">
      <c r="A60" t="str">
        <f>IF(Ontwerp!A349="","",Ontwerp!A349&amp;","&amp;Ontwerp!B349&amp;","&amp;Ontwerp!C349)</f>
        <v>59,103919.426550838,489283.274731341</v>
      </c>
      <c r="K60">
        <f>Ontwerp!A349</f>
        <v>59</v>
      </c>
      <c r="L60">
        <f>Ontwerp!B349</f>
        <v>103919.4265508384</v>
      </c>
      <c r="M60">
        <f>Ontwerp!C349</f>
        <v>489283.27473134064</v>
      </c>
    </row>
    <row r="61" spans="1:13" x14ac:dyDescent="0.2">
      <c r="A61" t="str">
        <f>IF(Ontwerp!A350="","",Ontwerp!A350&amp;","&amp;Ontwerp!B350&amp;","&amp;Ontwerp!C350)</f>
        <v>60,103919.81423215,489283.166671649</v>
      </c>
      <c r="K61">
        <f>Ontwerp!A350</f>
        <v>60</v>
      </c>
      <c r="L61">
        <f>Ontwerp!B350</f>
        <v>103919.81423215047</v>
      </c>
      <c r="M61">
        <f>Ontwerp!C350</f>
        <v>489283.16667164885</v>
      </c>
    </row>
    <row r="62" spans="1:13" x14ac:dyDescent="0.2">
      <c r="A62" t="str">
        <f>IF(Ontwerp!A351="","",Ontwerp!A351&amp;","&amp;Ontwerp!B351&amp;","&amp;Ontwerp!C351)</f>
        <v>61,103920.201913463,489283.058611957</v>
      </c>
      <c r="K62">
        <f>Ontwerp!A351</f>
        <v>61</v>
      </c>
      <c r="L62">
        <f>Ontwerp!B351</f>
        <v>103920.20191346253</v>
      </c>
      <c r="M62">
        <f>Ontwerp!C351</f>
        <v>489283.05861195701</v>
      </c>
    </row>
    <row r="63" spans="1:13" x14ac:dyDescent="0.2">
      <c r="A63" t="str">
        <f>IF(Ontwerp!A352="","",Ontwerp!A352&amp;","&amp;Ontwerp!B352&amp;","&amp;Ontwerp!C352)</f>
        <v>62,103920.589594775,489282.950552265</v>
      </c>
      <c r="K63">
        <f>Ontwerp!A352</f>
        <v>62</v>
      </c>
      <c r="L63">
        <f>Ontwerp!B352</f>
        <v>103920.5895947746</v>
      </c>
      <c r="M63">
        <f>Ontwerp!C352</f>
        <v>489282.95055226522</v>
      </c>
    </row>
    <row r="64" spans="1:13" x14ac:dyDescent="0.2">
      <c r="A64" t="str">
        <f>IF(Ontwerp!A353="","",Ontwerp!A353&amp;","&amp;Ontwerp!B353&amp;","&amp;Ontwerp!C353)</f>
        <v>63,103920.977276087,489282.842492573</v>
      </c>
      <c r="K64">
        <f>Ontwerp!A353</f>
        <v>63</v>
      </c>
      <c r="L64">
        <f>Ontwerp!B353</f>
        <v>103920.97727608668</v>
      </c>
      <c r="M64">
        <f>Ontwerp!C353</f>
        <v>489282.84249257343</v>
      </c>
    </row>
    <row r="65" spans="1:13" x14ac:dyDescent="0.2">
      <c r="A65" t="str">
        <f>IF(Ontwerp!A354="","",Ontwerp!A354&amp;","&amp;Ontwerp!B354&amp;","&amp;Ontwerp!C354)</f>
        <v>64,103921.364957399,489282.734432882</v>
      </c>
      <c r="K65">
        <f>Ontwerp!A354</f>
        <v>64</v>
      </c>
      <c r="L65">
        <f>Ontwerp!B354</f>
        <v>103921.36495739875</v>
      </c>
      <c r="M65">
        <f>Ontwerp!C354</f>
        <v>489282.73443288164</v>
      </c>
    </row>
    <row r="66" spans="1:13" x14ac:dyDescent="0.2">
      <c r="A66" t="str">
        <f>IF(Ontwerp!A355="","",Ontwerp!A355&amp;","&amp;Ontwerp!B355&amp;","&amp;Ontwerp!C355)</f>
        <v>65,103921.752638711,489282.62637319</v>
      </c>
      <c r="K66">
        <f>Ontwerp!A355</f>
        <v>65</v>
      </c>
      <c r="L66">
        <f>Ontwerp!B355</f>
        <v>103921.75263871081</v>
      </c>
      <c r="M66">
        <f>Ontwerp!C355</f>
        <v>489282.62637318979</v>
      </c>
    </row>
    <row r="67" spans="1:13" x14ac:dyDescent="0.2">
      <c r="A67" t="str">
        <f>IF(Ontwerp!A356="","",Ontwerp!A356&amp;","&amp;Ontwerp!B356&amp;","&amp;Ontwerp!C356)</f>
        <v>66,103922.140320023,489282.518313498</v>
      </c>
      <c r="K67">
        <f>Ontwerp!A356</f>
        <v>66</v>
      </c>
      <c r="L67">
        <f>Ontwerp!B356</f>
        <v>103922.14032002288</v>
      </c>
      <c r="M67">
        <f>Ontwerp!C356</f>
        <v>489282.518313498</v>
      </c>
    </row>
    <row r="68" spans="1:13" x14ac:dyDescent="0.2">
      <c r="A68" t="str">
        <f>IF(Ontwerp!A357="","",Ontwerp!A357&amp;","&amp;Ontwerp!B357&amp;","&amp;Ontwerp!C357)</f>
        <v>67,103922.528001335,489282.410253806</v>
      </c>
      <c r="K68">
        <f>Ontwerp!A357</f>
        <v>67</v>
      </c>
      <c r="L68">
        <f>Ontwerp!B357</f>
        <v>103922.52800133495</v>
      </c>
      <c r="M68">
        <f>Ontwerp!C357</f>
        <v>489282.41025380621</v>
      </c>
    </row>
    <row r="69" spans="1:13" x14ac:dyDescent="0.2">
      <c r="A69" t="str">
        <f>IF(Ontwerp!A358="","",Ontwerp!A358&amp;","&amp;Ontwerp!B358&amp;","&amp;Ontwerp!C358)</f>
        <v>68,103922.915682647,489282.302194114</v>
      </c>
      <c r="K69">
        <f>Ontwerp!A358</f>
        <v>68</v>
      </c>
      <c r="L69">
        <f>Ontwerp!B358</f>
        <v>103922.91568264701</v>
      </c>
      <c r="M69">
        <f>Ontwerp!C358</f>
        <v>489282.30219411437</v>
      </c>
    </row>
    <row r="70" spans="1:13" x14ac:dyDescent="0.2">
      <c r="A70" t="str">
        <f>IF(Ontwerp!A359="","",Ontwerp!A359&amp;","&amp;Ontwerp!B359&amp;","&amp;Ontwerp!C359)</f>
        <v>69,103923.303363959,489282.194134423</v>
      </c>
      <c r="K70">
        <f>Ontwerp!A359</f>
        <v>69</v>
      </c>
      <c r="L70">
        <f>Ontwerp!B359</f>
        <v>103923.30336395909</v>
      </c>
      <c r="M70">
        <f>Ontwerp!C359</f>
        <v>489282.19413442258</v>
      </c>
    </row>
    <row r="71" spans="1:13" x14ac:dyDescent="0.2">
      <c r="A71" t="str">
        <f>IF(Ontwerp!A360="","",Ontwerp!A360&amp;","&amp;Ontwerp!B360&amp;","&amp;Ontwerp!C360)</f>
        <v>70,103923.691045271,489282.086074731</v>
      </c>
      <c r="K71">
        <f>Ontwerp!A360</f>
        <v>70</v>
      </c>
      <c r="L71">
        <f>Ontwerp!B360</f>
        <v>103923.69104527116</v>
      </c>
      <c r="M71">
        <f>Ontwerp!C360</f>
        <v>489282.08607473079</v>
      </c>
    </row>
    <row r="72" spans="1:13" x14ac:dyDescent="0.2">
      <c r="A72" t="str">
        <f>IF(Ontwerp!A361="","",Ontwerp!A361&amp;","&amp;Ontwerp!B361&amp;","&amp;Ontwerp!C361)</f>
        <v>71,103924.078726583,489281.978015039</v>
      </c>
      <c r="K72">
        <f>Ontwerp!A361</f>
        <v>71</v>
      </c>
      <c r="L72">
        <f>Ontwerp!B361</f>
        <v>103924.07872658323</v>
      </c>
      <c r="M72">
        <f>Ontwerp!C361</f>
        <v>489281.978015039</v>
      </c>
    </row>
    <row r="73" spans="1:13" x14ac:dyDescent="0.2">
      <c r="A73" t="str">
        <f>IF(Ontwerp!A362="","",Ontwerp!A362&amp;","&amp;Ontwerp!B362&amp;","&amp;Ontwerp!C362)</f>
        <v>72,103924.466407895,489281.869955347</v>
      </c>
      <c r="K73">
        <f>Ontwerp!A362</f>
        <v>72</v>
      </c>
      <c r="L73">
        <f>Ontwerp!B362</f>
        <v>103924.46640789529</v>
      </c>
      <c r="M73">
        <f>Ontwerp!C362</f>
        <v>489281.86995534715</v>
      </c>
    </row>
    <row r="74" spans="1:13" x14ac:dyDescent="0.2">
      <c r="A74" t="str">
        <f>IF(Ontwerp!A363="","",Ontwerp!A363&amp;","&amp;Ontwerp!B363&amp;","&amp;Ontwerp!C363)</f>
        <v>73,103924.854089207,489281.761895655</v>
      </c>
      <c r="K74">
        <f>Ontwerp!A363</f>
        <v>73</v>
      </c>
      <c r="L74">
        <f>Ontwerp!B363</f>
        <v>103924.85408920737</v>
      </c>
      <c r="M74">
        <f>Ontwerp!C363</f>
        <v>489281.76189565536</v>
      </c>
    </row>
    <row r="75" spans="1:13" x14ac:dyDescent="0.2">
      <c r="A75" t="str">
        <f>IF(Ontwerp!A364="","",Ontwerp!A364&amp;","&amp;Ontwerp!B364&amp;","&amp;Ontwerp!C364)</f>
        <v>74,103925.241770519,489281.653835964</v>
      </c>
      <c r="K75">
        <f>Ontwerp!A364</f>
        <v>74</v>
      </c>
      <c r="L75">
        <f>Ontwerp!B364</f>
        <v>103925.24177051944</v>
      </c>
      <c r="M75">
        <f>Ontwerp!C364</f>
        <v>489281.65383596357</v>
      </c>
    </row>
    <row r="76" spans="1:13" x14ac:dyDescent="0.2">
      <c r="A76" t="str">
        <f>IF(Ontwerp!A365="","",Ontwerp!A365&amp;","&amp;Ontwerp!B365&amp;","&amp;Ontwerp!C365)</f>
        <v>75,103925.629451832,489281.545776272</v>
      </c>
      <c r="K76">
        <f>Ontwerp!A365</f>
        <v>75</v>
      </c>
      <c r="L76">
        <f>Ontwerp!B365</f>
        <v>103925.62945183151</v>
      </c>
      <c r="M76">
        <f>Ontwerp!C365</f>
        <v>489281.54577627179</v>
      </c>
    </row>
    <row r="77" spans="1:13" x14ac:dyDescent="0.2">
      <c r="A77" t="str">
        <f>IF(Ontwerp!A366="","",Ontwerp!A366&amp;","&amp;Ontwerp!B366&amp;","&amp;Ontwerp!C366)</f>
        <v>76,103926.017133144,489281.43771658</v>
      </c>
      <c r="K77">
        <f>Ontwerp!A366</f>
        <v>76</v>
      </c>
      <c r="L77">
        <f>Ontwerp!B366</f>
        <v>103926.01713314357</v>
      </c>
      <c r="M77">
        <f>Ontwerp!C366</f>
        <v>489281.43771657994</v>
      </c>
    </row>
    <row r="78" spans="1:13" x14ac:dyDescent="0.2">
      <c r="A78" t="str">
        <f>IF(Ontwerp!A367="","",Ontwerp!A367&amp;","&amp;Ontwerp!B367&amp;","&amp;Ontwerp!C367)</f>
        <v>77,103926.404814456,489281.329656888</v>
      </c>
      <c r="K78">
        <f>Ontwerp!A367</f>
        <v>77</v>
      </c>
      <c r="L78">
        <f>Ontwerp!B367</f>
        <v>103926.40481445564</v>
      </c>
      <c r="M78">
        <f>Ontwerp!C367</f>
        <v>489281.32965688815</v>
      </c>
    </row>
    <row r="79" spans="1:13" x14ac:dyDescent="0.2">
      <c r="A79" t="str">
        <f>IF(Ontwerp!A368="","",Ontwerp!A368&amp;","&amp;Ontwerp!B368&amp;","&amp;Ontwerp!C368)</f>
        <v>78,103926.792495768,489281.221597196</v>
      </c>
      <c r="K79">
        <f>Ontwerp!A368</f>
        <v>78</v>
      </c>
      <c r="L79">
        <f>Ontwerp!B368</f>
        <v>103926.79249576772</v>
      </c>
      <c r="M79">
        <f>Ontwerp!C368</f>
        <v>489281.22159719636</v>
      </c>
    </row>
    <row r="80" spans="1:13" x14ac:dyDescent="0.2">
      <c r="A80" t="str">
        <f>IF(Ontwerp!A369="","",Ontwerp!A369&amp;","&amp;Ontwerp!B369&amp;","&amp;Ontwerp!C369)</f>
        <v>79,103927.18017708,489281.113537505</v>
      </c>
      <c r="K80">
        <f>Ontwerp!A369</f>
        <v>79</v>
      </c>
      <c r="L80">
        <f>Ontwerp!B369</f>
        <v>103927.18017707979</v>
      </c>
      <c r="M80">
        <f>Ontwerp!C369</f>
        <v>489281.11353750451</v>
      </c>
    </row>
    <row r="81" spans="1:13" x14ac:dyDescent="0.2">
      <c r="A81" t="str">
        <f>IF(Ontwerp!A370="","",Ontwerp!A370&amp;","&amp;Ontwerp!B370&amp;","&amp;Ontwerp!C370)</f>
        <v>80,103927.567858392,489281.005477813</v>
      </c>
      <c r="K81">
        <f>Ontwerp!A370</f>
        <v>80</v>
      </c>
      <c r="L81">
        <f>Ontwerp!B370</f>
        <v>103927.56785839185</v>
      </c>
      <c r="M81">
        <f>Ontwerp!C370</f>
        <v>489281.00547781272</v>
      </c>
    </row>
    <row r="82" spans="1:13" x14ac:dyDescent="0.2">
      <c r="A82" t="str">
        <f>IF(Ontwerp!A371="","",Ontwerp!A371&amp;","&amp;Ontwerp!B371&amp;","&amp;Ontwerp!C371)</f>
        <v>81,103927.955539704,489280.897418121</v>
      </c>
      <c r="K82">
        <f>Ontwerp!A371</f>
        <v>81</v>
      </c>
      <c r="L82">
        <f>Ontwerp!B371</f>
        <v>103927.95553970392</v>
      </c>
      <c r="M82">
        <f>Ontwerp!C371</f>
        <v>489280.89741812093</v>
      </c>
    </row>
    <row r="83" spans="1:13" x14ac:dyDescent="0.2">
      <c r="A83" t="str">
        <f>IF(Ontwerp!A372="","",Ontwerp!A372&amp;","&amp;Ontwerp!B372&amp;","&amp;Ontwerp!C372)</f>
        <v>82,103928.343221016,489280.789358429</v>
      </c>
      <c r="K83">
        <f>Ontwerp!A372</f>
        <v>82</v>
      </c>
      <c r="L83">
        <f>Ontwerp!B372</f>
        <v>103928.343221016</v>
      </c>
      <c r="M83">
        <f>Ontwerp!C372</f>
        <v>489280.78935842915</v>
      </c>
    </row>
    <row r="84" spans="1:13" x14ac:dyDescent="0.2">
      <c r="A84" t="str">
        <f>IF(Ontwerp!A373="","",Ontwerp!A373&amp;","&amp;Ontwerp!B373&amp;","&amp;Ontwerp!C373)</f>
        <v>83,103928.730902328,489280.681298737</v>
      </c>
      <c r="K84">
        <f>Ontwerp!A373</f>
        <v>83</v>
      </c>
      <c r="L84">
        <f>Ontwerp!B373</f>
        <v>103928.73090232807</v>
      </c>
      <c r="M84">
        <f>Ontwerp!C373</f>
        <v>489280.6812987373</v>
      </c>
    </row>
    <row r="85" spans="1:13" x14ac:dyDescent="0.2">
      <c r="A85" t="str">
        <f>IF(Ontwerp!A374="","",Ontwerp!A374&amp;","&amp;Ontwerp!B374&amp;","&amp;Ontwerp!C374)</f>
        <v>84,103929.11858364,489280.573239046</v>
      </c>
      <c r="K85">
        <f>Ontwerp!A374</f>
        <v>84</v>
      </c>
      <c r="L85">
        <f>Ontwerp!B374</f>
        <v>103929.11858364013</v>
      </c>
      <c r="M85">
        <f>Ontwerp!C374</f>
        <v>489280.57323904551</v>
      </c>
    </row>
    <row r="86" spans="1:13" x14ac:dyDescent="0.2">
      <c r="A86" t="str">
        <f>IF(Ontwerp!A375="","",Ontwerp!A375&amp;","&amp;Ontwerp!B375&amp;","&amp;Ontwerp!C375)</f>
        <v>85,103929.506264952,489280.465179354</v>
      </c>
      <c r="K86">
        <f>Ontwerp!A375</f>
        <v>85</v>
      </c>
      <c r="L86">
        <f>Ontwerp!B375</f>
        <v>103929.5062649522</v>
      </c>
      <c r="M86">
        <f>Ontwerp!C375</f>
        <v>489280.46517935372</v>
      </c>
    </row>
    <row r="87" spans="1:13" x14ac:dyDescent="0.2">
      <c r="A87" t="str">
        <f>IF(Ontwerp!A376="","",Ontwerp!A376&amp;","&amp;Ontwerp!B376&amp;","&amp;Ontwerp!C376)</f>
        <v>86,103929.893946264,489280.357119662</v>
      </c>
      <c r="K87">
        <f>Ontwerp!A376</f>
        <v>86</v>
      </c>
      <c r="L87">
        <f>Ontwerp!B376</f>
        <v>103929.89394626427</v>
      </c>
      <c r="M87">
        <f>Ontwerp!C376</f>
        <v>489280.35711966187</v>
      </c>
    </row>
    <row r="88" spans="1:13" x14ac:dyDescent="0.2">
      <c r="A88" t="str">
        <f>IF(Ontwerp!A377="","",Ontwerp!A377&amp;","&amp;Ontwerp!B377&amp;","&amp;Ontwerp!C377)</f>
        <v>87,103930.281627576,489280.24905997</v>
      </c>
      <c r="K88">
        <f>Ontwerp!A377</f>
        <v>87</v>
      </c>
      <c r="L88">
        <f>Ontwerp!B377</f>
        <v>103930.28162757635</v>
      </c>
      <c r="M88">
        <f>Ontwerp!C377</f>
        <v>489280.24905997008</v>
      </c>
    </row>
    <row r="89" spans="1:13" x14ac:dyDescent="0.2">
      <c r="A89" t="str">
        <f>IF(Ontwerp!A378="","",Ontwerp!A378&amp;","&amp;Ontwerp!B378&amp;","&amp;Ontwerp!C378)</f>
        <v>88,103930.669308888,489280.141000278</v>
      </c>
      <c r="K89">
        <f>Ontwerp!A378</f>
        <v>88</v>
      </c>
      <c r="L89">
        <f>Ontwerp!B378</f>
        <v>103930.66930888841</v>
      </c>
      <c r="M89">
        <f>Ontwerp!C378</f>
        <v>489280.14100027829</v>
      </c>
    </row>
    <row r="90" spans="1:13" x14ac:dyDescent="0.2">
      <c r="A90" t="str">
        <f>IF(Ontwerp!A379="","",Ontwerp!A379&amp;","&amp;Ontwerp!B379&amp;","&amp;Ontwerp!C379)</f>
        <v>89,103931.0569902,489280.032940587</v>
      </c>
      <c r="K90">
        <f>Ontwerp!A379</f>
        <v>89</v>
      </c>
      <c r="L90">
        <f>Ontwerp!B379</f>
        <v>103931.05699020048</v>
      </c>
      <c r="M90">
        <f>Ontwerp!C379</f>
        <v>489280.0329405865</v>
      </c>
    </row>
    <row r="91" spans="1:13" x14ac:dyDescent="0.2">
      <c r="A91" t="str">
        <f>IF(Ontwerp!A380="","",Ontwerp!A380&amp;","&amp;Ontwerp!B380&amp;","&amp;Ontwerp!C380)</f>
        <v>90,103931.444671513,489279.924880895</v>
      </c>
      <c r="K91">
        <f>Ontwerp!A380</f>
        <v>90</v>
      </c>
      <c r="L91">
        <f>Ontwerp!B380</f>
        <v>103931.44467151255</v>
      </c>
      <c r="M91">
        <f>Ontwerp!C380</f>
        <v>489279.92488089466</v>
      </c>
    </row>
    <row r="92" spans="1:13" x14ac:dyDescent="0.2">
      <c r="A92" t="str">
        <f>IF(Ontwerp!A381="","",Ontwerp!A381&amp;","&amp;Ontwerp!B381&amp;","&amp;Ontwerp!C381)</f>
        <v>91,103931.832352825,489279.816821203</v>
      </c>
      <c r="K92">
        <f>Ontwerp!A381</f>
        <v>91</v>
      </c>
      <c r="L92">
        <f>Ontwerp!B381</f>
        <v>103931.83235282461</v>
      </c>
      <c r="M92">
        <f>Ontwerp!C381</f>
        <v>489279.81682120287</v>
      </c>
    </row>
    <row r="93" spans="1:13" x14ac:dyDescent="0.2">
      <c r="A93" t="str">
        <f>IF(Ontwerp!A382="","",Ontwerp!A382&amp;","&amp;Ontwerp!B382&amp;","&amp;Ontwerp!C382)</f>
        <v>92,103932.220034137,489279.708761511</v>
      </c>
      <c r="K93">
        <f>Ontwerp!A382</f>
        <v>92</v>
      </c>
      <c r="L93">
        <f>Ontwerp!B382</f>
        <v>103932.22003413668</v>
      </c>
      <c r="M93">
        <f>Ontwerp!C382</f>
        <v>489279.70876151108</v>
      </c>
    </row>
    <row r="94" spans="1:13" x14ac:dyDescent="0.2">
      <c r="A94" t="str">
        <f>IF(Ontwerp!A383="","",Ontwerp!A383&amp;","&amp;Ontwerp!B383&amp;","&amp;Ontwerp!C383)</f>
        <v>93,103932.607715449,489279.600701819</v>
      </c>
      <c r="K94">
        <f>Ontwerp!A383</f>
        <v>93</v>
      </c>
      <c r="L94">
        <f>Ontwerp!B383</f>
        <v>103932.60771544876</v>
      </c>
      <c r="M94">
        <f>Ontwerp!C383</f>
        <v>489279.60070181929</v>
      </c>
    </row>
    <row r="95" spans="1:13" x14ac:dyDescent="0.2">
      <c r="A95" t="str">
        <f>IF(Ontwerp!A384="","",Ontwerp!A384&amp;","&amp;Ontwerp!B384&amp;","&amp;Ontwerp!C384)</f>
        <v>94,103932.995396761,489279.492642127</v>
      </c>
      <c r="K95">
        <f>Ontwerp!A384</f>
        <v>94</v>
      </c>
      <c r="L95">
        <f>Ontwerp!B384</f>
        <v>103932.99539676083</v>
      </c>
      <c r="M95">
        <f>Ontwerp!C384</f>
        <v>489279.49264212744</v>
      </c>
    </row>
    <row r="96" spans="1:13" x14ac:dyDescent="0.2">
      <c r="A96" t="str">
        <f>IF(Ontwerp!A385="","",Ontwerp!A385&amp;","&amp;Ontwerp!B385&amp;","&amp;Ontwerp!C385)</f>
        <v>95,103933.383078073,489279.384582436</v>
      </c>
      <c r="K96">
        <f>Ontwerp!A385</f>
        <v>95</v>
      </c>
      <c r="L96">
        <f>Ontwerp!B385</f>
        <v>103933.38307807289</v>
      </c>
      <c r="M96">
        <f>Ontwerp!C385</f>
        <v>489279.38458243565</v>
      </c>
    </row>
    <row r="97" spans="1:13" x14ac:dyDescent="0.2">
      <c r="A97" t="str">
        <f>IF(Ontwerp!A386="","",Ontwerp!A386&amp;","&amp;Ontwerp!B386&amp;","&amp;Ontwerp!C386)</f>
        <v>96,103933.770759385,489279.276522744</v>
      </c>
      <c r="K97">
        <f>Ontwerp!A386</f>
        <v>96</v>
      </c>
      <c r="L97">
        <f>Ontwerp!B386</f>
        <v>103933.77075938496</v>
      </c>
      <c r="M97">
        <f>Ontwerp!C386</f>
        <v>489279.27652274386</v>
      </c>
    </row>
    <row r="98" spans="1:13" x14ac:dyDescent="0.2">
      <c r="A98" t="str">
        <f>IF(Ontwerp!A387="","",Ontwerp!A387&amp;","&amp;Ontwerp!B387&amp;","&amp;Ontwerp!C387)</f>
        <v>97,103934.158440697,489279.168463052</v>
      </c>
      <c r="K98">
        <f>Ontwerp!A387</f>
        <v>97</v>
      </c>
      <c r="L98">
        <f>Ontwerp!B387</f>
        <v>103934.15844069704</v>
      </c>
      <c r="M98">
        <f>Ontwerp!C387</f>
        <v>489279.16846305202</v>
      </c>
    </row>
    <row r="99" spans="1:13" x14ac:dyDescent="0.2">
      <c r="A99" t="str">
        <f>IF(Ontwerp!A388="","",Ontwerp!A388&amp;","&amp;Ontwerp!B388&amp;","&amp;Ontwerp!C388)</f>
        <v>98,103934.546122009,489279.06040336</v>
      </c>
      <c r="K99">
        <f>Ontwerp!A388</f>
        <v>98</v>
      </c>
      <c r="L99">
        <f>Ontwerp!B388</f>
        <v>103934.54612200911</v>
      </c>
      <c r="M99">
        <f>Ontwerp!C388</f>
        <v>489279.06040336023</v>
      </c>
    </row>
    <row r="100" spans="1:13" x14ac:dyDescent="0.2">
      <c r="A100" t="str">
        <f>IF(Ontwerp!A389="","",Ontwerp!A389&amp;","&amp;Ontwerp!B389&amp;","&amp;Ontwerp!C389)</f>
        <v>99,103934.933803321,489278.952343668</v>
      </c>
      <c r="K100">
        <f>Ontwerp!A389</f>
        <v>99</v>
      </c>
      <c r="L100">
        <f>Ontwerp!B389</f>
        <v>103934.93380332117</v>
      </c>
      <c r="M100">
        <f>Ontwerp!C389</f>
        <v>489278.95234366844</v>
      </c>
    </row>
    <row r="101" spans="1:13" x14ac:dyDescent="0.2">
      <c r="A101" t="str">
        <f>IF(Ontwerp!A390="","",Ontwerp!A390&amp;","&amp;Ontwerp!B390&amp;","&amp;Ontwerp!C390)</f>
        <v>100,103935.321484633,489278.844283977</v>
      </c>
      <c r="K101">
        <f>Ontwerp!A390</f>
        <v>100</v>
      </c>
      <c r="L101">
        <f>Ontwerp!B390</f>
        <v>103935.32148463324</v>
      </c>
      <c r="M101">
        <f>Ontwerp!C390</f>
        <v>489278.84428397665</v>
      </c>
    </row>
    <row r="102" spans="1:13" x14ac:dyDescent="0.2">
      <c r="A102" t="str">
        <f>IF(Ontwerp!A391="","",Ontwerp!A391&amp;","&amp;Ontwerp!B391&amp;","&amp;Ontwerp!C391)</f>
        <v>101,103935.709165945,489278.736224285</v>
      </c>
      <c r="K102">
        <f>Ontwerp!A391</f>
        <v>101</v>
      </c>
      <c r="L102">
        <f>Ontwerp!B391</f>
        <v>103935.70916594531</v>
      </c>
      <c r="M102">
        <f>Ontwerp!C391</f>
        <v>489278.7362242848</v>
      </c>
    </row>
    <row r="103" spans="1:13" x14ac:dyDescent="0.2">
      <c r="A103" t="str">
        <f>IF(Ontwerp!A392="","",Ontwerp!A392&amp;","&amp;Ontwerp!B392&amp;","&amp;Ontwerp!C392)</f>
        <v>102,103936.096847257,489278.628164593</v>
      </c>
      <c r="K103">
        <f>Ontwerp!A392</f>
        <v>102</v>
      </c>
      <c r="L103">
        <f>Ontwerp!B392</f>
        <v>103936.09684725739</v>
      </c>
      <c r="M103">
        <f>Ontwerp!C392</f>
        <v>489278.62816459301</v>
      </c>
    </row>
    <row r="104" spans="1:13" x14ac:dyDescent="0.2">
      <c r="A104" t="str">
        <f>IF(Ontwerp!A393="","",Ontwerp!A393&amp;","&amp;Ontwerp!B393&amp;","&amp;Ontwerp!C393)</f>
        <v>103,103936.484528569,489278.520104901</v>
      </c>
      <c r="K104">
        <f>Ontwerp!A393</f>
        <v>103</v>
      </c>
      <c r="L104">
        <f>Ontwerp!B393</f>
        <v>103936.48452856945</v>
      </c>
      <c r="M104">
        <f>Ontwerp!C393</f>
        <v>489278.52010490122</v>
      </c>
    </row>
    <row r="105" spans="1:13" x14ac:dyDescent="0.2">
      <c r="A105" t="str">
        <f>IF(Ontwerp!A394="","",Ontwerp!A394&amp;","&amp;Ontwerp!B394&amp;","&amp;Ontwerp!C394)</f>
        <v>104,103936.872209882,489278.412045209</v>
      </c>
      <c r="K105">
        <f>Ontwerp!A394</f>
        <v>104</v>
      </c>
      <c r="L105">
        <f>Ontwerp!B394</f>
        <v>103936.87220988152</v>
      </c>
      <c r="M105">
        <f>Ontwerp!C394</f>
        <v>489278.41204520938</v>
      </c>
    </row>
    <row r="106" spans="1:13" x14ac:dyDescent="0.2">
      <c r="A106" t="str">
        <f>IF(Ontwerp!A395="","",Ontwerp!A395&amp;","&amp;Ontwerp!B395&amp;","&amp;Ontwerp!C395)</f>
        <v>105,103937.259891194,489278.303985518</v>
      </c>
      <c r="K106">
        <f>Ontwerp!A395</f>
        <v>105</v>
      </c>
      <c r="L106">
        <f>Ontwerp!B395</f>
        <v>103937.25989119359</v>
      </c>
      <c r="M106">
        <f>Ontwerp!C395</f>
        <v>489278.30398551759</v>
      </c>
    </row>
    <row r="107" spans="1:13" x14ac:dyDescent="0.2">
      <c r="A107" t="str">
        <f>IF(Ontwerp!A396="","",Ontwerp!A396&amp;","&amp;Ontwerp!B396&amp;","&amp;Ontwerp!C396)</f>
        <v>106,103937.647572506,489278.195925826</v>
      </c>
      <c r="K107">
        <f>Ontwerp!A396</f>
        <v>106</v>
      </c>
      <c r="L107">
        <f>Ontwerp!B396</f>
        <v>103937.64757250567</v>
      </c>
      <c r="M107">
        <f>Ontwerp!C396</f>
        <v>489278.1959258258</v>
      </c>
    </row>
    <row r="108" spans="1:13" x14ac:dyDescent="0.2">
      <c r="A108" t="str">
        <f>IF(Ontwerp!A397="","",Ontwerp!A397&amp;","&amp;Ontwerp!B397&amp;","&amp;Ontwerp!C397)</f>
        <v>107,103938.035253818,489278.087866134</v>
      </c>
      <c r="K108">
        <f>Ontwerp!A397</f>
        <v>107</v>
      </c>
      <c r="L108">
        <f>Ontwerp!B397</f>
        <v>103938.03525381772</v>
      </c>
      <c r="M108">
        <f>Ontwerp!C397</f>
        <v>489278.08786613401</v>
      </c>
    </row>
    <row r="109" spans="1:13" x14ac:dyDescent="0.2">
      <c r="A109" t="str">
        <f>IF(Ontwerp!A398="","",Ontwerp!A398&amp;","&amp;Ontwerp!B398&amp;","&amp;Ontwerp!C398)</f>
        <v>108,103938.42293513,489277.979806442</v>
      </c>
      <c r="K109">
        <f>Ontwerp!A398</f>
        <v>108</v>
      </c>
      <c r="L109">
        <f>Ontwerp!B398</f>
        <v>103938.4229351298</v>
      </c>
      <c r="M109">
        <f>Ontwerp!C398</f>
        <v>489277.97980644216</v>
      </c>
    </row>
    <row r="110" spans="1:13" x14ac:dyDescent="0.2">
      <c r="A110" t="str">
        <f>IF(Ontwerp!A399="","",Ontwerp!A399&amp;","&amp;Ontwerp!B399&amp;","&amp;Ontwerp!C399)</f>
        <v>109,103938.810616442,489277.87174675</v>
      </c>
      <c r="K110">
        <f>Ontwerp!A399</f>
        <v>109</v>
      </c>
      <c r="L110">
        <f>Ontwerp!B399</f>
        <v>103938.81061644187</v>
      </c>
      <c r="M110">
        <f>Ontwerp!C399</f>
        <v>489277.87174675037</v>
      </c>
    </row>
    <row r="111" spans="1:13" x14ac:dyDescent="0.2">
      <c r="A111" t="str">
        <f>IF(Ontwerp!A400="","",Ontwerp!A400&amp;","&amp;Ontwerp!B400&amp;","&amp;Ontwerp!C400)</f>
        <v>110,103939.198297754,489277.763687059</v>
      </c>
      <c r="K111">
        <f>Ontwerp!A400</f>
        <v>110</v>
      </c>
      <c r="L111">
        <f>Ontwerp!B400</f>
        <v>103939.19829775393</v>
      </c>
      <c r="M111">
        <f>Ontwerp!C400</f>
        <v>489277.76368705858</v>
      </c>
    </row>
    <row r="112" spans="1:13" x14ac:dyDescent="0.2">
      <c r="A112" t="str">
        <f>IF(Ontwerp!A401="","",Ontwerp!A401&amp;","&amp;Ontwerp!B401&amp;","&amp;Ontwerp!C401)</f>
        <v>111,103939.585979066,489277.655627367</v>
      </c>
      <c r="K112">
        <f>Ontwerp!A401</f>
        <v>111</v>
      </c>
      <c r="L112">
        <f>Ontwerp!B401</f>
        <v>103939.585979066</v>
      </c>
      <c r="M112">
        <f>Ontwerp!C401</f>
        <v>489277.6556273668</v>
      </c>
    </row>
    <row r="113" spans="1:13" x14ac:dyDescent="0.2">
      <c r="A113" t="str">
        <f>IF(Ontwerp!A402="","",Ontwerp!A402&amp;","&amp;Ontwerp!B402&amp;","&amp;Ontwerp!C402)</f>
        <v>112,103939.973660378,489277.547567675</v>
      </c>
      <c r="K113">
        <f>Ontwerp!A402</f>
        <v>112</v>
      </c>
      <c r="L113">
        <f>Ontwerp!B402</f>
        <v>103939.97366037808</v>
      </c>
      <c r="M113">
        <f>Ontwerp!C402</f>
        <v>489277.54756767495</v>
      </c>
    </row>
    <row r="114" spans="1:13" x14ac:dyDescent="0.2">
      <c r="A114" t="str">
        <f>IF(Ontwerp!A403="","",Ontwerp!A403&amp;","&amp;Ontwerp!B403&amp;","&amp;Ontwerp!C403)</f>
        <v>113,103940.36134169,489277.439507983</v>
      </c>
      <c r="K114">
        <f>Ontwerp!A403</f>
        <v>113</v>
      </c>
      <c r="L114">
        <f>Ontwerp!B403</f>
        <v>103940.36134169015</v>
      </c>
      <c r="M114">
        <f>Ontwerp!C403</f>
        <v>489277.43950798316</v>
      </c>
    </row>
    <row r="115" spans="1:13" x14ac:dyDescent="0.2">
      <c r="A115" t="str">
        <f>IF(Ontwerp!A404="","",Ontwerp!A404&amp;","&amp;Ontwerp!B404&amp;","&amp;Ontwerp!C404)</f>
        <v>114,103940.749023002,489277.331448291</v>
      </c>
      <c r="K115">
        <f>Ontwerp!A404</f>
        <v>114</v>
      </c>
      <c r="L115">
        <f>Ontwerp!B404</f>
        <v>103940.74902300221</v>
      </c>
      <c r="M115">
        <f>Ontwerp!C404</f>
        <v>489277.33144829137</v>
      </c>
    </row>
    <row r="116" spans="1:13" x14ac:dyDescent="0.2">
      <c r="A116" t="str">
        <f>IF(Ontwerp!A405="","",Ontwerp!A405&amp;","&amp;Ontwerp!B405&amp;","&amp;Ontwerp!C405)</f>
        <v>115,103941.136704314,489277.2233886</v>
      </c>
      <c r="K116">
        <f>Ontwerp!A405</f>
        <v>115</v>
      </c>
      <c r="L116">
        <f>Ontwerp!B405</f>
        <v>103941.13670431428</v>
      </c>
      <c r="M116">
        <f>Ontwerp!C405</f>
        <v>489277.22338859952</v>
      </c>
    </row>
    <row r="117" spans="1:13" x14ac:dyDescent="0.2">
      <c r="A117" t="str">
        <f>IF(Ontwerp!A406="","",Ontwerp!A406&amp;","&amp;Ontwerp!B406&amp;","&amp;Ontwerp!C406)</f>
        <v>116,103941.524385626,489277.115328908</v>
      </c>
      <c r="K117">
        <f>Ontwerp!A406</f>
        <v>116</v>
      </c>
      <c r="L117">
        <f>Ontwerp!B406</f>
        <v>103941.52438562636</v>
      </c>
      <c r="M117">
        <f>Ontwerp!C406</f>
        <v>489277.11532890773</v>
      </c>
    </row>
    <row r="118" spans="1:13" x14ac:dyDescent="0.2">
      <c r="A118" t="str">
        <f>IF(Ontwerp!A407="","",Ontwerp!A407&amp;","&amp;Ontwerp!B407&amp;","&amp;Ontwerp!C407)</f>
        <v>117,103941.912066938,489277.007269216</v>
      </c>
      <c r="K118">
        <f>Ontwerp!A407</f>
        <v>117</v>
      </c>
      <c r="L118">
        <f>Ontwerp!B407</f>
        <v>103941.91206693843</v>
      </c>
      <c r="M118">
        <f>Ontwerp!C407</f>
        <v>489277.00726921594</v>
      </c>
    </row>
    <row r="119" spans="1:13" x14ac:dyDescent="0.2">
      <c r="A119" t="str">
        <f>IF(Ontwerp!A408="","",Ontwerp!A408&amp;","&amp;Ontwerp!B408&amp;","&amp;Ontwerp!C408)</f>
        <v>118,103942.29974825,489276.899209524</v>
      </c>
      <c r="K119">
        <f>Ontwerp!A408</f>
        <v>118</v>
      </c>
      <c r="L119">
        <f>Ontwerp!B408</f>
        <v>103942.29974825049</v>
      </c>
      <c r="M119">
        <f>Ontwerp!C408</f>
        <v>489276.89920952416</v>
      </c>
    </row>
    <row r="120" spans="1:13" x14ac:dyDescent="0.2">
      <c r="A120" t="str">
        <f>IF(Ontwerp!A409="","",Ontwerp!A409&amp;","&amp;Ontwerp!B409&amp;","&amp;Ontwerp!C409)</f>
        <v>119,103942.687429563,489276.791149832</v>
      </c>
      <c r="K120">
        <f>Ontwerp!A409</f>
        <v>119</v>
      </c>
      <c r="L120">
        <f>Ontwerp!B409</f>
        <v>103942.68742956256</v>
      </c>
      <c r="M120">
        <f>Ontwerp!C409</f>
        <v>489276.79114983231</v>
      </c>
    </row>
    <row r="121" spans="1:13" x14ac:dyDescent="0.2">
      <c r="A121" t="str">
        <f>IF(Ontwerp!A410="","",Ontwerp!A410&amp;","&amp;Ontwerp!B410&amp;","&amp;Ontwerp!C410)</f>
        <v>120,103943.075110875,489276.683090141</v>
      </c>
      <c r="K121">
        <f>Ontwerp!A410</f>
        <v>120</v>
      </c>
      <c r="L121">
        <f>Ontwerp!B410</f>
        <v>103943.07511087463</v>
      </c>
      <c r="M121">
        <f>Ontwerp!C410</f>
        <v>489276.68309014052</v>
      </c>
    </row>
    <row r="122" spans="1:13" x14ac:dyDescent="0.2">
      <c r="A122" t="str">
        <f>IF(Ontwerp!A411="","",Ontwerp!A411&amp;","&amp;Ontwerp!B411&amp;","&amp;Ontwerp!C411)</f>
        <v>121,103943.462792187,489276.575030449</v>
      </c>
      <c r="K122">
        <f>Ontwerp!A411</f>
        <v>121</v>
      </c>
      <c r="L122">
        <f>Ontwerp!B411</f>
        <v>103943.46279218671</v>
      </c>
      <c r="M122">
        <f>Ontwerp!C411</f>
        <v>489276.57503044873</v>
      </c>
    </row>
    <row r="123" spans="1:13" x14ac:dyDescent="0.2">
      <c r="A123" t="str">
        <f>IF(Ontwerp!A412="","",Ontwerp!A412&amp;","&amp;Ontwerp!B412&amp;","&amp;Ontwerp!C412)</f>
        <v>122,103943.850473499,489276.466970757</v>
      </c>
      <c r="K123">
        <f>Ontwerp!A412</f>
        <v>122</v>
      </c>
      <c r="L123">
        <f>Ontwerp!B412</f>
        <v>103943.85047349877</v>
      </c>
      <c r="M123">
        <f>Ontwerp!C412</f>
        <v>489276.46697075688</v>
      </c>
    </row>
    <row r="124" spans="1:13" x14ac:dyDescent="0.2">
      <c r="A124" t="str">
        <f>IF(Ontwerp!A413="","",Ontwerp!A413&amp;","&amp;Ontwerp!B413&amp;","&amp;Ontwerp!C413)</f>
        <v>123,103944.238154811,489276.358911065</v>
      </c>
      <c r="K124">
        <f>Ontwerp!A413</f>
        <v>123</v>
      </c>
      <c r="L124">
        <f>Ontwerp!B413</f>
        <v>103944.23815481084</v>
      </c>
      <c r="M124">
        <f>Ontwerp!C413</f>
        <v>489276.35891106509</v>
      </c>
    </row>
    <row r="125" spans="1:13" x14ac:dyDescent="0.2">
      <c r="A125" t="str">
        <f>IF(Ontwerp!A414="","",Ontwerp!A414&amp;","&amp;Ontwerp!B414&amp;","&amp;Ontwerp!C414)</f>
        <v>124,103944.625836123,489276.250851373</v>
      </c>
      <c r="K125">
        <f>Ontwerp!A414</f>
        <v>124</v>
      </c>
      <c r="L125">
        <f>Ontwerp!B414</f>
        <v>103944.62583612291</v>
      </c>
      <c r="M125">
        <f>Ontwerp!C414</f>
        <v>489276.2508513733</v>
      </c>
    </row>
    <row r="126" spans="1:13" x14ac:dyDescent="0.2">
      <c r="A126" t="str">
        <f>IF(Ontwerp!A415="","",Ontwerp!A415&amp;","&amp;Ontwerp!B415&amp;","&amp;Ontwerp!C415)</f>
        <v>125,103945.013517435,489276.142791682</v>
      </c>
      <c r="K126">
        <f>Ontwerp!A415</f>
        <v>125</v>
      </c>
      <c r="L126">
        <f>Ontwerp!B415</f>
        <v>103945.01351743499</v>
      </c>
      <c r="M126">
        <f>Ontwerp!C415</f>
        <v>489276.14279168152</v>
      </c>
    </row>
    <row r="127" spans="1:13" x14ac:dyDescent="0.2">
      <c r="A127" t="str">
        <f>IF(Ontwerp!A416="","",Ontwerp!A416&amp;","&amp;Ontwerp!B416&amp;","&amp;Ontwerp!C416)</f>
        <v>126,103945.401198747,489276.03473199</v>
      </c>
      <c r="K127">
        <f>Ontwerp!A416</f>
        <v>126</v>
      </c>
      <c r="L127">
        <f>Ontwerp!B416</f>
        <v>103945.40119874704</v>
      </c>
      <c r="M127">
        <f>Ontwerp!C416</f>
        <v>489276.03473198967</v>
      </c>
    </row>
    <row r="128" spans="1:13" x14ac:dyDescent="0.2">
      <c r="A128" t="str">
        <f>IF(Ontwerp!A417="","",Ontwerp!A417&amp;","&amp;Ontwerp!B417&amp;","&amp;Ontwerp!C417)</f>
        <v>127,103945.788880059,489275.926672298</v>
      </c>
      <c r="K128">
        <f>Ontwerp!A417</f>
        <v>127</v>
      </c>
      <c r="L128">
        <f>Ontwerp!B417</f>
        <v>103945.78888005912</v>
      </c>
      <c r="M128">
        <f>Ontwerp!C417</f>
        <v>489275.92667229788</v>
      </c>
    </row>
    <row r="129" spans="1:13" x14ac:dyDescent="0.2">
      <c r="A129" t="str">
        <f>IF(Ontwerp!A418="","",Ontwerp!A418&amp;","&amp;Ontwerp!B418&amp;","&amp;Ontwerp!C418)</f>
        <v>128,103946.176561371,489275.818612606</v>
      </c>
      <c r="K129">
        <f>Ontwerp!A418</f>
        <v>128</v>
      </c>
      <c r="L129">
        <f>Ontwerp!B418</f>
        <v>103946.17656137119</v>
      </c>
      <c r="M129">
        <f>Ontwerp!C418</f>
        <v>489275.81861260609</v>
      </c>
    </row>
    <row r="130" spans="1:13" x14ac:dyDescent="0.2">
      <c r="A130" t="str">
        <f>IF(Ontwerp!A419="","",Ontwerp!A419&amp;","&amp;Ontwerp!B419&amp;","&amp;Ontwerp!C419)</f>
        <v>129,103946.564242683,489275.710552914</v>
      </c>
      <c r="K130">
        <f>Ontwerp!A419</f>
        <v>129</v>
      </c>
      <c r="L130">
        <f>Ontwerp!B419</f>
        <v>103946.56424268326</v>
      </c>
      <c r="M130">
        <f>Ontwerp!C419</f>
        <v>489275.7105529143</v>
      </c>
    </row>
    <row r="131" spans="1:13" x14ac:dyDescent="0.2">
      <c r="A131" t="str">
        <f>IF(Ontwerp!A420="","",Ontwerp!A420&amp;","&amp;Ontwerp!B420&amp;","&amp;Ontwerp!C420)</f>
        <v>130,103946.951923995,489275.602493222</v>
      </c>
      <c r="K131">
        <f>Ontwerp!A420</f>
        <v>130</v>
      </c>
      <c r="L131">
        <f>Ontwerp!B420</f>
        <v>103946.95192399532</v>
      </c>
      <c r="M131">
        <f>Ontwerp!C420</f>
        <v>489275.60249322245</v>
      </c>
    </row>
    <row r="132" spans="1:13" x14ac:dyDescent="0.2">
      <c r="A132" t="str">
        <f>IF(Ontwerp!A421="","",Ontwerp!A421&amp;","&amp;Ontwerp!B421&amp;","&amp;Ontwerp!C421)</f>
        <v>131,103947.339605307,489275.494433531</v>
      </c>
      <c r="K132">
        <f>Ontwerp!A421</f>
        <v>131</v>
      </c>
      <c r="L132">
        <f>Ontwerp!B421</f>
        <v>103947.3396053074</v>
      </c>
      <c r="M132">
        <f>Ontwerp!C421</f>
        <v>489275.49443353066</v>
      </c>
    </row>
    <row r="133" spans="1:13" x14ac:dyDescent="0.2">
      <c r="A133" t="str">
        <f>IF(Ontwerp!A422="","",Ontwerp!A422&amp;","&amp;Ontwerp!B422&amp;","&amp;Ontwerp!C422)</f>
        <v>132,103947.732203344,489275.385577751</v>
      </c>
      <c r="K133">
        <f>Ontwerp!A422</f>
        <v>132</v>
      </c>
      <c r="L133">
        <f>Ontwerp!B422</f>
        <v>103947.73220334441</v>
      </c>
      <c r="M133">
        <f>Ontwerp!C422</f>
        <v>489275.38557775051</v>
      </c>
    </row>
    <row r="134" spans="1:13" x14ac:dyDescent="0.2">
      <c r="A134" t="str">
        <f>IF(Ontwerp!A423="","",Ontwerp!A423&amp;","&amp;Ontwerp!B423&amp;","&amp;Ontwerp!C423)</f>
        <v>133,103948.125095593,489275.277788693</v>
      </c>
      <c r="K134">
        <f>Ontwerp!A423</f>
        <v>133</v>
      </c>
      <c r="L134">
        <f>Ontwerp!B423</f>
        <v>103948.12509559251</v>
      </c>
      <c r="M134">
        <f>Ontwerp!C423</f>
        <v>489275.27778869303</v>
      </c>
    </row>
    <row r="135" spans="1:13" x14ac:dyDescent="0.2">
      <c r="A135" t="str">
        <f>IF(Ontwerp!A424="","",Ontwerp!A424&amp;","&amp;Ontwerp!B424&amp;","&amp;Ontwerp!C424)</f>
        <v>134,103948.518279153,489275.171067153</v>
      </c>
      <c r="K135">
        <f>Ontwerp!A424</f>
        <v>134</v>
      </c>
      <c r="L135">
        <f>Ontwerp!B424</f>
        <v>103948.51827915332</v>
      </c>
      <c r="M135">
        <f>Ontwerp!C424</f>
        <v>489275.17106715328</v>
      </c>
    </row>
    <row r="136" spans="1:13" x14ac:dyDescent="0.2">
      <c r="A136" t="str">
        <f>IF(Ontwerp!A425="","",Ontwerp!A425&amp;","&amp;Ontwerp!B425&amp;","&amp;Ontwerp!C425)</f>
        <v>135,103948.911751126,489275.065413919</v>
      </c>
      <c r="K136">
        <f>Ontwerp!A425</f>
        <v>135</v>
      </c>
      <c r="L136">
        <f>Ontwerp!B425</f>
        <v>103948.91175112632</v>
      </c>
      <c r="M136">
        <f>Ontwerp!C425</f>
        <v>489275.06541391864</v>
      </c>
    </row>
    <row r="137" spans="1:13" x14ac:dyDescent="0.2">
      <c r="A137" t="str">
        <f>IF(Ontwerp!A426="","",Ontwerp!A426&amp;","&amp;Ontwerp!B426&amp;","&amp;Ontwerp!C426)</f>
        <v>136,103949.305508609,489274.960829769</v>
      </c>
      <c r="K137">
        <f>Ontwerp!A426</f>
        <v>136</v>
      </c>
      <c r="L137">
        <f>Ontwerp!B426</f>
        <v>103949.30550860886</v>
      </c>
      <c r="M137">
        <f>Ontwerp!C426</f>
        <v>489274.9608297685</v>
      </c>
    </row>
    <row r="138" spans="1:13" x14ac:dyDescent="0.2">
      <c r="A138" t="str">
        <f>IF(Ontwerp!A427="","",Ontwerp!A427&amp;","&amp;Ontwerp!B427&amp;","&amp;Ontwerp!C427)</f>
        <v>137,103949.699548696,489274.857315474</v>
      </c>
      <c r="K138">
        <f>Ontwerp!A427</f>
        <v>137</v>
      </c>
      <c r="L138">
        <f>Ontwerp!B427</f>
        <v>103949.69954869621</v>
      </c>
      <c r="M138">
        <f>Ontwerp!C427</f>
        <v>489274.85731547431</v>
      </c>
    </row>
    <row r="139" spans="1:13" x14ac:dyDescent="0.2">
      <c r="A139" t="str">
        <f>IF(Ontwerp!A428="","",Ontwerp!A428&amp;","&amp;Ontwerp!B428&amp;","&amp;Ontwerp!C428)</f>
        <v>138,103950.093868482,489274.7548718</v>
      </c>
      <c r="K139">
        <f>Ontwerp!A428</f>
        <v>138</v>
      </c>
      <c r="L139">
        <f>Ontwerp!B428</f>
        <v>103950.0938684815</v>
      </c>
      <c r="M139">
        <f>Ontwerp!C428</f>
        <v>489274.75487179979</v>
      </c>
    </row>
    <row r="140" spans="1:13" x14ac:dyDescent="0.2">
      <c r="A140" t="str">
        <f>IF(Ontwerp!A429="","",Ontwerp!A429&amp;","&amp;Ontwerp!B429&amp;","&amp;Ontwerp!C429)</f>
        <v>139,103950.488465056,489274.653499501</v>
      </c>
      <c r="K140">
        <f>Ontwerp!A429</f>
        <v>139</v>
      </c>
      <c r="L140">
        <f>Ontwerp!B429</f>
        <v>103950.48846505585</v>
      </c>
      <c r="M140">
        <f>Ontwerp!C429</f>
        <v>489274.65349950053</v>
      </c>
    </row>
    <row r="141" spans="1:13" x14ac:dyDescent="0.2">
      <c r="A141" t="str">
        <f>IF(Ontwerp!A430="","",Ontwerp!A430&amp;","&amp;Ontwerp!B430&amp;","&amp;Ontwerp!C430)</f>
        <v>140,103950.883335508,489274.553199325</v>
      </c>
      <c r="K141">
        <f>Ontwerp!A430</f>
        <v>140</v>
      </c>
      <c r="L141">
        <f>Ontwerp!B430</f>
        <v>103950.8833355083</v>
      </c>
      <c r="M141">
        <f>Ontwerp!C430</f>
        <v>489274.55319932452</v>
      </c>
    </row>
    <row r="142" spans="1:13" x14ac:dyDescent="0.2">
      <c r="A142" t="str">
        <f>IF(Ontwerp!A431="","",Ontwerp!A431&amp;","&amp;Ontwerp!B431&amp;","&amp;Ontwerp!C431)</f>
        <v>141,103951.278476926,489274.453972012</v>
      </c>
      <c r="K142">
        <f>Ontwerp!A431</f>
        <v>141</v>
      </c>
      <c r="L142">
        <f>Ontwerp!B431</f>
        <v>103951.2784769259</v>
      </c>
      <c r="M142">
        <f>Ontwerp!C431</f>
        <v>489274.45397201157</v>
      </c>
    </row>
    <row r="143" spans="1:13" x14ac:dyDescent="0.2">
      <c r="A143" t="str">
        <f>IF(Ontwerp!A432="","",Ontwerp!A432&amp;","&amp;Ontwerp!B432&amp;","&amp;Ontwerp!C432)</f>
        <v>142,103951.673886394,489274.355818294</v>
      </c>
      <c r="K143">
        <f>Ontwerp!A432</f>
        <v>142</v>
      </c>
      <c r="L143">
        <f>Ontwerp!B432</f>
        <v>103951.67388639368</v>
      </c>
      <c r="M143">
        <f>Ontwerp!C432</f>
        <v>489274.35581829376</v>
      </c>
    </row>
    <row r="144" spans="1:13" x14ac:dyDescent="0.2">
      <c r="A144" t="str">
        <f>IF(Ontwerp!A433="","",Ontwerp!A433&amp;","&amp;Ontwerp!B433&amp;","&amp;Ontwerp!C433)</f>
        <v>143,103952.069560995,489274.258738895</v>
      </c>
      <c r="K144">
        <f>Ontwerp!A433</f>
        <v>143</v>
      </c>
      <c r="L144">
        <f>Ontwerp!B433</f>
        <v>103952.06956099469</v>
      </c>
      <c r="M144">
        <f>Ontwerp!C433</f>
        <v>489274.25873889512</v>
      </c>
    </row>
    <row r="145" spans="1:13" x14ac:dyDescent="0.2">
      <c r="A145" t="str">
        <f>IF(Ontwerp!A434="","",Ontwerp!A434&amp;","&amp;Ontwerp!B434&amp;","&amp;Ontwerp!C434)</f>
        <v>144,103952.46549781,489274.162734532</v>
      </c>
      <c r="K145">
        <f>Ontwerp!A434</f>
        <v>144</v>
      </c>
      <c r="L145">
        <f>Ontwerp!B434</f>
        <v>103952.46549781004</v>
      </c>
      <c r="M145">
        <f>Ontwerp!C434</f>
        <v>489274.16273453174</v>
      </c>
    </row>
    <row r="146" spans="1:13" x14ac:dyDescent="0.2">
      <c r="A146" t="str">
        <f>IF(Ontwerp!A435="","",Ontwerp!A435&amp;","&amp;Ontwerp!B435&amp;","&amp;Ontwerp!C435)</f>
        <v>145,103952.861693919,489274.067805912</v>
      </c>
      <c r="K146">
        <f>Ontwerp!A435</f>
        <v>145</v>
      </c>
      <c r="L146">
        <f>Ontwerp!B435</f>
        <v>103952.86169391891</v>
      </c>
      <c r="M146">
        <f>Ontwerp!C435</f>
        <v>489274.067805912</v>
      </c>
    </row>
    <row r="147" spans="1:13" x14ac:dyDescent="0.2">
      <c r="A147" t="str">
        <f>IF(Ontwerp!A436="","",Ontwerp!A436&amp;","&amp;Ontwerp!B436&amp;","&amp;Ontwerp!C436)</f>
        <v>146,103953.258146399,489273.973953736</v>
      </c>
      <c r="K147">
        <f>Ontwerp!A436</f>
        <v>146</v>
      </c>
      <c r="L147">
        <f>Ontwerp!B436</f>
        <v>103953.25814639853</v>
      </c>
      <c r="M147">
        <f>Ontwerp!C436</f>
        <v>489273.97395373601</v>
      </c>
    </row>
    <row r="148" spans="1:13" x14ac:dyDescent="0.2">
      <c r="A148" t="str">
        <f>IF(Ontwerp!A437="","",Ontwerp!A437&amp;","&amp;Ontwerp!B437&amp;","&amp;Ontwerp!C437)</f>
        <v>147,103953.654852324,489273.881178696</v>
      </c>
      <c r="K148">
        <f>Ontwerp!A437</f>
        <v>147</v>
      </c>
      <c r="L148">
        <f>Ontwerp!B437</f>
        <v>103953.6548523243</v>
      </c>
      <c r="M148">
        <f>Ontwerp!C437</f>
        <v>489273.88117869629</v>
      </c>
    </row>
    <row r="149" spans="1:13" x14ac:dyDescent="0.2">
      <c r="A149" t="str">
        <f>IF(Ontwerp!A438="","",Ontwerp!A438&amp;","&amp;Ontwerp!B438&amp;","&amp;Ontwerp!C438)</f>
        <v>148,103954.05180877,489273.789481477</v>
      </c>
      <c r="K149">
        <f>Ontwerp!A438</f>
        <v>148</v>
      </c>
      <c r="L149">
        <f>Ontwerp!B438</f>
        <v>103954.05180876967</v>
      </c>
      <c r="M149">
        <f>Ontwerp!C438</f>
        <v>489273.78948147717</v>
      </c>
    </row>
    <row r="150" spans="1:13" x14ac:dyDescent="0.2">
      <c r="A150" t="str">
        <f>IF(Ontwerp!A439="","",Ontwerp!A439&amp;","&amp;Ontwerp!B439&amp;","&amp;Ontwerp!C439)</f>
        <v>149,103954.449012806,489273.698862755</v>
      </c>
      <c r="K150">
        <f>Ontwerp!A439</f>
        <v>149</v>
      </c>
      <c r="L150">
        <f>Ontwerp!B439</f>
        <v>103954.44901280633</v>
      </c>
      <c r="M150">
        <f>Ontwerp!C439</f>
        <v>489273.69886275509</v>
      </c>
    </row>
    <row r="151" spans="1:13" x14ac:dyDescent="0.2">
      <c r="A151" t="str">
        <f>IF(Ontwerp!A440="","",Ontwerp!A440&amp;","&amp;Ontwerp!B440&amp;","&amp;Ontwerp!C440)</f>
        <v>150,103954.846461504,489273.609323198</v>
      </c>
      <c r="K151">
        <f>Ontwerp!A440</f>
        <v>150</v>
      </c>
      <c r="L151">
        <f>Ontwerp!B440</f>
        <v>103954.84646150409</v>
      </c>
      <c r="M151">
        <f>Ontwerp!C440</f>
        <v>489273.6093231985</v>
      </c>
    </row>
    <row r="152" spans="1:13" x14ac:dyDescent="0.2">
      <c r="A152" t="str">
        <f>IF(Ontwerp!A441="","",Ontwerp!A441&amp;","&amp;Ontwerp!B441&amp;","&amp;Ontwerp!C441)</f>
        <v>151,103955.244151931,489273.520863468</v>
      </c>
      <c r="K152">
        <f>Ontwerp!A441</f>
        <v>151</v>
      </c>
      <c r="L152">
        <f>Ontwerp!B441</f>
        <v>103955.24415193095</v>
      </c>
      <c r="M152">
        <f>Ontwerp!C441</f>
        <v>489273.52086346806</v>
      </c>
    </row>
    <row r="153" spans="1:13" x14ac:dyDescent="0.2">
      <c r="A153" t="str">
        <f>IF(Ontwerp!A442="","",Ontwerp!A442&amp;","&amp;Ontwerp!B442&amp;","&amp;Ontwerp!C442)</f>
        <v>152,103955.642081153,489273.433484216</v>
      </c>
      <c r="K153">
        <f>Ontwerp!A442</f>
        <v>152</v>
      </c>
      <c r="L153">
        <f>Ontwerp!B442</f>
        <v>103955.64208115314</v>
      </c>
      <c r="M153">
        <f>Ontwerp!C442</f>
        <v>489273.43348421622</v>
      </c>
    </row>
    <row r="154" spans="1:13" x14ac:dyDescent="0.2">
      <c r="A154" t="str">
        <f>IF(Ontwerp!A443="","",Ontwerp!A443&amp;","&amp;Ontwerp!B443&amp;","&amp;Ontwerp!C443)</f>
        <v>153,103956.040246235,489273.347186088</v>
      </c>
      <c r="K154">
        <f>Ontwerp!A443</f>
        <v>153</v>
      </c>
      <c r="L154">
        <f>Ontwerp!B443</f>
        <v>103956.04024623516</v>
      </c>
      <c r="M154">
        <f>Ontwerp!C443</f>
        <v>489273.34718608763</v>
      </c>
    </row>
    <row r="155" spans="1:13" x14ac:dyDescent="0.2">
      <c r="A155" t="str">
        <f>IF(Ontwerp!A444="","",Ontwerp!A444&amp;","&amp;Ontwerp!B444&amp;","&amp;Ontwerp!C444)</f>
        <v>154,103956.43864424,489273.261969719</v>
      </c>
      <c r="K155">
        <f>Ontwerp!A444</f>
        <v>154</v>
      </c>
      <c r="L155">
        <f>Ontwerp!B444</f>
        <v>103956.43864423972</v>
      </c>
      <c r="M155">
        <f>Ontwerp!C444</f>
        <v>489273.26196971891</v>
      </c>
    </row>
    <row r="156" spans="1:13" x14ac:dyDescent="0.2">
      <c r="A156" t="str">
        <f>IF(Ontwerp!A445="","",Ontwerp!A445&amp;","&amp;Ontwerp!B445&amp;","&amp;Ontwerp!C445)</f>
        <v>155,103956.837272228,489273.177835739</v>
      </c>
    </row>
    <row r="157" spans="1:13" x14ac:dyDescent="0.2">
      <c r="A157" t="str">
        <f>IF(Ontwerp!A446="","",Ontwerp!A446&amp;","&amp;Ontwerp!B446&amp;","&amp;Ontwerp!C446)</f>
        <v>156,103957.236127259,489273.094784768</v>
      </c>
    </row>
    <row r="158" spans="1:13" x14ac:dyDescent="0.2">
      <c r="A158" t="str">
        <f>IF(Ontwerp!A447="","",Ontwerp!A447&amp;","&amp;Ontwerp!B447&amp;","&amp;Ontwerp!C447)</f>
        <v>157,103957.63520639,489273.012817418</v>
      </c>
    </row>
    <row r="159" spans="1:13" x14ac:dyDescent="0.2">
      <c r="A159" t="str">
        <f>IF(Ontwerp!A448="","",Ontwerp!A448&amp;","&amp;Ontwerp!B448&amp;","&amp;Ontwerp!C448)</f>
        <v>158,103958.034506678,489272.931934296</v>
      </c>
    </row>
    <row r="160" spans="1:13" x14ac:dyDescent="0.2">
      <c r="A160" t="str">
        <f>IF(Ontwerp!A449="","",Ontwerp!A449&amp;","&amp;Ontwerp!B449&amp;","&amp;Ontwerp!C449)</f>
        <v>159,103958.434025177,489272.852135996</v>
      </c>
    </row>
    <row r="161" spans="1:1" x14ac:dyDescent="0.2">
      <c r="A161" t="str">
        <f>IF(Ontwerp!A450="","",Ontwerp!A450&amp;","&amp;Ontwerp!B450&amp;","&amp;Ontwerp!C450)</f>
        <v>160,103958.83375894,489272.773423109</v>
      </c>
    </row>
    <row r="162" spans="1:1" x14ac:dyDescent="0.2">
      <c r="A162" t="str">
        <f>IF(Ontwerp!A451="","",Ontwerp!A451&amp;","&amp;Ontwerp!B451&amp;","&amp;Ontwerp!C451)</f>
        <v>161,103959.233705017,489272.695796214</v>
      </c>
    </row>
    <row r="163" spans="1:1" x14ac:dyDescent="0.2">
      <c r="A163" t="str">
        <f>IF(Ontwerp!A452="","",Ontwerp!A452&amp;","&amp;Ontwerp!B452&amp;","&amp;Ontwerp!C452)</f>
        <v>162,103959.633860458,489272.619255884</v>
      </c>
    </row>
    <row r="164" spans="1:1" x14ac:dyDescent="0.2">
      <c r="A164" t="str">
        <f>IF(Ontwerp!A453="","",Ontwerp!A453&amp;","&amp;Ontwerp!B453&amp;","&amp;Ontwerp!C453)</f>
        <v>163,103960.034222312,489272.543802683</v>
      </c>
    </row>
    <row r="165" spans="1:1" x14ac:dyDescent="0.2">
      <c r="A165" t="str">
        <f>IF(Ontwerp!A454="","",Ontwerp!A454&amp;","&amp;Ontwerp!B454&amp;","&amp;Ontwerp!C454)</f>
        <v>164,103960.434787625,489272.46943717</v>
      </c>
    </row>
    <row r="166" spans="1:1" x14ac:dyDescent="0.2">
      <c r="A166" t="str">
        <f>IF(Ontwerp!A455="","",Ontwerp!A455&amp;","&amp;Ontwerp!B455&amp;","&amp;Ontwerp!C455)</f>
        <v>165,103960.835553442,489272.396159891</v>
      </c>
    </row>
    <row r="167" spans="1:1" x14ac:dyDescent="0.2">
      <c r="A167" t="str">
        <f>IF(Ontwerp!A456="","",Ontwerp!A456&amp;","&amp;Ontwerp!B456&amp;","&amp;Ontwerp!C456)</f>
        <v>166,103961.229498103,489272.324682553</v>
      </c>
    </row>
    <row r="168" spans="1:1" x14ac:dyDescent="0.2">
      <c r="A168" t="str">
        <f>IF(Ontwerp!A457="","",Ontwerp!A457&amp;","&amp;Ontwerp!B457&amp;","&amp;Ontwerp!C457)</f>
        <v>167,103961.623442763,489272.253205214</v>
      </c>
    </row>
    <row r="169" spans="1:1" x14ac:dyDescent="0.2">
      <c r="A169" t="str">
        <f>IF(Ontwerp!A458="","",Ontwerp!A458&amp;","&amp;Ontwerp!B458&amp;","&amp;Ontwerp!C458)</f>
        <v>168,103962.017387424,489272.181727876</v>
      </c>
    </row>
    <row r="170" spans="1:1" x14ac:dyDescent="0.2">
      <c r="A170" t="str">
        <f>IF(Ontwerp!A459="","",Ontwerp!A459&amp;","&amp;Ontwerp!B459&amp;","&amp;Ontwerp!C459)</f>
        <v>169,103962.411332085,489272.110250537</v>
      </c>
    </row>
    <row r="171" spans="1:1" x14ac:dyDescent="0.2">
      <c r="A171" t="str">
        <f>IF(Ontwerp!A460="","",Ontwerp!A460&amp;","&amp;Ontwerp!B460&amp;","&amp;Ontwerp!C460)</f>
        <v>170,103962.805276745,489272.038773199</v>
      </c>
    </row>
    <row r="172" spans="1:1" x14ac:dyDescent="0.2">
      <c r="A172" t="str">
        <f>IF(Ontwerp!A461="","",Ontwerp!A461&amp;","&amp;Ontwerp!B461&amp;","&amp;Ontwerp!C461)</f>
        <v>171,103963.199221406,489271.967295861</v>
      </c>
    </row>
    <row r="173" spans="1:1" x14ac:dyDescent="0.2">
      <c r="A173" t="str">
        <f>IF(Ontwerp!A462="","",Ontwerp!A462&amp;","&amp;Ontwerp!B462&amp;","&amp;Ontwerp!C462)</f>
        <v>172,103963.593166067,489271.895818522</v>
      </c>
    </row>
    <row r="174" spans="1:1" x14ac:dyDescent="0.2">
      <c r="A174" t="str">
        <f>IF(Ontwerp!A463="","",Ontwerp!A463&amp;","&amp;Ontwerp!B463&amp;","&amp;Ontwerp!C463)</f>
        <v>173,103963.987110727,489271.824341184</v>
      </c>
    </row>
    <row r="175" spans="1:1" x14ac:dyDescent="0.2">
      <c r="A175" t="str">
        <f>IF(Ontwerp!A464="","",Ontwerp!A464&amp;","&amp;Ontwerp!B464&amp;","&amp;Ontwerp!C464)</f>
        <v>174,103964.381055388,489271.752863845</v>
      </c>
    </row>
    <row r="176" spans="1:1" x14ac:dyDescent="0.2">
      <c r="A176" t="str">
        <f>IF(Ontwerp!A465="","",Ontwerp!A465&amp;","&amp;Ontwerp!B465&amp;","&amp;Ontwerp!C465)</f>
        <v>175,103964.775000049,489271.681386507</v>
      </c>
    </row>
    <row r="177" spans="1:1" x14ac:dyDescent="0.2">
      <c r="A177" t="str">
        <f>IF(Ontwerp!A466="","",Ontwerp!A466&amp;","&amp;Ontwerp!B466&amp;","&amp;Ontwerp!C466)</f>
        <v>176,103965.168944709,489271.609909168</v>
      </c>
    </row>
    <row r="178" spans="1:1" x14ac:dyDescent="0.2">
      <c r="A178" t="str">
        <f>IF(Ontwerp!A467="","",Ontwerp!A467&amp;","&amp;Ontwerp!B467&amp;","&amp;Ontwerp!C467)</f>
        <v>177,103965.56288937,489271.53843183</v>
      </c>
    </row>
    <row r="179" spans="1:1" x14ac:dyDescent="0.2">
      <c r="A179" t="str">
        <f>IF(Ontwerp!A468="","",Ontwerp!A468&amp;","&amp;Ontwerp!B468&amp;","&amp;Ontwerp!C468)</f>
        <v>178,103965.956834031,489271.466954492</v>
      </c>
    </row>
    <row r="180" spans="1:1" x14ac:dyDescent="0.2">
      <c r="A180" t="str">
        <f>IF(Ontwerp!A469="","",Ontwerp!A469&amp;","&amp;Ontwerp!B469&amp;","&amp;Ontwerp!C469)</f>
        <v>179,103966.350778691,489271.395477153</v>
      </c>
    </row>
    <row r="181" spans="1:1" x14ac:dyDescent="0.2">
      <c r="A181" t="str">
        <f>IF(Ontwerp!A470="","",Ontwerp!A470&amp;","&amp;Ontwerp!B470&amp;","&amp;Ontwerp!C470)</f>
        <v>180,103966.744723352,489271.323999815</v>
      </c>
    </row>
    <row r="182" spans="1:1" x14ac:dyDescent="0.2">
      <c r="A182" t="str">
        <f>IF(Ontwerp!A471="","",Ontwerp!A471&amp;","&amp;Ontwerp!B471&amp;","&amp;Ontwerp!C471)</f>
        <v>181,103967.138668013,489271.252522476</v>
      </c>
    </row>
    <row r="183" spans="1:1" x14ac:dyDescent="0.2">
      <c r="A183" t="str">
        <f>IF(Ontwerp!A472="","",Ontwerp!A472&amp;","&amp;Ontwerp!B472&amp;","&amp;Ontwerp!C472)</f>
        <v>182,103967.532612673,489271.181045138</v>
      </c>
    </row>
    <row r="184" spans="1:1" x14ac:dyDescent="0.2">
      <c r="A184" t="str">
        <f>IF(Ontwerp!A473="","",Ontwerp!A473&amp;","&amp;Ontwerp!B473&amp;","&amp;Ontwerp!C473)</f>
        <v>183,103967.926557334,489271.109567799</v>
      </c>
    </row>
    <row r="185" spans="1:1" x14ac:dyDescent="0.2">
      <c r="A185" t="str">
        <f>IF(Ontwerp!A474="","",Ontwerp!A474&amp;","&amp;Ontwerp!B474&amp;","&amp;Ontwerp!C474)</f>
        <v>184,103968.320501995,489271.038090461</v>
      </c>
    </row>
    <row r="186" spans="1:1" x14ac:dyDescent="0.2">
      <c r="A186" t="str">
        <f>IF(Ontwerp!A475="","",Ontwerp!A475&amp;","&amp;Ontwerp!B475&amp;","&amp;Ontwerp!C475)</f>
        <v>185,103968.714446655,489270.966613123</v>
      </c>
    </row>
    <row r="187" spans="1:1" x14ac:dyDescent="0.2">
      <c r="A187" t="str">
        <f>IF(Ontwerp!A476="","",Ontwerp!A476&amp;","&amp;Ontwerp!B476&amp;","&amp;Ontwerp!C476)</f>
        <v>186,103969.108391316,489270.895135784</v>
      </c>
    </row>
    <row r="188" spans="1:1" x14ac:dyDescent="0.2">
      <c r="A188" t="str">
        <f>IF(Ontwerp!A477="","",Ontwerp!A477&amp;","&amp;Ontwerp!B477&amp;","&amp;Ontwerp!C477)</f>
        <v>187,103969.502335977,489270.823658446</v>
      </c>
    </row>
    <row r="189" spans="1:1" x14ac:dyDescent="0.2">
      <c r="A189" t="str">
        <f>IF(Ontwerp!A478="","",Ontwerp!A478&amp;","&amp;Ontwerp!B478&amp;","&amp;Ontwerp!C478)</f>
        <v>188,103969.896280637,489270.752181107</v>
      </c>
    </row>
    <row r="190" spans="1:1" x14ac:dyDescent="0.2">
      <c r="A190" t="str">
        <f>IF(Ontwerp!A479="","",Ontwerp!A479&amp;","&amp;Ontwerp!B479&amp;","&amp;Ontwerp!C479)</f>
        <v>189,103970.290225298,489270.680703769</v>
      </c>
    </row>
    <row r="191" spans="1:1" x14ac:dyDescent="0.2">
      <c r="A191" t="str">
        <f>IF(Ontwerp!A480="","",Ontwerp!A480&amp;","&amp;Ontwerp!B480&amp;","&amp;Ontwerp!C480)</f>
        <v>190,103970.684169959,489270.60922643</v>
      </c>
    </row>
    <row r="192" spans="1:1" x14ac:dyDescent="0.2">
      <c r="A192" t="str">
        <f>IF(Ontwerp!A481="","",Ontwerp!A481&amp;","&amp;Ontwerp!B481&amp;","&amp;Ontwerp!C481)</f>
        <v>191,103971.078114619,489270.537749092</v>
      </c>
    </row>
    <row r="193" spans="1:1" x14ac:dyDescent="0.2">
      <c r="A193" t="str">
        <f>IF(Ontwerp!A482="","",Ontwerp!A482&amp;","&amp;Ontwerp!B482&amp;","&amp;Ontwerp!C482)</f>
        <v>192,103971.47205928,489270.466271754</v>
      </c>
    </row>
    <row r="194" spans="1:1" x14ac:dyDescent="0.2">
      <c r="A194" t="str">
        <f>IF(Ontwerp!A483="","",Ontwerp!A483&amp;","&amp;Ontwerp!B483&amp;","&amp;Ontwerp!C483)</f>
        <v>193,103971.866003941,489270.394794415</v>
      </c>
    </row>
    <row r="195" spans="1:1" x14ac:dyDescent="0.2">
      <c r="A195" t="str">
        <f>IF(Ontwerp!A484="","",Ontwerp!A484&amp;","&amp;Ontwerp!B484&amp;","&amp;Ontwerp!C484)</f>
        <v>194,103972.259948601,489270.323317077</v>
      </c>
    </row>
    <row r="196" spans="1:1" x14ac:dyDescent="0.2">
      <c r="A196" t="str">
        <f>IF(Ontwerp!A485="","",Ontwerp!A485&amp;","&amp;Ontwerp!B485&amp;","&amp;Ontwerp!C485)</f>
        <v>195,103972.653893262,489270.251839738</v>
      </c>
    </row>
    <row r="197" spans="1:1" x14ac:dyDescent="0.2">
      <c r="A197" t="str">
        <f>IF(Ontwerp!A486="","",Ontwerp!A486&amp;","&amp;Ontwerp!B486&amp;","&amp;Ontwerp!C486)</f>
        <v>196,103973.047837923,489270.1803624</v>
      </c>
    </row>
    <row r="198" spans="1:1" x14ac:dyDescent="0.2">
      <c r="A198" t="str">
        <f>IF(Ontwerp!A487="","",Ontwerp!A487&amp;","&amp;Ontwerp!B487&amp;","&amp;Ontwerp!C487)</f>
        <v>197,103973.441782583,489270.108885061</v>
      </c>
    </row>
    <row r="199" spans="1:1" x14ac:dyDescent="0.2">
      <c r="A199" t="str">
        <f>IF(Ontwerp!A488="","",Ontwerp!A488&amp;","&amp;Ontwerp!B488&amp;","&amp;Ontwerp!C488)</f>
        <v>198,103973.835727244,489270.037407723</v>
      </c>
    </row>
    <row r="200" spans="1:1" x14ac:dyDescent="0.2">
      <c r="A200" t="str">
        <f>IF(Ontwerp!A489="","",Ontwerp!A489&amp;","&amp;Ontwerp!B489&amp;","&amp;Ontwerp!C489)</f>
        <v>199,103974.229671905,489269.965930385</v>
      </c>
    </row>
    <row r="201" spans="1:1" x14ac:dyDescent="0.2">
      <c r="A201" t="str">
        <f>IF(Ontwerp!A490="","",Ontwerp!A490&amp;","&amp;Ontwerp!B490&amp;","&amp;Ontwerp!C490)</f>
        <v>200,103974.623616565,489269.894453046</v>
      </c>
    </row>
    <row r="202" spans="1:1" x14ac:dyDescent="0.2">
      <c r="A202" t="str">
        <f>IF(Ontwerp!A491="","",Ontwerp!A491&amp;","&amp;Ontwerp!B491&amp;","&amp;Ontwerp!C491)</f>
        <v>201,103975.017561226,489269.822975708</v>
      </c>
    </row>
    <row r="203" spans="1:1" x14ac:dyDescent="0.2">
      <c r="A203" t="str">
        <f>IF(Ontwerp!A492="","",Ontwerp!A492&amp;","&amp;Ontwerp!B492&amp;","&amp;Ontwerp!C492)</f>
        <v>202,103975.411505887,489269.751498369</v>
      </c>
    </row>
    <row r="204" spans="1:1" x14ac:dyDescent="0.2">
      <c r="A204" t="str">
        <f>IF(Ontwerp!A493="","",Ontwerp!A493&amp;","&amp;Ontwerp!B493&amp;","&amp;Ontwerp!C493)</f>
        <v>203,103975.805450547,489269.680021031</v>
      </c>
    </row>
    <row r="205" spans="1:1" x14ac:dyDescent="0.2">
      <c r="A205" t="str">
        <f>IF(Ontwerp!A494="","",Ontwerp!A494&amp;","&amp;Ontwerp!B494&amp;","&amp;Ontwerp!C494)</f>
        <v>204,103976.199395208,489269.608543692</v>
      </c>
    </row>
    <row r="206" spans="1:1" x14ac:dyDescent="0.2">
      <c r="A206" t="str">
        <f>IF(Ontwerp!A495="","",Ontwerp!A495&amp;","&amp;Ontwerp!B495&amp;","&amp;Ontwerp!C495)</f>
        <v>205,103976.593339869,489269.537066354</v>
      </c>
    </row>
    <row r="207" spans="1:1" x14ac:dyDescent="0.2">
      <c r="A207" t="str">
        <f>IF(Ontwerp!A496="","",Ontwerp!A496&amp;","&amp;Ontwerp!B496&amp;","&amp;Ontwerp!C496)</f>
        <v>206,103976.987284529,489269.465589016</v>
      </c>
    </row>
    <row r="208" spans="1:1" x14ac:dyDescent="0.2">
      <c r="A208" t="str">
        <f>IF(Ontwerp!A497="","",Ontwerp!A497&amp;","&amp;Ontwerp!B497&amp;","&amp;Ontwerp!C497)</f>
        <v>207,103977.38122919,489269.394111677</v>
      </c>
    </row>
    <row r="209" spans="1:1" x14ac:dyDescent="0.2">
      <c r="A209" t="str">
        <f>IF(Ontwerp!A498="","",Ontwerp!A498&amp;","&amp;Ontwerp!B498&amp;","&amp;Ontwerp!C498)</f>
        <v>208,103977.775173851,489269.322634339</v>
      </c>
    </row>
    <row r="210" spans="1:1" x14ac:dyDescent="0.2">
      <c r="A210" t="str">
        <f>IF(Ontwerp!A499="","",Ontwerp!A499&amp;","&amp;Ontwerp!B499&amp;","&amp;Ontwerp!C499)</f>
        <v>209,103978.169118511,489269.251157</v>
      </c>
    </row>
    <row r="211" spans="1:1" x14ac:dyDescent="0.2">
      <c r="A211" t="str">
        <f>IF(Ontwerp!A500="","",Ontwerp!A500&amp;","&amp;Ontwerp!B500&amp;","&amp;Ontwerp!C500)</f>
        <v>210,103978.563063172,489269.179679662</v>
      </c>
    </row>
    <row r="212" spans="1:1" x14ac:dyDescent="0.2">
      <c r="A212" t="str">
        <f>IF(Ontwerp!A501="","",Ontwerp!A501&amp;","&amp;Ontwerp!B501&amp;","&amp;Ontwerp!C501)</f>
        <v>211,103978.957007833,489269.108202323</v>
      </c>
    </row>
    <row r="213" spans="1:1" x14ac:dyDescent="0.2">
      <c r="A213" t="str">
        <f>IF(Ontwerp!A502="","",Ontwerp!A502&amp;","&amp;Ontwerp!B502&amp;","&amp;Ontwerp!C502)</f>
        <v>212,103979.350952493,489269.036724985</v>
      </c>
    </row>
    <row r="214" spans="1:1" x14ac:dyDescent="0.2">
      <c r="A214" t="str">
        <f>IF(Ontwerp!A503="","",Ontwerp!A503&amp;","&amp;Ontwerp!B503&amp;","&amp;Ontwerp!C503)</f>
        <v>213,103979.744897154,489268.965247647</v>
      </c>
    </row>
    <row r="215" spans="1:1" x14ac:dyDescent="0.2">
      <c r="A215" t="str">
        <f>IF(Ontwerp!A504="","",Ontwerp!A504&amp;","&amp;Ontwerp!B504&amp;","&amp;Ontwerp!C504)</f>
        <v>214,103980.138841815,489268.893770308</v>
      </c>
    </row>
    <row r="216" spans="1:1" x14ac:dyDescent="0.2">
      <c r="A216" t="str">
        <f>IF(Ontwerp!A505="","",Ontwerp!A505&amp;","&amp;Ontwerp!B505&amp;","&amp;Ontwerp!C505)</f>
        <v>215,103980.532786475,489268.82229297</v>
      </c>
    </row>
    <row r="217" spans="1:1" x14ac:dyDescent="0.2">
      <c r="A217" t="str">
        <f>IF(Ontwerp!A506="","",Ontwerp!A506&amp;","&amp;Ontwerp!B506&amp;","&amp;Ontwerp!C506)</f>
        <v>216,103980.926731136,489268.750815631</v>
      </c>
    </row>
    <row r="218" spans="1:1" x14ac:dyDescent="0.2">
      <c r="A218" t="str">
        <f>IF(Ontwerp!A507="","",Ontwerp!A507&amp;","&amp;Ontwerp!B507&amp;","&amp;Ontwerp!C507)</f>
        <v>217,103981.320675797,489268.679338293</v>
      </c>
    </row>
    <row r="219" spans="1:1" x14ac:dyDescent="0.2">
      <c r="A219" t="str">
        <f>IF(Ontwerp!A508="","",Ontwerp!A508&amp;","&amp;Ontwerp!B508&amp;","&amp;Ontwerp!C508)</f>
        <v>218,103981.714620457,489268.607860954</v>
      </c>
    </row>
    <row r="220" spans="1:1" x14ac:dyDescent="0.2">
      <c r="A220" t="str">
        <f>IF(Ontwerp!A509="","",Ontwerp!A509&amp;","&amp;Ontwerp!B509&amp;","&amp;Ontwerp!C509)</f>
        <v>219,103982.108565118,489268.536383616</v>
      </c>
    </row>
    <row r="221" spans="1:1" x14ac:dyDescent="0.2">
      <c r="A221" t="str">
        <f>IF(Ontwerp!A510="","",Ontwerp!A510&amp;","&amp;Ontwerp!B510&amp;","&amp;Ontwerp!C510)</f>
        <v>220,103982.502509779,489268.464906278</v>
      </c>
    </row>
    <row r="222" spans="1:1" x14ac:dyDescent="0.2">
      <c r="A222" t="str">
        <f>IF(Ontwerp!A511="","",Ontwerp!A511&amp;","&amp;Ontwerp!B511&amp;","&amp;Ontwerp!C511)</f>
        <v>221,103982.896454439,489268.393428939</v>
      </c>
    </row>
    <row r="223" spans="1:1" x14ac:dyDescent="0.2">
      <c r="A223" t="str">
        <f>IF(Ontwerp!A512="","",Ontwerp!A512&amp;","&amp;Ontwerp!B512&amp;","&amp;Ontwerp!C512)</f>
        <v>222,103983.2903991,489268.321951601</v>
      </c>
    </row>
    <row r="224" spans="1:1" x14ac:dyDescent="0.2">
      <c r="A224" t="str">
        <f>IF(Ontwerp!A513="","",Ontwerp!A513&amp;","&amp;Ontwerp!B513&amp;","&amp;Ontwerp!C513)</f>
        <v>223,103983.68434376,489268.250474262</v>
      </c>
    </row>
    <row r="225" spans="1:1" x14ac:dyDescent="0.2">
      <c r="A225" t="str">
        <f>IF(Ontwerp!A514="","",Ontwerp!A514&amp;","&amp;Ontwerp!B514&amp;","&amp;Ontwerp!C514)</f>
        <v>224,103984.078288421,489268.178996924</v>
      </c>
    </row>
    <row r="226" spans="1:1" x14ac:dyDescent="0.2">
      <c r="A226" t="str">
        <f>IF(Ontwerp!A515="","",Ontwerp!A515&amp;","&amp;Ontwerp!B515&amp;","&amp;Ontwerp!C515)</f>
        <v>225,103984.472233082,489268.107519585</v>
      </c>
    </row>
    <row r="227" spans="1:1" x14ac:dyDescent="0.2">
      <c r="A227" t="str">
        <f>IF(Ontwerp!A516="","",Ontwerp!A516&amp;","&amp;Ontwerp!B516&amp;","&amp;Ontwerp!C516)</f>
        <v>226,103984.866177742,489268.036042247</v>
      </c>
    </row>
    <row r="228" spans="1:1" x14ac:dyDescent="0.2">
      <c r="A228" t="str">
        <f>IF(Ontwerp!A517="","",Ontwerp!A517&amp;","&amp;Ontwerp!B517&amp;","&amp;Ontwerp!C517)</f>
        <v>227,103985.260122403,489267.964564909</v>
      </c>
    </row>
    <row r="229" spans="1:1" x14ac:dyDescent="0.2">
      <c r="A229" t="str">
        <f>IF(Ontwerp!A518="","",Ontwerp!A518&amp;","&amp;Ontwerp!B518&amp;","&amp;Ontwerp!C518)</f>
        <v>228,103985.654067064,489267.89308757</v>
      </c>
    </row>
    <row r="230" spans="1:1" x14ac:dyDescent="0.2">
      <c r="A230" t="str">
        <f>IF(Ontwerp!A519="","",Ontwerp!A519&amp;","&amp;Ontwerp!B519&amp;","&amp;Ontwerp!C519)</f>
        <v>229,103986.048011724,489267.821610232</v>
      </c>
    </row>
    <row r="231" spans="1:1" x14ac:dyDescent="0.2">
      <c r="A231" t="str">
        <f>IF(Ontwerp!A520="","",Ontwerp!A520&amp;","&amp;Ontwerp!B520&amp;","&amp;Ontwerp!C520)</f>
        <v>230,103986.441956385,489267.750132893</v>
      </c>
    </row>
    <row r="232" spans="1:1" x14ac:dyDescent="0.2">
      <c r="A232" t="str">
        <f>IF(Ontwerp!A521="","",Ontwerp!A521&amp;","&amp;Ontwerp!B521&amp;","&amp;Ontwerp!C521)</f>
        <v>231,103986.835901046,489267.678655555</v>
      </c>
    </row>
    <row r="233" spans="1:1" x14ac:dyDescent="0.2">
      <c r="A233" t="str">
        <f>IF(Ontwerp!A522="","",Ontwerp!A522&amp;","&amp;Ontwerp!B522&amp;","&amp;Ontwerp!C522)</f>
        <v>232,103987.229845706,489267.607178216</v>
      </c>
    </row>
    <row r="234" spans="1:1" x14ac:dyDescent="0.2">
      <c r="A234" t="str">
        <f>IF(Ontwerp!A523="","",Ontwerp!A523&amp;","&amp;Ontwerp!B523&amp;","&amp;Ontwerp!C523)</f>
        <v>233,103987.623790367,489267.535700878</v>
      </c>
    </row>
    <row r="235" spans="1:1" x14ac:dyDescent="0.2">
      <c r="A235" t="str">
        <f>IF(Ontwerp!A524="","",Ontwerp!A524&amp;","&amp;Ontwerp!B524&amp;","&amp;Ontwerp!C524)</f>
        <v>234,103988.017735028,489267.46422354</v>
      </c>
    </row>
    <row r="236" spans="1:1" x14ac:dyDescent="0.2">
      <c r="A236" t="str">
        <f>IF(Ontwerp!A525="","",Ontwerp!A525&amp;","&amp;Ontwerp!B525&amp;","&amp;Ontwerp!C525)</f>
        <v>235,103988.411679688,489267.392746201</v>
      </c>
    </row>
    <row r="237" spans="1:1" x14ac:dyDescent="0.2">
      <c r="A237" t="str">
        <f>IF(Ontwerp!A526="","",Ontwerp!A526&amp;","&amp;Ontwerp!B526&amp;","&amp;Ontwerp!C526)</f>
        <v>236,103988.805624349,489267.321268863</v>
      </c>
    </row>
    <row r="238" spans="1:1" x14ac:dyDescent="0.2">
      <c r="A238" t="str">
        <f>IF(Ontwerp!A527="","",Ontwerp!A527&amp;","&amp;Ontwerp!B527&amp;","&amp;Ontwerp!C527)</f>
        <v>237,103989.19956901,489267.249791524</v>
      </c>
    </row>
    <row r="239" spans="1:1" x14ac:dyDescent="0.2">
      <c r="A239" t="str">
        <f>IF(Ontwerp!A528="","",Ontwerp!A528&amp;","&amp;Ontwerp!B528&amp;","&amp;Ontwerp!C528)</f>
        <v>238,103989.59351367,489267.178314186</v>
      </c>
    </row>
    <row r="240" spans="1:1" x14ac:dyDescent="0.2">
      <c r="A240" t="str">
        <f>IF(Ontwerp!A529="","",Ontwerp!A529&amp;","&amp;Ontwerp!B529&amp;","&amp;Ontwerp!C529)</f>
        <v>239,103989.987458331,489267.106836847</v>
      </c>
    </row>
    <row r="241" spans="1:1" x14ac:dyDescent="0.2">
      <c r="A241" t="str">
        <f>IF(Ontwerp!A530="","",Ontwerp!A530&amp;","&amp;Ontwerp!B530&amp;","&amp;Ontwerp!C530)</f>
        <v>240,103990.381402992,489267.035359509</v>
      </c>
    </row>
    <row r="242" spans="1:1" x14ac:dyDescent="0.2">
      <c r="A242" t="str">
        <f>IF(Ontwerp!A531="","",Ontwerp!A531&amp;","&amp;Ontwerp!B531&amp;","&amp;Ontwerp!C531)</f>
        <v>241,103990.775347652,489266.963882171</v>
      </c>
    </row>
    <row r="243" spans="1:1" x14ac:dyDescent="0.2">
      <c r="A243" t="str">
        <f>IF(Ontwerp!A532="","",Ontwerp!A532&amp;","&amp;Ontwerp!B532&amp;","&amp;Ontwerp!C532)</f>
        <v>242,103991.169292313,489266.892404832</v>
      </c>
    </row>
    <row r="244" spans="1:1" x14ac:dyDescent="0.2">
      <c r="A244" t="str">
        <f>IF(Ontwerp!A533="","",Ontwerp!A533&amp;","&amp;Ontwerp!B533&amp;","&amp;Ontwerp!C533)</f>
        <v>243,103991.563236974,489266.820927494</v>
      </c>
    </row>
    <row r="245" spans="1:1" x14ac:dyDescent="0.2">
      <c r="A245" t="str">
        <f>IF(Ontwerp!A534="","",Ontwerp!A534&amp;","&amp;Ontwerp!B534&amp;","&amp;Ontwerp!C534)</f>
        <v>244,103991.957181634,489266.749450155</v>
      </c>
    </row>
    <row r="246" spans="1:1" x14ac:dyDescent="0.2">
      <c r="A246" t="str">
        <f>IF(Ontwerp!A535="","",Ontwerp!A535&amp;","&amp;Ontwerp!B535&amp;","&amp;Ontwerp!C535)</f>
        <v>245,103992.351126295,489266.677972817</v>
      </c>
    </row>
    <row r="247" spans="1:1" x14ac:dyDescent="0.2">
      <c r="A247" t="str">
        <f>IF(Ontwerp!A536="","",Ontwerp!A536&amp;","&amp;Ontwerp!B536&amp;","&amp;Ontwerp!C536)</f>
        <v>246,103992.745070956,489266.606495478</v>
      </c>
    </row>
    <row r="248" spans="1:1" x14ac:dyDescent="0.2">
      <c r="A248" t="str">
        <f>IF(Ontwerp!A537="","",Ontwerp!A537&amp;","&amp;Ontwerp!B537&amp;","&amp;Ontwerp!C537)</f>
        <v>247,103993.139015616,489266.53501814</v>
      </c>
    </row>
    <row r="249" spans="1:1" x14ac:dyDescent="0.2">
      <c r="A249" t="str">
        <f>IF(Ontwerp!A538="","",Ontwerp!A538&amp;","&amp;Ontwerp!B538&amp;","&amp;Ontwerp!C538)</f>
        <v>248,103993.532960277,489266.463540802</v>
      </c>
    </row>
    <row r="250" spans="1:1" x14ac:dyDescent="0.2">
      <c r="A250" t="str">
        <f>IF(Ontwerp!A539="","",Ontwerp!A539&amp;","&amp;Ontwerp!B539&amp;","&amp;Ontwerp!C539)</f>
        <v>249,103993.926904938,489266.392063463</v>
      </c>
    </row>
    <row r="251" spans="1:1" x14ac:dyDescent="0.2">
      <c r="A251" t="str">
        <f>IF(Ontwerp!A540="","",Ontwerp!A540&amp;","&amp;Ontwerp!B540&amp;","&amp;Ontwerp!C540)</f>
        <v>250,103994.320849598,489266.320586125</v>
      </c>
    </row>
    <row r="252" spans="1:1" x14ac:dyDescent="0.2">
      <c r="A252" t="str">
        <f>IF(Ontwerp!A541="","",Ontwerp!A541&amp;","&amp;Ontwerp!B541&amp;","&amp;Ontwerp!C541)</f>
        <v>251,103994.714794259,489266.249108786</v>
      </c>
    </row>
    <row r="253" spans="1:1" x14ac:dyDescent="0.2">
      <c r="A253" t="str">
        <f>IF(Ontwerp!A542="","",Ontwerp!A542&amp;","&amp;Ontwerp!B542&amp;","&amp;Ontwerp!C542)</f>
        <v>252,103995.10873892,489266.177631448</v>
      </c>
    </row>
    <row r="254" spans="1:1" x14ac:dyDescent="0.2">
      <c r="A254" t="str">
        <f>IF(Ontwerp!A543="","",Ontwerp!A543&amp;","&amp;Ontwerp!B543&amp;","&amp;Ontwerp!C543)</f>
        <v>253,103995.50268358,489266.106154109</v>
      </c>
    </row>
    <row r="255" spans="1:1" x14ac:dyDescent="0.2">
      <c r="A255" t="str">
        <f>IF(Ontwerp!A544="","",Ontwerp!A544&amp;","&amp;Ontwerp!B544&amp;","&amp;Ontwerp!C544)</f>
        <v>254,103995.896628241,489266.034676771</v>
      </c>
    </row>
    <row r="256" spans="1:1" x14ac:dyDescent="0.2">
      <c r="A256" t="str">
        <f>IF(Ontwerp!A545="","",Ontwerp!A545&amp;","&amp;Ontwerp!B545&amp;","&amp;Ontwerp!C545)</f>
        <v>255,103996.290572902,489265.963199433</v>
      </c>
    </row>
    <row r="257" spans="1:1" x14ac:dyDescent="0.2">
      <c r="A257" t="str">
        <f>IF(Ontwerp!A546="","",Ontwerp!A546&amp;","&amp;Ontwerp!B546&amp;","&amp;Ontwerp!C546)</f>
        <v>256,103996.684517562,489265.891722094</v>
      </c>
    </row>
    <row r="258" spans="1:1" x14ac:dyDescent="0.2">
      <c r="A258" t="str">
        <f>IF(Ontwerp!A547="","",Ontwerp!A547&amp;","&amp;Ontwerp!B547&amp;","&amp;Ontwerp!C547)</f>
        <v>257,103997.078462223,489265.820244756</v>
      </c>
    </row>
    <row r="259" spans="1:1" x14ac:dyDescent="0.2">
      <c r="A259" t="str">
        <f>IF(Ontwerp!A548="","",Ontwerp!A548&amp;","&amp;Ontwerp!B548&amp;","&amp;Ontwerp!C548)</f>
        <v>258,103997.472406884,489265.748767417</v>
      </c>
    </row>
    <row r="260" spans="1:1" x14ac:dyDescent="0.2">
      <c r="A260" t="str">
        <f>IF(Ontwerp!A549="","",Ontwerp!A549&amp;","&amp;Ontwerp!B549&amp;","&amp;Ontwerp!C549)</f>
        <v>259,103997.866351544,489265.677290079</v>
      </c>
    </row>
    <row r="261" spans="1:1" x14ac:dyDescent="0.2">
      <c r="A261" t="str">
        <f>IF(Ontwerp!A550="","",Ontwerp!A550&amp;","&amp;Ontwerp!B550&amp;","&amp;Ontwerp!C550)</f>
        <v>260,103998.260296205,489265.60581274</v>
      </c>
    </row>
    <row r="262" spans="1:1" x14ac:dyDescent="0.2">
      <c r="A262" t="str">
        <f>IF(Ontwerp!A551="","",Ontwerp!A551&amp;","&amp;Ontwerp!B551&amp;","&amp;Ontwerp!C551)</f>
        <v>261,103998.654240866,489265.534335402</v>
      </c>
    </row>
    <row r="263" spans="1:1" x14ac:dyDescent="0.2">
      <c r="A263" t="str">
        <f>IF(Ontwerp!A552="","",Ontwerp!A552&amp;","&amp;Ontwerp!B552&amp;","&amp;Ontwerp!C552)</f>
        <v>262,103999.048185526,489265.462858064</v>
      </c>
    </row>
    <row r="264" spans="1:1" x14ac:dyDescent="0.2">
      <c r="A264" t="str">
        <f>IF(Ontwerp!A553="","",Ontwerp!A553&amp;","&amp;Ontwerp!B553&amp;","&amp;Ontwerp!C553)</f>
        <v>263,103999.442130187,489265.391380725</v>
      </c>
    </row>
    <row r="265" spans="1:1" x14ac:dyDescent="0.2">
      <c r="A265" t="str">
        <f>IF(Ontwerp!A554="","",Ontwerp!A554&amp;","&amp;Ontwerp!B554&amp;","&amp;Ontwerp!C554)</f>
        <v>264,103999.836074848,489265.319903387</v>
      </c>
    </row>
    <row r="266" spans="1:1" x14ac:dyDescent="0.2">
      <c r="A266" t="str">
        <f>IF(Ontwerp!A555="","",Ontwerp!A555&amp;","&amp;Ontwerp!B555&amp;","&amp;Ontwerp!C555)</f>
        <v>265,104000.230019508,489265.248426048</v>
      </c>
    </row>
    <row r="267" spans="1:1" x14ac:dyDescent="0.2">
      <c r="A267" t="str">
        <f>IF(Ontwerp!A556="","",Ontwerp!A556&amp;","&amp;Ontwerp!B556&amp;","&amp;Ontwerp!C556)</f>
        <v>266,104000.623964169,489265.17694871</v>
      </c>
    </row>
    <row r="268" spans="1:1" x14ac:dyDescent="0.2">
      <c r="A268" t="str">
        <f>IF(Ontwerp!A557="","",Ontwerp!A557&amp;","&amp;Ontwerp!B557&amp;","&amp;Ontwerp!C557)</f>
        <v>267,104001.01790883,489265.105471371</v>
      </c>
    </row>
    <row r="269" spans="1:1" x14ac:dyDescent="0.2">
      <c r="A269" t="str">
        <f>IF(Ontwerp!A558="","",Ontwerp!A558&amp;","&amp;Ontwerp!B558&amp;","&amp;Ontwerp!C558)</f>
        <v>268,104001.41185349,489265.033994033</v>
      </c>
    </row>
    <row r="270" spans="1:1" x14ac:dyDescent="0.2">
      <c r="A270" t="str">
        <f>IF(Ontwerp!A559="","",Ontwerp!A559&amp;","&amp;Ontwerp!B559&amp;","&amp;Ontwerp!C559)</f>
        <v>269,104001.805798151,489264.962516695</v>
      </c>
    </row>
    <row r="271" spans="1:1" x14ac:dyDescent="0.2">
      <c r="A271" t="str">
        <f>IF(Ontwerp!A560="","",Ontwerp!A560&amp;","&amp;Ontwerp!B560&amp;","&amp;Ontwerp!C560)</f>
        <v>270,104002.199742812,489264.891039356</v>
      </c>
    </row>
    <row r="272" spans="1:1" x14ac:dyDescent="0.2">
      <c r="A272" t="str">
        <f>IF(Ontwerp!A561="","",Ontwerp!A561&amp;","&amp;Ontwerp!B561&amp;","&amp;Ontwerp!C561)</f>
        <v>271,104002.593687472,489264.819562018</v>
      </c>
    </row>
    <row r="273" spans="1:1" x14ac:dyDescent="0.2">
      <c r="A273" t="str">
        <f>IF(Ontwerp!A562="","",Ontwerp!A562&amp;","&amp;Ontwerp!B562&amp;","&amp;Ontwerp!C562)</f>
        <v>272,104002.987632133,489264.748084679</v>
      </c>
    </row>
    <row r="274" spans="1:1" x14ac:dyDescent="0.2">
      <c r="A274" t="str">
        <f>IF(Ontwerp!A563="","",Ontwerp!A563&amp;","&amp;Ontwerp!B563&amp;","&amp;Ontwerp!C563)</f>
        <v>273,104003.381576794,489264.676607341</v>
      </c>
    </row>
    <row r="275" spans="1:1" x14ac:dyDescent="0.2">
      <c r="A275" t="str">
        <f>IF(Ontwerp!A564="","",Ontwerp!A564&amp;","&amp;Ontwerp!B564&amp;","&amp;Ontwerp!C564)</f>
        <v>274,104003.775521454,489264.605130002</v>
      </c>
    </row>
    <row r="276" spans="1:1" x14ac:dyDescent="0.2">
      <c r="A276" t="str">
        <f>IF(Ontwerp!A565="","",Ontwerp!A565&amp;","&amp;Ontwerp!B565&amp;","&amp;Ontwerp!C565)</f>
        <v>275,104004.169466115,489264.533652664</v>
      </c>
    </row>
    <row r="277" spans="1:1" x14ac:dyDescent="0.2">
      <c r="A277" t="str">
        <f>IF(Ontwerp!A566="","",Ontwerp!A566&amp;","&amp;Ontwerp!B566&amp;","&amp;Ontwerp!C566)</f>
        <v>276,104004.563410776,489264.462175326</v>
      </c>
    </row>
    <row r="278" spans="1:1" x14ac:dyDescent="0.2">
      <c r="A278" t="str">
        <f>IF(Ontwerp!A567="","",Ontwerp!A567&amp;","&amp;Ontwerp!B567&amp;","&amp;Ontwerp!C567)</f>
        <v>277,104004.957355436,489264.390697987</v>
      </c>
    </row>
    <row r="279" spans="1:1" x14ac:dyDescent="0.2">
      <c r="A279" t="str">
        <f>IF(Ontwerp!A568="","",Ontwerp!A568&amp;","&amp;Ontwerp!B568&amp;","&amp;Ontwerp!C568)</f>
        <v>278,104005.351300097,489264.319220649</v>
      </c>
    </row>
    <row r="280" spans="1:1" x14ac:dyDescent="0.2">
      <c r="A280" t="str">
        <f>IF(Ontwerp!A569="","",Ontwerp!A569&amp;","&amp;Ontwerp!B569&amp;","&amp;Ontwerp!C569)</f>
        <v>279,104005.745244757,489264.24774331</v>
      </c>
    </row>
    <row r="281" spans="1:1" x14ac:dyDescent="0.2">
      <c r="A281" t="str">
        <f>IF(Ontwerp!A570="","",Ontwerp!A570&amp;","&amp;Ontwerp!B570&amp;","&amp;Ontwerp!C570)</f>
        <v>280,104006.139189418,489264.176265972</v>
      </c>
    </row>
    <row r="282" spans="1:1" x14ac:dyDescent="0.2">
      <c r="A282" t="str">
        <f>IF(Ontwerp!A571="","",Ontwerp!A571&amp;","&amp;Ontwerp!B571&amp;","&amp;Ontwerp!C571)</f>
        <v>281,104006.533134079,489264.104788633</v>
      </c>
    </row>
    <row r="283" spans="1:1" x14ac:dyDescent="0.2">
      <c r="A283" t="str">
        <f>IF(Ontwerp!A572="","",Ontwerp!A572&amp;","&amp;Ontwerp!B572&amp;","&amp;Ontwerp!C572)</f>
        <v>282,104006.927078739,489264.033311295</v>
      </c>
    </row>
    <row r="284" spans="1:1" x14ac:dyDescent="0.2">
      <c r="A284" t="str">
        <f>IF(Ontwerp!A573="","",Ontwerp!A573&amp;","&amp;Ontwerp!B573&amp;","&amp;Ontwerp!C573)</f>
        <v>283,104007.3210234,489263.961833957</v>
      </c>
    </row>
    <row r="285" spans="1:1" x14ac:dyDescent="0.2">
      <c r="A285" t="str">
        <f>IF(Ontwerp!A574="","",Ontwerp!A574&amp;","&amp;Ontwerp!B574&amp;","&amp;Ontwerp!C574)</f>
        <v>284,104007.714968061,489263.890356618</v>
      </c>
    </row>
    <row r="286" spans="1:1" x14ac:dyDescent="0.2">
      <c r="A286" t="str">
        <f>IF(Ontwerp!A575="","",Ontwerp!A575&amp;","&amp;Ontwerp!B575&amp;","&amp;Ontwerp!C575)</f>
        <v>285,104008.108912721,489263.81887928</v>
      </c>
    </row>
    <row r="287" spans="1:1" x14ac:dyDescent="0.2">
      <c r="A287" t="str">
        <f>IF(Ontwerp!A576="","",Ontwerp!A576&amp;","&amp;Ontwerp!B576&amp;","&amp;Ontwerp!C576)</f>
        <v>286,104008.502857382,489263.747401941</v>
      </c>
    </row>
    <row r="288" spans="1:1" x14ac:dyDescent="0.2">
      <c r="A288" t="str">
        <f>IF(Ontwerp!A577="","",Ontwerp!A577&amp;","&amp;Ontwerp!B577&amp;","&amp;Ontwerp!C577)</f>
        <v>287,104008.896802043,489263.675924603</v>
      </c>
    </row>
    <row r="289" spans="1:1" x14ac:dyDescent="0.2">
      <c r="A289" t="str">
        <f>IF(Ontwerp!A578="","",Ontwerp!A578&amp;","&amp;Ontwerp!B578&amp;","&amp;Ontwerp!C578)</f>
        <v>288,104009.290746703,489263.604447264</v>
      </c>
    </row>
    <row r="290" spans="1:1" x14ac:dyDescent="0.2">
      <c r="A290" t="str">
        <f>IF(Ontwerp!A579="","",Ontwerp!A579&amp;","&amp;Ontwerp!B579&amp;","&amp;Ontwerp!C579)</f>
        <v>289,104009.684691364,489263.532969926</v>
      </c>
    </row>
    <row r="291" spans="1:1" x14ac:dyDescent="0.2">
      <c r="A291" t="str">
        <f>IF(Ontwerp!A580="","",Ontwerp!A580&amp;","&amp;Ontwerp!B580&amp;","&amp;Ontwerp!C580)</f>
        <v>290,104010.078636025,489263.461492588</v>
      </c>
    </row>
    <row r="292" spans="1:1" x14ac:dyDescent="0.2">
      <c r="A292" t="str">
        <f>IF(Ontwerp!A581="","",Ontwerp!A581&amp;","&amp;Ontwerp!B581&amp;","&amp;Ontwerp!C581)</f>
        <v>291,104010.472580685,489263.390015249</v>
      </c>
    </row>
    <row r="293" spans="1:1" x14ac:dyDescent="0.2">
      <c r="A293" t="str">
        <f>IF(Ontwerp!A582="","",Ontwerp!A582&amp;","&amp;Ontwerp!B582&amp;","&amp;Ontwerp!C582)</f>
        <v>292,104010.866525346,489263.318537911</v>
      </c>
    </row>
    <row r="294" spans="1:1" x14ac:dyDescent="0.2">
      <c r="A294" t="str">
        <f>IF(Ontwerp!A583="","",Ontwerp!A583&amp;","&amp;Ontwerp!B583&amp;","&amp;Ontwerp!C583)</f>
        <v>293,104011.260470007,489263.247060572</v>
      </c>
    </row>
    <row r="295" spans="1:1" x14ac:dyDescent="0.2">
      <c r="A295" t="str">
        <f>IF(Ontwerp!A584="","",Ontwerp!A584&amp;","&amp;Ontwerp!B584&amp;","&amp;Ontwerp!C584)</f>
        <v>294,104011.654414667,489263.175583234</v>
      </c>
    </row>
    <row r="296" spans="1:1" x14ac:dyDescent="0.2">
      <c r="A296" t="str">
        <f>IF(Ontwerp!A585="","",Ontwerp!A585&amp;","&amp;Ontwerp!B585&amp;","&amp;Ontwerp!C585)</f>
        <v>295,104012.048359328,489263.104105895</v>
      </c>
    </row>
    <row r="297" spans="1:1" x14ac:dyDescent="0.2">
      <c r="A297" t="str">
        <f>IF(Ontwerp!A586="","",Ontwerp!A586&amp;","&amp;Ontwerp!B586&amp;","&amp;Ontwerp!C586)</f>
        <v>296,104012.442303989,489263.032628557</v>
      </c>
    </row>
    <row r="298" spans="1:1" x14ac:dyDescent="0.2">
      <c r="A298" t="str">
        <f>IF(Ontwerp!A587="","",Ontwerp!A587&amp;","&amp;Ontwerp!B587&amp;","&amp;Ontwerp!C587)</f>
        <v>297,104012.836248649,489262.961151219</v>
      </c>
    </row>
    <row r="299" spans="1:1" x14ac:dyDescent="0.2">
      <c r="A299" t="str">
        <f>IF(Ontwerp!A588="","",Ontwerp!A588&amp;","&amp;Ontwerp!B588&amp;","&amp;Ontwerp!C588)</f>
        <v>298,104013.23019331,489262.88967388</v>
      </c>
    </row>
    <row r="300" spans="1:1" x14ac:dyDescent="0.2">
      <c r="A300" t="str">
        <f>IF(Ontwerp!A589="","",Ontwerp!A589&amp;","&amp;Ontwerp!B589&amp;","&amp;Ontwerp!C589)</f>
        <v>299,104013.624137971,489262.818196542</v>
      </c>
    </row>
    <row r="301" spans="1:1" x14ac:dyDescent="0.2">
      <c r="A301" t="str">
        <f>IF(Ontwerp!A590="","",Ontwerp!A590&amp;","&amp;Ontwerp!B590&amp;","&amp;Ontwerp!C590)</f>
        <v>300,104014.018082631,489262.746719203</v>
      </c>
    </row>
    <row r="302" spans="1:1" x14ac:dyDescent="0.2">
      <c r="A302" t="str">
        <f>IF(Ontwerp!A591="","",Ontwerp!A591&amp;","&amp;Ontwerp!B591&amp;","&amp;Ontwerp!C591)</f>
        <v>301,104014.412027292,489262.675241865</v>
      </c>
    </row>
    <row r="303" spans="1:1" x14ac:dyDescent="0.2">
      <c r="A303" t="str">
        <f>IF(Ontwerp!A592="","",Ontwerp!A592&amp;","&amp;Ontwerp!B592&amp;","&amp;Ontwerp!C592)</f>
        <v>302,104014.805971953,489262.603764526</v>
      </c>
    </row>
    <row r="304" spans="1:1" x14ac:dyDescent="0.2">
      <c r="A304" t="str">
        <f>IF(Ontwerp!A593="","",Ontwerp!A593&amp;","&amp;Ontwerp!B593&amp;","&amp;Ontwerp!C593)</f>
        <v>303,104015.199916613,489262.532287188</v>
      </c>
    </row>
    <row r="305" spans="1:1" x14ac:dyDescent="0.2">
      <c r="A305" t="str">
        <f>IF(Ontwerp!A594="","",Ontwerp!A594&amp;","&amp;Ontwerp!B594&amp;","&amp;Ontwerp!C594)</f>
        <v>304,104015.593861274,489262.46080985</v>
      </c>
    </row>
    <row r="306" spans="1:1" x14ac:dyDescent="0.2">
      <c r="A306" t="str">
        <f>IF(Ontwerp!A595="","",Ontwerp!A595&amp;","&amp;Ontwerp!B595&amp;","&amp;Ontwerp!C595)</f>
        <v>305,104015.987805935,489262.389332511</v>
      </c>
    </row>
    <row r="307" spans="1:1" x14ac:dyDescent="0.2">
      <c r="A307" t="str">
        <f>IF(Ontwerp!A596="","",Ontwerp!A596&amp;","&amp;Ontwerp!B596&amp;","&amp;Ontwerp!C596)</f>
        <v>306,104016.381750595,489262.317855173</v>
      </c>
    </row>
    <row r="308" spans="1:1" x14ac:dyDescent="0.2">
      <c r="A308" t="str">
        <f>IF(Ontwerp!A597="","",Ontwerp!A597&amp;","&amp;Ontwerp!B597&amp;","&amp;Ontwerp!C597)</f>
        <v>307,104016.775695256,489262.246377834</v>
      </c>
    </row>
    <row r="309" spans="1:1" x14ac:dyDescent="0.2">
      <c r="A309" t="str">
        <f>IF(Ontwerp!A598="","",Ontwerp!A598&amp;","&amp;Ontwerp!B598&amp;","&amp;Ontwerp!C598)</f>
        <v>308,104017.169639917,489262.174900496</v>
      </c>
    </row>
    <row r="310" spans="1:1" x14ac:dyDescent="0.2">
      <c r="A310" t="str">
        <f>IF(Ontwerp!A599="","",Ontwerp!A599&amp;","&amp;Ontwerp!B599&amp;","&amp;Ontwerp!C599)</f>
        <v>309,104017.563584577,489262.103423157</v>
      </c>
    </row>
    <row r="311" spans="1:1" x14ac:dyDescent="0.2">
      <c r="A311" t="str">
        <f>IF(Ontwerp!A600="","",Ontwerp!A600&amp;","&amp;Ontwerp!B600&amp;","&amp;Ontwerp!C600)</f>
        <v>310,104017.957529238,489262.031945819</v>
      </c>
    </row>
    <row r="312" spans="1:1" x14ac:dyDescent="0.2">
      <c r="A312" t="str">
        <f>IF(Ontwerp!A601="","",Ontwerp!A601&amp;","&amp;Ontwerp!B601&amp;","&amp;Ontwerp!C601)</f>
        <v>311,104018.351473899,489261.960468481</v>
      </c>
    </row>
    <row r="313" spans="1:1" x14ac:dyDescent="0.2">
      <c r="A313" t="str">
        <f>IF(Ontwerp!A602="","",Ontwerp!A602&amp;","&amp;Ontwerp!B602&amp;","&amp;Ontwerp!C602)</f>
        <v>312,104018.745418559,489261.888991142</v>
      </c>
    </row>
    <row r="314" spans="1:1" x14ac:dyDescent="0.2">
      <c r="A314" t="str">
        <f>IF(Ontwerp!A603="","",Ontwerp!A603&amp;","&amp;Ontwerp!B603&amp;","&amp;Ontwerp!C603)</f>
        <v>313,104019.13936322,489261.817513804</v>
      </c>
    </row>
    <row r="315" spans="1:1" x14ac:dyDescent="0.2">
      <c r="A315" t="str">
        <f>IF(Ontwerp!A604="","",Ontwerp!A604&amp;","&amp;Ontwerp!B604&amp;","&amp;Ontwerp!C604)</f>
        <v>314,104019.533307881,489261.746036465</v>
      </c>
    </row>
    <row r="316" spans="1:1" x14ac:dyDescent="0.2">
      <c r="A316" t="str">
        <f>IF(Ontwerp!A605="","",Ontwerp!A605&amp;","&amp;Ontwerp!B605&amp;","&amp;Ontwerp!C605)</f>
        <v>315,104019.927252541,489261.674559127</v>
      </c>
    </row>
    <row r="317" spans="1:1" x14ac:dyDescent="0.2">
      <c r="A317" t="str">
        <f>IF(Ontwerp!A606="","",Ontwerp!A606&amp;","&amp;Ontwerp!B606&amp;","&amp;Ontwerp!C606)</f>
        <v>316,104020.321197202,489261.603081788</v>
      </c>
    </row>
    <row r="318" spans="1:1" x14ac:dyDescent="0.2">
      <c r="A318" t="str">
        <f>IF(Ontwerp!A607="","",Ontwerp!A607&amp;","&amp;Ontwerp!B607&amp;","&amp;Ontwerp!C607)</f>
        <v>317,104020.715141863,489261.53160445</v>
      </c>
    </row>
    <row r="319" spans="1:1" x14ac:dyDescent="0.2">
      <c r="A319" t="str">
        <f>IF(Ontwerp!A608="","",Ontwerp!A608&amp;","&amp;Ontwerp!B608&amp;","&amp;Ontwerp!C608)</f>
        <v>318,104021.109086523,489261.460127112</v>
      </c>
    </row>
    <row r="320" spans="1:1" x14ac:dyDescent="0.2">
      <c r="A320" t="str">
        <f>IF(Ontwerp!A609="","",Ontwerp!A609&amp;","&amp;Ontwerp!B609&amp;","&amp;Ontwerp!C609)</f>
        <v>319,104021.503031184,489261.388649773</v>
      </c>
    </row>
    <row r="321" spans="1:1" x14ac:dyDescent="0.2">
      <c r="A321" t="str">
        <f>IF(Ontwerp!A1146="","",Ontwerp!A1146&amp;","&amp;Ontwerp!B1146&amp;","&amp;Ontwerp!C1146)</f>
        <v/>
      </c>
    </row>
    <row r="322" spans="1:1" x14ac:dyDescent="0.2">
      <c r="A322" t="str">
        <f>IF(Ontwerp!A1291="","",Ontwerp!A1291&amp;","&amp;Ontwerp!B1291&amp;","&amp;Ontwerp!C1291)</f>
        <v/>
      </c>
    </row>
    <row r="323" spans="1:1" x14ac:dyDescent="0.2">
      <c r="A323" t="str">
        <f>IF(Ontwerp!A1292="","",Ontwerp!A1292&amp;","&amp;Ontwerp!B1292&amp;","&amp;Ontwerp!C1292)</f>
        <v/>
      </c>
    </row>
    <row r="324" spans="1:1" x14ac:dyDescent="0.2">
      <c r="A324" t="str">
        <f>IF(Ontwerp!A1293="","",Ontwerp!A1293&amp;","&amp;Ontwerp!B1293&amp;","&amp;Ontwerp!C1293)</f>
        <v/>
      </c>
    </row>
    <row r="325" spans="1:1" x14ac:dyDescent="0.2">
      <c r="A325" t="str">
        <f>IF(Ontwerp!A1294="","",Ontwerp!A1294&amp;","&amp;Ontwerp!B1294&amp;","&amp;Ontwerp!C1294)</f>
        <v/>
      </c>
    </row>
    <row r="326" spans="1:1" x14ac:dyDescent="0.2">
      <c r="A326" t="str">
        <f>IF(Ontwerp!A1295="","",Ontwerp!A1295&amp;","&amp;Ontwerp!B1295&amp;","&amp;Ontwerp!C1295)</f>
        <v/>
      </c>
    </row>
    <row r="327" spans="1:1" x14ac:dyDescent="0.2">
      <c r="A327" t="str">
        <f>IF(Ontwerp!A1296="","",Ontwerp!A1296&amp;","&amp;Ontwerp!B1296&amp;","&amp;Ontwerp!C1296)</f>
        <v/>
      </c>
    </row>
    <row r="328" spans="1:1" x14ac:dyDescent="0.2">
      <c r="A328" t="str">
        <f>IF(Ontwerp!A1297="","",Ontwerp!A1297&amp;","&amp;Ontwerp!B1297&amp;","&amp;Ontwerp!C1297)</f>
        <v/>
      </c>
    </row>
    <row r="329" spans="1:1" x14ac:dyDescent="0.2">
      <c r="A329" t="str">
        <f>IF(Ontwerp!A1298="","",Ontwerp!A1298&amp;","&amp;Ontwerp!B1298&amp;","&amp;Ontwerp!C1298)</f>
        <v/>
      </c>
    </row>
    <row r="330" spans="1:1" x14ac:dyDescent="0.2">
      <c r="A330" t="str">
        <f>IF(Ontwerp!A1299="","",Ontwerp!A1299&amp;","&amp;Ontwerp!B1299&amp;","&amp;Ontwerp!C1299)</f>
        <v/>
      </c>
    </row>
    <row r="331" spans="1:1" x14ac:dyDescent="0.2">
      <c r="A331" t="str">
        <f>IF(Ontwerp!A1300="","",Ontwerp!A1300&amp;","&amp;Ontwerp!B1300&amp;","&amp;Ontwerp!C1300)</f>
        <v/>
      </c>
    </row>
    <row r="332" spans="1:1" x14ac:dyDescent="0.2">
      <c r="A332" t="str">
        <f>IF(Ontwerp!A1301="","",Ontwerp!A1301&amp;","&amp;Ontwerp!B1301&amp;","&amp;Ontwerp!C1301)</f>
        <v/>
      </c>
    </row>
    <row r="333" spans="1:1" x14ac:dyDescent="0.2">
      <c r="A333" t="str">
        <f>IF(Ontwerp!A1302="","",Ontwerp!A1302&amp;","&amp;Ontwerp!B1302&amp;","&amp;Ontwerp!C1302)</f>
        <v/>
      </c>
    </row>
    <row r="334" spans="1:1" x14ac:dyDescent="0.2">
      <c r="A334" t="str">
        <f>IF(Ontwerp!A1303="","",Ontwerp!A1303&amp;","&amp;Ontwerp!B1303&amp;","&amp;Ontwerp!C1303)</f>
        <v/>
      </c>
    </row>
    <row r="335" spans="1:1" x14ac:dyDescent="0.2">
      <c r="A335" t="str">
        <f>IF(Ontwerp!A1304="","",Ontwerp!A1304&amp;","&amp;Ontwerp!B1304&amp;","&amp;Ontwerp!C1304)</f>
        <v/>
      </c>
    </row>
    <row r="336" spans="1:1" x14ac:dyDescent="0.2">
      <c r="A336" t="str">
        <f>IF(Ontwerp!A1305="","",Ontwerp!A1305&amp;","&amp;Ontwerp!B1305&amp;","&amp;Ontwerp!C1305)</f>
        <v/>
      </c>
    </row>
    <row r="337" spans="1:1" x14ac:dyDescent="0.2">
      <c r="A337" t="str">
        <f>IF(Ontwerp!A1306="","",Ontwerp!A1306&amp;","&amp;Ontwerp!B1306&amp;","&amp;Ontwerp!C1306)</f>
        <v/>
      </c>
    </row>
    <row r="338" spans="1:1" x14ac:dyDescent="0.2">
      <c r="A338" t="str">
        <f>IF(Ontwerp!A1307="","",Ontwerp!A1307&amp;","&amp;Ontwerp!B1307&amp;","&amp;Ontwerp!C1307)</f>
        <v/>
      </c>
    </row>
    <row r="339" spans="1:1" x14ac:dyDescent="0.2">
      <c r="A339" t="str">
        <f>IF(Ontwerp!A1308="","",Ontwerp!A1308&amp;","&amp;Ontwerp!B1308&amp;","&amp;Ontwerp!C1308)</f>
        <v/>
      </c>
    </row>
    <row r="340" spans="1:1" x14ac:dyDescent="0.2">
      <c r="A340" t="str">
        <f>IF(Ontwerp!A1309="","",Ontwerp!A1309&amp;","&amp;Ontwerp!B1309&amp;","&amp;Ontwerp!C1309)</f>
        <v/>
      </c>
    </row>
    <row r="341" spans="1:1" x14ac:dyDescent="0.2">
      <c r="A341" t="str">
        <f>IF(Ontwerp!A1310="","",Ontwerp!A1310&amp;","&amp;Ontwerp!B1310&amp;","&amp;Ontwerp!C1310)</f>
        <v/>
      </c>
    </row>
    <row r="342" spans="1:1" x14ac:dyDescent="0.2">
      <c r="A342" t="str">
        <f>IF(Ontwerp!A1311="","",Ontwerp!A1311&amp;","&amp;Ontwerp!B1311&amp;","&amp;Ontwerp!C1311)</f>
        <v/>
      </c>
    </row>
    <row r="343" spans="1:1" x14ac:dyDescent="0.2">
      <c r="A343" t="str">
        <f>IF(Ontwerp!A1312="","",Ontwerp!A1312&amp;","&amp;Ontwerp!B1312&amp;","&amp;Ontwerp!C1312)</f>
        <v/>
      </c>
    </row>
    <row r="344" spans="1:1" x14ac:dyDescent="0.2">
      <c r="A344" t="str">
        <f>IF(Ontwerp!A1313="","",Ontwerp!A1313&amp;","&amp;Ontwerp!B1313&amp;","&amp;Ontwerp!C1313)</f>
        <v/>
      </c>
    </row>
    <row r="345" spans="1:1" x14ac:dyDescent="0.2">
      <c r="A345" t="str">
        <f>IF(Ontwerp!A1314="","",Ontwerp!A1314&amp;","&amp;Ontwerp!B1314&amp;","&amp;Ontwerp!C1314)</f>
        <v/>
      </c>
    </row>
    <row r="346" spans="1:1" x14ac:dyDescent="0.2">
      <c r="A346" t="str">
        <f>IF(Ontwerp!A1315="","",Ontwerp!A1315&amp;","&amp;Ontwerp!B1315&amp;","&amp;Ontwerp!C1315)</f>
        <v/>
      </c>
    </row>
    <row r="347" spans="1:1" x14ac:dyDescent="0.2">
      <c r="A347" t="str">
        <f>IF(Ontwerp!A1316="","",Ontwerp!A1316&amp;","&amp;Ontwerp!B1316&amp;","&amp;Ontwerp!C1316)</f>
        <v/>
      </c>
    </row>
    <row r="348" spans="1:1" x14ac:dyDescent="0.2">
      <c r="A348" t="str">
        <f>IF(Ontwerp!A1317="","",Ontwerp!A1317&amp;","&amp;Ontwerp!B1317&amp;","&amp;Ontwerp!C1317)</f>
        <v/>
      </c>
    </row>
    <row r="349" spans="1:1" x14ac:dyDescent="0.2">
      <c r="A349" t="str">
        <f>IF(Ontwerp!A1318="","",Ontwerp!A1318&amp;","&amp;Ontwerp!B1318&amp;","&amp;Ontwerp!C1318)</f>
        <v/>
      </c>
    </row>
    <row r="350" spans="1:1" x14ac:dyDescent="0.2">
      <c r="A350" t="str">
        <f>IF(Ontwerp!A1319="","",Ontwerp!A1319&amp;","&amp;Ontwerp!B1319&amp;","&amp;Ontwerp!C1319)</f>
        <v/>
      </c>
    </row>
    <row r="351" spans="1:1" x14ac:dyDescent="0.2">
      <c r="A351" t="str">
        <f>IF(Ontwerp!A1320="","",Ontwerp!A1320&amp;","&amp;Ontwerp!B1320&amp;","&amp;Ontwerp!C1320)</f>
        <v/>
      </c>
    </row>
    <row r="352" spans="1:1" x14ac:dyDescent="0.2">
      <c r="A352" t="str">
        <f>IF(Ontwerp!A1321="","",Ontwerp!A1321&amp;","&amp;Ontwerp!B1321&amp;","&amp;Ontwerp!C1321)</f>
        <v/>
      </c>
    </row>
    <row r="353" spans="1:1" x14ac:dyDescent="0.2">
      <c r="A353" t="str">
        <f>IF(Ontwerp!A1322="","",Ontwerp!A1322&amp;","&amp;Ontwerp!B1322&amp;","&amp;Ontwerp!C1322)</f>
        <v/>
      </c>
    </row>
    <row r="354" spans="1:1" x14ac:dyDescent="0.2">
      <c r="A354" t="str">
        <f>IF(Ontwerp!A1323="","",Ontwerp!A1323&amp;","&amp;Ontwerp!B1323&amp;","&amp;Ontwerp!C1323)</f>
        <v/>
      </c>
    </row>
    <row r="355" spans="1:1" x14ac:dyDescent="0.2">
      <c r="A355" t="str">
        <f>IF(Ontwerp!A1324="","",Ontwerp!A1324&amp;","&amp;Ontwerp!B1324&amp;","&amp;Ontwerp!C1324)</f>
        <v/>
      </c>
    </row>
    <row r="356" spans="1:1" x14ac:dyDescent="0.2">
      <c r="A356" t="str">
        <f>IF(Ontwerp!A1325="","",Ontwerp!A1325&amp;","&amp;Ontwerp!B1325&amp;","&amp;Ontwerp!C1325)</f>
        <v/>
      </c>
    </row>
    <row r="357" spans="1:1" x14ac:dyDescent="0.2">
      <c r="A357" t="str">
        <f>IF(Ontwerp!A1326="","",Ontwerp!A1326&amp;","&amp;Ontwerp!B1326&amp;","&amp;Ontwerp!C1326)</f>
        <v/>
      </c>
    </row>
    <row r="358" spans="1:1" x14ac:dyDescent="0.2">
      <c r="A358" t="str">
        <f>IF(Ontwerp!A1327="","",Ontwerp!A1327&amp;","&amp;Ontwerp!B1327&amp;","&amp;Ontwerp!C1327)</f>
        <v/>
      </c>
    </row>
    <row r="359" spans="1:1" x14ac:dyDescent="0.2">
      <c r="A359" t="str">
        <f>IF(Ontwerp!A1328="","",Ontwerp!A1328&amp;","&amp;Ontwerp!B1328&amp;","&amp;Ontwerp!C1328)</f>
        <v/>
      </c>
    </row>
    <row r="360" spans="1:1" x14ac:dyDescent="0.2">
      <c r="A360" t="str">
        <f>IF(Ontwerp!A1329="","",Ontwerp!A1329&amp;","&amp;Ontwerp!B1329&amp;","&amp;Ontwerp!C1329)</f>
        <v/>
      </c>
    </row>
    <row r="361" spans="1:1" x14ac:dyDescent="0.2">
      <c r="A361" t="str">
        <f>IF(Ontwerp!A1330="","",Ontwerp!A1330&amp;","&amp;Ontwerp!B1330&amp;","&amp;Ontwerp!C1330)</f>
        <v/>
      </c>
    </row>
    <row r="362" spans="1:1" x14ac:dyDescent="0.2">
      <c r="A362" t="str">
        <f>IF(Ontwerp!A1331="","",Ontwerp!A1331&amp;","&amp;Ontwerp!B1331&amp;","&amp;Ontwerp!C1331)</f>
        <v/>
      </c>
    </row>
    <row r="363" spans="1:1" x14ac:dyDescent="0.2">
      <c r="A363" t="str">
        <f>IF(Ontwerp!A1332="","",Ontwerp!A1332&amp;","&amp;Ontwerp!B1332&amp;","&amp;Ontwerp!C1332)</f>
        <v/>
      </c>
    </row>
    <row r="364" spans="1:1" x14ac:dyDescent="0.2">
      <c r="A364" t="str">
        <f>IF(Ontwerp!A1333="","",Ontwerp!A1333&amp;","&amp;Ontwerp!B1333&amp;","&amp;Ontwerp!C1333)</f>
        <v/>
      </c>
    </row>
    <row r="365" spans="1:1" x14ac:dyDescent="0.2">
      <c r="A365" t="str">
        <f>IF(Ontwerp!A1334="","",Ontwerp!A1334&amp;","&amp;Ontwerp!B1334&amp;","&amp;Ontwerp!C1334)</f>
        <v/>
      </c>
    </row>
    <row r="366" spans="1:1" x14ac:dyDescent="0.2">
      <c r="A366" t="str">
        <f>IF(Ontwerp!A1335="","",Ontwerp!A1335&amp;","&amp;Ontwerp!B1335&amp;","&amp;Ontwerp!C1335)</f>
        <v/>
      </c>
    </row>
    <row r="367" spans="1:1" x14ac:dyDescent="0.2">
      <c r="A367" t="str">
        <f>IF(Ontwerp!A1336="","",Ontwerp!A1336&amp;","&amp;Ontwerp!B1336&amp;","&amp;Ontwerp!C1336)</f>
        <v/>
      </c>
    </row>
    <row r="368" spans="1:1" x14ac:dyDescent="0.2">
      <c r="A368" t="str">
        <f>IF(Ontwerp!A1337="","",Ontwerp!A1337&amp;","&amp;Ontwerp!B1337&amp;","&amp;Ontwerp!C1337)</f>
        <v/>
      </c>
    </row>
    <row r="369" spans="1:1" x14ac:dyDescent="0.2">
      <c r="A369" t="str">
        <f>IF(Ontwerp!A1338="","",Ontwerp!A1338&amp;","&amp;Ontwerp!B1338&amp;","&amp;Ontwerp!C1338)</f>
        <v/>
      </c>
    </row>
    <row r="370" spans="1:1" x14ac:dyDescent="0.2">
      <c r="A370" t="str">
        <f>IF(Ontwerp!A1339="","",Ontwerp!A1339&amp;","&amp;Ontwerp!B1339&amp;","&amp;Ontwerp!C1339)</f>
        <v/>
      </c>
    </row>
    <row r="371" spans="1:1" x14ac:dyDescent="0.2">
      <c r="A371" t="str">
        <f>IF(Ontwerp!A1340="","",Ontwerp!A1340&amp;","&amp;Ontwerp!B1340&amp;","&amp;Ontwerp!C1340)</f>
        <v/>
      </c>
    </row>
    <row r="372" spans="1:1" x14ac:dyDescent="0.2">
      <c r="A372" t="str">
        <f>IF(Ontwerp!A1341="","",Ontwerp!A1341&amp;","&amp;Ontwerp!B1341&amp;","&amp;Ontwerp!C1341)</f>
        <v/>
      </c>
    </row>
    <row r="373" spans="1:1" x14ac:dyDescent="0.2">
      <c r="A373" t="str">
        <f>IF(Ontwerp!A1342="","",Ontwerp!A1342&amp;","&amp;Ontwerp!B1342&amp;","&amp;Ontwerp!C1342)</f>
        <v/>
      </c>
    </row>
    <row r="374" spans="1:1" x14ac:dyDescent="0.2">
      <c r="A374" t="str">
        <f>IF(Ontwerp!A1343="","",Ontwerp!A1343&amp;","&amp;Ontwerp!B1343&amp;","&amp;Ontwerp!C1343)</f>
        <v/>
      </c>
    </row>
    <row r="375" spans="1:1" x14ac:dyDescent="0.2">
      <c r="A375" t="str">
        <f>IF(Ontwerp!A1344="","",Ontwerp!A1344&amp;","&amp;Ontwerp!B1344&amp;","&amp;Ontwerp!C1344)</f>
        <v/>
      </c>
    </row>
    <row r="376" spans="1:1" x14ac:dyDescent="0.2">
      <c r="A376" t="str">
        <f>IF(Ontwerp!A1345="","",Ontwerp!A1345&amp;","&amp;Ontwerp!B1345&amp;","&amp;Ontwerp!C1345)</f>
        <v/>
      </c>
    </row>
    <row r="377" spans="1:1" x14ac:dyDescent="0.2">
      <c r="A377" t="str">
        <f>IF(Ontwerp!A1346="","",Ontwerp!A1346&amp;","&amp;Ontwerp!B1346&amp;","&amp;Ontwerp!C1346)</f>
        <v/>
      </c>
    </row>
    <row r="378" spans="1:1" x14ac:dyDescent="0.2">
      <c r="A378" t="str">
        <f>IF(Ontwerp!A1347="","",Ontwerp!A1347&amp;","&amp;Ontwerp!B1347&amp;","&amp;Ontwerp!C1347)</f>
        <v/>
      </c>
    </row>
    <row r="379" spans="1:1" x14ac:dyDescent="0.2">
      <c r="A379" t="str">
        <f>IF(Ontwerp!A1348="","",Ontwerp!A1348&amp;","&amp;Ontwerp!B1348&amp;","&amp;Ontwerp!C1348)</f>
        <v/>
      </c>
    </row>
    <row r="380" spans="1:1" x14ac:dyDescent="0.2">
      <c r="A380" t="str">
        <f>IF(Ontwerp!A1349="","",Ontwerp!A1349&amp;","&amp;Ontwerp!B1349&amp;","&amp;Ontwerp!C1349)</f>
        <v/>
      </c>
    </row>
    <row r="381" spans="1:1" x14ac:dyDescent="0.2">
      <c r="A381" t="str">
        <f>IF(Ontwerp!A1350="","",Ontwerp!A1350&amp;","&amp;Ontwerp!B1350&amp;","&amp;Ontwerp!C1350)</f>
        <v/>
      </c>
    </row>
    <row r="382" spans="1:1" x14ac:dyDescent="0.2">
      <c r="A382" t="str">
        <f>IF(Ontwerp!A1351="","",Ontwerp!A1351&amp;","&amp;Ontwerp!B1351&amp;","&amp;Ontwerp!C1351)</f>
        <v/>
      </c>
    </row>
    <row r="383" spans="1:1" x14ac:dyDescent="0.2">
      <c r="A383" t="str">
        <f>IF(Ontwerp!A1352="","",Ontwerp!A1352&amp;","&amp;Ontwerp!B1352&amp;","&amp;Ontwerp!C1352)</f>
        <v/>
      </c>
    </row>
    <row r="384" spans="1:1" x14ac:dyDescent="0.2">
      <c r="A384" t="str">
        <f>IF(Ontwerp!A1353="","",Ontwerp!A1353&amp;","&amp;Ontwerp!B1353&amp;","&amp;Ontwerp!C1353)</f>
        <v/>
      </c>
    </row>
    <row r="385" spans="1:1" x14ac:dyDescent="0.2">
      <c r="A385" t="str">
        <f>IF(Ontwerp!A1354="","",Ontwerp!A1354&amp;","&amp;Ontwerp!B1354&amp;","&amp;Ontwerp!C1354)</f>
        <v/>
      </c>
    </row>
    <row r="386" spans="1:1" x14ac:dyDescent="0.2">
      <c r="A386" t="str">
        <f>IF(Ontwerp!A1355="","",Ontwerp!A1355&amp;","&amp;Ontwerp!B1355&amp;","&amp;Ontwerp!C1355)</f>
        <v/>
      </c>
    </row>
    <row r="387" spans="1:1" x14ac:dyDescent="0.2">
      <c r="A387" t="str">
        <f>IF(Ontwerp!A1356="","",Ontwerp!A1356&amp;","&amp;Ontwerp!B1356&amp;","&amp;Ontwerp!C1356)</f>
        <v/>
      </c>
    </row>
    <row r="388" spans="1:1" x14ac:dyDescent="0.2">
      <c r="A388" t="str">
        <f>IF(Ontwerp!A1357="","",Ontwerp!A1357&amp;","&amp;Ontwerp!B1357&amp;","&amp;Ontwerp!C1357)</f>
        <v/>
      </c>
    </row>
    <row r="389" spans="1:1" x14ac:dyDescent="0.2">
      <c r="A389" t="str">
        <f>IF(Ontwerp!A1358="","",Ontwerp!A1358&amp;","&amp;Ontwerp!B1358&amp;","&amp;Ontwerp!C1358)</f>
        <v/>
      </c>
    </row>
    <row r="390" spans="1:1" x14ac:dyDescent="0.2">
      <c r="A390" t="str">
        <f>IF(Ontwerp!A1359="","",Ontwerp!A1359&amp;","&amp;Ontwerp!B1359&amp;","&amp;Ontwerp!C1359)</f>
        <v/>
      </c>
    </row>
    <row r="391" spans="1:1" x14ac:dyDescent="0.2">
      <c r="A391" t="str">
        <f>IF(Ontwerp!A1360="","",Ontwerp!A1360&amp;","&amp;Ontwerp!B1360&amp;","&amp;Ontwerp!C1360)</f>
        <v/>
      </c>
    </row>
    <row r="392" spans="1:1" x14ac:dyDescent="0.2">
      <c r="A392" t="str">
        <f>IF(Ontwerp!A1361="","",Ontwerp!A1361&amp;","&amp;Ontwerp!B1361&amp;","&amp;Ontwerp!C1361)</f>
        <v/>
      </c>
    </row>
    <row r="393" spans="1:1" x14ac:dyDescent="0.2">
      <c r="A393" t="str">
        <f>IF(Ontwerp!A1362="","",Ontwerp!A1362&amp;","&amp;Ontwerp!B1362&amp;","&amp;Ontwerp!C1362)</f>
        <v/>
      </c>
    </row>
    <row r="394" spans="1:1" x14ac:dyDescent="0.2">
      <c r="A394" t="str">
        <f>IF(Ontwerp!A1363="","",Ontwerp!A1363&amp;","&amp;Ontwerp!B1363&amp;","&amp;Ontwerp!C1363)</f>
        <v/>
      </c>
    </row>
    <row r="395" spans="1:1" x14ac:dyDescent="0.2">
      <c r="A395" t="str">
        <f>IF(Ontwerp!A1364="","",Ontwerp!A1364&amp;","&amp;Ontwerp!B1364&amp;","&amp;Ontwerp!C1364)</f>
        <v/>
      </c>
    </row>
    <row r="396" spans="1:1" x14ac:dyDescent="0.2">
      <c r="A396" t="str">
        <f>IF(Ontwerp!A1365="","",Ontwerp!A1365&amp;","&amp;Ontwerp!B1365&amp;","&amp;Ontwerp!C1365)</f>
        <v/>
      </c>
    </row>
    <row r="397" spans="1:1" x14ac:dyDescent="0.2">
      <c r="A397" t="str">
        <f>IF(Ontwerp!A1366="","",Ontwerp!A1366&amp;","&amp;Ontwerp!B1366&amp;","&amp;Ontwerp!C1366)</f>
        <v/>
      </c>
    </row>
    <row r="398" spans="1:1" x14ac:dyDescent="0.2">
      <c r="A398" t="str">
        <f>IF(Ontwerp!A1367="","",Ontwerp!A1367&amp;","&amp;Ontwerp!B1367&amp;","&amp;Ontwerp!C1367)</f>
        <v/>
      </c>
    </row>
    <row r="399" spans="1:1" x14ac:dyDescent="0.2">
      <c r="A399" t="str">
        <f>IF(Ontwerp!A1368="","",Ontwerp!A1368&amp;","&amp;Ontwerp!B1368&amp;","&amp;Ontwerp!C1368)</f>
        <v/>
      </c>
    </row>
    <row r="400" spans="1:1" x14ac:dyDescent="0.2">
      <c r="A400" t="str">
        <f>IF(Ontwerp!A1369="","",Ontwerp!A1369&amp;","&amp;Ontwerp!B1369&amp;","&amp;Ontwerp!C1369)</f>
        <v/>
      </c>
    </row>
    <row r="401" spans="1:1" x14ac:dyDescent="0.2">
      <c r="A401" t="str">
        <f>IF(Ontwerp!A1370="","",Ontwerp!A1370&amp;","&amp;Ontwerp!B1370&amp;","&amp;Ontwerp!C1370)</f>
        <v/>
      </c>
    </row>
    <row r="402" spans="1:1" x14ac:dyDescent="0.2">
      <c r="A402" t="str">
        <f>IF(Ontwerp!A1371="","",Ontwerp!A1371&amp;","&amp;Ontwerp!B1371&amp;","&amp;Ontwerp!C1371)</f>
        <v/>
      </c>
    </row>
    <row r="403" spans="1:1" x14ac:dyDescent="0.2">
      <c r="A403" t="str">
        <f>IF(Ontwerp!A1372="","",Ontwerp!A1372&amp;","&amp;Ontwerp!B1372&amp;","&amp;Ontwerp!C1372)</f>
        <v/>
      </c>
    </row>
    <row r="404" spans="1:1" x14ac:dyDescent="0.2">
      <c r="A404" t="str">
        <f>IF(Ontwerp!A1373="","",Ontwerp!A1373&amp;","&amp;Ontwerp!B1373&amp;","&amp;Ontwerp!C1373)</f>
        <v/>
      </c>
    </row>
    <row r="405" spans="1:1" x14ac:dyDescent="0.2">
      <c r="A405" t="str">
        <f>IF(Ontwerp!A1374="","",Ontwerp!A1374&amp;","&amp;Ontwerp!B1374&amp;","&amp;Ontwerp!C1374)</f>
        <v/>
      </c>
    </row>
    <row r="406" spans="1:1" x14ac:dyDescent="0.2">
      <c r="A406" t="str">
        <f>IF(Ontwerp!A1375="","",Ontwerp!A1375&amp;","&amp;Ontwerp!B1375&amp;","&amp;Ontwerp!C1375)</f>
        <v/>
      </c>
    </row>
    <row r="407" spans="1:1" x14ac:dyDescent="0.2">
      <c r="A407" t="str">
        <f>IF(Ontwerp!A1376="","",Ontwerp!A1376&amp;","&amp;Ontwerp!B1376&amp;","&amp;Ontwerp!C1376)</f>
        <v/>
      </c>
    </row>
    <row r="408" spans="1:1" x14ac:dyDescent="0.2">
      <c r="A408" t="str">
        <f>IF(Ontwerp!A1377="","",Ontwerp!A1377&amp;","&amp;Ontwerp!B1377&amp;","&amp;Ontwerp!C1377)</f>
        <v/>
      </c>
    </row>
    <row r="409" spans="1:1" x14ac:dyDescent="0.2">
      <c r="A409" t="str">
        <f>IF(Ontwerp!A1378="","",Ontwerp!A1378&amp;","&amp;Ontwerp!B1378&amp;","&amp;Ontwerp!C1378)</f>
        <v/>
      </c>
    </row>
    <row r="410" spans="1:1" x14ac:dyDescent="0.2">
      <c r="A410" t="str">
        <f>IF(Ontwerp!A1379="","",Ontwerp!A1379&amp;","&amp;Ontwerp!B1379&amp;","&amp;Ontwerp!C1379)</f>
        <v/>
      </c>
    </row>
    <row r="411" spans="1:1" x14ac:dyDescent="0.2">
      <c r="A411" t="str">
        <f>IF(Ontwerp!A1380="","",Ontwerp!A1380&amp;","&amp;Ontwerp!B1380&amp;","&amp;Ontwerp!C1380)</f>
        <v/>
      </c>
    </row>
    <row r="412" spans="1:1" x14ac:dyDescent="0.2">
      <c r="A412" t="str">
        <f>IF(Ontwerp!A1381="","",Ontwerp!A1381&amp;","&amp;Ontwerp!B1381&amp;","&amp;Ontwerp!C1381)</f>
        <v/>
      </c>
    </row>
    <row r="413" spans="1:1" x14ac:dyDescent="0.2">
      <c r="A413" t="str">
        <f>IF(Ontwerp!A1382="","",Ontwerp!A1382&amp;","&amp;Ontwerp!B1382&amp;","&amp;Ontwerp!C1382)</f>
        <v/>
      </c>
    </row>
    <row r="414" spans="1:1" x14ac:dyDescent="0.2">
      <c r="A414" t="str">
        <f>IF(Ontwerp!A1383="","",Ontwerp!A1383&amp;","&amp;Ontwerp!B1383&amp;","&amp;Ontwerp!C1383)</f>
        <v/>
      </c>
    </row>
    <row r="415" spans="1:1" x14ac:dyDescent="0.2">
      <c r="A415" t="str">
        <f>IF(Ontwerp!A1384="","",Ontwerp!A1384&amp;","&amp;Ontwerp!B1384&amp;","&amp;Ontwerp!C1384)</f>
        <v/>
      </c>
    </row>
    <row r="416" spans="1:1" x14ac:dyDescent="0.2">
      <c r="A416" t="str">
        <f>IF(Ontwerp!A1385="","",Ontwerp!A1385&amp;","&amp;Ontwerp!B1385&amp;","&amp;Ontwerp!C1385)</f>
        <v/>
      </c>
    </row>
    <row r="417" spans="1:1" x14ac:dyDescent="0.2">
      <c r="A417" t="str">
        <f>IF(Ontwerp!A1386="","",Ontwerp!A1386&amp;","&amp;Ontwerp!B1386&amp;","&amp;Ontwerp!C1386)</f>
        <v/>
      </c>
    </row>
    <row r="418" spans="1:1" x14ac:dyDescent="0.2">
      <c r="A418" t="str">
        <f>IF(Ontwerp!A1387="","",Ontwerp!A1387&amp;","&amp;Ontwerp!B1387&amp;","&amp;Ontwerp!C1387)</f>
        <v/>
      </c>
    </row>
    <row r="419" spans="1:1" x14ac:dyDescent="0.2">
      <c r="A419" t="str">
        <f>IF(Ontwerp!A1388="","",Ontwerp!A1388&amp;","&amp;Ontwerp!B1388&amp;","&amp;Ontwerp!C1388)</f>
        <v/>
      </c>
    </row>
    <row r="420" spans="1:1" x14ac:dyDescent="0.2">
      <c r="A420" t="str">
        <f>IF(Ontwerp!A1389="","",Ontwerp!A1389&amp;","&amp;Ontwerp!B1389&amp;","&amp;Ontwerp!C1389)</f>
        <v/>
      </c>
    </row>
    <row r="421" spans="1:1" x14ac:dyDescent="0.2">
      <c r="A421" t="str">
        <f>IF(Ontwerp!A1390="","",Ontwerp!A1390&amp;","&amp;Ontwerp!B1390&amp;","&amp;Ontwerp!C1390)</f>
        <v/>
      </c>
    </row>
    <row r="422" spans="1:1" x14ac:dyDescent="0.2">
      <c r="A422" t="str">
        <f>IF(Ontwerp!A1391="","",Ontwerp!A1391&amp;","&amp;Ontwerp!B1391&amp;","&amp;Ontwerp!C1391)</f>
        <v/>
      </c>
    </row>
    <row r="423" spans="1:1" x14ac:dyDescent="0.2">
      <c r="A423" t="str">
        <f>IF(Ontwerp!A1392="","",Ontwerp!A1392&amp;","&amp;Ontwerp!B1392&amp;","&amp;Ontwerp!C1392)</f>
        <v/>
      </c>
    </row>
    <row r="424" spans="1:1" x14ac:dyDescent="0.2">
      <c r="A424" t="str">
        <f>IF(Ontwerp!A1393="","",Ontwerp!A1393&amp;","&amp;Ontwerp!B1393&amp;","&amp;Ontwerp!C1393)</f>
        <v/>
      </c>
    </row>
    <row r="425" spans="1:1" x14ac:dyDescent="0.2">
      <c r="A425" t="str">
        <f>IF(Ontwerp!A1394="","",Ontwerp!A1394&amp;","&amp;Ontwerp!B1394&amp;","&amp;Ontwerp!C1394)</f>
        <v/>
      </c>
    </row>
    <row r="426" spans="1:1" x14ac:dyDescent="0.2">
      <c r="A426" t="str">
        <f>IF(Ontwerp!A1395="","",Ontwerp!A1395&amp;","&amp;Ontwerp!B1395&amp;","&amp;Ontwerp!C1395)</f>
        <v/>
      </c>
    </row>
    <row r="427" spans="1:1" x14ac:dyDescent="0.2">
      <c r="A427" t="str">
        <f>IF(Ontwerp!A1396="","",Ontwerp!A1396&amp;","&amp;Ontwerp!B1396&amp;","&amp;Ontwerp!C1396)</f>
        <v/>
      </c>
    </row>
    <row r="428" spans="1:1" x14ac:dyDescent="0.2">
      <c r="A428" t="str">
        <f>IF(Ontwerp!A1397="","",Ontwerp!A1397&amp;","&amp;Ontwerp!B1397&amp;","&amp;Ontwerp!C1397)</f>
        <v/>
      </c>
    </row>
    <row r="429" spans="1:1" x14ac:dyDescent="0.2">
      <c r="A429" t="str">
        <f>IF(Ontwerp!A1398="","",Ontwerp!A1398&amp;","&amp;Ontwerp!B1398&amp;","&amp;Ontwerp!C1398)</f>
        <v/>
      </c>
    </row>
    <row r="430" spans="1:1" x14ac:dyDescent="0.2">
      <c r="A430" t="str">
        <f>IF(Ontwerp!A1399="","",Ontwerp!A1399&amp;","&amp;Ontwerp!B1399&amp;","&amp;Ontwerp!C1399)</f>
        <v/>
      </c>
    </row>
    <row r="431" spans="1:1" x14ac:dyDescent="0.2">
      <c r="A431" t="str">
        <f>IF(Ontwerp!A1400="","",Ontwerp!A1400&amp;","&amp;Ontwerp!B1400&amp;","&amp;Ontwerp!C1400)</f>
        <v/>
      </c>
    </row>
    <row r="432" spans="1:1" x14ac:dyDescent="0.2">
      <c r="A432" t="str">
        <f>IF(Ontwerp!A1401="","",Ontwerp!A1401&amp;","&amp;Ontwerp!B1401&amp;","&amp;Ontwerp!C1401)</f>
        <v/>
      </c>
    </row>
    <row r="433" spans="1:1" x14ac:dyDescent="0.2">
      <c r="A433" t="str">
        <f>IF(Ontwerp!A1402="","",Ontwerp!A1402&amp;","&amp;Ontwerp!B1402&amp;","&amp;Ontwerp!C1402)</f>
        <v/>
      </c>
    </row>
    <row r="434" spans="1:1" x14ac:dyDescent="0.2">
      <c r="A434" t="str">
        <f>IF(Ontwerp!A1403="","",Ontwerp!A1403&amp;","&amp;Ontwerp!B1403&amp;","&amp;Ontwerp!C1403)</f>
        <v/>
      </c>
    </row>
    <row r="435" spans="1:1" x14ac:dyDescent="0.2">
      <c r="A435" t="str">
        <f>IF(Ontwerp!A1404="","",Ontwerp!A1404&amp;","&amp;Ontwerp!B1404&amp;","&amp;Ontwerp!C1404)</f>
        <v/>
      </c>
    </row>
    <row r="436" spans="1:1" x14ac:dyDescent="0.2">
      <c r="A436" t="str">
        <f>IF(Ontwerp!A1405="","",Ontwerp!A1405&amp;","&amp;Ontwerp!B1405&amp;","&amp;Ontwerp!C1405)</f>
        <v/>
      </c>
    </row>
    <row r="437" spans="1:1" x14ac:dyDescent="0.2">
      <c r="A437" t="str">
        <f>IF(Ontwerp!A1406="","",Ontwerp!A1406&amp;","&amp;Ontwerp!B1406&amp;","&amp;Ontwerp!C1406)</f>
        <v/>
      </c>
    </row>
    <row r="438" spans="1:1" x14ac:dyDescent="0.2">
      <c r="A438" t="str">
        <f>IF(Ontwerp!A1407="","",Ontwerp!A1407&amp;","&amp;Ontwerp!B1407&amp;","&amp;Ontwerp!C1407)</f>
        <v/>
      </c>
    </row>
    <row r="439" spans="1:1" x14ac:dyDescent="0.2">
      <c r="A439" t="str">
        <f>IF(Ontwerp!A1408="","",Ontwerp!A1408&amp;","&amp;Ontwerp!B1408&amp;","&amp;Ontwerp!C1408)</f>
        <v/>
      </c>
    </row>
    <row r="440" spans="1:1" x14ac:dyDescent="0.2">
      <c r="A440" t="str">
        <f>IF(Ontwerp!A1409="","",Ontwerp!A1409&amp;","&amp;Ontwerp!B1409&amp;","&amp;Ontwerp!C1409)</f>
        <v/>
      </c>
    </row>
    <row r="441" spans="1:1" x14ac:dyDescent="0.2">
      <c r="A441" t="str">
        <f>IF(Ontwerp!A1410="","",Ontwerp!A1410&amp;","&amp;Ontwerp!B1410&amp;","&amp;Ontwerp!C1410)</f>
        <v/>
      </c>
    </row>
    <row r="442" spans="1:1" x14ac:dyDescent="0.2">
      <c r="A442" t="str">
        <f>IF(Ontwerp!A1411="","",Ontwerp!A1411&amp;","&amp;Ontwerp!B1411&amp;","&amp;Ontwerp!C1411)</f>
        <v/>
      </c>
    </row>
    <row r="443" spans="1:1" x14ac:dyDescent="0.2">
      <c r="A443" t="str">
        <f>IF(Ontwerp!A1412="","",Ontwerp!A1412&amp;","&amp;Ontwerp!B1412&amp;","&amp;Ontwerp!C1412)</f>
        <v/>
      </c>
    </row>
    <row r="444" spans="1:1" x14ac:dyDescent="0.2">
      <c r="A444" t="str">
        <f>IF(Ontwerp!A1413="","",Ontwerp!A1413&amp;","&amp;Ontwerp!B1413&amp;","&amp;Ontwerp!C1413)</f>
        <v/>
      </c>
    </row>
    <row r="445" spans="1:1" x14ac:dyDescent="0.2">
      <c r="A445" t="str">
        <f>IF(Ontwerp!A1414="","",Ontwerp!A1414&amp;","&amp;Ontwerp!B1414&amp;","&amp;Ontwerp!C1414)</f>
        <v/>
      </c>
    </row>
    <row r="446" spans="1:1" x14ac:dyDescent="0.2">
      <c r="A446" t="str">
        <f>IF(Ontwerp!A1415="","",Ontwerp!A1415&amp;","&amp;Ontwerp!B1415&amp;","&amp;Ontwerp!C1415)</f>
        <v/>
      </c>
    </row>
    <row r="447" spans="1:1" x14ac:dyDescent="0.2">
      <c r="A447" t="str">
        <f>IF(Ontwerp!A1416="","",Ontwerp!A1416&amp;","&amp;Ontwerp!B1416&amp;","&amp;Ontwerp!C1416)</f>
        <v/>
      </c>
    </row>
    <row r="448" spans="1:1" x14ac:dyDescent="0.2">
      <c r="A448" t="str">
        <f>IF(Ontwerp!A1417="","",Ontwerp!A1417&amp;","&amp;Ontwerp!B1417&amp;","&amp;Ontwerp!C1417)</f>
        <v/>
      </c>
    </row>
    <row r="449" spans="1:1" x14ac:dyDescent="0.2">
      <c r="A449" t="str">
        <f>IF(Ontwerp!A1418="","",Ontwerp!A1418&amp;","&amp;Ontwerp!B1418&amp;","&amp;Ontwerp!C1418)</f>
        <v/>
      </c>
    </row>
    <row r="450" spans="1:1" x14ac:dyDescent="0.2">
      <c r="A450" t="str">
        <f>IF(Ontwerp!A1419="","",Ontwerp!A1419&amp;","&amp;Ontwerp!B1419&amp;","&amp;Ontwerp!C1419)</f>
        <v/>
      </c>
    </row>
    <row r="451" spans="1:1" x14ac:dyDescent="0.2">
      <c r="A451" t="str">
        <f>IF(Ontwerp!A1420="","",Ontwerp!A1420&amp;","&amp;Ontwerp!B1420&amp;","&amp;Ontwerp!C1420)</f>
        <v/>
      </c>
    </row>
    <row r="452" spans="1:1" x14ac:dyDescent="0.2">
      <c r="A452" t="str">
        <f>IF(Ontwerp!A1421="","",Ontwerp!A1421&amp;","&amp;Ontwerp!B1421&amp;","&amp;Ontwerp!C1421)</f>
        <v/>
      </c>
    </row>
    <row r="453" spans="1:1" x14ac:dyDescent="0.2">
      <c r="A453" t="str">
        <f>IF(Ontwerp!A1422="","",Ontwerp!A1422&amp;","&amp;Ontwerp!B1422&amp;","&amp;Ontwerp!C1422)</f>
        <v/>
      </c>
    </row>
    <row r="454" spans="1:1" x14ac:dyDescent="0.2">
      <c r="A454" t="str">
        <f>IF(Ontwerp!A1423="","",Ontwerp!A1423&amp;","&amp;Ontwerp!B1423&amp;","&amp;Ontwerp!C1423)</f>
        <v/>
      </c>
    </row>
    <row r="455" spans="1:1" x14ac:dyDescent="0.2">
      <c r="A455" t="str">
        <f>IF(Ontwerp!A1424="","",Ontwerp!A1424&amp;","&amp;Ontwerp!B1424&amp;","&amp;Ontwerp!C1424)</f>
        <v/>
      </c>
    </row>
    <row r="456" spans="1:1" x14ac:dyDescent="0.2">
      <c r="A456" t="str">
        <f>IF(Ontwerp!A1425="","",Ontwerp!A1425&amp;","&amp;Ontwerp!B1425&amp;","&amp;Ontwerp!C1425)</f>
        <v/>
      </c>
    </row>
    <row r="457" spans="1:1" x14ac:dyDescent="0.2">
      <c r="A457" t="str">
        <f>IF(Ontwerp!A1426="","",Ontwerp!A1426&amp;","&amp;Ontwerp!B1426&amp;","&amp;Ontwerp!C1426)</f>
        <v/>
      </c>
    </row>
    <row r="458" spans="1:1" x14ac:dyDescent="0.2">
      <c r="A458" t="str">
        <f>IF(Ontwerp!A1427="","",Ontwerp!A1427&amp;","&amp;Ontwerp!B1427&amp;","&amp;Ontwerp!C1427)</f>
        <v/>
      </c>
    </row>
    <row r="459" spans="1:1" x14ac:dyDescent="0.2">
      <c r="A459" t="str">
        <f>IF(Ontwerp!A1428="","",Ontwerp!A1428&amp;","&amp;Ontwerp!B1428&amp;","&amp;Ontwerp!C1428)</f>
        <v/>
      </c>
    </row>
    <row r="460" spans="1:1" x14ac:dyDescent="0.2">
      <c r="A460" t="str">
        <f>IF(Ontwerp!A1429="","",Ontwerp!A1429&amp;","&amp;Ontwerp!B1429&amp;","&amp;Ontwerp!C1429)</f>
        <v/>
      </c>
    </row>
    <row r="461" spans="1:1" x14ac:dyDescent="0.2">
      <c r="A461" t="str">
        <f>IF(Ontwerp!A1430="","",Ontwerp!A1430&amp;","&amp;Ontwerp!B1430&amp;","&amp;Ontwerp!C1430)</f>
        <v/>
      </c>
    </row>
    <row r="462" spans="1:1" x14ac:dyDescent="0.2">
      <c r="A462" t="str">
        <f>IF(Ontwerp!A1431="","",Ontwerp!A1431&amp;","&amp;Ontwerp!B1431&amp;","&amp;Ontwerp!C1431)</f>
        <v/>
      </c>
    </row>
    <row r="463" spans="1:1" x14ac:dyDescent="0.2">
      <c r="A463" t="str">
        <f>IF(Ontwerp!A1432="","",Ontwerp!A1432&amp;","&amp;Ontwerp!B1432&amp;","&amp;Ontwerp!C1432)</f>
        <v/>
      </c>
    </row>
    <row r="464" spans="1:1" x14ac:dyDescent="0.2">
      <c r="A464" t="str">
        <f>IF(Ontwerp!A1433="","",Ontwerp!A1433&amp;","&amp;Ontwerp!B1433&amp;","&amp;Ontwerp!C1433)</f>
        <v/>
      </c>
    </row>
    <row r="465" spans="1:1" x14ac:dyDescent="0.2">
      <c r="A465" t="str">
        <f>IF(Ontwerp!A1434="","",Ontwerp!A1434&amp;","&amp;Ontwerp!B1434&amp;","&amp;Ontwerp!C1434)</f>
        <v/>
      </c>
    </row>
    <row r="466" spans="1:1" x14ac:dyDescent="0.2">
      <c r="A466" t="str">
        <f>IF(Ontwerp!A1435="","",Ontwerp!A1435&amp;","&amp;Ontwerp!B1435&amp;","&amp;Ontwerp!C1435)</f>
        <v/>
      </c>
    </row>
    <row r="467" spans="1:1" x14ac:dyDescent="0.2">
      <c r="A467" t="str">
        <f>IF(Ontwerp!A1436="","",Ontwerp!A1436&amp;","&amp;Ontwerp!B1436&amp;","&amp;Ontwerp!C1436)</f>
        <v/>
      </c>
    </row>
    <row r="468" spans="1:1" x14ac:dyDescent="0.2">
      <c r="A468" t="str">
        <f>IF(Ontwerp!A1437="","",Ontwerp!A1437&amp;","&amp;Ontwerp!B1437&amp;","&amp;Ontwerp!C1437)</f>
        <v/>
      </c>
    </row>
    <row r="469" spans="1:1" x14ac:dyDescent="0.2">
      <c r="A469" t="str">
        <f>IF(Ontwerp!A1438="","",Ontwerp!A1438&amp;","&amp;Ontwerp!B1438&amp;","&amp;Ontwerp!C1438)</f>
        <v/>
      </c>
    </row>
    <row r="470" spans="1:1" x14ac:dyDescent="0.2">
      <c r="A470" t="str">
        <f>IF(Ontwerp!A1439="","",Ontwerp!A1439&amp;","&amp;Ontwerp!B1439&amp;","&amp;Ontwerp!C1439)</f>
        <v/>
      </c>
    </row>
    <row r="471" spans="1:1" x14ac:dyDescent="0.2">
      <c r="A471" t="str">
        <f>IF(Ontwerp!A1440="","",Ontwerp!A1440&amp;","&amp;Ontwerp!B1440&amp;","&amp;Ontwerp!C1440)</f>
        <v/>
      </c>
    </row>
    <row r="472" spans="1:1" x14ac:dyDescent="0.2">
      <c r="A472" t="str">
        <f>IF(Ontwerp!A1441="","",Ontwerp!A1441&amp;","&amp;Ontwerp!B1441&amp;","&amp;Ontwerp!C1441)</f>
        <v/>
      </c>
    </row>
    <row r="473" spans="1:1" x14ac:dyDescent="0.2">
      <c r="A473" t="str">
        <f>IF(Ontwerp!A1442="","",Ontwerp!A1442&amp;","&amp;Ontwerp!B1442&amp;","&amp;Ontwerp!C1442)</f>
        <v/>
      </c>
    </row>
    <row r="474" spans="1:1" x14ac:dyDescent="0.2">
      <c r="A474" t="str">
        <f>IF(Ontwerp!A1443="","",Ontwerp!A1443&amp;","&amp;Ontwerp!B1443&amp;","&amp;Ontwerp!C1443)</f>
        <v/>
      </c>
    </row>
    <row r="475" spans="1:1" x14ac:dyDescent="0.2">
      <c r="A475" t="str">
        <f>IF(Ontwerp!A1444="","",Ontwerp!A1444&amp;","&amp;Ontwerp!B1444&amp;","&amp;Ontwerp!C1444)</f>
        <v/>
      </c>
    </row>
    <row r="476" spans="1:1" x14ac:dyDescent="0.2">
      <c r="A476" t="str">
        <f>IF(Ontwerp!A1445="","",Ontwerp!A1445&amp;","&amp;Ontwerp!B1445&amp;","&amp;Ontwerp!C1445)</f>
        <v/>
      </c>
    </row>
    <row r="477" spans="1:1" x14ac:dyDescent="0.2">
      <c r="A477" t="str">
        <f>IF(Ontwerp!A1446="","",Ontwerp!A1446&amp;","&amp;Ontwerp!B1446&amp;","&amp;Ontwerp!C1446)</f>
        <v/>
      </c>
    </row>
    <row r="478" spans="1:1" x14ac:dyDescent="0.2">
      <c r="A478" t="str">
        <f>IF(Ontwerp!A1447="","",Ontwerp!A1447&amp;","&amp;Ontwerp!B1447&amp;","&amp;Ontwerp!C1447)</f>
        <v/>
      </c>
    </row>
    <row r="479" spans="1:1" x14ac:dyDescent="0.2">
      <c r="A479" t="str">
        <f>IF(Ontwerp!A1448="","",Ontwerp!A1448&amp;","&amp;Ontwerp!B1448&amp;","&amp;Ontwerp!C1448)</f>
        <v/>
      </c>
    </row>
    <row r="480" spans="1:1" x14ac:dyDescent="0.2">
      <c r="A480" t="str">
        <f>IF(Ontwerp!A1449="","",Ontwerp!A1449&amp;","&amp;Ontwerp!B1449&amp;","&amp;Ontwerp!C1449)</f>
        <v/>
      </c>
    </row>
    <row r="481" spans="1:1" x14ac:dyDescent="0.2">
      <c r="A481" t="str">
        <f>IF(Ontwerp!A1450="","",Ontwerp!A1450&amp;","&amp;Ontwerp!B1450&amp;","&amp;Ontwerp!C1450)</f>
        <v/>
      </c>
    </row>
    <row r="482" spans="1:1" x14ac:dyDescent="0.2">
      <c r="A482" t="str">
        <f>IF(Ontwerp!A1451="","",Ontwerp!A1451&amp;","&amp;Ontwerp!B1451&amp;","&amp;Ontwerp!C1451)</f>
        <v/>
      </c>
    </row>
    <row r="483" spans="1:1" x14ac:dyDescent="0.2">
      <c r="A483" t="str">
        <f>IF(Ontwerp!A1452="","",Ontwerp!A1452&amp;","&amp;Ontwerp!B1452&amp;","&amp;Ontwerp!C1452)</f>
        <v/>
      </c>
    </row>
    <row r="484" spans="1:1" x14ac:dyDescent="0.2">
      <c r="A484" t="str">
        <f>IF(Ontwerp!A1453="","",Ontwerp!A1453&amp;","&amp;Ontwerp!B1453&amp;","&amp;Ontwerp!C1453)</f>
        <v/>
      </c>
    </row>
    <row r="485" spans="1:1" x14ac:dyDescent="0.2">
      <c r="A485" t="str">
        <f>IF(Ontwerp!A1454="","",Ontwerp!A1454&amp;","&amp;Ontwerp!B1454&amp;","&amp;Ontwerp!C1454)</f>
        <v/>
      </c>
    </row>
    <row r="486" spans="1:1" x14ac:dyDescent="0.2">
      <c r="A486" t="str">
        <f>IF(Ontwerp!A1455="","",Ontwerp!A1455&amp;","&amp;Ontwerp!B1455&amp;","&amp;Ontwerp!C1455)</f>
        <v/>
      </c>
    </row>
    <row r="487" spans="1:1" x14ac:dyDescent="0.2">
      <c r="A487" t="str">
        <f>IF(Ontwerp!A1456="","",Ontwerp!A1456&amp;","&amp;Ontwerp!B1456&amp;","&amp;Ontwerp!C1456)</f>
        <v/>
      </c>
    </row>
    <row r="488" spans="1:1" x14ac:dyDescent="0.2">
      <c r="A488" t="str">
        <f>IF(Ontwerp!A1457="","",Ontwerp!A1457&amp;","&amp;Ontwerp!B1457&amp;","&amp;Ontwerp!C1457)</f>
        <v/>
      </c>
    </row>
    <row r="489" spans="1:1" x14ac:dyDescent="0.2">
      <c r="A489" t="str">
        <f>IF(Ontwerp!A1458="","",Ontwerp!A1458&amp;","&amp;Ontwerp!B1458&amp;","&amp;Ontwerp!C1458)</f>
        <v/>
      </c>
    </row>
    <row r="490" spans="1:1" x14ac:dyDescent="0.2">
      <c r="A490" t="str">
        <f>IF(Ontwerp!A1459="","",Ontwerp!A1459&amp;","&amp;Ontwerp!B1459&amp;","&amp;Ontwerp!C1459)</f>
        <v/>
      </c>
    </row>
    <row r="491" spans="1:1" x14ac:dyDescent="0.2">
      <c r="A491" t="str">
        <f>IF(Ontwerp!A1460="","",Ontwerp!A1460&amp;","&amp;Ontwerp!B1460&amp;","&amp;Ontwerp!C1460)</f>
        <v/>
      </c>
    </row>
    <row r="492" spans="1:1" x14ac:dyDescent="0.2">
      <c r="A492" t="str">
        <f>IF(Ontwerp!A1461="","",Ontwerp!A1461&amp;","&amp;Ontwerp!B1461&amp;","&amp;Ontwerp!C1461)</f>
        <v/>
      </c>
    </row>
    <row r="493" spans="1:1" x14ac:dyDescent="0.2">
      <c r="A493" t="str">
        <f>IF(Ontwerp!A1462="","",Ontwerp!A1462&amp;","&amp;Ontwerp!B1462&amp;","&amp;Ontwerp!C1462)</f>
        <v/>
      </c>
    </row>
    <row r="494" spans="1:1" x14ac:dyDescent="0.2">
      <c r="A494" t="str">
        <f>IF(Ontwerp!A1463="","",Ontwerp!A1463&amp;","&amp;Ontwerp!B1463&amp;","&amp;Ontwerp!C1463)</f>
        <v/>
      </c>
    </row>
    <row r="495" spans="1:1" x14ac:dyDescent="0.2">
      <c r="A495" t="str">
        <f>IF(Ontwerp!A1464="","",Ontwerp!A1464&amp;","&amp;Ontwerp!B1464&amp;","&amp;Ontwerp!C1464)</f>
        <v/>
      </c>
    </row>
    <row r="496" spans="1:1" x14ac:dyDescent="0.2">
      <c r="A496" t="str">
        <f>IF(Ontwerp!A1465="","",Ontwerp!A1465&amp;","&amp;Ontwerp!B1465&amp;","&amp;Ontwerp!C1465)</f>
        <v/>
      </c>
    </row>
    <row r="497" spans="1:1" x14ac:dyDescent="0.2">
      <c r="A497" t="str">
        <f>IF(Ontwerp!A1466="","",Ontwerp!A1466&amp;","&amp;Ontwerp!B1466&amp;","&amp;Ontwerp!C1466)</f>
        <v/>
      </c>
    </row>
    <row r="498" spans="1:1" x14ac:dyDescent="0.2">
      <c r="A498" t="str">
        <f>IF(Ontwerp!A1467="","",Ontwerp!A1467&amp;","&amp;Ontwerp!B1467&amp;","&amp;Ontwerp!C1467)</f>
        <v/>
      </c>
    </row>
    <row r="499" spans="1:1" x14ac:dyDescent="0.2">
      <c r="A499" t="str">
        <f>IF(Ontwerp!A1468="","",Ontwerp!A1468&amp;","&amp;Ontwerp!B1468&amp;","&amp;Ontwerp!C1468)</f>
        <v/>
      </c>
    </row>
    <row r="500" spans="1:1" x14ac:dyDescent="0.2">
      <c r="A500" t="str">
        <f>IF(Ontwerp!A1469="","",Ontwerp!A1469&amp;","&amp;Ontwerp!B1469&amp;","&amp;Ontwerp!C1469)</f>
        <v/>
      </c>
    </row>
    <row r="501" spans="1:1" x14ac:dyDescent="0.2">
      <c r="A501" t="str">
        <f>IF(Ontwerp!A1470="","",Ontwerp!A1470&amp;","&amp;Ontwerp!B1470&amp;","&amp;Ontwerp!C1470)</f>
        <v/>
      </c>
    </row>
    <row r="502" spans="1:1" x14ac:dyDescent="0.2">
      <c r="A502" t="str">
        <f>IF(Ontwerp!A1471="","",Ontwerp!A1471&amp;","&amp;Ontwerp!B1471&amp;","&amp;Ontwerp!C1471)</f>
        <v/>
      </c>
    </row>
    <row r="503" spans="1:1" x14ac:dyDescent="0.2">
      <c r="A503" t="str">
        <f>IF(Ontwerp!A1472="","",Ontwerp!A1472&amp;","&amp;Ontwerp!B1472&amp;","&amp;Ontwerp!C1472)</f>
        <v/>
      </c>
    </row>
    <row r="504" spans="1:1" x14ac:dyDescent="0.2">
      <c r="A504" t="str">
        <f>IF(Ontwerp!A1473="","",Ontwerp!A1473&amp;","&amp;Ontwerp!B1473&amp;","&amp;Ontwerp!C1473)</f>
        <v/>
      </c>
    </row>
    <row r="505" spans="1:1" x14ac:dyDescent="0.2">
      <c r="A505" t="str">
        <f>IF(Ontwerp!A1474="","",Ontwerp!A1474&amp;","&amp;Ontwerp!B1474&amp;","&amp;Ontwerp!C1474)</f>
        <v/>
      </c>
    </row>
    <row r="506" spans="1:1" x14ac:dyDescent="0.2">
      <c r="A506" t="str">
        <f>IF(Ontwerp!A1475="","",Ontwerp!A1475&amp;","&amp;Ontwerp!B1475&amp;","&amp;Ontwerp!C1475)</f>
        <v/>
      </c>
    </row>
    <row r="507" spans="1:1" x14ac:dyDescent="0.2">
      <c r="A507" t="str">
        <f>IF(Ontwerp!A1476="","",Ontwerp!A1476&amp;","&amp;Ontwerp!B1476&amp;","&amp;Ontwerp!C1476)</f>
        <v/>
      </c>
    </row>
    <row r="508" spans="1:1" x14ac:dyDescent="0.2">
      <c r="A508" t="str">
        <f>IF(Ontwerp!A1477="","",Ontwerp!A1477&amp;","&amp;Ontwerp!B1477&amp;","&amp;Ontwerp!C1477)</f>
        <v/>
      </c>
    </row>
    <row r="509" spans="1:1" x14ac:dyDescent="0.2">
      <c r="A509" t="str">
        <f>IF(Ontwerp!A1478="","",Ontwerp!A1478&amp;","&amp;Ontwerp!B1478&amp;","&amp;Ontwerp!C1478)</f>
        <v/>
      </c>
    </row>
    <row r="510" spans="1:1" x14ac:dyDescent="0.2">
      <c r="A510" t="str">
        <f>IF(Ontwerp!A1479="","",Ontwerp!A1479&amp;","&amp;Ontwerp!B1479&amp;","&amp;Ontwerp!C1479)</f>
        <v/>
      </c>
    </row>
    <row r="511" spans="1:1" x14ac:dyDescent="0.2">
      <c r="A511" t="str">
        <f>IF(Ontwerp!A1480="","",Ontwerp!A1480&amp;","&amp;Ontwerp!B1480&amp;","&amp;Ontwerp!C1480)</f>
        <v/>
      </c>
    </row>
    <row r="512" spans="1:1" x14ac:dyDescent="0.2">
      <c r="A512" t="str">
        <f>IF(Ontwerp!A1481="","",Ontwerp!A1481&amp;","&amp;Ontwerp!B1481&amp;","&amp;Ontwerp!C1481)</f>
        <v/>
      </c>
    </row>
    <row r="513" spans="1:1" x14ac:dyDescent="0.2">
      <c r="A513" t="str">
        <f>IF(Ontwerp!A1482="","",Ontwerp!A1482&amp;","&amp;Ontwerp!B1482&amp;","&amp;Ontwerp!C1482)</f>
        <v/>
      </c>
    </row>
    <row r="514" spans="1:1" x14ac:dyDescent="0.2">
      <c r="A514" t="str">
        <f>IF(Ontwerp!A1483="","",Ontwerp!A1483&amp;","&amp;Ontwerp!B1483&amp;","&amp;Ontwerp!C1483)</f>
        <v/>
      </c>
    </row>
    <row r="515" spans="1:1" x14ac:dyDescent="0.2">
      <c r="A515" t="str">
        <f>IF(Ontwerp!A1484="","",Ontwerp!A1484&amp;","&amp;Ontwerp!B1484&amp;","&amp;Ontwerp!C1484)</f>
        <v/>
      </c>
    </row>
    <row r="516" spans="1:1" x14ac:dyDescent="0.2">
      <c r="A516" t="str">
        <f>IF(Ontwerp!A1485="","",Ontwerp!A1485&amp;","&amp;Ontwerp!B1485&amp;","&amp;Ontwerp!C1485)</f>
        <v/>
      </c>
    </row>
    <row r="517" spans="1:1" x14ac:dyDescent="0.2">
      <c r="A517" t="str">
        <f>IF(Ontwerp!A1486="","",Ontwerp!A1486&amp;","&amp;Ontwerp!B1486&amp;","&amp;Ontwerp!C1486)</f>
        <v/>
      </c>
    </row>
    <row r="518" spans="1:1" x14ac:dyDescent="0.2">
      <c r="A518" t="str">
        <f>IF(Ontwerp!A1487="","",Ontwerp!A1487&amp;","&amp;Ontwerp!B1487&amp;","&amp;Ontwerp!C1487)</f>
        <v/>
      </c>
    </row>
    <row r="519" spans="1:1" x14ac:dyDescent="0.2">
      <c r="A519" t="str">
        <f>IF(Ontwerp!A1488="","",Ontwerp!A1488&amp;","&amp;Ontwerp!B1488&amp;","&amp;Ontwerp!C1488)</f>
        <v/>
      </c>
    </row>
    <row r="520" spans="1:1" x14ac:dyDescent="0.2">
      <c r="A520" t="str">
        <f>IF(Ontwerp!A1489="","",Ontwerp!A1489&amp;","&amp;Ontwerp!B1489&amp;","&amp;Ontwerp!C1489)</f>
        <v/>
      </c>
    </row>
    <row r="521" spans="1:1" x14ac:dyDescent="0.2">
      <c r="A521" t="str">
        <f>IF(Ontwerp!A1490="","",Ontwerp!A1490&amp;","&amp;Ontwerp!B1490&amp;","&amp;Ontwerp!C1490)</f>
        <v/>
      </c>
    </row>
    <row r="522" spans="1:1" x14ac:dyDescent="0.2">
      <c r="A522" t="str">
        <f>IF(Ontwerp!A1491="","",Ontwerp!A1491&amp;","&amp;Ontwerp!B1491&amp;","&amp;Ontwerp!C1491)</f>
        <v/>
      </c>
    </row>
    <row r="523" spans="1:1" x14ac:dyDescent="0.2">
      <c r="A523" t="str">
        <f>IF(Ontwerp!A1492="","",Ontwerp!A1492&amp;","&amp;Ontwerp!B1492&amp;","&amp;Ontwerp!C1492)</f>
        <v/>
      </c>
    </row>
    <row r="524" spans="1:1" x14ac:dyDescent="0.2">
      <c r="A524" t="str">
        <f>IF(Ontwerp!A1493="","",Ontwerp!A1493&amp;","&amp;Ontwerp!B1493&amp;","&amp;Ontwerp!C1493)</f>
        <v/>
      </c>
    </row>
    <row r="525" spans="1:1" x14ac:dyDescent="0.2">
      <c r="A525" t="str">
        <f>IF(Ontwerp!A1494="","",Ontwerp!A1494&amp;","&amp;Ontwerp!B1494&amp;","&amp;Ontwerp!C1494)</f>
        <v/>
      </c>
    </row>
    <row r="526" spans="1:1" x14ac:dyDescent="0.2">
      <c r="A526" t="str">
        <f>IF(Ontwerp!A1495="","",Ontwerp!A1495&amp;","&amp;Ontwerp!B1495&amp;","&amp;Ontwerp!C1495)</f>
        <v/>
      </c>
    </row>
    <row r="527" spans="1:1" x14ac:dyDescent="0.2">
      <c r="A527" t="str">
        <f>IF(Ontwerp!A1496="","",Ontwerp!A1496&amp;","&amp;Ontwerp!B1496&amp;","&amp;Ontwerp!C1496)</f>
        <v/>
      </c>
    </row>
    <row r="528" spans="1:1" x14ac:dyDescent="0.2">
      <c r="A528" t="str">
        <f>IF(Ontwerp!A1497="","",Ontwerp!A1497&amp;","&amp;Ontwerp!B1497&amp;","&amp;Ontwerp!C1497)</f>
        <v/>
      </c>
    </row>
    <row r="529" spans="1:1" x14ac:dyDescent="0.2">
      <c r="A529" t="str">
        <f>IF(Ontwerp!A1498="","",Ontwerp!A1498&amp;","&amp;Ontwerp!B1498&amp;","&amp;Ontwerp!C1498)</f>
        <v/>
      </c>
    </row>
    <row r="530" spans="1:1" x14ac:dyDescent="0.2">
      <c r="A530" t="str">
        <f>IF(Ontwerp!A1499="","",Ontwerp!A1499&amp;","&amp;Ontwerp!B1499&amp;","&amp;Ontwerp!C1499)</f>
        <v/>
      </c>
    </row>
    <row r="531" spans="1:1" x14ac:dyDescent="0.2">
      <c r="A531" t="str">
        <f>IF(Ontwerp!A1500="","",Ontwerp!A1500&amp;","&amp;Ontwerp!B1500&amp;","&amp;Ontwerp!C1500)</f>
        <v/>
      </c>
    </row>
    <row r="532" spans="1:1" x14ac:dyDescent="0.2">
      <c r="A532" t="str">
        <f>IF(Ontwerp!A1501="","",Ontwerp!A1501&amp;","&amp;Ontwerp!B1501&amp;","&amp;Ontwerp!C1501)</f>
        <v/>
      </c>
    </row>
    <row r="533" spans="1:1" x14ac:dyDescent="0.2">
      <c r="A533" t="str">
        <f>IF(Ontwerp!A1502="","",Ontwerp!A1502&amp;","&amp;Ontwerp!B1502&amp;","&amp;Ontwerp!C1502)</f>
        <v/>
      </c>
    </row>
    <row r="534" spans="1:1" x14ac:dyDescent="0.2">
      <c r="A534" t="str">
        <f>IF(Ontwerp!A1503="","",Ontwerp!A1503&amp;","&amp;Ontwerp!B1503&amp;","&amp;Ontwerp!C1503)</f>
        <v/>
      </c>
    </row>
    <row r="535" spans="1:1" x14ac:dyDescent="0.2">
      <c r="A535" t="str">
        <f>IF(Ontwerp!A1504="","",Ontwerp!A1504&amp;","&amp;Ontwerp!B1504&amp;","&amp;Ontwerp!C1504)</f>
        <v/>
      </c>
    </row>
    <row r="536" spans="1:1" x14ac:dyDescent="0.2">
      <c r="A536" t="str">
        <f>IF(Ontwerp!A1505="","",Ontwerp!A1505&amp;","&amp;Ontwerp!B1505&amp;","&amp;Ontwerp!C1505)</f>
        <v/>
      </c>
    </row>
    <row r="537" spans="1:1" x14ac:dyDescent="0.2">
      <c r="A537" t="str">
        <f>IF(Ontwerp!A1506="","",Ontwerp!A1506&amp;","&amp;Ontwerp!B1506&amp;","&amp;Ontwerp!C1506)</f>
        <v/>
      </c>
    </row>
    <row r="538" spans="1:1" x14ac:dyDescent="0.2">
      <c r="A538" t="str">
        <f>IF(Ontwerp!A1507="","",Ontwerp!A1507&amp;","&amp;Ontwerp!B1507&amp;","&amp;Ontwerp!C1507)</f>
        <v/>
      </c>
    </row>
    <row r="539" spans="1:1" x14ac:dyDescent="0.2">
      <c r="A539" t="str">
        <f>IF(Ontwerp!A1508="","",Ontwerp!A1508&amp;","&amp;Ontwerp!B1508&amp;","&amp;Ontwerp!C1508)</f>
        <v/>
      </c>
    </row>
    <row r="540" spans="1:1" x14ac:dyDescent="0.2">
      <c r="A540" t="str">
        <f>IF(Ontwerp!A1509="","",Ontwerp!A1509&amp;","&amp;Ontwerp!B1509&amp;","&amp;Ontwerp!C1509)</f>
        <v/>
      </c>
    </row>
    <row r="541" spans="1:1" x14ac:dyDescent="0.2">
      <c r="A541" t="str">
        <f>IF(Ontwerp!A1510="","",Ontwerp!A1510&amp;","&amp;Ontwerp!B1510&amp;","&amp;Ontwerp!C1510)</f>
        <v/>
      </c>
    </row>
    <row r="542" spans="1:1" x14ac:dyDescent="0.2">
      <c r="A542" t="str">
        <f>IF(Ontwerp!A1511="","",Ontwerp!A1511&amp;","&amp;Ontwerp!B1511&amp;","&amp;Ontwerp!C1511)</f>
        <v/>
      </c>
    </row>
    <row r="543" spans="1:1" x14ac:dyDescent="0.2">
      <c r="A543" t="str">
        <f>IF(Ontwerp!A1512="","",Ontwerp!A1512&amp;","&amp;Ontwerp!B1512&amp;","&amp;Ontwerp!C1512)</f>
        <v/>
      </c>
    </row>
    <row r="544" spans="1:1" x14ac:dyDescent="0.2">
      <c r="A544" t="str">
        <f>IF(Ontwerp!A1513="","",Ontwerp!A1513&amp;","&amp;Ontwerp!B1513&amp;","&amp;Ontwerp!C1513)</f>
        <v/>
      </c>
    </row>
    <row r="545" spans="1:1" x14ac:dyDescent="0.2">
      <c r="A545" t="str">
        <f>IF(Ontwerp!A1514="","",Ontwerp!A1514&amp;","&amp;Ontwerp!B1514&amp;","&amp;Ontwerp!C1514)</f>
        <v/>
      </c>
    </row>
    <row r="546" spans="1:1" x14ac:dyDescent="0.2">
      <c r="A546" t="str">
        <f>IF(Ontwerp!A1515="","",Ontwerp!A1515&amp;","&amp;Ontwerp!B1515&amp;","&amp;Ontwerp!C1515)</f>
        <v/>
      </c>
    </row>
    <row r="547" spans="1:1" x14ac:dyDescent="0.2">
      <c r="A547" t="str">
        <f>IF(Ontwerp!A1516="","",Ontwerp!A1516&amp;","&amp;Ontwerp!B1516&amp;","&amp;Ontwerp!C1516)</f>
        <v/>
      </c>
    </row>
    <row r="548" spans="1:1" x14ac:dyDescent="0.2">
      <c r="A548" t="str">
        <f>IF(Ontwerp!A1517="","",Ontwerp!A1517&amp;","&amp;Ontwerp!B1517&amp;","&amp;Ontwerp!C1517)</f>
        <v/>
      </c>
    </row>
    <row r="549" spans="1:1" x14ac:dyDescent="0.2">
      <c r="A549" t="str">
        <f>IF(Ontwerp!A1518="","",Ontwerp!A1518&amp;","&amp;Ontwerp!B1518&amp;","&amp;Ontwerp!C1518)</f>
        <v/>
      </c>
    </row>
    <row r="550" spans="1:1" x14ac:dyDescent="0.2">
      <c r="A550" t="str">
        <f>IF(Ontwerp!A1519="","",Ontwerp!A1519&amp;","&amp;Ontwerp!B1519&amp;","&amp;Ontwerp!C1519)</f>
        <v/>
      </c>
    </row>
    <row r="551" spans="1:1" x14ac:dyDescent="0.2">
      <c r="A551" t="str">
        <f>IF(Ontwerp!A1520="","",Ontwerp!A1520&amp;","&amp;Ontwerp!B1520&amp;","&amp;Ontwerp!C1520)</f>
        <v/>
      </c>
    </row>
    <row r="552" spans="1:1" x14ac:dyDescent="0.2">
      <c r="A552" t="str">
        <f>IF(Ontwerp!A1521="","",Ontwerp!A1521&amp;","&amp;Ontwerp!B1521&amp;","&amp;Ontwerp!C1521)</f>
        <v/>
      </c>
    </row>
    <row r="553" spans="1:1" x14ac:dyDescent="0.2">
      <c r="A553" t="str">
        <f>IF(Ontwerp!A1522="","",Ontwerp!A1522&amp;","&amp;Ontwerp!B1522&amp;","&amp;Ontwerp!C1522)</f>
        <v/>
      </c>
    </row>
    <row r="554" spans="1:1" x14ac:dyDescent="0.2">
      <c r="A554" t="str">
        <f>IF(Ontwerp!A1523="","",Ontwerp!A1523&amp;","&amp;Ontwerp!B1523&amp;","&amp;Ontwerp!C1523)</f>
        <v/>
      </c>
    </row>
    <row r="555" spans="1:1" x14ac:dyDescent="0.2">
      <c r="A555" t="str">
        <f>IF(Ontwerp!A1524="","",Ontwerp!A1524&amp;","&amp;Ontwerp!B1524&amp;","&amp;Ontwerp!C1524)</f>
        <v/>
      </c>
    </row>
    <row r="556" spans="1:1" x14ac:dyDescent="0.2">
      <c r="A556" t="str">
        <f>IF(Ontwerp!A1525="","",Ontwerp!A1525&amp;","&amp;Ontwerp!B1525&amp;","&amp;Ontwerp!C1525)</f>
        <v/>
      </c>
    </row>
    <row r="557" spans="1:1" x14ac:dyDescent="0.2">
      <c r="A557" t="str">
        <f>IF(Ontwerp!A1526="","",Ontwerp!A1526&amp;","&amp;Ontwerp!B1526&amp;","&amp;Ontwerp!C1526)</f>
        <v/>
      </c>
    </row>
    <row r="558" spans="1:1" x14ac:dyDescent="0.2">
      <c r="A558" t="str">
        <f>IF(Ontwerp!A1527="","",Ontwerp!A1527&amp;","&amp;Ontwerp!B1527&amp;","&amp;Ontwerp!C1527)</f>
        <v/>
      </c>
    </row>
    <row r="559" spans="1:1" x14ac:dyDescent="0.2">
      <c r="A559" t="str">
        <f>IF(Ontwerp!A1528="","",Ontwerp!A1528&amp;","&amp;Ontwerp!B1528&amp;","&amp;Ontwerp!C1528)</f>
        <v/>
      </c>
    </row>
    <row r="560" spans="1:1" x14ac:dyDescent="0.2">
      <c r="A560" t="str">
        <f>IF(Ontwerp!A1529="","",Ontwerp!A1529&amp;","&amp;Ontwerp!B1529&amp;","&amp;Ontwerp!C1529)</f>
        <v/>
      </c>
    </row>
    <row r="561" spans="1:1" x14ac:dyDescent="0.2">
      <c r="A561" t="str">
        <f>IF(Ontwerp!L1513="","",Ontwerp!L1513&amp;","&amp;Ontwerp!N1513&amp;","&amp;Ontwerp!O1513)</f>
        <v>6.0957555770874,,</v>
      </c>
    </row>
    <row r="562" spans="1:1" x14ac:dyDescent="0.2">
      <c r="A562" t="str">
        <f>IF(Ontwerp!L1514="","",Ontwerp!L1514&amp;","&amp;Ontwerp!N1514&amp;","&amp;Ontwerp!O1514)</f>
        <v>6.0910439491272,,</v>
      </c>
    </row>
    <row r="563" spans="1:1" x14ac:dyDescent="0.2">
      <c r="A563" t="str">
        <f>IF(Ontwerp!L1515="","",Ontwerp!L1515&amp;","&amp;Ontwerp!N1515&amp;","&amp;Ontwerp!O1515)</f>
        <v>6.10498809814453,,</v>
      </c>
    </row>
    <row r="564" spans="1:1" x14ac:dyDescent="0.2">
      <c r="A564" t="str">
        <f>IF(Ontwerp!L1516="","",Ontwerp!L1516&amp;","&amp;Ontwerp!N1516&amp;","&amp;Ontwerp!O1516)</f>
        <v>6.06716299057007,,</v>
      </c>
    </row>
    <row r="565" spans="1:1" x14ac:dyDescent="0.2">
      <c r="A565" t="str">
        <f>IF(Ontwerp!L1517="","",Ontwerp!L1517&amp;","&amp;Ontwerp!N1517&amp;","&amp;Ontwerp!O1517)</f>
        <v>6.00136184692383,,</v>
      </c>
    </row>
    <row r="566" spans="1:1" x14ac:dyDescent="0.2">
      <c r="A566" t="str">
        <f>IF(Ontwerp!L1518="","",Ontwerp!L1518&amp;","&amp;Ontwerp!N1518&amp;","&amp;Ontwerp!O1518)</f>
        <v>6.01441383361816,,</v>
      </c>
    </row>
    <row r="567" spans="1:1" x14ac:dyDescent="0.2">
      <c r="A567" t="str">
        <f>IF(Ontwerp!L1519="","",Ontwerp!L1519&amp;","&amp;Ontwerp!N1519&amp;","&amp;Ontwerp!O1519)</f>
        <v>6.03061628341675,,</v>
      </c>
    </row>
    <row r="568" spans="1:1" x14ac:dyDescent="0.2">
      <c r="A568" t="str">
        <f>IF(Ontwerp!L1520="","",Ontwerp!L1520&amp;","&amp;Ontwerp!N1520&amp;","&amp;Ontwerp!O1520)</f>
        <v>6.03664398193359,,</v>
      </c>
    </row>
    <row r="569" spans="1:1" x14ac:dyDescent="0.2">
      <c r="A569" t="str">
        <f>IF(Ontwerp!L1521="","",Ontwerp!L1521&amp;","&amp;Ontwerp!N1521&amp;","&amp;Ontwerp!O1521)</f>
        <v>6.03261566162109,,</v>
      </c>
    </row>
    <row r="570" spans="1:1" x14ac:dyDescent="0.2">
      <c r="A570" t="str">
        <f>IF(Ontwerp!L1522="","",Ontwerp!L1522&amp;","&amp;Ontwerp!N1522&amp;","&amp;Ontwerp!O1522)</f>
        <v>6.06268405914307,,</v>
      </c>
    </row>
    <row r="571" spans="1:1" x14ac:dyDescent="0.2">
      <c r="A571" t="str">
        <f>IF(Ontwerp!L1523="","",Ontwerp!L1523&amp;","&amp;Ontwerp!N1523&amp;","&amp;Ontwerp!O1523)</f>
        <v>6.14372253417969,,</v>
      </c>
    </row>
    <row r="572" spans="1:1" x14ac:dyDescent="0.2">
      <c r="A572" t="str">
        <f>IF(Ontwerp!L1524="","",Ontwerp!L1524&amp;","&amp;Ontwerp!N1524&amp;","&amp;Ontwerp!O1524)</f>
        <v>6.16627597808838,,</v>
      </c>
    </row>
    <row r="573" spans="1:1" x14ac:dyDescent="0.2">
      <c r="A573" t="str">
        <f>IF(Ontwerp!L1525="","",Ontwerp!L1525&amp;","&amp;Ontwerp!N1525&amp;","&amp;Ontwerp!O1525)</f>
        <v>6.21242570877075,,</v>
      </c>
    </row>
    <row r="574" spans="1:1" x14ac:dyDescent="0.2">
      <c r="A574" t="str">
        <f>IF(Ontwerp!L1526="","",Ontwerp!L1526&amp;","&amp;Ontwerp!N1526&amp;","&amp;Ontwerp!O1526)</f>
        <v>6.1794171333313,,</v>
      </c>
    </row>
    <row r="575" spans="1:1" x14ac:dyDescent="0.2">
      <c r="A575" t="str">
        <f>IF(Ontwerp!L1527="","",Ontwerp!L1527&amp;","&amp;Ontwerp!N1527&amp;","&amp;Ontwerp!O1527)</f>
        <v>6.13411140441895,,</v>
      </c>
    </row>
    <row r="576" spans="1:1" x14ac:dyDescent="0.2">
      <c r="A576" t="str">
        <f>IF(Ontwerp!L1528="","",Ontwerp!L1528&amp;","&amp;Ontwerp!N1528&amp;","&amp;Ontwerp!O1528)</f>
        <v>6.07981061935425,,</v>
      </c>
    </row>
    <row r="577" spans="1:1" x14ac:dyDescent="0.2">
      <c r="A577" t="str">
        <f>IF(Ontwerp!L1529="","",Ontwerp!L1529&amp;","&amp;Ontwerp!N1529&amp;","&amp;Ontwerp!O1529)</f>
        <v>6.03159141540527,,</v>
      </c>
    </row>
    <row r="578" spans="1:1" x14ac:dyDescent="0.2">
      <c r="A578" t="str">
        <f>IF(Ontwerp!L1530="","",Ontwerp!L1530&amp;","&amp;Ontwerp!N1530&amp;","&amp;Ontwerp!O1530)</f>
        <v>5.96721982955933,,</v>
      </c>
    </row>
    <row r="579" spans="1:1" x14ac:dyDescent="0.2">
      <c r="A579" t="str">
        <f>IF(Ontwerp!L1531="","",Ontwerp!L1531&amp;","&amp;Ontwerp!N1531&amp;","&amp;Ontwerp!O1531)</f>
        <v>5.92393064498901,,</v>
      </c>
    </row>
    <row r="580" spans="1:1" x14ac:dyDescent="0.2">
      <c r="A580" t="str">
        <f>IF(Ontwerp!L1532="","",Ontwerp!L1532&amp;","&amp;Ontwerp!N1532&amp;","&amp;Ontwerp!O1532)</f>
        <v>5.85312843322754,,</v>
      </c>
    </row>
    <row r="581" spans="1:1" x14ac:dyDescent="0.2">
      <c r="A581" t="str">
        <f>IF(Ontwerp!L1533="","",Ontwerp!L1533&amp;","&amp;Ontwerp!N1533&amp;","&amp;Ontwerp!O1533)</f>
        <v>0,,</v>
      </c>
    </row>
    <row r="582" spans="1:1" x14ac:dyDescent="0.2">
      <c r="A582" t="str">
        <f>IF(Ontwerp!L1534="","",Ontwerp!L1534&amp;","&amp;Ontwerp!N1534&amp;","&amp;Ontwerp!O1534)</f>
        <v>0,,</v>
      </c>
    </row>
    <row r="583" spans="1:1" x14ac:dyDescent="0.2">
      <c r="A583" t="str">
        <f>IF(Ontwerp!L1535="","",Ontwerp!L1535&amp;","&amp;Ontwerp!N1535&amp;","&amp;Ontwerp!O1535)</f>
        <v>0,,</v>
      </c>
    </row>
    <row r="584" spans="1:1" x14ac:dyDescent="0.2">
      <c r="A584" t="str">
        <f>IF(Ontwerp!L1536="","",Ontwerp!L1536&amp;","&amp;Ontwerp!N1536&amp;","&amp;Ontwerp!O1536)</f>
        <v>0,,</v>
      </c>
    </row>
    <row r="585" spans="1:1" x14ac:dyDescent="0.2">
      <c r="A585" t="str">
        <f>IF(Ontwerp!L1537="","",Ontwerp!L1537&amp;","&amp;Ontwerp!N1537&amp;","&amp;Ontwerp!O1537)</f>
        <v>0,,</v>
      </c>
    </row>
    <row r="586" spans="1:1" x14ac:dyDescent="0.2">
      <c r="A586" t="str">
        <f>IF(Ontwerp!L1538="","",Ontwerp!L1538&amp;","&amp;Ontwerp!N1538&amp;","&amp;Ontwerp!O1538)</f>
        <v>0,,</v>
      </c>
    </row>
    <row r="587" spans="1:1" x14ac:dyDescent="0.2">
      <c r="A587" t="str">
        <f>IF(Ontwerp!L1539="","",Ontwerp!L1539&amp;","&amp;Ontwerp!N1539&amp;","&amp;Ontwerp!O1539)</f>
        <v>0,,</v>
      </c>
    </row>
    <row r="588" spans="1:1" x14ac:dyDescent="0.2">
      <c r="A588" t="str">
        <f>IF(Ontwerp!L1540="","",Ontwerp!L1540&amp;","&amp;Ontwerp!N1540&amp;","&amp;Ontwerp!O1540)</f>
        <v>0,,</v>
      </c>
    </row>
    <row r="589" spans="1:1" x14ac:dyDescent="0.2">
      <c r="A589" t="str">
        <f>IF(Ontwerp!L1541="","",Ontwerp!L1541&amp;","&amp;Ontwerp!N1541&amp;","&amp;Ontwerp!O1541)</f>
        <v>0,,</v>
      </c>
    </row>
    <row r="590" spans="1:1" x14ac:dyDescent="0.2">
      <c r="A590" t="str">
        <f>IF(Ontwerp!L1542="","",Ontwerp!L1542&amp;","&amp;Ontwerp!N1542&amp;","&amp;Ontwerp!O1542)</f>
        <v>0,,</v>
      </c>
    </row>
    <row r="591" spans="1:1" x14ac:dyDescent="0.2">
      <c r="A591" t="str">
        <f>IF(Ontwerp!L1543="","",Ontwerp!L1543&amp;","&amp;Ontwerp!N1543&amp;","&amp;Ontwerp!O1543)</f>
        <v>0,,</v>
      </c>
    </row>
    <row r="592" spans="1:1" x14ac:dyDescent="0.2">
      <c r="A592" t="str">
        <f>IF(Ontwerp!L1544="","",Ontwerp!L1544&amp;","&amp;Ontwerp!N1544&amp;","&amp;Ontwerp!O1544)</f>
        <v>0,,</v>
      </c>
    </row>
    <row r="593" spans="1:1" x14ac:dyDescent="0.2">
      <c r="A593" t="str">
        <f>IF(Ontwerp!L1545="","",Ontwerp!L1545&amp;","&amp;Ontwerp!N1545&amp;","&amp;Ontwerp!O1545)</f>
        <v>0,,</v>
      </c>
    </row>
    <row r="594" spans="1:1" x14ac:dyDescent="0.2">
      <c r="A594" t="str">
        <f>IF(Ontwerp!L1546="","",Ontwerp!L1546&amp;","&amp;Ontwerp!N1546&amp;","&amp;Ontwerp!O1546)</f>
        <v>0,,</v>
      </c>
    </row>
    <row r="595" spans="1:1" x14ac:dyDescent="0.2">
      <c r="A595" t="str">
        <f>IF(Ontwerp!L1547="","",Ontwerp!L1547&amp;","&amp;Ontwerp!N1547&amp;","&amp;Ontwerp!O1547)</f>
        <v>0,,</v>
      </c>
    </row>
    <row r="596" spans="1:1" x14ac:dyDescent="0.2">
      <c r="A596" t="str">
        <f>IF(Ontwerp!L1548="","",Ontwerp!L1548&amp;","&amp;Ontwerp!N1548&amp;","&amp;Ontwerp!O1548)</f>
        <v>0,,</v>
      </c>
    </row>
    <row r="597" spans="1:1" x14ac:dyDescent="0.2">
      <c r="A597" t="str">
        <f>IF(Ontwerp!L1549="","",Ontwerp!L1549&amp;","&amp;Ontwerp!N1549&amp;","&amp;Ontwerp!O1549)</f>
        <v>0,,</v>
      </c>
    </row>
    <row r="598" spans="1:1" x14ac:dyDescent="0.2">
      <c r="A598" t="str">
        <f>IF(Ontwerp!L1550="","",Ontwerp!L1550&amp;","&amp;Ontwerp!N1550&amp;","&amp;Ontwerp!O1550)</f>
        <v>0,,</v>
      </c>
    </row>
    <row r="599" spans="1:1" x14ac:dyDescent="0.2">
      <c r="A599" t="str">
        <f>IF(Ontwerp!L1551="","",Ontwerp!L1551&amp;","&amp;Ontwerp!N1551&amp;","&amp;Ontwerp!O1551)</f>
        <v>0,,</v>
      </c>
    </row>
    <row r="600" spans="1:1" x14ac:dyDescent="0.2">
      <c r="A600" t="str">
        <f>IF(Ontwerp!L1552="","",Ontwerp!L1552&amp;","&amp;Ontwerp!N1552&amp;","&amp;Ontwerp!O1552)</f>
        <v>0,,</v>
      </c>
    </row>
    <row r="601" spans="1:1" x14ac:dyDescent="0.2">
      <c r="A601" t="str">
        <f>IF(Ontwerp!L1553="","",Ontwerp!L1553&amp;","&amp;Ontwerp!N1553&amp;","&amp;Ontwerp!O1553)</f>
        <v>0,,</v>
      </c>
    </row>
    <row r="602" spans="1:1" x14ac:dyDescent="0.2">
      <c r="A602" t="str">
        <f>IF(Ontwerp!L1554="","",Ontwerp!L1554&amp;","&amp;Ontwerp!N1554&amp;","&amp;Ontwerp!O1554)</f>
        <v>0,,</v>
      </c>
    </row>
    <row r="603" spans="1:1" x14ac:dyDescent="0.2">
      <c r="A603" t="str">
        <f>IF(Ontwerp!L1555="","",Ontwerp!L1555&amp;","&amp;Ontwerp!N1555&amp;","&amp;Ontwerp!O1555)</f>
        <v>0,,</v>
      </c>
    </row>
    <row r="604" spans="1:1" x14ac:dyDescent="0.2">
      <c r="A604" t="str">
        <f>IF(Ontwerp!L1556="","",Ontwerp!L1556&amp;","&amp;Ontwerp!N1556&amp;","&amp;Ontwerp!O1556)</f>
        <v>0,,</v>
      </c>
    </row>
    <row r="605" spans="1:1" x14ac:dyDescent="0.2">
      <c r="A605" t="str">
        <f>IF(Ontwerp!L1557="","",Ontwerp!L1557&amp;","&amp;Ontwerp!N1557&amp;","&amp;Ontwerp!O1557)</f>
        <v>0,,</v>
      </c>
    </row>
    <row r="606" spans="1:1" x14ac:dyDescent="0.2">
      <c r="A606" t="str">
        <f>IF(Ontwerp!L1558="","",Ontwerp!L1558&amp;","&amp;Ontwerp!N1558&amp;","&amp;Ontwerp!O1558)</f>
        <v>0,,</v>
      </c>
    </row>
    <row r="607" spans="1:1" x14ac:dyDescent="0.2">
      <c r="A607" t="str">
        <f>IF(Ontwerp!L1559="","",Ontwerp!L1559&amp;","&amp;Ontwerp!N1559&amp;","&amp;Ontwerp!O1559)</f>
        <v>0,,</v>
      </c>
    </row>
    <row r="608" spans="1:1" x14ac:dyDescent="0.2">
      <c r="A608" t="str">
        <f>IF(Ontwerp!L1560="","",Ontwerp!L1560&amp;","&amp;Ontwerp!N1560&amp;","&amp;Ontwerp!O1560)</f>
        <v>0,,</v>
      </c>
    </row>
    <row r="609" spans="1:1" x14ac:dyDescent="0.2">
      <c r="A609" t="str">
        <f>IF(Ontwerp!L1561="","",Ontwerp!L1561&amp;","&amp;Ontwerp!N1561&amp;","&amp;Ontwerp!O1561)</f>
        <v>0,,</v>
      </c>
    </row>
    <row r="610" spans="1:1" x14ac:dyDescent="0.2">
      <c r="A610" t="str">
        <f>IF(Ontwerp!L1562="","",Ontwerp!L1562&amp;","&amp;Ontwerp!N1562&amp;","&amp;Ontwerp!O1562)</f>
        <v>0,,</v>
      </c>
    </row>
    <row r="611" spans="1:1" x14ac:dyDescent="0.2">
      <c r="A611" t="str">
        <f>IF(Ontwerp!L1563="","",Ontwerp!L1563&amp;","&amp;Ontwerp!N1563&amp;","&amp;Ontwerp!O1563)</f>
        <v>0,,</v>
      </c>
    </row>
    <row r="612" spans="1:1" x14ac:dyDescent="0.2">
      <c r="A612" t="str">
        <f>IF(Ontwerp!L1564="","",Ontwerp!L1564&amp;","&amp;Ontwerp!N1564&amp;","&amp;Ontwerp!O1564)</f>
        <v>0,,</v>
      </c>
    </row>
    <row r="613" spans="1:1" x14ac:dyDescent="0.2">
      <c r="A613" t="str">
        <f>IF(Ontwerp!L1565="","",Ontwerp!L1565&amp;","&amp;Ontwerp!N1565&amp;","&amp;Ontwerp!O1565)</f>
        <v>0,,</v>
      </c>
    </row>
    <row r="614" spans="1:1" x14ac:dyDescent="0.2">
      <c r="A614" t="str">
        <f>IF(Ontwerp!L1566="","",Ontwerp!L1566&amp;","&amp;Ontwerp!N1566&amp;","&amp;Ontwerp!O1566)</f>
        <v>0,,</v>
      </c>
    </row>
    <row r="615" spans="1:1" x14ac:dyDescent="0.2">
      <c r="A615" t="str">
        <f>IF(Ontwerp!L1567="","",Ontwerp!L1567&amp;","&amp;Ontwerp!N1567&amp;","&amp;Ontwerp!O1567)</f>
        <v>0,,</v>
      </c>
    </row>
    <row r="616" spans="1:1" x14ac:dyDescent="0.2">
      <c r="A616" t="str">
        <f>IF(Ontwerp!L1568="","",Ontwerp!L1568&amp;","&amp;Ontwerp!N1568&amp;","&amp;Ontwerp!O1568)</f>
        <v>0,,</v>
      </c>
    </row>
    <row r="617" spans="1:1" x14ac:dyDescent="0.2">
      <c r="A617" t="str">
        <f>IF(Ontwerp!L1569="","",Ontwerp!L1569&amp;","&amp;Ontwerp!N1569&amp;","&amp;Ontwerp!O1569)</f>
        <v>0,,</v>
      </c>
    </row>
    <row r="618" spans="1:1" x14ac:dyDescent="0.2">
      <c r="A618" t="str">
        <f>IF(Ontwerp!L1570="","",Ontwerp!L1570&amp;","&amp;Ontwerp!N1570&amp;","&amp;Ontwerp!O1570)</f>
        <v>0,,</v>
      </c>
    </row>
    <row r="619" spans="1:1" x14ac:dyDescent="0.2">
      <c r="A619" t="str">
        <f>IF(Ontwerp!L1571="","",Ontwerp!L1571&amp;","&amp;Ontwerp!N1571&amp;","&amp;Ontwerp!O1571)</f>
        <v>0,,</v>
      </c>
    </row>
    <row r="620" spans="1:1" x14ac:dyDescent="0.2">
      <c r="A620" t="str">
        <f>IF(Ontwerp!L1572="","",Ontwerp!L1572&amp;","&amp;Ontwerp!N1572&amp;","&amp;Ontwerp!O1572)</f>
        <v>0,,</v>
      </c>
    </row>
    <row r="621" spans="1:1" x14ac:dyDescent="0.2">
      <c r="A621" t="str">
        <f>IF(Ontwerp!L1573="","",Ontwerp!L1573&amp;","&amp;Ontwerp!N1573&amp;","&amp;Ontwerp!O1573)</f>
        <v>0,,</v>
      </c>
    </row>
    <row r="622" spans="1:1" x14ac:dyDescent="0.2">
      <c r="A622" t="str">
        <f>IF(Ontwerp!L1574="","",Ontwerp!L1574&amp;","&amp;Ontwerp!N1574&amp;","&amp;Ontwerp!O1574)</f>
        <v>0,,</v>
      </c>
    </row>
    <row r="623" spans="1:1" x14ac:dyDescent="0.2">
      <c r="A623" t="str">
        <f>IF(Ontwerp!L1575="","",Ontwerp!L1575&amp;","&amp;Ontwerp!N1575&amp;","&amp;Ontwerp!O1575)</f>
        <v>0,,</v>
      </c>
    </row>
    <row r="624" spans="1:1" x14ac:dyDescent="0.2">
      <c r="A624" t="str">
        <f>IF(Ontwerp!L1576="","",Ontwerp!L1576&amp;","&amp;Ontwerp!N1576&amp;","&amp;Ontwerp!O1576)</f>
        <v>0,,</v>
      </c>
    </row>
    <row r="625" spans="1:1" x14ac:dyDescent="0.2">
      <c r="A625" t="str">
        <f>IF(Ontwerp!L1577="","",Ontwerp!L1577&amp;","&amp;Ontwerp!N1577&amp;","&amp;Ontwerp!O1577)</f>
        <v>0,,</v>
      </c>
    </row>
    <row r="626" spans="1:1" x14ac:dyDescent="0.2">
      <c r="A626" t="str">
        <f>IF(Ontwerp!L1578="","",Ontwerp!L1578&amp;","&amp;Ontwerp!N1578&amp;","&amp;Ontwerp!O1578)</f>
        <v>0,,</v>
      </c>
    </row>
    <row r="627" spans="1:1" x14ac:dyDescent="0.2">
      <c r="A627" t="str">
        <f>IF(Ontwerp!L1579="","",Ontwerp!L1579&amp;","&amp;Ontwerp!N1579&amp;","&amp;Ontwerp!O1579)</f>
        <v>0,,</v>
      </c>
    </row>
    <row r="628" spans="1:1" x14ac:dyDescent="0.2">
      <c r="A628" t="str">
        <f>IF(Ontwerp!L1580="","",Ontwerp!L1580&amp;","&amp;Ontwerp!N1580&amp;","&amp;Ontwerp!O1580)</f>
        <v>0,,</v>
      </c>
    </row>
    <row r="629" spans="1:1" x14ac:dyDescent="0.2">
      <c r="A629" t="str">
        <f>IF(Ontwerp!L1581="","",Ontwerp!L1581&amp;","&amp;Ontwerp!N1581&amp;","&amp;Ontwerp!O1581)</f>
        <v>0,,</v>
      </c>
    </row>
    <row r="630" spans="1:1" x14ac:dyDescent="0.2">
      <c r="A630" t="str">
        <f>IF(Ontwerp!L1582="","",Ontwerp!L1582&amp;","&amp;Ontwerp!N1582&amp;","&amp;Ontwerp!O1582)</f>
        <v>0,,</v>
      </c>
    </row>
    <row r="631" spans="1:1" x14ac:dyDescent="0.2">
      <c r="A631" t="str">
        <f>IF(Ontwerp!L1583="","",Ontwerp!L1583&amp;","&amp;Ontwerp!N1583&amp;","&amp;Ontwerp!O1583)</f>
        <v>0,,</v>
      </c>
    </row>
    <row r="632" spans="1:1" x14ac:dyDescent="0.2">
      <c r="A632" t="str">
        <f>IF(Ontwerp!L1584="","",Ontwerp!L1584&amp;","&amp;Ontwerp!N1584&amp;","&amp;Ontwerp!O1584)</f>
        <v>0,,</v>
      </c>
    </row>
    <row r="633" spans="1:1" x14ac:dyDescent="0.2">
      <c r="A633" t="str">
        <f>IF(Ontwerp!L1585="","",Ontwerp!L1585&amp;","&amp;Ontwerp!N1585&amp;","&amp;Ontwerp!O1585)</f>
        <v>0,,</v>
      </c>
    </row>
    <row r="634" spans="1:1" x14ac:dyDescent="0.2">
      <c r="A634" t="str">
        <f>IF(Ontwerp!L1586="","",Ontwerp!L1586&amp;","&amp;Ontwerp!N1586&amp;","&amp;Ontwerp!O1586)</f>
        <v>0,,</v>
      </c>
    </row>
    <row r="635" spans="1:1" x14ac:dyDescent="0.2">
      <c r="A635" t="str">
        <f>IF(Ontwerp!L1587="","",Ontwerp!L1587&amp;","&amp;Ontwerp!N1587&amp;","&amp;Ontwerp!O1587)</f>
        <v>0,,</v>
      </c>
    </row>
    <row r="636" spans="1:1" x14ac:dyDescent="0.2">
      <c r="A636" t="str">
        <f>IF(Ontwerp!L1588="","",Ontwerp!L1588&amp;","&amp;Ontwerp!N1588&amp;","&amp;Ontwerp!O1588)</f>
        <v>0,,</v>
      </c>
    </row>
    <row r="637" spans="1:1" x14ac:dyDescent="0.2">
      <c r="A637" t="str">
        <f>IF(Ontwerp!L1589="","",Ontwerp!L1589&amp;","&amp;Ontwerp!N1589&amp;","&amp;Ontwerp!O1589)</f>
        <v>0,,</v>
      </c>
    </row>
    <row r="638" spans="1:1" x14ac:dyDescent="0.2">
      <c r="A638" t="str">
        <f>IF(Ontwerp!L1590="","",Ontwerp!L1590&amp;","&amp;Ontwerp!N1590&amp;","&amp;Ontwerp!O1590)</f>
        <v>0,,</v>
      </c>
    </row>
    <row r="639" spans="1:1" x14ac:dyDescent="0.2">
      <c r="A639" t="str">
        <f>IF(Ontwerp!L1591="","",Ontwerp!L1591&amp;","&amp;Ontwerp!N1591&amp;","&amp;Ontwerp!O1591)</f>
        <v>0,,</v>
      </c>
    </row>
    <row r="640" spans="1:1" x14ac:dyDescent="0.2">
      <c r="A640" t="str">
        <f>IF(Ontwerp!L1592="","",Ontwerp!L1592&amp;","&amp;Ontwerp!N1592&amp;","&amp;Ontwerp!O1592)</f>
        <v>0,,</v>
      </c>
    </row>
    <row r="641" spans="1:1" x14ac:dyDescent="0.2">
      <c r="A641" t="str">
        <f>IF(Ontwerp!L1593="","",Ontwerp!L1593&amp;","&amp;Ontwerp!N1593&amp;","&amp;Ontwerp!O1593)</f>
        <v>0,,</v>
      </c>
    </row>
    <row r="642" spans="1:1" x14ac:dyDescent="0.2">
      <c r="A642" t="str">
        <f>IF(Ontwerp!L1594="","",Ontwerp!L1594&amp;","&amp;Ontwerp!N1594&amp;","&amp;Ontwerp!O1594)</f>
        <v>0,,</v>
      </c>
    </row>
    <row r="643" spans="1:1" x14ac:dyDescent="0.2">
      <c r="A643" t="str">
        <f>IF(Ontwerp!L1595="","",Ontwerp!L1595&amp;","&amp;Ontwerp!N1595&amp;","&amp;Ontwerp!O1595)</f>
        <v>0,,</v>
      </c>
    </row>
    <row r="644" spans="1:1" x14ac:dyDescent="0.2">
      <c r="A644" t="str">
        <f>IF(Ontwerp!L1596="","",Ontwerp!L1596&amp;","&amp;Ontwerp!N1596&amp;","&amp;Ontwerp!O1596)</f>
        <v>0,,</v>
      </c>
    </row>
    <row r="645" spans="1:1" x14ac:dyDescent="0.2">
      <c r="A645" t="str">
        <f>IF(Ontwerp!L1597="","",Ontwerp!L1597&amp;","&amp;Ontwerp!N1597&amp;","&amp;Ontwerp!O1597)</f>
        <v>0,,</v>
      </c>
    </row>
    <row r="646" spans="1:1" x14ac:dyDescent="0.2">
      <c r="A646" t="str">
        <f>IF(Ontwerp!L1598="","",Ontwerp!L1598&amp;","&amp;Ontwerp!N1598&amp;","&amp;Ontwerp!O1598)</f>
        <v>0,,</v>
      </c>
    </row>
    <row r="647" spans="1:1" x14ac:dyDescent="0.2">
      <c r="A647" t="str">
        <f>IF(Ontwerp!L1599="","",Ontwerp!L1599&amp;","&amp;Ontwerp!N1599&amp;","&amp;Ontwerp!O1599)</f>
        <v>0,,</v>
      </c>
    </row>
    <row r="648" spans="1:1" x14ac:dyDescent="0.2">
      <c r="A648" t="str">
        <f>IF(Ontwerp!L1600="","",Ontwerp!L1600&amp;","&amp;Ontwerp!N1600&amp;","&amp;Ontwerp!O1600)</f>
        <v>0,,</v>
      </c>
    </row>
    <row r="649" spans="1:1" x14ac:dyDescent="0.2">
      <c r="A649" t="str">
        <f>IF(Ontwerp!L1601="","",Ontwerp!L1601&amp;","&amp;Ontwerp!N1601&amp;","&amp;Ontwerp!O1601)</f>
        <v>0,,</v>
      </c>
    </row>
    <row r="650" spans="1:1" x14ac:dyDescent="0.2">
      <c r="A650" t="str">
        <f>IF(Ontwerp!L1602="","",Ontwerp!L1602&amp;","&amp;Ontwerp!N1602&amp;","&amp;Ontwerp!O1602)</f>
        <v>0,,</v>
      </c>
    </row>
    <row r="651" spans="1:1" x14ac:dyDescent="0.2">
      <c r="A651" t="str">
        <f>IF(Ontwerp!L1603="","",Ontwerp!L1603&amp;","&amp;Ontwerp!N1603&amp;","&amp;Ontwerp!O1603)</f>
        <v>0,,</v>
      </c>
    </row>
    <row r="652" spans="1:1" x14ac:dyDescent="0.2">
      <c r="A652" t="str">
        <f>IF(Ontwerp!L1604="","",Ontwerp!L1604&amp;","&amp;Ontwerp!N1604&amp;","&amp;Ontwerp!O1604)</f>
        <v>0,,</v>
      </c>
    </row>
    <row r="653" spans="1:1" x14ac:dyDescent="0.2">
      <c r="A653" t="str">
        <f>IF(Ontwerp!L1605="","",Ontwerp!L1605&amp;","&amp;Ontwerp!N1605&amp;","&amp;Ontwerp!O1605)</f>
        <v>0,,</v>
      </c>
    </row>
    <row r="654" spans="1:1" x14ac:dyDescent="0.2">
      <c r="A654" t="str">
        <f>IF(Ontwerp!L1606="","",Ontwerp!L1606&amp;","&amp;Ontwerp!N1606&amp;","&amp;Ontwerp!O1606)</f>
        <v>0,,</v>
      </c>
    </row>
    <row r="655" spans="1:1" x14ac:dyDescent="0.2">
      <c r="A655" t="str">
        <f>IF(Ontwerp!L1607="","",Ontwerp!L1607&amp;","&amp;Ontwerp!N1607&amp;","&amp;Ontwerp!O1607)</f>
        <v>0,,</v>
      </c>
    </row>
    <row r="656" spans="1:1" x14ac:dyDescent="0.2">
      <c r="A656" t="str">
        <f>IF(Ontwerp!L1608="","",Ontwerp!L1608&amp;","&amp;Ontwerp!N1608&amp;","&amp;Ontwerp!O1608)</f>
        <v>0,,</v>
      </c>
    </row>
    <row r="657" spans="1:1" x14ac:dyDescent="0.2">
      <c r="A657" t="str">
        <f>IF(Ontwerp!L1609="","",Ontwerp!L1609&amp;","&amp;Ontwerp!N1609&amp;","&amp;Ontwerp!O1609)</f>
        <v>0,,</v>
      </c>
    </row>
    <row r="658" spans="1:1" x14ac:dyDescent="0.2">
      <c r="A658" t="str">
        <f>IF(Ontwerp!L1610="","",Ontwerp!L1610&amp;","&amp;Ontwerp!N1610&amp;","&amp;Ontwerp!O1610)</f>
        <v>0,,</v>
      </c>
    </row>
    <row r="659" spans="1:1" x14ac:dyDescent="0.2">
      <c r="A659" t="str">
        <f>IF(Ontwerp!L1611="","",Ontwerp!L1611&amp;","&amp;Ontwerp!N1611&amp;","&amp;Ontwerp!O1611)</f>
        <v>0,,</v>
      </c>
    </row>
    <row r="660" spans="1:1" x14ac:dyDescent="0.2">
      <c r="A660" t="str">
        <f>IF(Ontwerp!L1612="","",Ontwerp!L1612&amp;","&amp;Ontwerp!N1612&amp;","&amp;Ontwerp!O1612)</f>
        <v>0,,</v>
      </c>
    </row>
    <row r="661" spans="1:1" x14ac:dyDescent="0.2">
      <c r="A661" t="str">
        <f>IF(Ontwerp!L1613="","",Ontwerp!L1613&amp;","&amp;Ontwerp!N1613&amp;","&amp;Ontwerp!O1613)</f>
        <v>0,,</v>
      </c>
    </row>
    <row r="662" spans="1:1" x14ac:dyDescent="0.2">
      <c r="A662" t="str">
        <f>IF(Ontwerp!L1614="","",Ontwerp!L1614&amp;","&amp;Ontwerp!N1614&amp;","&amp;Ontwerp!O1614)</f>
        <v>0,,</v>
      </c>
    </row>
    <row r="663" spans="1:1" x14ac:dyDescent="0.2">
      <c r="A663" t="str">
        <f>IF(Ontwerp!L1615="","",Ontwerp!L1615&amp;","&amp;Ontwerp!N1615&amp;","&amp;Ontwerp!O1615)</f>
        <v>0,,</v>
      </c>
    </row>
    <row r="664" spans="1:1" x14ac:dyDescent="0.2">
      <c r="A664" t="str">
        <f>IF(Ontwerp!L1616="","",Ontwerp!L1616&amp;","&amp;Ontwerp!N1616&amp;","&amp;Ontwerp!O1616)</f>
        <v>0,,</v>
      </c>
    </row>
    <row r="665" spans="1:1" x14ac:dyDescent="0.2">
      <c r="A665" t="str">
        <f>IF(Ontwerp!L1617="","",Ontwerp!L1617&amp;","&amp;Ontwerp!N1617&amp;","&amp;Ontwerp!O1617)</f>
        <v>0,,</v>
      </c>
    </row>
    <row r="666" spans="1:1" x14ac:dyDescent="0.2">
      <c r="A666" t="str">
        <f>IF(Ontwerp!L1618="","",Ontwerp!L1618&amp;","&amp;Ontwerp!N1618&amp;","&amp;Ontwerp!O1618)</f>
        <v>0,,</v>
      </c>
    </row>
    <row r="667" spans="1:1" x14ac:dyDescent="0.2">
      <c r="A667" t="str">
        <f>IF(Ontwerp!L1619="","",Ontwerp!L1619&amp;","&amp;Ontwerp!N1619&amp;","&amp;Ontwerp!O1619)</f>
        <v>0,,</v>
      </c>
    </row>
    <row r="668" spans="1:1" x14ac:dyDescent="0.2">
      <c r="A668" t="str">
        <f>IF(Ontwerp!L1620="","",Ontwerp!L1620&amp;","&amp;Ontwerp!N1620&amp;","&amp;Ontwerp!O1620)</f>
        <v>0,,</v>
      </c>
    </row>
    <row r="669" spans="1:1" x14ac:dyDescent="0.2">
      <c r="A669" t="str">
        <f>IF(Ontwerp!L1621="","",Ontwerp!L1621&amp;","&amp;Ontwerp!N1621&amp;","&amp;Ontwerp!O1621)</f>
        <v>0,,</v>
      </c>
    </row>
    <row r="670" spans="1:1" x14ac:dyDescent="0.2">
      <c r="A670" t="str">
        <f>IF(Ontwerp!L1622="","",Ontwerp!L1622&amp;","&amp;Ontwerp!N1622&amp;","&amp;Ontwerp!O1622)</f>
        <v>0,,</v>
      </c>
    </row>
    <row r="671" spans="1:1" x14ac:dyDescent="0.2">
      <c r="A671" t="str">
        <f>IF(Ontwerp!L1623="","",Ontwerp!L1623&amp;","&amp;Ontwerp!N1623&amp;","&amp;Ontwerp!O1623)</f>
        <v>0,,</v>
      </c>
    </row>
    <row r="672" spans="1:1" x14ac:dyDescent="0.2">
      <c r="A672" t="str">
        <f>IF(Ontwerp!L1624="","",Ontwerp!L1624&amp;","&amp;Ontwerp!N1624&amp;","&amp;Ontwerp!O1624)</f>
        <v>0,,</v>
      </c>
    </row>
    <row r="673" spans="1:1" x14ac:dyDescent="0.2">
      <c r="A673" t="str">
        <f>IF(Ontwerp!L1625="","",Ontwerp!L1625&amp;","&amp;Ontwerp!N1625&amp;","&amp;Ontwerp!O1625)</f>
        <v>0,,</v>
      </c>
    </row>
    <row r="674" spans="1:1" x14ac:dyDescent="0.2">
      <c r="A674" t="str">
        <f>IF(Ontwerp!L1626="","",Ontwerp!L1626&amp;","&amp;Ontwerp!N1626&amp;","&amp;Ontwerp!O1626)</f>
        <v>0,,</v>
      </c>
    </row>
    <row r="675" spans="1:1" x14ac:dyDescent="0.2">
      <c r="A675" t="str">
        <f>IF(Ontwerp!L1627="","",Ontwerp!L1627&amp;","&amp;Ontwerp!N1627&amp;","&amp;Ontwerp!O1627)</f>
        <v>0,,</v>
      </c>
    </row>
    <row r="676" spans="1:1" x14ac:dyDescent="0.2">
      <c r="A676" t="str">
        <f>IF(Ontwerp!L1628="","",Ontwerp!L1628&amp;","&amp;Ontwerp!N1628&amp;","&amp;Ontwerp!O1628)</f>
        <v>0,,</v>
      </c>
    </row>
    <row r="677" spans="1:1" x14ac:dyDescent="0.2">
      <c r="A677" t="str">
        <f>IF(Ontwerp!L1629="","",Ontwerp!L1629&amp;","&amp;Ontwerp!N1629&amp;","&amp;Ontwerp!O1629)</f>
        <v>0,,</v>
      </c>
    </row>
    <row r="678" spans="1:1" x14ac:dyDescent="0.2">
      <c r="A678" t="str">
        <f>IF(Ontwerp!L1630="","",Ontwerp!L1630&amp;","&amp;Ontwerp!N1630&amp;","&amp;Ontwerp!O1630)</f>
        <v>0,,</v>
      </c>
    </row>
    <row r="679" spans="1:1" x14ac:dyDescent="0.2">
      <c r="A679" t="str">
        <f>IF(Ontwerp!L1631="","",Ontwerp!L1631&amp;","&amp;Ontwerp!N1631&amp;","&amp;Ontwerp!O1631)</f>
        <v>0,,</v>
      </c>
    </row>
    <row r="680" spans="1:1" x14ac:dyDescent="0.2">
      <c r="A680" t="str">
        <f>IF(Ontwerp!L1632="","",Ontwerp!L1632&amp;","&amp;Ontwerp!N1632&amp;","&amp;Ontwerp!O1632)</f>
        <v>0,,</v>
      </c>
    </row>
    <row r="681" spans="1:1" x14ac:dyDescent="0.2">
      <c r="A681" t="str">
        <f>IF(Ontwerp!L1633="","",Ontwerp!L1633&amp;","&amp;Ontwerp!N1633&amp;","&amp;Ontwerp!O1633)</f>
        <v>0,,</v>
      </c>
    </row>
    <row r="682" spans="1:1" x14ac:dyDescent="0.2">
      <c r="A682" t="str">
        <f>IF(Ontwerp!L1634="","",Ontwerp!L1634&amp;","&amp;Ontwerp!N1634&amp;","&amp;Ontwerp!O1634)</f>
        <v>0,,</v>
      </c>
    </row>
    <row r="683" spans="1:1" x14ac:dyDescent="0.2">
      <c r="A683" t="str">
        <f>IF(Ontwerp!L1635="","",Ontwerp!L1635&amp;","&amp;Ontwerp!N1635&amp;","&amp;Ontwerp!O1635)</f>
        <v>0,,</v>
      </c>
    </row>
    <row r="684" spans="1:1" x14ac:dyDescent="0.2">
      <c r="A684" t="str">
        <f>IF(Ontwerp!L1636="","",Ontwerp!L1636&amp;","&amp;Ontwerp!N1636&amp;","&amp;Ontwerp!O1636)</f>
        <v>0,,</v>
      </c>
    </row>
    <row r="685" spans="1:1" x14ac:dyDescent="0.2">
      <c r="A685" t="str">
        <f>IF(Ontwerp!L1637="","",Ontwerp!L1637&amp;","&amp;Ontwerp!N1637&amp;","&amp;Ontwerp!O1637)</f>
        <v>0,,</v>
      </c>
    </row>
    <row r="686" spans="1:1" x14ac:dyDescent="0.2">
      <c r="A686" t="str">
        <f>IF(Ontwerp!L1638="","",Ontwerp!L1638&amp;","&amp;Ontwerp!N1638&amp;","&amp;Ontwerp!O1638)</f>
        <v>0,,</v>
      </c>
    </row>
    <row r="687" spans="1:1" x14ac:dyDescent="0.2">
      <c r="A687" t="str">
        <f>IF(Ontwerp!L1639="","",Ontwerp!L1639&amp;","&amp;Ontwerp!N1639&amp;","&amp;Ontwerp!O1639)</f>
        <v>0,,</v>
      </c>
    </row>
    <row r="688" spans="1:1" x14ac:dyDescent="0.2">
      <c r="A688" t="str">
        <f>IF(Ontwerp!L1640="","",Ontwerp!L1640&amp;","&amp;Ontwerp!N1640&amp;","&amp;Ontwerp!O1640)</f>
        <v>0,,</v>
      </c>
    </row>
    <row r="689" spans="1:1" x14ac:dyDescent="0.2">
      <c r="A689" t="str">
        <f>IF(Ontwerp!L1641="","",Ontwerp!L1641&amp;","&amp;Ontwerp!N1641&amp;","&amp;Ontwerp!O1641)</f>
        <v>0,,</v>
      </c>
    </row>
    <row r="690" spans="1:1" x14ac:dyDescent="0.2">
      <c r="A690" t="str">
        <f>IF(Ontwerp!L1642="","",Ontwerp!L1642&amp;","&amp;Ontwerp!N1642&amp;","&amp;Ontwerp!O1642)</f>
        <v>0,,</v>
      </c>
    </row>
    <row r="691" spans="1:1" x14ac:dyDescent="0.2">
      <c r="A691" t="str">
        <f>IF(Ontwerp!L1643="","",Ontwerp!L1643&amp;","&amp;Ontwerp!N1643&amp;","&amp;Ontwerp!O1643)</f>
        <v>0,,</v>
      </c>
    </row>
    <row r="692" spans="1:1" x14ac:dyDescent="0.2">
      <c r="A692" t="str">
        <f>IF(Ontwerp!L1644="","",Ontwerp!L1644&amp;","&amp;Ontwerp!N1644&amp;","&amp;Ontwerp!O1644)</f>
        <v>0,,</v>
      </c>
    </row>
    <row r="693" spans="1:1" x14ac:dyDescent="0.2">
      <c r="A693" t="str">
        <f>IF(Ontwerp!L1645="","",Ontwerp!L1645&amp;","&amp;Ontwerp!N1645&amp;","&amp;Ontwerp!O1645)</f>
        <v>0,,</v>
      </c>
    </row>
    <row r="694" spans="1:1" x14ac:dyDescent="0.2">
      <c r="A694" t="str">
        <f>IF(Ontwerp!L1646="","",Ontwerp!L1646&amp;","&amp;Ontwerp!N1646&amp;","&amp;Ontwerp!O1646)</f>
        <v>0,,</v>
      </c>
    </row>
    <row r="695" spans="1:1" x14ac:dyDescent="0.2">
      <c r="A695" t="str">
        <f>IF(Ontwerp!L1647="","",Ontwerp!L1647&amp;","&amp;Ontwerp!N1647&amp;","&amp;Ontwerp!O1647)</f>
        <v>0,,</v>
      </c>
    </row>
    <row r="696" spans="1:1" x14ac:dyDescent="0.2">
      <c r="A696" t="str">
        <f>IF(Ontwerp!L1648="","",Ontwerp!L1648&amp;","&amp;Ontwerp!N1648&amp;","&amp;Ontwerp!O1648)</f>
        <v>0,,</v>
      </c>
    </row>
    <row r="697" spans="1:1" x14ac:dyDescent="0.2">
      <c r="A697" t="str">
        <f>IF(Ontwerp!L1649="","",Ontwerp!L1649&amp;","&amp;Ontwerp!N1649&amp;","&amp;Ontwerp!O1649)</f>
        <v>0,,</v>
      </c>
    </row>
    <row r="698" spans="1:1" x14ac:dyDescent="0.2">
      <c r="A698" t="str">
        <f>IF(Ontwerp!L1650="","",Ontwerp!L1650&amp;","&amp;Ontwerp!N1650&amp;","&amp;Ontwerp!O1650)</f>
        <v>0,,</v>
      </c>
    </row>
    <row r="699" spans="1:1" x14ac:dyDescent="0.2">
      <c r="A699" t="str">
        <f>IF(Ontwerp!L1651="","",Ontwerp!L1651&amp;","&amp;Ontwerp!N1651&amp;","&amp;Ontwerp!O1651)</f>
        <v>0,,</v>
      </c>
    </row>
    <row r="700" spans="1:1" x14ac:dyDescent="0.2">
      <c r="A700" t="str">
        <f>IF(Ontwerp!L1652="","",Ontwerp!L1652&amp;","&amp;Ontwerp!N1652&amp;","&amp;Ontwerp!O1652)</f>
        <v>0,,</v>
      </c>
    </row>
    <row r="701" spans="1:1" x14ac:dyDescent="0.2">
      <c r="A701" t="str">
        <f>IF(Ontwerp!L1653="","",Ontwerp!L1653&amp;","&amp;Ontwerp!N1653&amp;","&amp;Ontwerp!O1653)</f>
        <v>0,,</v>
      </c>
    </row>
    <row r="702" spans="1:1" x14ac:dyDescent="0.2">
      <c r="A702" t="str">
        <f>IF(Ontwerp!L1654="","",Ontwerp!L1654&amp;","&amp;Ontwerp!N1654&amp;","&amp;Ontwerp!O1654)</f>
        <v>0,,</v>
      </c>
    </row>
    <row r="703" spans="1:1" x14ac:dyDescent="0.2">
      <c r="A703" t="str">
        <f>IF(Ontwerp!L1655="","",Ontwerp!L1655&amp;","&amp;Ontwerp!N1655&amp;","&amp;Ontwerp!O1655)</f>
        <v>0,,</v>
      </c>
    </row>
    <row r="704" spans="1:1" x14ac:dyDescent="0.2">
      <c r="A704" t="str">
        <f>IF(Ontwerp!L1656="","",Ontwerp!L1656&amp;","&amp;Ontwerp!N1656&amp;","&amp;Ontwerp!O1656)</f>
        <v>0,,</v>
      </c>
    </row>
    <row r="705" spans="1:1" x14ac:dyDescent="0.2">
      <c r="A705" t="str">
        <f>IF(Ontwerp!L1657="","",Ontwerp!L1657&amp;","&amp;Ontwerp!N1657&amp;","&amp;Ontwerp!O1657)</f>
        <v>0,,</v>
      </c>
    </row>
    <row r="706" spans="1:1" x14ac:dyDescent="0.2">
      <c r="A706" t="str">
        <f>IF(Ontwerp!L1658="","",Ontwerp!L1658&amp;","&amp;Ontwerp!N1658&amp;","&amp;Ontwerp!O1658)</f>
        <v>0,,</v>
      </c>
    </row>
    <row r="707" spans="1:1" x14ac:dyDescent="0.2">
      <c r="A707" t="str">
        <f>IF(Ontwerp!L1659="","",Ontwerp!L1659&amp;","&amp;Ontwerp!N1659&amp;","&amp;Ontwerp!O1659)</f>
        <v>0,,</v>
      </c>
    </row>
    <row r="708" spans="1:1" x14ac:dyDescent="0.2">
      <c r="A708" t="str">
        <f>IF(Ontwerp!L1660="","",Ontwerp!L1660&amp;","&amp;Ontwerp!N1660&amp;","&amp;Ontwerp!O1660)</f>
        <v>0,,</v>
      </c>
    </row>
    <row r="709" spans="1:1" x14ac:dyDescent="0.2">
      <c r="A709" t="str">
        <f>IF(Ontwerp!L1661="","",Ontwerp!L1661&amp;","&amp;Ontwerp!N1661&amp;","&amp;Ontwerp!O1661)</f>
        <v>0,,</v>
      </c>
    </row>
    <row r="710" spans="1:1" x14ac:dyDescent="0.2">
      <c r="A710" t="str">
        <f>IF(Ontwerp!L1662="","",Ontwerp!L1662&amp;","&amp;Ontwerp!N1662&amp;","&amp;Ontwerp!O1662)</f>
        <v>0,,</v>
      </c>
    </row>
    <row r="711" spans="1:1" x14ac:dyDescent="0.2">
      <c r="A711" t="str">
        <f>IF(Ontwerp!L1663="","",Ontwerp!L1663&amp;","&amp;Ontwerp!N1663&amp;","&amp;Ontwerp!O1663)</f>
        <v>0,,</v>
      </c>
    </row>
    <row r="712" spans="1:1" x14ac:dyDescent="0.2">
      <c r="A712" t="str">
        <f>IF(Ontwerp!L1664="","",Ontwerp!L1664&amp;","&amp;Ontwerp!N1664&amp;","&amp;Ontwerp!O1664)</f>
        <v>0,,</v>
      </c>
    </row>
    <row r="713" spans="1:1" x14ac:dyDescent="0.2">
      <c r="A713" t="str">
        <f>IF(Ontwerp!L1665="","",Ontwerp!L1665&amp;","&amp;Ontwerp!N1665&amp;","&amp;Ontwerp!O1665)</f>
        <v>0,,</v>
      </c>
    </row>
    <row r="714" spans="1:1" x14ac:dyDescent="0.2">
      <c r="A714" t="str">
        <f>IF(Ontwerp!L1666="","",Ontwerp!L1666&amp;","&amp;Ontwerp!N1666&amp;","&amp;Ontwerp!O1666)</f>
        <v>0,,</v>
      </c>
    </row>
    <row r="715" spans="1:1" x14ac:dyDescent="0.2">
      <c r="A715" t="str">
        <f>IF(Ontwerp!L1667="","",Ontwerp!L1667&amp;","&amp;Ontwerp!N1667&amp;","&amp;Ontwerp!O1667)</f>
        <v>0,,</v>
      </c>
    </row>
    <row r="716" spans="1:1" x14ac:dyDescent="0.2">
      <c r="A716" t="str">
        <f>IF(Ontwerp!L1668="","",Ontwerp!L1668&amp;","&amp;Ontwerp!N1668&amp;","&amp;Ontwerp!O1668)</f>
        <v>0,,</v>
      </c>
    </row>
    <row r="717" spans="1:1" x14ac:dyDescent="0.2">
      <c r="A717" t="str">
        <f>IF(Ontwerp!L1669="","",Ontwerp!L1669&amp;","&amp;Ontwerp!N1669&amp;","&amp;Ontwerp!O1669)</f>
        <v>0,,</v>
      </c>
    </row>
    <row r="718" spans="1:1" x14ac:dyDescent="0.2">
      <c r="A718" t="str">
        <f>IF(Ontwerp!L1670="","",Ontwerp!L1670&amp;","&amp;Ontwerp!N1670&amp;","&amp;Ontwerp!O1670)</f>
        <v>0,,</v>
      </c>
    </row>
    <row r="719" spans="1:1" x14ac:dyDescent="0.2">
      <c r="A719" t="str">
        <f>IF(Ontwerp!L1671="","",Ontwerp!L1671&amp;","&amp;Ontwerp!N1671&amp;","&amp;Ontwerp!O1671)</f>
        <v>0,,</v>
      </c>
    </row>
    <row r="720" spans="1:1" x14ac:dyDescent="0.2">
      <c r="A720" t="str">
        <f>IF(Ontwerp!L1672="","",Ontwerp!L1672&amp;","&amp;Ontwerp!N1672&amp;","&amp;Ontwerp!O1672)</f>
        <v>0,,</v>
      </c>
    </row>
    <row r="721" spans="1:1" x14ac:dyDescent="0.2">
      <c r="A721" t="str">
        <f>IF(Ontwerp!L1673="","",Ontwerp!L1673&amp;","&amp;Ontwerp!N1673&amp;","&amp;Ontwerp!O1673)</f>
        <v>0,,</v>
      </c>
    </row>
    <row r="722" spans="1:1" x14ac:dyDescent="0.2">
      <c r="A722" t="str">
        <f>IF(Ontwerp!L1674="","",Ontwerp!L1674&amp;","&amp;Ontwerp!N1674&amp;","&amp;Ontwerp!O1674)</f>
        <v>0,,</v>
      </c>
    </row>
    <row r="723" spans="1:1" x14ac:dyDescent="0.2">
      <c r="A723" t="str">
        <f>IF(Ontwerp!L1675="","",Ontwerp!L1675&amp;","&amp;Ontwerp!N1675&amp;","&amp;Ontwerp!O1675)</f>
        <v>0,,</v>
      </c>
    </row>
    <row r="724" spans="1:1" x14ac:dyDescent="0.2">
      <c r="A724" t="str">
        <f>IF(Ontwerp!L1676="","",Ontwerp!L1676&amp;","&amp;Ontwerp!N1676&amp;","&amp;Ontwerp!O1676)</f>
        <v>0,,</v>
      </c>
    </row>
    <row r="725" spans="1:1" x14ac:dyDescent="0.2">
      <c r="A725" t="str">
        <f>IF(Ontwerp!L1677="","",Ontwerp!L1677&amp;","&amp;Ontwerp!N1677&amp;","&amp;Ontwerp!O1677)</f>
        <v>0,,</v>
      </c>
    </row>
    <row r="726" spans="1:1" x14ac:dyDescent="0.2">
      <c r="A726" t="str">
        <f>IF(Ontwerp!L1678="","",Ontwerp!L1678&amp;","&amp;Ontwerp!N1678&amp;","&amp;Ontwerp!O1678)</f>
        <v>0,,</v>
      </c>
    </row>
    <row r="727" spans="1:1" x14ac:dyDescent="0.2">
      <c r="A727" t="str">
        <f>IF(Ontwerp!L1679="","",Ontwerp!L1679&amp;","&amp;Ontwerp!N1679&amp;","&amp;Ontwerp!O1679)</f>
        <v>0,,</v>
      </c>
    </row>
    <row r="728" spans="1:1" x14ac:dyDescent="0.2">
      <c r="A728" t="str">
        <f>IF(Ontwerp!L1680="","",Ontwerp!L1680&amp;","&amp;Ontwerp!N1680&amp;","&amp;Ontwerp!O1680)</f>
        <v>0,,</v>
      </c>
    </row>
    <row r="729" spans="1:1" x14ac:dyDescent="0.2">
      <c r="A729" t="str">
        <f>IF(Ontwerp!L1681="","",Ontwerp!L1681&amp;","&amp;Ontwerp!N1681&amp;","&amp;Ontwerp!O1681)</f>
        <v>0,,</v>
      </c>
    </row>
    <row r="730" spans="1:1" x14ac:dyDescent="0.2">
      <c r="A730" t="str">
        <f>IF(Ontwerp!L1682="","",Ontwerp!L1682&amp;","&amp;Ontwerp!N1682&amp;","&amp;Ontwerp!O1682)</f>
        <v>0,,</v>
      </c>
    </row>
    <row r="731" spans="1:1" x14ac:dyDescent="0.2">
      <c r="A731" t="str">
        <f>IF(Ontwerp!L1683="","",Ontwerp!L1683&amp;","&amp;Ontwerp!N1683&amp;","&amp;Ontwerp!O1683)</f>
        <v>0,,</v>
      </c>
    </row>
    <row r="732" spans="1:1" x14ac:dyDescent="0.2">
      <c r="A732" t="str">
        <f>IF(Ontwerp!L1684="","",Ontwerp!L1684&amp;","&amp;Ontwerp!N1684&amp;","&amp;Ontwerp!O1684)</f>
        <v>0,,</v>
      </c>
    </row>
    <row r="733" spans="1:1" x14ac:dyDescent="0.2">
      <c r="A733" t="str">
        <f>IF(Ontwerp!L1685="","",Ontwerp!L1685&amp;","&amp;Ontwerp!N1685&amp;","&amp;Ontwerp!O1685)</f>
        <v>0,,</v>
      </c>
    </row>
    <row r="734" spans="1:1" x14ac:dyDescent="0.2">
      <c r="A734" t="str">
        <f>IF(Ontwerp!L1686="","",Ontwerp!L1686&amp;","&amp;Ontwerp!N1686&amp;","&amp;Ontwerp!O1686)</f>
        <v>0,,</v>
      </c>
    </row>
    <row r="735" spans="1:1" x14ac:dyDescent="0.2">
      <c r="A735" t="str">
        <f>IF(Ontwerp!L1687="","",Ontwerp!L1687&amp;","&amp;Ontwerp!N1687&amp;","&amp;Ontwerp!O1687)</f>
        <v>0,,</v>
      </c>
    </row>
    <row r="736" spans="1:1" x14ac:dyDescent="0.2">
      <c r="A736" t="str">
        <f>IF(Ontwerp!L1688="","",Ontwerp!L1688&amp;","&amp;Ontwerp!N1688&amp;","&amp;Ontwerp!O1688)</f>
        <v>0,,</v>
      </c>
    </row>
    <row r="737" spans="1:1" x14ac:dyDescent="0.2">
      <c r="A737" t="str">
        <f>IF(Ontwerp!L1689="","",Ontwerp!L1689&amp;","&amp;Ontwerp!N1689&amp;","&amp;Ontwerp!O1689)</f>
        <v>0,,</v>
      </c>
    </row>
    <row r="738" spans="1:1" x14ac:dyDescent="0.2">
      <c r="A738" t="str">
        <f>IF(Ontwerp!L1690="","",Ontwerp!L1690&amp;","&amp;Ontwerp!N1690&amp;","&amp;Ontwerp!O1690)</f>
        <v>0,,</v>
      </c>
    </row>
    <row r="739" spans="1:1" x14ac:dyDescent="0.2">
      <c r="A739" t="str">
        <f>IF(Ontwerp!L1691="","",Ontwerp!L1691&amp;","&amp;Ontwerp!N1691&amp;","&amp;Ontwerp!O1691)</f>
        <v>0,,</v>
      </c>
    </row>
    <row r="740" spans="1:1" x14ac:dyDescent="0.2">
      <c r="A740" t="str">
        <f>IF(Ontwerp!L1692="","",Ontwerp!L1692&amp;","&amp;Ontwerp!N1692&amp;","&amp;Ontwerp!O1692)</f>
        <v>0,,</v>
      </c>
    </row>
    <row r="741" spans="1:1" x14ac:dyDescent="0.2">
      <c r="A741" t="str">
        <f>IF(Ontwerp!L1693="","",Ontwerp!L1693&amp;","&amp;Ontwerp!N1693&amp;","&amp;Ontwerp!O1693)</f>
        <v>0,,</v>
      </c>
    </row>
    <row r="742" spans="1:1" x14ac:dyDescent="0.2">
      <c r="A742" t="str">
        <f>IF(Ontwerp!L1694="","",Ontwerp!L1694&amp;","&amp;Ontwerp!N1694&amp;","&amp;Ontwerp!O1694)</f>
        <v>0,,</v>
      </c>
    </row>
    <row r="743" spans="1:1" x14ac:dyDescent="0.2">
      <c r="A743" t="str">
        <f>IF(Ontwerp!L1695="","",Ontwerp!L1695&amp;","&amp;Ontwerp!N1695&amp;","&amp;Ontwerp!O1695)</f>
        <v>0,,</v>
      </c>
    </row>
    <row r="744" spans="1:1" x14ac:dyDescent="0.2">
      <c r="A744" t="str">
        <f>IF(Ontwerp!L1696="","",Ontwerp!L1696&amp;","&amp;Ontwerp!N1696&amp;","&amp;Ontwerp!O1696)</f>
        <v>0,,</v>
      </c>
    </row>
    <row r="745" spans="1:1" x14ac:dyDescent="0.2">
      <c r="A745" t="str">
        <f>IF(Ontwerp!L1697="","",Ontwerp!L1697&amp;","&amp;Ontwerp!N1697&amp;","&amp;Ontwerp!O1697)</f>
        <v>0,,</v>
      </c>
    </row>
    <row r="746" spans="1:1" x14ac:dyDescent="0.2">
      <c r="A746" t="str">
        <f>IF(Ontwerp!L1698="","",Ontwerp!L1698&amp;","&amp;Ontwerp!N1698&amp;","&amp;Ontwerp!O1698)</f>
        <v>0,,</v>
      </c>
    </row>
    <row r="747" spans="1:1" x14ac:dyDescent="0.2">
      <c r="A747" t="str">
        <f>IF(Ontwerp!L1699="","",Ontwerp!L1699&amp;","&amp;Ontwerp!N1699&amp;","&amp;Ontwerp!O1699)</f>
        <v>0,,</v>
      </c>
    </row>
    <row r="748" spans="1:1" x14ac:dyDescent="0.2">
      <c r="A748" t="str">
        <f>IF(Ontwerp!L1700="","",Ontwerp!L1700&amp;","&amp;Ontwerp!N1700&amp;","&amp;Ontwerp!O1700)</f>
        <v>0,,</v>
      </c>
    </row>
    <row r="749" spans="1:1" x14ac:dyDescent="0.2">
      <c r="A749" t="str">
        <f>IF(Ontwerp!L1701="","",Ontwerp!L1701&amp;","&amp;Ontwerp!N1701&amp;","&amp;Ontwerp!O1701)</f>
        <v>0,,</v>
      </c>
    </row>
    <row r="750" spans="1:1" x14ac:dyDescent="0.2">
      <c r="A750" t="str">
        <f>IF(Ontwerp!L1702="","",Ontwerp!L1702&amp;","&amp;Ontwerp!N1702&amp;","&amp;Ontwerp!O1702)</f>
        <v>0,,</v>
      </c>
    </row>
    <row r="751" spans="1:1" x14ac:dyDescent="0.2">
      <c r="A751" t="str">
        <f>IF(Ontwerp!L1703="","",Ontwerp!L1703&amp;","&amp;Ontwerp!N1703&amp;","&amp;Ontwerp!O1703)</f>
        <v>0,,</v>
      </c>
    </row>
    <row r="752" spans="1:1" x14ac:dyDescent="0.2">
      <c r="A752" t="str">
        <f>IF(Ontwerp!L1704="","",Ontwerp!L1704&amp;","&amp;Ontwerp!N1704&amp;","&amp;Ontwerp!O1704)</f>
        <v>0,,</v>
      </c>
    </row>
    <row r="753" spans="1:1" x14ac:dyDescent="0.2">
      <c r="A753" t="str">
        <f>IF(Ontwerp!L1705="","",Ontwerp!L1705&amp;","&amp;Ontwerp!N1705&amp;","&amp;Ontwerp!O1705)</f>
        <v>0,,</v>
      </c>
    </row>
    <row r="754" spans="1:1" x14ac:dyDescent="0.2">
      <c r="A754" t="str">
        <f>IF(Ontwerp!L1706="","",Ontwerp!L1706&amp;","&amp;Ontwerp!N1706&amp;","&amp;Ontwerp!O1706)</f>
        <v>0,,</v>
      </c>
    </row>
    <row r="755" spans="1:1" x14ac:dyDescent="0.2">
      <c r="A755" t="str">
        <f>IF(Ontwerp!L1707="","",Ontwerp!L1707&amp;","&amp;Ontwerp!N1707&amp;","&amp;Ontwerp!O1707)</f>
        <v>0,,</v>
      </c>
    </row>
    <row r="756" spans="1:1" x14ac:dyDescent="0.2">
      <c r="A756" t="str">
        <f>IF(Ontwerp!L1708="","",Ontwerp!L1708&amp;","&amp;Ontwerp!N1708&amp;","&amp;Ontwerp!O1708)</f>
        <v>0,,</v>
      </c>
    </row>
    <row r="757" spans="1:1" x14ac:dyDescent="0.2">
      <c r="A757" t="str">
        <f>IF(Ontwerp!L1709="","",Ontwerp!L1709&amp;","&amp;Ontwerp!N1709&amp;","&amp;Ontwerp!O1709)</f>
        <v>0,,</v>
      </c>
    </row>
    <row r="758" spans="1:1" x14ac:dyDescent="0.2">
      <c r="A758" t="str">
        <f>IF(Ontwerp!L1710="","",Ontwerp!L1710&amp;","&amp;Ontwerp!N1710&amp;","&amp;Ontwerp!O1710)</f>
        <v>0,,</v>
      </c>
    </row>
    <row r="759" spans="1:1" x14ac:dyDescent="0.2">
      <c r="A759" t="str">
        <f>IF(Ontwerp!L1711="","",Ontwerp!L1711&amp;","&amp;Ontwerp!N1711&amp;","&amp;Ontwerp!O1711)</f>
        <v>0,,</v>
      </c>
    </row>
    <row r="760" spans="1:1" x14ac:dyDescent="0.2">
      <c r="A760" t="str">
        <f>IF(Ontwerp!L1712="","",Ontwerp!L1712&amp;","&amp;Ontwerp!N1712&amp;","&amp;Ontwerp!O1712)</f>
        <v>0,,</v>
      </c>
    </row>
    <row r="761" spans="1:1" x14ac:dyDescent="0.2">
      <c r="A761" t="str">
        <f>IF(Ontwerp!L1713="","",Ontwerp!L1713&amp;","&amp;Ontwerp!N1713&amp;","&amp;Ontwerp!O1713)</f>
        <v>0,,</v>
      </c>
    </row>
    <row r="762" spans="1:1" x14ac:dyDescent="0.2">
      <c r="A762" t="str">
        <f>IF(Ontwerp!L1714="","",Ontwerp!L1714&amp;","&amp;Ontwerp!N1714&amp;","&amp;Ontwerp!O1714)</f>
        <v>0,,</v>
      </c>
    </row>
    <row r="763" spans="1:1" x14ac:dyDescent="0.2">
      <c r="A763" t="str">
        <f>IF(Ontwerp!L1715="","",Ontwerp!L1715&amp;","&amp;Ontwerp!N1715&amp;","&amp;Ontwerp!O1715)</f>
        <v>0,,</v>
      </c>
    </row>
    <row r="764" spans="1:1" x14ac:dyDescent="0.2">
      <c r="A764" t="str">
        <f>IF(Ontwerp!L1716="","",Ontwerp!L1716&amp;","&amp;Ontwerp!N1716&amp;","&amp;Ontwerp!O1716)</f>
        <v>0,,</v>
      </c>
    </row>
    <row r="765" spans="1:1" x14ac:dyDescent="0.2">
      <c r="A765" t="str">
        <f>IF(Ontwerp!L1717="","",Ontwerp!L1717&amp;","&amp;Ontwerp!N1717&amp;","&amp;Ontwerp!O1717)</f>
        <v>0,,</v>
      </c>
    </row>
    <row r="766" spans="1:1" x14ac:dyDescent="0.2">
      <c r="A766" t="str">
        <f>IF(Ontwerp!L1718="","",Ontwerp!L1718&amp;","&amp;Ontwerp!N1718&amp;","&amp;Ontwerp!O1718)</f>
        <v>0,,</v>
      </c>
    </row>
    <row r="767" spans="1:1" x14ac:dyDescent="0.2">
      <c r="A767" t="str">
        <f>IF(Ontwerp!L1719="","",Ontwerp!L1719&amp;","&amp;Ontwerp!N1719&amp;","&amp;Ontwerp!O1719)</f>
        <v>0,,</v>
      </c>
    </row>
    <row r="768" spans="1:1" x14ac:dyDescent="0.2">
      <c r="A768" t="str">
        <f>IF(Ontwerp!L1720="","",Ontwerp!L1720&amp;","&amp;Ontwerp!N1720&amp;","&amp;Ontwerp!O1720)</f>
        <v>0,,</v>
      </c>
    </row>
    <row r="769" spans="1:1" x14ac:dyDescent="0.2">
      <c r="A769" t="str">
        <f>IF(Ontwerp!L1721="","",Ontwerp!L1721&amp;","&amp;Ontwerp!N1721&amp;","&amp;Ontwerp!O1721)</f>
        <v>0,,</v>
      </c>
    </row>
    <row r="770" spans="1:1" x14ac:dyDescent="0.2">
      <c r="A770" t="str">
        <f>IF(Ontwerp!L1722="","",Ontwerp!L1722&amp;","&amp;Ontwerp!N1722&amp;","&amp;Ontwerp!O1722)</f>
        <v>0,,</v>
      </c>
    </row>
    <row r="771" spans="1:1" x14ac:dyDescent="0.2">
      <c r="A771" t="str">
        <f>IF(Ontwerp!L1723="","",Ontwerp!L1723&amp;","&amp;Ontwerp!N1723&amp;","&amp;Ontwerp!O1723)</f>
        <v>0,,</v>
      </c>
    </row>
    <row r="772" spans="1:1" x14ac:dyDescent="0.2">
      <c r="A772" t="str">
        <f>IF(Ontwerp!L1724="","",Ontwerp!L1724&amp;","&amp;Ontwerp!N1724&amp;","&amp;Ontwerp!O1724)</f>
        <v>0,,</v>
      </c>
    </row>
    <row r="773" spans="1:1" x14ac:dyDescent="0.2">
      <c r="A773" t="str">
        <f>IF(Ontwerp!L1725="","",Ontwerp!L1725&amp;","&amp;Ontwerp!N1725&amp;","&amp;Ontwerp!O1725)</f>
        <v>0,,</v>
      </c>
    </row>
    <row r="774" spans="1:1" x14ac:dyDescent="0.2">
      <c r="A774" t="str">
        <f>IF(Ontwerp!L1726="","",Ontwerp!L1726&amp;","&amp;Ontwerp!N1726&amp;","&amp;Ontwerp!O1726)</f>
        <v>0,,</v>
      </c>
    </row>
    <row r="775" spans="1:1" x14ac:dyDescent="0.2">
      <c r="A775" t="str">
        <f>IF(Ontwerp!L1727="","",Ontwerp!L1727&amp;","&amp;Ontwerp!N1727&amp;","&amp;Ontwerp!O1727)</f>
        <v>0,,</v>
      </c>
    </row>
    <row r="776" spans="1:1" x14ac:dyDescent="0.2">
      <c r="A776" t="str">
        <f>IF(Ontwerp!L1728="","",Ontwerp!L1728&amp;","&amp;Ontwerp!N1728&amp;","&amp;Ontwerp!O1728)</f>
        <v>0,,</v>
      </c>
    </row>
    <row r="777" spans="1:1" x14ac:dyDescent="0.2">
      <c r="A777" t="str">
        <f>IF(Ontwerp!L1729="","",Ontwerp!L1729&amp;","&amp;Ontwerp!N1729&amp;","&amp;Ontwerp!O1729)</f>
        <v>0,,</v>
      </c>
    </row>
    <row r="778" spans="1:1" x14ac:dyDescent="0.2">
      <c r="A778" t="str">
        <f>IF(Ontwerp!L1730="","",Ontwerp!L1730&amp;","&amp;Ontwerp!N1730&amp;","&amp;Ontwerp!O1730)</f>
        <v>0,,</v>
      </c>
    </row>
    <row r="779" spans="1:1" x14ac:dyDescent="0.2">
      <c r="A779" t="str">
        <f>IF(Ontwerp!L1731="","",Ontwerp!L1731&amp;","&amp;Ontwerp!N1731&amp;","&amp;Ontwerp!O1731)</f>
        <v>0,,</v>
      </c>
    </row>
    <row r="780" spans="1:1" x14ac:dyDescent="0.2">
      <c r="A780" t="str">
        <f>IF(Ontwerp!L1732="","",Ontwerp!L1732&amp;","&amp;Ontwerp!N1732&amp;","&amp;Ontwerp!O1732)</f>
        <v>0,,</v>
      </c>
    </row>
    <row r="781" spans="1:1" x14ac:dyDescent="0.2">
      <c r="A781" t="str">
        <f>IF(Ontwerp!L1733="","",Ontwerp!L1733&amp;","&amp;Ontwerp!N1733&amp;","&amp;Ontwerp!O1733)</f>
        <v>0,,</v>
      </c>
    </row>
    <row r="782" spans="1:1" x14ac:dyDescent="0.2">
      <c r="A782" t="str">
        <f>IF(Ontwerp!L1734="","",Ontwerp!L1734&amp;","&amp;Ontwerp!N1734&amp;","&amp;Ontwerp!O1734)</f>
        <v>0,,</v>
      </c>
    </row>
    <row r="783" spans="1:1" x14ac:dyDescent="0.2">
      <c r="A783" t="str">
        <f>IF(Ontwerp!L1735="","",Ontwerp!L1735&amp;","&amp;Ontwerp!N1735&amp;","&amp;Ontwerp!O1735)</f>
        <v>0,,</v>
      </c>
    </row>
    <row r="784" spans="1:1" x14ac:dyDescent="0.2">
      <c r="A784" t="str">
        <f>IF(Ontwerp!L1736="","",Ontwerp!L1736&amp;","&amp;Ontwerp!N1736&amp;","&amp;Ontwerp!O1736)</f>
        <v>0,,</v>
      </c>
    </row>
    <row r="785" spans="1:1" x14ac:dyDescent="0.2">
      <c r="A785" t="str">
        <f>IF(Ontwerp!L1737="","",Ontwerp!L1737&amp;","&amp;Ontwerp!N1737&amp;","&amp;Ontwerp!O1737)</f>
        <v>0,,</v>
      </c>
    </row>
    <row r="786" spans="1:1" x14ac:dyDescent="0.2">
      <c r="A786" t="str">
        <f>IF(Ontwerp!L1738="","",Ontwerp!L1738&amp;","&amp;Ontwerp!N1738&amp;","&amp;Ontwerp!O1738)</f>
        <v>0,,</v>
      </c>
    </row>
    <row r="787" spans="1:1" x14ac:dyDescent="0.2">
      <c r="A787" t="str">
        <f>IF(Ontwerp!L1739="","",Ontwerp!L1739&amp;","&amp;Ontwerp!N1739&amp;","&amp;Ontwerp!O1739)</f>
        <v>0,,</v>
      </c>
    </row>
    <row r="788" spans="1:1" x14ac:dyDescent="0.2">
      <c r="A788" t="str">
        <f>IF(Ontwerp!L1740="","",Ontwerp!L1740&amp;","&amp;Ontwerp!N1740&amp;","&amp;Ontwerp!O1740)</f>
        <v>0,,</v>
      </c>
    </row>
    <row r="789" spans="1:1" x14ac:dyDescent="0.2">
      <c r="A789" t="str">
        <f>IF(Ontwerp!L1741="","",Ontwerp!L1741&amp;","&amp;Ontwerp!N1741&amp;","&amp;Ontwerp!O1741)</f>
        <v>0,,</v>
      </c>
    </row>
    <row r="790" spans="1:1" x14ac:dyDescent="0.2">
      <c r="A790" t="str">
        <f>IF(Ontwerp!L1742="","",Ontwerp!L1742&amp;","&amp;Ontwerp!N1742&amp;","&amp;Ontwerp!O1742)</f>
        <v>0,,</v>
      </c>
    </row>
    <row r="791" spans="1:1" x14ac:dyDescent="0.2">
      <c r="A791" t="str">
        <f>IF(Ontwerp!L1743="","",Ontwerp!L1743&amp;","&amp;Ontwerp!N1743&amp;","&amp;Ontwerp!O1743)</f>
        <v>0,,</v>
      </c>
    </row>
    <row r="792" spans="1:1" x14ac:dyDescent="0.2">
      <c r="A792" t="str">
        <f>IF(Ontwerp!L1744="","",Ontwerp!L1744&amp;","&amp;Ontwerp!N1744&amp;","&amp;Ontwerp!O1744)</f>
        <v>0,,</v>
      </c>
    </row>
    <row r="793" spans="1:1" x14ac:dyDescent="0.2">
      <c r="A793" t="str">
        <f>IF(Ontwerp!L1745="","",Ontwerp!L1745&amp;","&amp;Ontwerp!N1745&amp;","&amp;Ontwerp!O1745)</f>
        <v>0,,</v>
      </c>
    </row>
    <row r="794" spans="1:1" x14ac:dyDescent="0.2">
      <c r="A794" t="str">
        <f>IF(Ontwerp!L1746="","",Ontwerp!L1746&amp;","&amp;Ontwerp!N1746&amp;","&amp;Ontwerp!O1746)</f>
        <v>0,,</v>
      </c>
    </row>
    <row r="795" spans="1:1" x14ac:dyDescent="0.2">
      <c r="A795" t="str">
        <f>IF(Ontwerp!L1747="","",Ontwerp!L1747&amp;","&amp;Ontwerp!N1747&amp;","&amp;Ontwerp!O1747)</f>
        <v>0,,</v>
      </c>
    </row>
    <row r="796" spans="1:1" x14ac:dyDescent="0.2">
      <c r="A796" t="str">
        <f>IF(Ontwerp!L1748="","",Ontwerp!L1748&amp;","&amp;Ontwerp!N1748&amp;","&amp;Ontwerp!O1748)</f>
        <v>0,,</v>
      </c>
    </row>
    <row r="797" spans="1:1" x14ac:dyDescent="0.2">
      <c r="A797" t="str">
        <f>IF(Ontwerp!L1749="","",Ontwerp!L1749&amp;","&amp;Ontwerp!N1749&amp;","&amp;Ontwerp!O1749)</f>
        <v>0,,</v>
      </c>
    </row>
    <row r="798" spans="1:1" x14ac:dyDescent="0.2">
      <c r="A798" t="str">
        <f>IF(Ontwerp!L1750="","",Ontwerp!L1750&amp;","&amp;Ontwerp!N1750&amp;","&amp;Ontwerp!O1750)</f>
        <v>0,,</v>
      </c>
    </row>
    <row r="799" spans="1:1" x14ac:dyDescent="0.2">
      <c r="A799" t="str">
        <f>IF(Ontwerp!L1751="","",Ontwerp!L1751&amp;","&amp;Ontwerp!N1751&amp;","&amp;Ontwerp!O1751)</f>
        <v>0,,</v>
      </c>
    </row>
    <row r="800" spans="1:1" x14ac:dyDescent="0.2">
      <c r="A800" t="str">
        <f>IF(Ontwerp!L1752="","",Ontwerp!L1752&amp;","&amp;Ontwerp!N1752&amp;","&amp;Ontwerp!O1752)</f>
        <v>0,,</v>
      </c>
    </row>
    <row r="801" spans="1:1" x14ac:dyDescent="0.2">
      <c r="A801" t="str">
        <f>IF(Ontwerp!L1753="","",Ontwerp!L1753&amp;","&amp;Ontwerp!N1753&amp;","&amp;Ontwerp!O1753)</f>
        <v>0,,</v>
      </c>
    </row>
    <row r="802" spans="1:1" x14ac:dyDescent="0.2">
      <c r="A802" t="str">
        <f>IF(Ontwerp!L1754="","",Ontwerp!L1754&amp;","&amp;Ontwerp!N1754&amp;","&amp;Ontwerp!O1754)</f>
        <v>0,,</v>
      </c>
    </row>
    <row r="803" spans="1:1" x14ac:dyDescent="0.2">
      <c r="A803" t="str">
        <f>IF(Ontwerp!L1755="","",Ontwerp!L1755&amp;","&amp;Ontwerp!N1755&amp;","&amp;Ontwerp!O1755)</f>
        <v>0,,</v>
      </c>
    </row>
    <row r="804" spans="1:1" x14ac:dyDescent="0.2">
      <c r="A804" t="str">
        <f>IF(Ontwerp!L1756="","",Ontwerp!L1756&amp;","&amp;Ontwerp!N1756&amp;","&amp;Ontwerp!O1756)</f>
        <v>0,,</v>
      </c>
    </row>
    <row r="805" spans="1:1" x14ac:dyDescent="0.2">
      <c r="A805" t="str">
        <f>IF(Ontwerp!L1757="","",Ontwerp!L1757&amp;","&amp;Ontwerp!N1757&amp;","&amp;Ontwerp!O1757)</f>
        <v>0,,</v>
      </c>
    </row>
    <row r="806" spans="1:1" x14ac:dyDescent="0.2">
      <c r="A806" t="str">
        <f>IF(Ontwerp!L1758="","",Ontwerp!L1758&amp;","&amp;Ontwerp!N1758&amp;","&amp;Ontwerp!O1758)</f>
        <v>0,,</v>
      </c>
    </row>
    <row r="807" spans="1:1" x14ac:dyDescent="0.2">
      <c r="A807" t="str">
        <f>IF(Ontwerp!L1759="","",Ontwerp!L1759&amp;","&amp;Ontwerp!N1759&amp;","&amp;Ontwerp!O1759)</f>
        <v>0,,</v>
      </c>
    </row>
    <row r="808" spans="1:1" x14ac:dyDescent="0.2">
      <c r="A808" t="str">
        <f>IF(Ontwerp!L1760="","",Ontwerp!L1760&amp;","&amp;Ontwerp!N1760&amp;","&amp;Ontwerp!O1760)</f>
        <v>0,,</v>
      </c>
    </row>
    <row r="809" spans="1:1" x14ac:dyDescent="0.2">
      <c r="A809" t="str">
        <f>IF(Ontwerp!L1761="","",Ontwerp!L1761&amp;","&amp;Ontwerp!N1761&amp;","&amp;Ontwerp!O1761)</f>
        <v>0,,</v>
      </c>
    </row>
    <row r="810" spans="1:1" x14ac:dyDescent="0.2">
      <c r="A810" t="str">
        <f>IF(Ontwerp!L1762="","",Ontwerp!L1762&amp;","&amp;Ontwerp!N1762&amp;","&amp;Ontwerp!O1762)</f>
        <v>0,,</v>
      </c>
    </row>
    <row r="811" spans="1:1" x14ac:dyDescent="0.2">
      <c r="A811" t="str">
        <f>IF(Ontwerp!L1763="","",Ontwerp!L1763&amp;","&amp;Ontwerp!N1763&amp;","&amp;Ontwerp!O1763)</f>
        <v>0,,</v>
      </c>
    </row>
    <row r="812" spans="1:1" x14ac:dyDescent="0.2">
      <c r="A812" t="str">
        <f>IF(Ontwerp!L1764="","",Ontwerp!L1764&amp;","&amp;Ontwerp!N1764&amp;","&amp;Ontwerp!O1764)</f>
        <v>0,,</v>
      </c>
    </row>
    <row r="813" spans="1:1" x14ac:dyDescent="0.2">
      <c r="A813" t="str">
        <f>IF(Ontwerp!L1765="","",Ontwerp!L1765&amp;","&amp;Ontwerp!N1765&amp;","&amp;Ontwerp!O1765)</f>
        <v>0,,</v>
      </c>
    </row>
    <row r="814" spans="1:1" x14ac:dyDescent="0.2">
      <c r="A814" t="str">
        <f>IF(Ontwerp!L1766="","",Ontwerp!L1766&amp;","&amp;Ontwerp!N1766&amp;","&amp;Ontwerp!O1766)</f>
        <v>0,,</v>
      </c>
    </row>
    <row r="815" spans="1:1" x14ac:dyDescent="0.2">
      <c r="A815" t="str">
        <f>IF(Ontwerp!L1767="","",Ontwerp!L1767&amp;","&amp;Ontwerp!N1767&amp;","&amp;Ontwerp!O1767)</f>
        <v>0,,</v>
      </c>
    </row>
    <row r="816" spans="1:1" x14ac:dyDescent="0.2">
      <c r="A816" t="str">
        <f>IF(Ontwerp!L1768="","",Ontwerp!L1768&amp;","&amp;Ontwerp!N1768&amp;","&amp;Ontwerp!O1768)</f>
        <v>0,,</v>
      </c>
    </row>
    <row r="817" spans="1:1" x14ac:dyDescent="0.2">
      <c r="A817" t="str">
        <f>IF(Ontwerp!L1769="","",Ontwerp!L1769&amp;","&amp;Ontwerp!N1769&amp;","&amp;Ontwerp!O1769)</f>
        <v>0,,</v>
      </c>
    </row>
    <row r="818" spans="1:1" x14ac:dyDescent="0.2">
      <c r="A818" t="str">
        <f>IF(Ontwerp!L1770="","",Ontwerp!L1770&amp;","&amp;Ontwerp!N1770&amp;","&amp;Ontwerp!O1770)</f>
        <v>0,,</v>
      </c>
    </row>
    <row r="819" spans="1:1" x14ac:dyDescent="0.2">
      <c r="A819" t="str">
        <f>IF(Ontwerp!L1771="","",Ontwerp!L1771&amp;","&amp;Ontwerp!N1771&amp;","&amp;Ontwerp!O1771)</f>
        <v>0,,</v>
      </c>
    </row>
    <row r="820" spans="1:1" x14ac:dyDescent="0.2">
      <c r="A820" t="str">
        <f>IF(Ontwerp!L1772="","",Ontwerp!L1772&amp;","&amp;Ontwerp!N1772&amp;","&amp;Ontwerp!O1772)</f>
        <v>0,,</v>
      </c>
    </row>
    <row r="821" spans="1:1" x14ac:dyDescent="0.2">
      <c r="A821" t="str">
        <f>IF(Ontwerp!L1773="","",Ontwerp!L1773&amp;","&amp;Ontwerp!N1773&amp;","&amp;Ontwerp!O1773)</f>
        <v>0,,</v>
      </c>
    </row>
    <row r="822" spans="1:1" x14ac:dyDescent="0.2">
      <c r="A822" t="str">
        <f>IF(Ontwerp!L1774="","",Ontwerp!L1774&amp;","&amp;Ontwerp!N1774&amp;","&amp;Ontwerp!O1774)</f>
        <v>0,,</v>
      </c>
    </row>
    <row r="823" spans="1:1" x14ac:dyDescent="0.2">
      <c r="A823" t="str">
        <f>IF(Ontwerp!L1775="","",Ontwerp!L1775&amp;","&amp;Ontwerp!N1775&amp;","&amp;Ontwerp!O1775)</f>
        <v>0,,</v>
      </c>
    </row>
    <row r="824" spans="1:1" x14ac:dyDescent="0.2">
      <c r="A824" t="str">
        <f>IF(Ontwerp!L1776="","",Ontwerp!L1776&amp;","&amp;Ontwerp!N1776&amp;","&amp;Ontwerp!O1776)</f>
        <v>0,,</v>
      </c>
    </row>
    <row r="825" spans="1:1" x14ac:dyDescent="0.2">
      <c r="A825" t="str">
        <f>IF(Ontwerp!L1777="","",Ontwerp!L1777&amp;","&amp;Ontwerp!N1777&amp;","&amp;Ontwerp!O1777)</f>
        <v>0,,</v>
      </c>
    </row>
    <row r="826" spans="1:1" x14ac:dyDescent="0.2">
      <c r="A826" t="str">
        <f>IF(Ontwerp!L1778="","",Ontwerp!L1778&amp;","&amp;Ontwerp!N1778&amp;","&amp;Ontwerp!O1778)</f>
        <v>0,,</v>
      </c>
    </row>
    <row r="827" spans="1:1" x14ac:dyDescent="0.2">
      <c r="A827" t="str">
        <f>IF(Ontwerp!L1779="","",Ontwerp!L1779&amp;","&amp;Ontwerp!N1779&amp;","&amp;Ontwerp!O1779)</f>
        <v>0,,</v>
      </c>
    </row>
    <row r="828" spans="1:1" x14ac:dyDescent="0.2">
      <c r="A828" t="str">
        <f>IF(Ontwerp!L1780="","",Ontwerp!L1780&amp;","&amp;Ontwerp!N1780&amp;","&amp;Ontwerp!O1780)</f>
        <v>0,,</v>
      </c>
    </row>
    <row r="829" spans="1:1" x14ac:dyDescent="0.2">
      <c r="A829" t="str">
        <f>IF(Ontwerp!L1781="","",Ontwerp!L1781&amp;","&amp;Ontwerp!N1781&amp;","&amp;Ontwerp!O1781)</f>
        <v>0,,</v>
      </c>
    </row>
    <row r="830" spans="1:1" x14ac:dyDescent="0.2">
      <c r="A830" t="str">
        <f>IF(Ontwerp!L1782="","",Ontwerp!L1782&amp;","&amp;Ontwerp!N1782&amp;","&amp;Ontwerp!O1782)</f>
        <v>0,,</v>
      </c>
    </row>
    <row r="831" spans="1:1" x14ac:dyDescent="0.2">
      <c r="A831" t="str">
        <f>IF(Ontwerp!L1783="","",Ontwerp!L1783&amp;","&amp;Ontwerp!N1783&amp;","&amp;Ontwerp!O1783)</f>
        <v>0,,</v>
      </c>
    </row>
    <row r="832" spans="1:1" x14ac:dyDescent="0.2">
      <c r="A832" t="str">
        <f>IF(Ontwerp!L1784="","",Ontwerp!L1784&amp;","&amp;Ontwerp!N1784&amp;","&amp;Ontwerp!O1784)</f>
        <v>0,,</v>
      </c>
    </row>
    <row r="833" spans="1:1" x14ac:dyDescent="0.2">
      <c r="A833" t="str">
        <f>IF(Ontwerp!L1785="","",Ontwerp!L1785&amp;","&amp;Ontwerp!N1785&amp;","&amp;Ontwerp!O1785)</f>
        <v>0,,</v>
      </c>
    </row>
    <row r="834" spans="1:1" x14ac:dyDescent="0.2">
      <c r="A834" t="str">
        <f>IF(Ontwerp!L1786="","",Ontwerp!L1786&amp;","&amp;Ontwerp!N1786&amp;","&amp;Ontwerp!O1786)</f>
        <v>0,,</v>
      </c>
    </row>
    <row r="835" spans="1:1" x14ac:dyDescent="0.2">
      <c r="A835" t="str">
        <f>IF(Ontwerp!L1787="","",Ontwerp!L1787&amp;","&amp;Ontwerp!N1787&amp;","&amp;Ontwerp!O1787)</f>
        <v>0,,</v>
      </c>
    </row>
    <row r="836" spans="1:1" x14ac:dyDescent="0.2">
      <c r="A836" t="str">
        <f>IF(Ontwerp!L1788="","",Ontwerp!L1788&amp;","&amp;Ontwerp!N1788&amp;","&amp;Ontwerp!O1788)</f>
        <v>0,,</v>
      </c>
    </row>
    <row r="837" spans="1:1" x14ac:dyDescent="0.2">
      <c r="A837" t="str">
        <f>IF(Ontwerp!L1789="","",Ontwerp!L1789&amp;","&amp;Ontwerp!N1789&amp;","&amp;Ontwerp!O1789)</f>
        <v>0,,</v>
      </c>
    </row>
    <row r="838" spans="1:1" x14ac:dyDescent="0.2">
      <c r="A838" t="str">
        <f>IF(Ontwerp!L1790="","",Ontwerp!L1790&amp;","&amp;Ontwerp!N1790&amp;","&amp;Ontwerp!O1790)</f>
        <v>0,,</v>
      </c>
    </row>
    <row r="839" spans="1:1" x14ac:dyDescent="0.2">
      <c r="A839" t="str">
        <f>IF(Ontwerp!L1791="","",Ontwerp!L1791&amp;","&amp;Ontwerp!N1791&amp;","&amp;Ontwerp!O1791)</f>
        <v>0,,</v>
      </c>
    </row>
    <row r="840" spans="1:1" x14ac:dyDescent="0.2">
      <c r="A840" t="str">
        <f>IF(Ontwerp!L1792="","",Ontwerp!L1792&amp;","&amp;Ontwerp!N1792&amp;","&amp;Ontwerp!O1792)</f>
        <v>0,,</v>
      </c>
    </row>
    <row r="841" spans="1:1" x14ac:dyDescent="0.2">
      <c r="A841" t="str">
        <f>IF(Ontwerp!L1793="","",Ontwerp!L1793&amp;","&amp;Ontwerp!N1793&amp;","&amp;Ontwerp!O1793)</f>
        <v>0,,</v>
      </c>
    </row>
    <row r="842" spans="1:1" x14ac:dyDescent="0.2">
      <c r="A842" t="str">
        <f>IF(Ontwerp!L1794="","",Ontwerp!L1794&amp;","&amp;Ontwerp!N1794&amp;","&amp;Ontwerp!O1794)</f>
        <v>0,,</v>
      </c>
    </row>
    <row r="843" spans="1:1" x14ac:dyDescent="0.2">
      <c r="A843" t="str">
        <f>IF(Ontwerp!L1795="","",Ontwerp!L1795&amp;","&amp;Ontwerp!N1795&amp;","&amp;Ontwerp!O1795)</f>
        <v>0,,</v>
      </c>
    </row>
    <row r="844" spans="1:1" x14ac:dyDescent="0.2">
      <c r="A844" t="str">
        <f>IF(Ontwerp!L1796="","",Ontwerp!L1796&amp;","&amp;Ontwerp!N1796&amp;","&amp;Ontwerp!O1796)</f>
        <v>0,,</v>
      </c>
    </row>
    <row r="845" spans="1:1" x14ac:dyDescent="0.2">
      <c r="A845" t="str">
        <f>IF(Ontwerp!L1797="","",Ontwerp!L1797&amp;","&amp;Ontwerp!N1797&amp;","&amp;Ontwerp!O1797)</f>
        <v>0,,</v>
      </c>
    </row>
    <row r="846" spans="1:1" x14ac:dyDescent="0.2">
      <c r="A846" t="str">
        <f>IF(Ontwerp!L1798="","",Ontwerp!L1798&amp;","&amp;Ontwerp!N1798&amp;","&amp;Ontwerp!O1798)</f>
        <v>0,,</v>
      </c>
    </row>
    <row r="847" spans="1:1" x14ac:dyDescent="0.2">
      <c r="A847" t="str">
        <f>IF(Ontwerp!L1799="","",Ontwerp!L1799&amp;","&amp;Ontwerp!N1799&amp;","&amp;Ontwerp!O1799)</f>
        <v>0,,</v>
      </c>
    </row>
    <row r="848" spans="1:1" x14ac:dyDescent="0.2">
      <c r="A848" t="str">
        <f>IF(Ontwerp!L1800="","",Ontwerp!L1800&amp;","&amp;Ontwerp!N1800&amp;","&amp;Ontwerp!O1800)</f>
        <v>0,,</v>
      </c>
    </row>
    <row r="849" spans="1:1" x14ac:dyDescent="0.2">
      <c r="A849" t="str">
        <f>IF(Ontwerp!L1801="","",Ontwerp!L1801&amp;","&amp;Ontwerp!N1801&amp;","&amp;Ontwerp!O1801)</f>
        <v>0,,</v>
      </c>
    </row>
    <row r="850" spans="1:1" x14ac:dyDescent="0.2">
      <c r="A850" t="str">
        <f>IF(Ontwerp!L1802="","",Ontwerp!L1802&amp;","&amp;Ontwerp!N1802&amp;","&amp;Ontwerp!O1802)</f>
        <v>0,,</v>
      </c>
    </row>
    <row r="851" spans="1:1" x14ac:dyDescent="0.2">
      <c r="A851" t="str">
        <f>IF(Ontwerp!L1803="","",Ontwerp!L1803&amp;","&amp;Ontwerp!N1803&amp;","&amp;Ontwerp!O1803)</f>
        <v>0,,</v>
      </c>
    </row>
    <row r="852" spans="1:1" x14ac:dyDescent="0.2">
      <c r="A852" t="str">
        <f>IF(Ontwerp!L1804="","",Ontwerp!L1804&amp;","&amp;Ontwerp!N1804&amp;","&amp;Ontwerp!O1804)</f>
        <v>0,,</v>
      </c>
    </row>
    <row r="853" spans="1:1" x14ac:dyDescent="0.2">
      <c r="A853" t="str">
        <f>IF(Ontwerp!L1805="","",Ontwerp!L1805&amp;","&amp;Ontwerp!N1805&amp;","&amp;Ontwerp!O1805)</f>
        <v>0,,</v>
      </c>
    </row>
    <row r="854" spans="1:1" x14ac:dyDescent="0.2">
      <c r="A854" t="str">
        <f>IF(Ontwerp!L1806="","",Ontwerp!L1806&amp;","&amp;Ontwerp!N1806&amp;","&amp;Ontwerp!O1806)</f>
        <v>0,,</v>
      </c>
    </row>
    <row r="855" spans="1:1" x14ac:dyDescent="0.2">
      <c r="A855" t="str">
        <f>IF(Ontwerp!L1807="","",Ontwerp!L1807&amp;","&amp;Ontwerp!N1807&amp;","&amp;Ontwerp!O1807)</f>
        <v>0,,</v>
      </c>
    </row>
    <row r="856" spans="1:1" x14ac:dyDescent="0.2">
      <c r="A856" t="str">
        <f>IF(Ontwerp!L1808="","",Ontwerp!L1808&amp;","&amp;Ontwerp!N1808&amp;","&amp;Ontwerp!O1808)</f>
        <v>0,,</v>
      </c>
    </row>
    <row r="857" spans="1:1" x14ac:dyDescent="0.2">
      <c r="A857" t="str">
        <f>IF(Ontwerp!L1809="","",Ontwerp!L1809&amp;","&amp;Ontwerp!N1809&amp;","&amp;Ontwerp!O1809)</f>
        <v>0,,</v>
      </c>
    </row>
    <row r="858" spans="1:1" x14ac:dyDescent="0.2">
      <c r="A858" t="str">
        <f>IF(Ontwerp!L1810="","",Ontwerp!L1810&amp;","&amp;Ontwerp!N1810&amp;","&amp;Ontwerp!O1810)</f>
        <v>0,,</v>
      </c>
    </row>
    <row r="859" spans="1:1" x14ac:dyDescent="0.2">
      <c r="A859" t="str">
        <f>IF(Ontwerp!L1811="","",Ontwerp!L1811&amp;","&amp;Ontwerp!N1811&amp;","&amp;Ontwerp!O1811)</f>
        <v>0,,</v>
      </c>
    </row>
    <row r="860" spans="1:1" x14ac:dyDescent="0.2">
      <c r="A860" t="str">
        <f>IF(Ontwerp!L1812="","",Ontwerp!L1812&amp;","&amp;Ontwerp!N1812&amp;","&amp;Ontwerp!O1812)</f>
        <v>0,,</v>
      </c>
    </row>
    <row r="861" spans="1:1" x14ac:dyDescent="0.2">
      <c r="A861" t="str">
        <f>IF(Ontwerp!L1813="","",Ontwerp!L1813&amp;","&amp;Ontwerp!N1813&amp;","&amp;Ontwerp!O1813)</f>
        <v>0,,</v>
      </c>
    </row>
    <row r="862" spans="1:1" x14ac:dyDescent="0.2">
      <c r="A862" t="str">
        <f>IF(Ontwerp!L1814="","",Ontwerp!L1814&amp;","&amp;Ontwerp!N1814&amp;","&amp;Ontwerp!O1814)</f>
        <v>0,,</v>
      </c>
    </row>
    <row r="863" spans="1:1" x14ac:dyDescent="0.2">
      <c r="A863" t="str">
        <f>IF(Ontwerp!L1815="","",Ontwerp!L1815&amp;","&amp;Ontwerp!N1815&amp;","&amp;Ontwerp!O1815)</f>
        <v>0,,</v>
      </c>
    </row>
    <row r="864" spans="1:1" x14ac:dyDescent="0.2">
      <c r="A864" t="str">
        <f>IF(Ontwerp!L1816="","",Ontwerp!L1816&amp;","&amp;Ontwerp!N1816&amp;","&amp;Ontwerp!O1816)</f>
        <v>0,,</v>
      </c>
    </row>
    <row r="865" spans="1:1" x14ac:dyDescent="0.2">
      <c r="A865" t="str">
        <f>IF(Ontwerp!L1817="","",Ontwerp!L1817&amp;","&amp;Ontwerp!N1817&amp;","&amp;Ontwerp!O1817)</f>
        <v>0,,</v>
      </c>
    </row>
    <row r="866" spans="1:1" x14ac:dyDescent="0.2">
      <c r="A866" t="str">
        <f>IF(Ontwerp!L1818="","",Ontwerp!L1818&amp;","&amp;Ontwerp!N1818&amp;","&amp;Ontwerp!O1818)</f>
        <v>0,,</v>
      </c>
    </row>
    <row r="867" spans="1:1" x14ac:dyDescent="0.2">
      <c r="A867" t="str">
        <f>IF(Ontwerp!L1819="","",Ontwerp!L1819&amp;","&amp;Ontwerp!N1819&amp;","&amp;Ontwerp!O1819)</f>
        <v>0,,</v>
      </c>
    </row>
    <row r="868" spans="1:1" x14ac:dyDescent="0.2">
      <c r="A868" t="str">
        <f>IF(Ontwerp!L1820="","",Ontwerp!L1820&amp;","&amp;Ontwerp!N1820&amp;","&amp;Ontwerp!O1820)</f>
        <v>0,,</v>
      </c>
    </row>
    <row r="869" spans="1:1" x14ac:dyDescent="0.2">
      <c r="A869" t="str">
        <f>IF(Ontwerp!L1821="","",Ontwerp!L1821&amp;","&amp;Ontwerp!N1821&amp;","&amp;Ontwerp!O1821)</f>
        <v>0,,</v>
      </c>
    </row>
    <row r="870" spans="1:1" x14ac:dyDescent="0.2">
      <c r="A870" t="str">
        <f>IF(Ontwerp!L1822="","",Ontwerp!L1822&amp;","&amp;Ontwerp!N1822&amp;","&amp;Ontwerp!O1822)</f>
        <v>0,,</v>
      </c>
    </row>
    <row r="871" spans="1:1" x14ac:dyDescent="0.2">
      <c r="A871" t="str">
        <f>IF(Ontwerp!L1823="","",Ontwerp!L1823&amp;","&amp;Ontwerp!N1823&amp;","&amp;Ontwerp!O1823)</f>
        <v>0,,</v>
      </c>
    </row>
    <row r="872" spans="1:1" x14ac:dyDescent="0.2">
      <c r="A872" t="str">
        <f>IF(Ontwerp!L1824="","",Ontwerp!L1824&amp;","&amp;Ontwerp!N1824&amp;","&amp;Ontwerp!O1824)</f>
        <v>0,,</v>
      </c>
    </row>
    <row r="873" spans="1:1" x14ac:dyDescent="0.2">
      <c r="A873" t="str">
        <f>IF(Ontwerp!L1825="","",Ontwerp!L1825&amp;","&amp;Ontwerp!N1825&amp;","&amp;Ontwerp!O1825)</f>
        <v>0,,</v>
      </c>
    </row>
    <row r="874" spans="1:1" x14ac:dyDescent="0.2">
      <c r="A874" t="str">
        <f>IF(Ontwerp!L1826="","",Ontwerp!L1826&amp;","&amp;Ontwerp!N1826&amp;","&amp;Ontwerp!O1826)</f>
        <v>0,,</v>
      </c>
    </row>
    <row r="875" spans="1:1" x14ac:dyDescent="0.2">
      <c r="A875" t="str">
        <f>IF(Ontwerp!L1827="","",Ontwerp!L1827&amp;","&amp;Ontwerp!N1827&amp;","&amp;Ontwerp!O1827)</f>
        <v>0,,</v>
      </c>
    </row>
    <row r="876" spans="1:1" x14ac:dyDescent="0.2">
      <c r="A876" t="str">
        <f>IF(Ontwerp!L1828="","",Ontwerp!L1828&amp;","&amp;Ontwerp!N1828&amp;","&amp;Ontwerp!O1828)</f>
        <v>0,,</v>
      </c>
    </row>
    <row r="877" spans="1:1" x14ac:dyDescent="0.2">
      <c r="A877" t="str">
        <f>IF(Ontwerp!L1829="","",Ontwerp!L1829&amp;","&amp;Ontwerp!N1829&amp;","&amp;Ontwerp!O1829)</f>
        <v>0,,</v>
      </c>
    </row>
    <row r="878" spans="1:1" x14ac:dyDescent="0.2">
      <c r="A878" t="str">
        <f>IF(Ontwerp!L1830="","",Ontwerp!L1830&amp;","&amp;Ontwerp!N1830&amp;","&amp;Ontwerp!O1830)</f>
        <v>0,,</v>
      </c>
    </row>
    <row r="879" spans="1:1" x14ac:dyDescent="0.2">
      <c r="A879" t="str">
        <f>IF(Ontwerp!L1831="","",Ontwerp!L1831&amp;","&amp;Ontwerp!N1831&amp;","&amp;Ontwerp!O1831)</f>
        <v>0,,</v>
      </c>
    </row>
    <row r="880" spans="1:1" x14ac:dyDescent="0.2">
      <c r="A880" t="str">
        <f>IF(Ontwerp!L1832="","",Ontwerp!L1832&amp;","&amp;Ontwerp!N1832&amp;","&amp;Ontwerp!O1832)</f>
        <v>0,,</v>
      </c>
    </row>
    <row r="881" spans="1:1" x14ac:dyDescent="0.2">
      <c r="A881" t="str">
        <f>IF(Ontwerp!L1833="","",Ontwerp!L1833&amp;","&amp;Ontwerp!N1833&amp;","&amp;Ontwerp!O1833)</f>
        <v>0,,</v>
      </c>
    </row>
    <row r="882" spans="1:1" x14ac:dyDescent="0.2">
      <c r="A882" t="str">
        <f>IF(Ontwerp!L1834="","",Ontwerp!L1834&amp;","&amp;Ontwerp!N1834&amp;","&amp;Ontwerp!O1834)</f>
        <v>0,,</v>
      </c>
    </row>
    <row r="883" spans="1:1" x14ac:dyDescent="0.2">
      <c r="A883" t="str">
        <f>IF(Ontwerp!L1835="","",Ontwerp!L1835&amp;","&amp;Ontwerp!N1835&amp;","&amp;Ontwerp!O1835)</f>
        <v>0,,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326"/>
  <sheetViews>
    <sheetView zoomScale="85" zoomScaleNormal="85" workbookViewId="0">
      <pane xSplit="11" ySplit="1" topLeftCell="L172" activePane="bottomRight" state="frozen"/>
      <selection pane="topRight" activeCell="L1" sqref="L1"/>
      <selection pane="bottomLeft" activeCell="A2" sqref="A2"/>
      <selection pane="bottomRight" activeCell="C277" sqref="C277"/>
    </sheetView>
  </sheetViews>
  <sheetFormatPr defaultColWidth="9.140625" defaultRowHeight="12.75" x14ac:dyDescent="0.2"/>
  <cols>
    <col min="1" max="1" width="10.7109375" style="361" customWidth="1"/>
    <col min="2" max="2" width="13.140625" style="361" customWidth="1"/>
    <col min="3" max="6" width="10.7109375" style="361" customWidth="1"/>
    <col min="7" max="7" width="10.7109375" style="98" bestFit="1" customWidth="1"/>
    <col min="8" max="8" width="11.140625" style="98" bestFit="1" customWidth="1"/>
    <col min="9" max="9" width="6.85546875" style="98" bestFit="1" customWidth="1"/>
    <col min="10" max="11" width="6.28515625" style="98" bestFit="1" customWidth="1"/>
    <col min="12" max="12" width="9.7109375" style="362" bestFit="1" customWidth="1"/>
    <col min="13" max="13" width="12" style="100" customWidth="1"/>
    <col min="14" max="14" width="34.42578125" style="99" bestFit="1" customWidth="1"/>
    <col min="15" max="15" width="36.42578125" style="99" bestFit="1" customWidth="1"/>
    <col min="16" max="16" width="33.42578125" style="99" bestFit="1" customWidth="1"/>
    <col min="17" max="17" width="16.42578125" style="99" customWidth="1"/>
    <col min="18" max="18" width="16.85546875" style="99" bestFit="1" customWidth="1"/>
    <col min="19" max="19" width="15" style="99" customWidth="1"/>
    <col min="20" max="20" width="7.85546875" style="99" bestFit="1" customWidth="1"/>
    <col min="21" max="21" width="22" style="99" customWidth="1"/>
    <col min="22" max="16384" width="9.140625" style="98"/>
  </cols>
  <sheetData>
    <row r="1" spans="1:21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</row>
    <row r="2" spans="1:21" s="531" customFormat="1" ht="13.5" customHeight="1" x14ac:dyDescent="0.2">
      <c r="A2" s="527"/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</row>
    <row r="3" spans="1:21" s="979" customFormat="1" x14ac:dyDescent="0.2">
      <c r="A3" s="974" t="s">
        <v>1083</v>
      </c>
      <c r="B3" s="974"/>
      <c r="C3" s="974"/>
      <c r="D3" s="974"/>
      <c r="E3" s="974"/>
      <c r="F3" s="974"/>
      <c r="G3" s="975"/>
      <c r="H3" s="975"/>
      <c r="I3" s="975"/>
      <c r="J3" s="975"/>
      <c r="K3" s="975"/>
      <c r="L3" s="976"/>
      <c r="M3" s="3" t="s">
        <v>483</v>
      </c>
      <c r="N3" s="4" t="s">
        <v>484</v>
      </c>
      <c r="O3" s="4"/>
      <c r="P3" s="4"/>
      <c r="Q3" s="4"/>
      <c r="R3" s="4"/>
      <c r="S3" s="4"/>
      <c r="T3" s="4"/>
      <c r="U3" s="4"/>
    </row>
    <row r="4" spans="1:21" s="979" customFormat="1" x14ac:dyDescent="0.2">
      <c r="A4" s="974"/>
      <c r="B4" s="974"/>
      <c r="C4" s="974"/>
      <c r="D4" s="974"/>
      <c r="E4" s="974"/>
      <c r="F4" s="974" t="s">
        <v>485</v>
      </c>
      <c r="G4" s="975"/>
      <c r="H4" s="975"/>
      <c r="I4" s="975"/>
      <c r="J4" s="975" t="s">
        <v>486</v>
      </c>
      <c r="K4" s="975">
        <v>1</v>
      </c>
      <c r="L4" s="976"/>
      <c r="M4" s="980" t="s">
        <v>487</v>
      </c>
      <c r="N4" s="978"/>
      <c r="O4" s="978"/>
      <c r="P4" s="978"/>
      <c r="Q4" s="978"/>
      <c r="R4" s="978"/>
      <c r="S4" s="981"/>
      <c r="T4" s="981"/>
      <c r="U4" s="978"/>
    </row>
    <row r="5" spans="1:21" s="979" customFormat="1" ht="15" customHeight="1" x14ac:dyDescent="0.25">
      <c r="A5" s="982" t="s">
        <v>488</v>
      </c>
      <c r="B5" s="974"/>
      <c r="C5" s="974" t="s">
        <v>489</v>
      </c>
      <c r="D5" s="974" t="s">
        <v>490</v>
      </c>
      <c r="E5" s="974"/>
      <c r="F5" s="974"/>
      <c r="G5" s="975"/>
      <c r="H5" s="975"/>
      <c r="I5" s="975"/>
      <c r="J5" s="975"/>
      <c r="K5" s="975"/>
      <c r="L5" s="976"/>
      <c r="M5" s="980"/>
      <c r="N5" s="978"/>
      <c r="O5" s="978"/>
      <c r="P5" s="978"/>
      <c r="Q5" s="978"/>
      <c r="R5" s="978"/>
      <c r="S5" s="981"/>
      <c r="T5" s="981"/>
      <c r="U5" s="978"/>
    </row>
    <row r="6" spans="1:21" s="979" customFormat="1" x14ac:dyDescent="0.2">
      <c r="B6" s="974"/>
      <c r="C6" s="974">
        <f>HLOOKUP(Variabelen!B80,Variabelen!E131:L137,4,FALSE)</f>
        <v>114</v>
      </c>
      <c r="D6" s="974">
        <f ca="1">HLOOKUP(Variabelen!B80,Variabelen!E131:L137,5,FALSE)-HLOOKUP(Variabelen!B80,Variabelen!E131:L137,3,FALSE)</f>
        <v>145</v>
      </c>
      <c r="E6" s="974"/>
      <c r="F6" s="974" t="s">
        <v>491</v>
      </c>
      <c r="H6" s="975"/>
      <c r="I6" s="975"/>
      <c r="J6" s="975"/>
      <c r="K6" s="975"/>
      <c r="L6" s="976"/>
      <c r="M6" s="983"/>
      <c r="N6" s="983"/>
      <c r="O6" s="984"/>
      <c r="P6" s="985"/>
      <c r="Q6" s="978"/>
      <c r="R6" s="978"/>
      <c r="S6" s="978"/>
      <c r="T6" s="981"/>
      <c r="U6" s="978"/>
    </row>
    <row r="7" spans="1:21" s="979" customFormat="1" x14ac:dyDescent="0.2">
      <c r="A7" s="974"/>
      <c r="B7" s="974"/>
      <c r="C7" s="974"/>
      <c r="D7" s="974"/>
      <c r="E7" s="974"/>
      <c r="F7" s="974"/>
      <c r="G7" s="975"/>
      <c r="H7" s="975"/>
      <c r="I7" s="975"/>
      <c r="J7" s="975"/>
      <c r="K7" s="975"/>
      <c r="L7" s="976"/>
      <c r="O7" s="985"/>
      <c r="P7" s="985"/>
      <c r="Q7" s="978"/>
      <c r="R7" s="978"/>
      <c r="S7" s="978"/>
      <c r="T7" s="981"/>
      <c r="U7" s="978"/>
    </row>
    <row r="8" spans="1:21" s="979" customFormat="1" x14ac:dyDescent="0.2">
      <c r="A8" s="833" t="s">
        <v>1183</v>
      </c>
      <c r="B8" s="974"/>
      <c r="C8" s="974"/>
      <c r="D8" s="974"/>
      <c r="E8" s="974"/>
      <c r="F8" s="974"/>
      <c r="G8" s="975"/>
      <c r="H8" s="975"/>
      <c r="I8" s="975"/>
      <c r="J8" s="975"/>
      <c r="K8" s="975"/>
      <c r="L8" s="976"/>
      <c r="M8" s="983"/>
      <c r="N8" s="986"/>
      <c r="O8" s="985"/>
      <c r="P8" s="985"/>
      <c r="Q8" s="978"/>
      <c r="R8" s="978"/>
      <c r="S8" s="978"/>
      <c r="T8" s="981"/>
      <c r="U8" s="978"/>
    </row>
    <row r="9" spans="1:21" s="979" customFormat="1" x14ac:dyDescent="0.2">
      <c r="A9" s="974"/>
      <c r="B9" s="974"/>
      <c r="C9" s="974"/>
      <c r="D9" s="974"/>
      <c r="E9" s="974"/>
      <c r="F9" s="974"/>
      <c r="G9" s="975"/>
      <c r="H9" s="975"/>
      <c r="I9" s="975"/>
      <c r="J9" s="975"/>
      <c r="K9" s="975"/>
      <c r="L9" s="976"/>
      <c r="Q9" s="978"/>
      <c r="R9" s="978"/>
      <c r="S9" s="978"/>
      <c r="T9" s="981"/>
      <c r="U9" s="978"/>
    </row>
    <row r="10" spans="1:21" s="979" customFormat="1" x14ac:dyDescent="0.2">
      <c r="A10" s="974"/>
      <c r="B10" s="974"/>
      <c r="C10" s="974"/>
      <c r="D10" s="974"/>
      <c r="E10" s="974"/>
      <c r="F10" s="974"/>
      <c r="G10" s="975"/>
      <c r="H10" s="975"/>
      <c r="I10" s="975"/>
      <c r="J10" s="975"/>
      <c r="K10" s="975"/>
      <c r="L10" s="976"/>
      <c r="M10" s="980"/>
      <c r="N10" s="978"/>
      <c r="O10" s="978"/>
      <c r="P10" s="978"/>
      <c r="Q10" s="978"/>
      <c r="R10" s="978"/>
      <c r="S10" s="978"/>
      <c r="T10" s="981"/>
      <c r="U10" s="978"/>
    </row>
    <row r="11" spans="1:21" s="979" customFormat="1" ht="15" customHeight="1" x14ac:dyDescent="0.25">
      <c r="A11" s="987"/>
      <c r="B11" s="974"/>
      <c r="C11" s="975"/>
      <c r="D11" s="974"/>
      <c r="E11" s="974"/>
      <c r="F11" s="974"/>
      <c r="G11" s="975"/>
      <c r="H11" s="975"/>
      <c r="I11" s="975"/>
      <c r="J11" s="975"/>
      <c r="K11" s="975"/>
      <c r="L11" s="976"/>
      <c r="M11" s="977"/>
      <c r="N11" s="978"/>
      <c r="O11" s="978"/>
      <c r="P11" s="978"/>
      <c r="Q11" s="978"/>
      <c r="R11" s="978"/>
      <c r="S11" s="978"/>
      <c r="T11" s="981"/>
      <c r="U11" s="978"/>
    </row>
    <row r="12" spans="1:21" s="979" customFormat="1" x14ac:dyDescent="0.2">
      <c r="A12" s="974" t="s">
        <v>492</v>
      </c>
      <c r="B12" s="974"/>
      <c r="C12" s="975"/>
      <c r="D12" s="974"/>
      <c r="E12" s="974"/>
      <c r="F12" s="974"/>
      <c r="G12" s="975"/>
      <c r="H12" s="975"/>
      <c r="I12" s="975"/>
      <c r="J12" s="975"/>
      <c r="K12" s="975"/>
      <c r="L12" s="976"/>
      <c r="M12" s="3" t="s">
        <v>493</v>
      </c>
      <c r="N12" s="4" t="s">
        <v>494</v>
      </c>
      <c r="O12" s="4" t="s">
        <v>333</v>
      </c>
      <c r="P12" s="4" t="s">
        <v>495</v>
      </c>
      <c r="Q12" s="4"/>
      <c r="R12" s="4"/>
      <c r="S12" s="4"/>
      <c r="T12" s="2"/>
      <c r="U12" s="4"/>
    </row>
    <row r="13" spans="1:21" s="979" customFormat="1" ht="15" customHeight="1" x14ac:dyDescent="0.25">
      <c r="A13" s="988" t="s">
        <v>496</v>
      </c>
      <c r="B13" s="974"/>
      <c r="C13" s="974"/>
      <c r="D13" s="974"/>
      <c r="E13" s="974"/>
      <c r="F13" s="974"/>
      <c r="G13" s="975"/>
      <c r="H13" s="975"/>
      <c r="I13" s="975"/>
      <c r="J13" s="975"/>
      <c r="K13" s="975"/>
      <c r="L13" s="976"/>
      <c r="M13" s="46" t="s">
        <v>497</v>
      </c>
      <c r="N13" s="47">
        <v>7</v>
      </c>
      <c r="O13" s="47" t="s">
        <v>498</v>
      </c>
      <c r="P13" s="47">
        <v>0</v>
      </c>
      <c r="Q13" s="47" t="s">
        <v>499</v>
      </c>
      <c r="R13" s="47">
        <f>IF(OR(INPUT!D27=1,INPUT!D27=5),Ontwerp!AO282,IF(OR(INPUT!D27=2,INPUT!D27=3,INPUT!D27=4),12,"CHECK BORING OF BOOGZINKER"))</f>
        <v>7</v>
      </c>
      <c r="S13" s="47" t="s">
        <v>500</v>
      </c>
      <c r="T13" s="47">
        <f>IF(OR(INPUT!D27=1,INPUT!D27=5),1,IF(OR(INPUT!D27=2,INPUT!D27=3,INPUT!D27=4),12,"CHECK BORING OF BOOGZINKER"))</f>
        <v>1</v>
      </c>
      <c r="U13" s="47"/>
    </row>
    <row r="14" spans="1:21" s="979" customFormat="1" ht="15" customHeight="1" x14ac:dyDescent="0.25">
      <c r="A14" s="989" t="s">
        <v>501</v>
      </c>
      <c r="B14" s="974"/>
      <c r="C14" s="974"/>
      <c r="D14" s="974"/>
      <c r="E14" s="974"/>
      <c r="F14" s="974"/>
      <c r="G14" s="975"/>
      <c r="H14" s="975"/>
      <c r="I14" s="975"/>
      <c r="J14" s="975"/>
      <c r="K14" s="975"/>
      <c r="L14" s="976"/>
      <c r="M14" s="3" t="s">
        <v>502</v>
      </c>
      <c r="N14" s="4" t="str">
        <f>VLOOKUP(N13,Ontwerp!AO268:AT281,5,FALSE)&amp;","&amp;VLOOKUP(N13,Ontwerp!AO268:AT281,6,FALSE)</f>
        <v>104118.807362367,489243.733747181</v>
      </c>
      <c r="O14" s="4"/>
      <c r="P14" s="4"/>
      <c r="Q14" s="4"/>
      <c r="R14" s="4"/>
      <c r="S14" s="4"/>
      <c r="T14" s="2"/>
      <c r="U14" s="4"/>
    </row>
    <row r="15" spans="1:21" s="979" customFormat="1" ht="15" customHeight="1" x14ac:dyDescent="0.25">
      <c r="A15" s="990"/>
      <c r="B15" s="974"/>
      <c r="C15" s="974"/>
      <c r="D15" s="974"/>
      <c r="E15" s="974"/>
      <c r="F15" s="974"/>
      <c r="G15" s="975"/>
      <c r="H15" s="975"/>
      <c r="I15" s="975"/>
      <c r="J15" s="975"/>
      <c r="K15" s="975"/>
      <c r="L15" s="976"/>
      <c r="M15" s="46" t="s">
        <v>503</v>
      </c>
      <c r="N15" s="47"/>
      <c r="O15" s="47"/>
      <c r="P15" s="47"/>
      <c r="Q15" s="47"/>
      <c r="R15" s="47"/>
      <c r="S15" s="47"/>
      <c r="T15" s="48"/>
      <c r="U15" s="47"/>
    </row>
    <row r="16" spans="1:21" s="979" customFormat="1" ht="15" customHeight="1" x14ac:dyDescent="0.25">
      <c r="A16" s="991" t="s">
        <v>504</v>
      </c>
      <c r="B16" s="974"/>
      <c r="C16" s="974"/>
      <c r="D16" s="974"/>
      <c r="E16" s="974"/>
      <c r="F16" s="974"/>
      <c r="G16" s="975"/>
      <c r="H16" s="975"/>
      <c r="I16" s="975"/>
      <c r="J16" s="975"/>
      <c r="K16" s="975"/>
      <c r="L16" s="976"/>
      <c r="M16" s="977"/>
      <c r="N16" s="978"/>
      <c r="O16" s="978"/>
      <c r="P16" s="978"/>
      <c r="Q16" s="978"/>
      <c r="R16" s="978"/>
      <c r="S16" s="978"/>
      <c r="T16" s="981"/>
      <c r="U16" s="978"/>
    </row>
    <row r="17" spans="1:21" s="979" customFormat="1" ht="15" customHeight="1" x14ac:dyDescent="0.25">
      <c r="A17" s="992" t="s">
        <v>505</v>
      </c>
      <c r="B17" s="993"/>
      <c r="C17" s="974"/>
      <c r="D17" s="974"/>
      <c r="E17" s="974"/>
      <c r="F17" s="974"/>
      <c r="G17" s="994" t="s">
        <v>506</v>
      </c>
      <c r="H17" s="975"/>
      <c r="I17" s="975"/>
      <c r="J17" s="975"/>
      <c r="K17" s="975"/>
      <c r="L17" s="976"/>
      <c r="M17" s="3" t="s">
        <v>507</v>
      </c>
      <c r="N17" s="4" t="str">
        <f t="array" ref="N17">POINT(Ontwerp!$B273,Ontwerp!$C273)</f>
        <v>103896.941034738,489289.542193465</v>
      </c>
      <c r="O17" s="4" t="str">
        <f t="array" ref="O17">POINT(Ontwerp!$B274,Ontwerp!$C274)</f>
        <v>103947.339605307,489275.494433531</v>
      </c>
      <c r="P17" s="4" t="str">
        <f>IF(Ontwerp!A272=2,";","")</f>
        <v/>
      </c>
      <c r="Q17" s="4"/>
      <c r="R17" s="15"/>
      <c r="S17" s="4"/>
      <c r="T17" s="2"/>
      <c r="U17" s="4"/>
    </row>
    <row r="18" spans="1:21" s="979" customFormat="1" ht="15" customHeight="1" x14ac:dyDescent="0.25">
      <c r="A18" s="992" t="s">
        <v>508</v>
      </c>
      <c r="B18" s="993"/>
      <c r="C18" s="974"/>
      <c r="D18" s="974"/>
      <c r="E18" s="974"/>
      <c r="F18" s="974"/>
      <c r="G18" s="994"/>
      <c r="H18" s="975"/>
      <c r="I18" s="975"/>
      <c r="J18" s="975"/>
      <c r="K18" s="975"/>
      <c r="L18" s="976"/>
      <c r="M18" s="3"/>
      <c r="N18" s="4" t="str">
        <f>IF(Ontwerp!B275="","","_A")</f>
        <v>_A</v>
      </c>
      <c r="O18" s="4" t="str">
        <f t="array" ref="O18">IF(Ontwerp!B275="","",POINT(Ontwerp!$B276,Ontwerp!$C276))</f>
        <v>103960.835553442,489272.396159891</v>
      </c>
      <c r="P18" s="4"/>
      <c r="Q18" s="4"/>
      <c r="R18" s="4"/>
      <c r="S18" s="4"/>
      <c r="T18" s="4"/>
      <c r="U18" s="4"/>
    </row>
    <row r="19" spans="1:21" s="979" customFormat="1" ht="15" customHeight="1" x14ac:dyDescent="0.25">
      <c r="A19" s="992" t="s">
        <v>509</v>
      </c>
      <c r="B19" s="993"/>
      <c r="C19" s="974"/>
      <c r="D19" s="974"/>
      <c r="E19" s="974"/>
      <c r="F19" s="974"/>
      <c r="G19" s="994" t="s">
        <v>510</v>
      </c>
      <c r="H19" s="975"/>
      <c r="I19" s="975"/>
      <c r="J19" s="975"/>
      <c r="K19" s="975"/>
      <c r="L19" s="976"/>
      <c r="M19" s="3"/>
      <c r="N19" s="4" t="str">
        <f>IF(Ontwerp!B276="","","_L")</f>
        <v>_L</v>
      </c>
      <c r="O19" s="4" t="str">
        <f t="array" ref="O19">IF(Ontwerp!B276="","",POINT(Ontwerp!$B277,Ontwerp!$C277))</f>
        <v>104118.807362367,489243.733747181</v>
      </c>
      <c r="P19" s="4" t="str">
        <f>IF(Ontwerp!A272=5,";","")</f>
        <v>;</v>
      </c>
      <c r="Q19" s="4"/>
      <c r="R19" s="4"/>
      <c r="S19" s="4"/>
      <c r="T19" s="2"/>
      <c r="U19" s="4"/>
    </row>
    <row r="20" spans="1:21" s="979" customFormat="1" ht="15" customHeight="1" x14ac:dyDescent="0.25">
      <c r="A20" s="992" t="s">
        <v>511</v>
      </c>
      <c r="B20" s="974"/>
      <c r="C20" s="974"/>
      <c r="D20" s="974"/>
      <c r="E20" s="974"/>
      <c r="F20" s="974"/>
      <c r="G20" s="975"/>
      <c r="H20" s="975"/>
      <c r="I20" s="975"/>
      <c r="J20" s="975"/>
      <c r="K20" s="975"/>
      <c r="L20" s="976"/>
      <c r="M20" s="977"/>
      <c r="N20" s="978" t="str">
        <f>IF(Ontwerp!B278="","","_A")</f>
        <v/>
      </c>
      <c r="O20" s="978" t="str">
        <f t="array" ref="O20">IF(Ontwerp!B278="","",POINT(Ontwerp!$B279,Ontwerp!$C279))</f>
        <v/>
      </c>
      <c r="P20" s="978"/>
      <c r="Q20" s="975"/>
      <c r="R20" s="978"/>
      <c r="S20" s="978"/>
      <c r="T20" s="981"/>
      <c r="U20" s="978"/>
    </row>
    <row r="21" spans="1:21" s="979" customFormat="1" ht="15" customHeight="1" x14ac:dyDescent="0.25">
      <c r="A21" s="992" t="s">
        <v>512</v>
      </c>
      <c r="B21" s="974"/>
      <c r="C21" s="974"/>
      <c r="D21" s="974"/>
      <c r="E21" s="974"/>
      <c r="F21" s="974"/>
      <c r="G21" s="994" t="s">
        <v>513</v>
      </c>
      <c r="H21" s="975"/>
      <c r="I21" s="975"/>
      <c r="J21" s="975"/>
      <c r="K21" s="975"/>
      <c r="L21" s="976"/>
      <c r="M21" s="977"/>
      <c r="N21" s="978" t="str">
        <f>IF(Ontwerp!B279="","","_L")</f>
        <v/>
      </c>
      <c r="O21" s="978" t="str">
        <f t="array" ref="O21">IF(Ontwerp!B279="","",POINT(Ontwerp!$B280,Ontwerp!$C280))</f>
        <v/>
      </c>
      <c r="P21" s="978" t="str">
        <f>IF(Ontwerp!A272=8,";","")</f>
        <v/>
      </c>
      <c r="Q21" s="975"/>
      <c r="R21" s="978"/>
      <c r="S21" s="978"/>
      <c r="T21" s="981"/>
      <c r="U21" s="978"/>
    </row>
    <row r="22" spans="1:21" s="979" customFormat="1" ht="15" customHeight="1" x14ac:dyDescent="0.25">
      <c r="A22" s="995" t="s">
        <v>514</v>
      </c>
      <c r="B22" s="974"/>
      <c r="C22" s="974"/>
      <c r="D22" s="974"/>
      <c r="E22" s="974"/>
      <c r="F22" s="974"/>
      <c r="G22" s="975"/>
      <c r="H22" s="975"/>
      <c r="I22" s="975"/>
      <c r="J22" s="975"/>
      <c r="K22" s="975"/>
      <c r="L22" s="976"/>
      <c r="M22" s="977"/>
      <c r="N22" s="978" t="str">
        <f>IF(Ontwerp!B281="","","_A")</f>
        <v/>
      </c>
      <c r="O22" s="978" t="str">
        <f t="array" ref="O22">IF(Ontwerp!B282="","",POINT(Ontwerp!$B282,Ontwerp!$C282))</f>
        <v/>
      </c>
      <c r="P22" s="978"/>
      <c r="Q22" s="975"/>
      <c r="R22" s="978"/>
      <c r="S22" s="978"/>
      <c r="T22" s="981"/>
      <c r="U22" s="978"/>
    </row>
    <row r="23" spans="1:21" s="979" customFormat="1" ht="15" customHeight="1" x14ac:dyDescent="0.25">
      <c r="A23" s="995" t="s">
        <v>515</v>
      </c>
      <c r="B23" s="974"/>
      <c r="C23" s="974"/>
      <c r="D23" s="974"/>
      <c r="E23" s="974"/>
      <c r="F23" s="974"/>
      <c r="G23" s="994" t="s">
        <v>516</v>
      </c>
      <c r="H23" s="975"/>
      <c r="I23" s="975"/>
      <c r="J23" s="975"/>
      <c r="K23" s="975"/>
      <c r="L23" s="976"/>
      <c r="M23" s="977"/>
      <c r="N23" s="978" t="str">
        <f>IF(Ontwerp!B282="","","_L")</f>
        <v/>
      </c>
      <c r="O23" s="978" t="str">
        <f t="array" ref="O23">IF(Ontwerp!B283="","",POINT(Ontwerp!$B283,Ontwerp!$C283))</f>
        <v/>
      </c>
      <c r="P23" s="978" t="str">
        <f>IF(Ontwerp!A272=11,";","")</f>
        <v/>
      </c>
      <c r="Q23" s="975"/>
      <c r="R23" s="978"/>
      <c r="S23" s="978"/>
      <c r="T23" s="981"/>
      <c r="U23" s="978"/>
    </row>
    <row r="24" spans="1:21" s="979" customFormat="1" ht="15" customHeight="1" x14ac:dyDescent="0.25">
      <c r="A24" s="974"/>
      <c r="B24" s="974"/>
      <c r="C24" s="974"/>
      <c r="D24" s="974"/>
      <c r="E24" s="974"/>
      <c r="F24" s="974"/>
      <c r="G24" s="996"/>
      <c r="H24" s="975"/>
      <c r="I24" s="975"/>
      <c r="J24" s="975"/>
      <c r="K24" s="975"/>
      <c r="L24" s="976"/>
      <c r="M24" s="977"/>
      <c r="N24" s="978"/>
      <c r="O24" s="978"/>
      <c r="P24" s="978"/>
      <c r="Q24" s="978"/>
      <c r="R24" s="978"/>
      <c r="S24" s="978"/>
      <c r="T24" s="981"/>
      <c r="U24" s="978"/>
    </row>
    <row r="25" spans="1:21" s="979" customFormat="1" ht="15" customHeight="1" x14ac:dyDescent="0.25">
      <c r="A25" s="997" t="s">
        <v>517</v>
      </c>
      <c r="B25" s="974"/>
      <c r="C25" s="974"/>
      <c r="D25" s="974"/>
      <c r="E25" s="974"/>
      <c r="F25" s="974"/>
      <c r="G25" s="975"/>
      <c r="H25" s="975"/>
      <c r="I25" s="975"/>
      <c r="J25" s="975"/>
      <c r="K25" s="975"/>
      <c r="L25" s="976"/>
      <c r="M25" s="977"/>
      <c r="N25" s="978"/>
      <c r="O25" s="978"/>
      <c r="P25" s="978"/>
      <c r="Q25" s="978"/>
      <c r="R25" s="978"/>
      <c r="S25" s="978"/>
      <c r="T25" s="981"/>
      <c r="U25" s="978"/>
    </row>
    <row r="26" spans="1:21" s="979" customFormat="1" ht="18.75" customHeight="1" x14ac:dyDescent="0.25">
      <c r="A26" s="998" t="s">
        <v>518</v>
      </c>
      <c r="B26" s="974"/>
      <c r="C26" s="999" t="s">
        <v>418</v>
      </c>
      <c r="D26" s="999" t="s">
        <v>419</v>
      </c>
      <c r="E26" s="974" t="s">
        <v>519</v>
      </c>
      <c r="F26" s="974"/>
      <c r="G26" s="975"/>
      <c r="H26" s="975"/>
      <c r="I26" s="975"/>
      <c r="J26" s="975"/>
      <c r="K26" s="975"/>
      <c r="L26" s="976"/>
      <c r="M26" s="977"/>
      <c r="N26" s="978"/>
      <c r="O26" s="978"/>
      <c r="P26" s="978"/>
      <c r="Q26" s="978"/>
      <c r="R26" s="978"/>
      <c r="S26" s="978"/>
      <c r="T26" s="981"/>
      <c r="U26" s="978"/>
    </row>
    <row r="27" spans="1:21" s="979" customFormat="1" ht="15" customHeight="1" x14ac:dyDescent="0.25">
      <c r="A27" s="993">
        <f>Ontwerp!B273</f>
        <v>103896.94103473837</v>
      </c>
      <c r="B27" s="993">
        <f>Ontwerp!C273</f>
        <v>489289.54219346534</v>
      </c>
      <c r="C27" s="974">
        <f>Ontwerp!E287</f>
        <v>221.86632762874069</v>
      </c>
      <c r="D27" s="974">
        <f>Ontwerp!F287</f>
        <v>-45.808446283859666</v>
      </c>
      <c r="E27" s="974">
        <f>Ontwerp!E288</f>
        <v>226.54598007116559</v>
      </c>
      <c r="F27" s="974"/>
      <c r="G27" s="975"/>
      <c r="H27" s="975"/>
      <c r="I27" s="975"/>
      <c r="J27" s="975"/>
      <c r="K27" s="975"/>
      <c r="L27" s="976"/>
      <c r="M27" s="977"/>
      <c r="N27" s="978"/>
      <c r="O27" s="978"/>
      <c r="P27" s="978"/>
      <c r="Q27" s="978"/>
      <c r="R27" s="978"/>
      <c r="S27" s="978"/>
      <c r="T27" s="978"/>
      <c r="U27" s="978"/>
    </row>
    <row r="28" spans="1:21" s="979" customFormat="1" ht="18.75" customHeight="1" x14ac:dyDescent="0.25">
      <c r="A28" s="974" t="s">
        <v>520</v>
      </c>
      <c r="B28" s="974"/>
      <c r="C28" s="1000" t="s">
        <v>521</v>
      </c>
      <c r="D28" s="1000" t="s">
        <v>522</v>
      </c>
      <c r="E28" s="974"/>
      <c r="F28" s="974"/>
      <c r="G28" s="999"/>
      <c r="H28" s="975"/>
      <c r="I28" s="975" t="s">
        <v>523</v>
      </c>
      <c r="J28" s="975"/>
      <c r="K28" s="975"/>
      <c r="L28" s="976"/>
      <c r="M28" s="977"/>
      <c r="N28" s="978"/>
      <c r="O28" s="978"/>
      <c r="P28" s="978"/>
      <c r="Q28" s="975"/>
      <c r="R28" s="975"/>
      <c r="S28" s="978"/>
      <c r="T28" s="978"/>
      <c r="U28" s="1001"/>
    </row>
    <row r="29" spans="1:21" s="979" customFormat="1" ht="15" customHeight="1" x14ac:dyDescent="0.25">
      <c r="A29" s="993">
        <f>VLOOKUP(Ontwerp!A272,Ontwerp!A273:C284,2,FALSE)</f>
        <v>104118.80736236711</v>
      </c>
      <c r="B29" s="993">
        <f>VLOOKUP(Ontwerp!A272,Ontwerp!A273:C284,3,FALSE)</f>
        <v>489243.73374718148</v>
      </c>
      <c r="C29" s="974">
        <f>Ontwerp!E274</f>
        <v>50.398570569028379</v>
      </c>
      <c r="D29" s="974">
        <f>Ontwerp!F274</f>
        <v>-14.047759934677742</v>
      </c>
      <c r="E29" s="974"/>
      <c r="F29" s="974"/>
      <c r="G29" s="999"/>
      <c r="H29" s="975"/>
      <c r="I29" s="975">
        <v>2</v>
      </c>
      <c r="J29" s="975"/>
      <c r="K29" s="975"/>
      <c r="L29" s="976"/>
      <c r="M29" s="3" t="s">
        <v>493</v>
      </c>
      <c r="N29" s="4" t="s">
        <v>494</v>
      </c>
      <c r="O29" s="4" t="s">
        <v>517</v>
      </c>
      <c r="P29" s="4" t="s">
        <v>495</v>
      </c>
      <c r="Q29" s="15"/>
      <c r="R29" s="15"/>
      <c r="S29" s="4"/>
      <c r="T29" s="4"/>
      <c r="U29" s="14"/>
    </row>
    <row r="30" spans="1:21" s="979" customFormat="1" ht="18.75" customHeight="1" x14ac:dyDescent="0.25">
      <c r="A30" s="993"/>
      <c r="B30" s="993"/>
      <c r="C30" s="1000" t="s">
        <v>524</v>
      </c>
      <c r="D30" s="1000" t="s">
        <v>525</v>
      </c>
      <c r="E30" s="974"/>
      <c r="F30" s="974"/>
      <c r="G30" s="999"/>
      <c r="H30" s="975"/>
      <c r="I30" s="975"/>
      <c r="J30" s="975"/>
      <c r="K30" s="975"/>
      <c r="L30" s="976"/>
      <c r="M30" s="3" t="s">
        <v>483</v>
      </c>
      <c r="N30" s="4" t="s">
        <v>484</v>
      </c>
      <c r="O30" s="15"/>
      <c r="P30" s="15"/>
      <c r="Q30" s="15"/>
      <c r="R30" s="15"/>
      <c r="S30" s="15"/>
      <c r="T30" s="4"/>
      <c r="U30" s="14"/>
    </row>
    <row r="31" spans="1:21" s="979" customFormat="1" x14ac:dyDescent="0.2">
      <c r="A31" s="974"/>
      <c r="B31" s="974"/>
      <c r="C31" s="974">
        <f>VLOOKUP(Ontwerp!A272,Ontwerp!A273:F284,5,FALSE)</f>
        <v>157.97180892493634</v>
      </c>
      <c r="D31" s="974">
        <f>VLOOKUP(Ontwerp!A272,Ontwerp!A273:F284,6,FALSE)</f>
        <v>-28.662412709614728</v>
      </c>
      <c r="E31" s="974" t="s">
        <v>526</v>
      </c>
      <c r="F31" s="974"/>
      <c r="G31" s="975"/>
      <c r="H31" s="975"/>
      <c r="I31" s="975"/>
      <c r="J31" s="975"/>
      <c r="K31" s="975"/>
      <c r="L31" s="976"/>
      <c r="M31" s="3" t="s">
        <v>483</v>
      </c>
      <c r="N31" s="4" t="str">
        <f>POINT(A27,B27)</f>
        <v>103896.941034738,489289.542193465</v>
      </c>
      <c r="O31" s="4" t="str">
        <f t="array" ref="O31">IF(K4=1,POINT(C29,D29),POINT(A27+C29,B27+D29))</f>
        <v>50.3985705690284,-14.0477599346777</v>
      </c>
      <c r="P31" s="4" t="str">
        <f t="array" ref="P31">IF(K4=1,";",POINT(A27+C29,B27+1.1*ABS(D29)))</f>
        <v>;</v>
      </c>
      <c r="Q31" s="15"/>
      <c r="R31" s="15"/>
      <c r="S31" s="4"/>
      <c r="T31" s="4"/>
      <c r="U31" s="14"/>
    </row>
    <row r="32" spans="1:21" s="979" customFormat="1" ht="15" customHeight="1" x14ac:dyDescent="0.25">
      <c r="A32" s="993"/>
      <c r="B32" s="993"/>
      <c r="C32" s="974"/>
      <c r="D32" s="974"/>
      <c r="E32" s="974"/>
      <c r="F32" s="974"/>
      <c r="G32" s="999"/>
      <c r="H32" s="975"/>
      <c r="I32" s="975"/>
      <c r="J32" s="975"/>
      <c r="K32" s="975"/>
      <c r="L32" s="976"/>
      <c r="M32" s="977"/>
      <c r="N32" s="978"/>
      <c r="O32" s="978"/>
      <c r="P32" s="1002"/>
      <c r="Q32" s="978"/>
      <c r="R32" s="978"/>
      <c r="S32" s="1001"/>
      <c r="T32" s="978"/>
      <c r="U32" s="978"/>
    </row>
    <row r="33" spans="1:21" s="979" customFormat="1" ht="15" customHeight="1" x14ac:dyDescent="0.25">
      <c r="A33" s="975"/>
      <c r="B33" s="993"/>
      <c r="C33" s="975"/>
      <c r="D33" s="975"/>
      <c r="E33" s="974"/>
      <c r="G33" s="974" t="str">
        <f ca="1">IF(INPUT!D3=1,HLOOKUP(Ontwerp!C6,Variabelen!N2:AA11,8,FALSE),Variabelen!S9)</f>
        <v>VermeerD40</v>
      </c>
      <c r="H33" s="975"/>
      <c r="I33" s="975"/>
      <c r="J33" s="975"/>
      <c r="K33" s="975">
        <f>INPUT!D13</f>
        <v>-11.665857887914305</v>
      </c>
      <c r="L33" s="976"/>
      <c r="M33" s="3" t="str">
        <f ca="1">IF(INPUT!D3=1,"_INSERT","")</f>
        <v>_INSERT</v>
      </c>
      <c r="N33" s="593" t="str">
        <f ca="1">IF(INPUT!D3=1,G33,"")</f>
        <v>VermeerD40</v>
      </c>
      <c r="O33" s="4"/>
      <c r="P33" s="4" t="str">
        <f ca="1">IF(INPUT!D3=1,"0,0","")</f>
        <v>0,0</v>
      </c>
      <c r="Q33" s="15" t="str">
        <f ca="1">IF(INPUT!D3=1,"1","")</f>
        <v>1</v>
      </c>
      <c r="R33" s="15"/>
      <c r="S33" s="4" t="str">
        <f ca="1">IF(INPUT!D3=1,"0","")</f>
        <v>0</v>
      </c>
      <c r="T33" s="4"/>
      <c r="U33" s="14"/>
    </row>
    <row r="34" spans="1:21" s="979" customFormat="1" ht="15" customHeight="1" x14ac:dyDescent="0.25">
      <c r="A34" s="975"/>
      <c r="B34" s="993"/>
      <c r="C34" s="975"/>
      <c r="D34" s="975"/>
      <c r="E34" s="974"/>
      <c r="G34" s="974" t="str">
        <f ca="1">_xlfn.XLOOKUP(Ontwerp!C6,Variabelen!N2:AA2,Variabelen!N10:AA10)</f>
        <v>Aboorgat3x1</v>
      </c>
      <c r="H34" s="975"/>
      <c r="I34" s="975"/>
      <c r="J34" s="975"/>
      <c r="K34" s="975"/>
      <c r="L34" s="976"/>
      <c r="M34" s="3" t="s">
        <v>529</v>
      </c>
      <c r="N34" s="593" t="str">
        <f ca="1">G34</f>
        <v>Aboorgat3x1</v>
      </c>
      <c r="O34" s="4"/>
      <c r="P34" s="4" t="s">
        <v>530</v>
      </c>
      <c r="Q34" s="15">
        <v>1</v>
      </c>
      <c r="R34" s="15"/>
      <c r="S34" s="4">
        <v>0</v>
      </c>
      <c r="T34" s="4"/>
      <c r="U34" s="14"/>
    </row>
    <row r="35" spans="1:21" s="979" customFormat="1" ht="15" customHeight="1" x14ac:dyDescent="0.25">
      <c r="A35" s="975"/>
      <c r="B35" s="993"/>
      <c r="C35" s="975"/>
      <c r="D35" s="975"/>
      <c r="E35" s="974"/>
      <c r="F35" s="974"/>
      <c r="G35" s="999"/>
      <c r="H35" s="975"/>
      <c r="I35" s="975"/>
      <c r="J35" s="975"/>
      <c r="K35" s="975"/>
      <c r="L35" s="976"/>
      <c r="M35" s="3" t="s">
        <v>483</v>
      </c>
      <c r="N35" s="4" t="s">
        <v>484</v>
      </c>
      <c r="O35" s="4"/>
      <c r="P35" s="4"/>
      <c r="Q35" s="15"/>
      <c r="R35" s="15"/>
      <c r="S35" s="4"/>
      <c r="T35" s="4"/>
      <c r="U35" s="14"/>
    </row>
    <row r="36" spans="1:21" s="979" customFormat="1" ht="15" customHeight="1" x14ac:dyDescent="0.25">
      <c r="A36" s="975" t="s">
        <v>531</v>
      </c>
      <c r="B36" s="993"/>
      <c r="C36" s="975"/>
      <c r="D36" s="975"/>
      <c r="E36" s="974"/>
      <c r="F36" s="974"/>
      <c r="G36" s="999"/>
      <c r="H36" s="975"/>
      <c r="I36" s="975"/>
      <c r="J36" s="975"/>
      <c r="K36" s="975"/>
      <c r="L36" s="976"/>
      <c r="M36" s="46" t="s">
        <v>497</v>
      </c>
      <c r="N36" s="47">
        <v>6</v>
      </c>
      <c r="O36" s="47" t="s">
        <v>498</v>
      </c>
      <c r="P36" s="47">
        <v>0</v>
      </c>
      <c r="Q36" s="47" t="s">
        <v>499</v>
      </c>
      <c r="R36" s="47">
        <f>Ontwerp!AO282-1</f>
        <v>6</v>
      </c>
      <c r="S36" s="47" t="s">
        <v>500</v>
      </c>
      <c r="T36" s="47">
        <v>1</v>
      </c>
      <c r="U36" s="68"/>
    </row>
    <row r="37" spans="1:21" s="979" customFormat="1" ht="15" customHeight="1" x14ac:dyDescent="0.25">
      <c r="A37" s="975"/>
      <c r="B37" s="993"/>
      <c r="C37" s="975"/>
      <c r="D37" s="975"/>
      <c r="E37" s="974"/>
      <c r="F37" s="974"/>
      <c r="G37" s="999"/>
      <c r="H37" s="975"/>
      <c r="I37" s="975">
        <v>0.6</v>
      </c>
      <c r="J37" s="975"/>
      <c r="K37" s="975"/>
      <c r="L37" s="976"/>
      <c r="M37" s="3" t="str">
        <f>IF(N36=0,"","_TEXT")</f>
        <v>_TEXT</v>
      </c>
      <c r="N37" s="4" t="str">
        <f>IF(N36=0,"","_Justify")</f>
        <v>_Justify</v>
      </c>
      <c r="O37" s="4" t="str">
        <f>IF(N36=0,"","_BC")</f>
        <v>_BC</v>
      </c>
      <c r="P37" s="83" t="str">
        <f t="array" ref="P37">IF(N36=0,"",POINT(VLOOKUP(N36,Ontwerp!AO269:AT280,5,FALSE),VLOOKUP(N36,Ontwerp!AO269:AT280,6,FALSE)))</f>
        <v>104109.219559085,489245.473358676</v>
      </c>
      <c r="Q37" s="4">
        <f>IF(N36=0,"",I37)</f>
        <v>0.6</v>
      </c>
      <c r="R37" s="4">
        <f>IF(N36=0,"",INPUT!D13)</f>
        <v>-11.665857887914305</v>
      </c>
      <c r="S37" s="14" t="str">
        <f>IF(N36=0,"",VLOOKUP(N36,Ontwerp!AO269:AP280,2,FALSE))</f>
        <v>Tv4</v>
      </c>
      <c r="T37" s="4"/>
      <c r="U37" s="14"/>
    </row>
    <row r="38" spans="1:21" s="979" customFormat="1" ht="15" customHeight="1" x14ac:dyDescent="0.25">
      <c r="A38" s="975"/>
      <c r="B38" s="993"/>
      <c r="C38" s="975"/>
      <c r="D38" s="975"/>
      <c r="E38" s="974"/>
      <c r="F38" s="974"/>
      <c r="G38" s="999"/>
      <c r="H38" s="975"/>
      <c r="I38" s="975"/>
      <c r="J38" s="975"/>
      <c r="K38" s="975"/>
      <c r="L38" s="976"/>
      <c r="M38" s="977"/>
      <c r="N38" s="977"/>
      <c r="O38" s="978"/>
      <c r="P38" s="978"/>
      <c r="Q38" s="975"/>
      <c r="R38" s="975"/>
      <c r="S38" s="978"/>
      <c r="T38" s="978"/>
      <c r="U38" s="1001"/>
    </row>
    <row r="39" spans="1:21" s="979" customFormat="1" ht="15" customHeight="1" x14ac:dyDescent="0.25">
      <c r="A39" s="975" t="s">
        <v>532</v>
      </c>
      <c r="B39" s="993" t="s">
        <v>533</v>
      </c>
      <c r="C39" s="975" t="s">
        <v>534</v>
      </c>
      <c r="D39" s="975"/>
      <c r="E39" s="974"/>
      <c r="F39" s="974"/>
      <c r="G39" s="999"/>
      <c r="H39" s="975"/>
      <c r="I39" s="975"/>
      <c r="J39" s="975"/>
      <c r="K39" s="975"/>
      <c r="L39" s="976"/>
      <c r="M39" s="46" t="s">
        <v>503</v>
      </c>
      <c r="N39" s="46"/>
      <c r="O39" s="47"/>
      <c r="P39" s="47"/>
      <c r="Q39" s="153"/>
      <c r="R39" s="153"/>
      <c r="S39" s="47"/>
      <c r="T39" s="47"/>
      <c r="U39" s="68"/>
    </row>
    <row r="40" spans="1:21" s="979" customFormat="1" ht="15" customHeight="1" x14ac:dyDescent="0.25">
      <c r="A40" s="975"/>
      <c r="B40" s="993"/>
      <c r="C40" s="975"/>
      <c r="D40" s="975"/>
      <c r="E40" s="974"/>
      <c r="F40" s="974"/>
      <c r="G40" s="999"/>
      <c r="H40" s="975"/>
      <c r="I40" s="975"/>
      <c r="J40" s="975"/>
      <c r="K40" s="975"/>
      <c r="L40" s="976"/>
      <c r="M40" s="977"/>
      <c r="N40" s="977"/>
      <c r="O40" s="978"/>
      <c r="P40" s="978"/>
      <c r="Q40" s="975"/>
      <c r="R40" s="975"/>
      <c r="S40" s="978"/>
      <c r="T40" s="978"/>
      <c r="U40" s="1001"/>
    </row>
    <row r="41" spans="1:21" s="979" customFormat="1" ht="15" customHeight="1" x14ac:dyDescent="0.25">
      <c r="A41" s="993"/>
      <c r="B41" s="993"/>
      <c r="C41" s="975"/>
      <c r="D41" s="975"/>
      <c r="E41" s="974"/>
      <c r="F41" s="974"/>
      <c r="G41" s="999"/>
      <c r="H41" s="975"/>
      <c r="I41" s="975"/>
      <c r="J41" s="975"/>
      <c r="K41" s="975"/>
      <c r="L41" s="976"/>
      <c r="M41" s="977"/>
      <c r="N41" s="978"/>
      <c r="O41" s="978"/>
      <c r="P41" s="978"/>
      <c r="Q41" s="975"/>
      <c r="R41" s="975"/>
      <c r="S41" s="978"/>
      <c r="T41" s="978"/>
      <c r="U41" s="1001"/>
    </row>
    <row r="42" spans="1:21" s="979" customFormat="1" ht="15" customHeight="1" x14ac:dyDescent="0.25">
      <c r="A42" s="993"/>
      <c r="B42" s="993"/>
      <c r="C42" s="974"/>
      <c r="D42" s="974"/>
      <c r="E42" s="974" t="s">
        <v>535</v>
      </c>
      <c r="F42" s="974"/>
      <c r="G42" s="999"/>
      <c r="H42" s="975"/>
      <c r="I42" s="975"/>
      <c r="J42" s="975"/>
      <c r="K42" s="975"/>
      <c r="L42" s="976"/>
      <c r="M42" s="3" t="s">
        <v>483</v>
      </c>
      <c r="N42" s="4" t="str">
        <f>POINT(A29,B29)</f>
        <v>104118.807362367,489243.733747181</v>
      </c>
      <c r="O42" s="4" t="str">
        <f t="array" ref="O42">IF(K4=1,POINT(C31,D31),POINT(A29+C31,B29+D31))</f>
        <v>157.971808924936,-28.6624127096147</v>
      </c>
      <c r="P42" s="4" t="str">
        <f t="array" ref="P42">IF(K4=1,";",POINT(A29+C31,B29+1.1*ABS(D31)))</f>
        <v>;</v>
      </c>
      <c r="Q42" s="4"/>
      <c r="R42" s="4"/>
      <c r="S42" s="4"/>
      <c r="T42" s="4"/>
      <c r="U42" s="14"/>
    </row>
    <row r="43" spans="1:21" s="979" customFormat="1" ht="15" customHeight="1" x14ac:dyDescent="0.25">
      <c r="A43" s="993"/>
      <c r="B43" s="993"/>
      <c r="C43" s="974"/>
      <c r="D43" s="974"/>
      <c r="E43" s="974"/>
      <c r="F43" s="974"/>
      <c r="G43" s="1003" t="str">
        <f ca="1">_xlfn.XLOOKUP(Ontwerp!C6,Variabelen!N2:AA2,Variabelen!N11:AA11)</f>
        <v>Bboorgat3x1</v>
      </c>
      <c r="H43" s="975"/>
      <c r="I43" s="975"/>
      <c r="J43" s="975"/>
      <c r="K43" s="975"/>
      <c r="L43" s="976"/>
      <c r="M43" s="3" t="s">
        <v>529</v>
      </c>
      <c r="N43" s="3" t="str">
        <f ca="1">G43</f>
        <v>Bboorgat3x1</v>
      </c>
      <c r="O43" s="4"/>
      <c r="P43" s="4" t="s">
        <v>530</v>
      </c>
      <c r="Q43" s="15">
        <v>1</v>
      </c>
      <c r="R43" s="15"/>
      <c r="S43" s="4">
        <v>0</v>
      </c>
      <c r="T43" s="4"/>
      <c r="U43" s="14"/>
    </row>
    <row r="44" spans="1:21" s="979" customFormat="1" ht="15" customHeight="1" x14ac:dyDescent="0.25">
      <c r="A44" s="993"/>
      <c r="B44" s="993"/>
      <c r="C44" s="974"/>
      <c r="D44" s="974"/>
      <c r="E44" s="974"/>
      <c r="F44" s="974"/>
      <c r="G44" s="999"/>
      <c r="H44" s="975"/>
      <c r="I44" s="975"/>
      <c r="J44" s="975"/>
      <c r="K44" s="975"/>
      <c r="L44" s="976"/>
      <c r="M44" s="977"/>
      <c r="N44" s="978"/>
      <c r="O44" s="978"/>
      <c r="P44" s="978"/>
      <c r="Q44" s="975"/>
      <c r="R44" s="975"/>
      <c r="S44" s="978"/>
      <c r="T44" s="978"/>
      <c r="U44" s="1001"/>
    </row>
    <row r="45" spans="1:21" s="979" customFormat="1" ht="15" customHeight="1" x14ac:dyDescent="0.25">
      <c r="A45" s="993"/>
      <c r="B45" s="993"/>
      <c r="C45" s="974"/>
      <c r="D45" s="974"/>
      <c r="E45" s="974"/>
      <c r="F45" s="974"/>
      <c r="G45" s="999"/>
      <c r="H45" s="975"/>
      <c r="I45" s="975"/>
      <c r="J45" s="975"/>
      <c r="K45" s="975"/>
      <c r="L45" s="976"/>
      <c r="M45" s="977"/>
      <c r="N45" s="978"/>
      <c r="O45" s="978"/>
      <c r="P45" s="978"/>
      <c r="Q45" s="975"/>
      <c r="R45" s="975"/>
      <c r="S45" s="978"/>
      <c r="T45" s="978"/>
      <c r="U45" s="1001"/>
    </row>
    <row r="46" spans="1:21" s="979" customFormat="1" ht="15" customHeight="1" x14ac:dyDescent="0.25">
      <c r="A46" s="1004" t="s">
        <v>488</v>
      </c>
      <c r="B46" s="993"/>
      <c r="C46" s="974"/>
      <c r="D46" s="974" t="s">
        <v>536</v>
      </c>
      <c r="E46" s="974"/>
      <c r="F46" s="974"/>
      <c r="G46" s="999"/>
      <c r="H46" s="975"/>
      <c r="I46" s="975"/>
      <c r="J46" s="975"/>
      <c r="K46" s="975"/>
      <c r="L46" s="976"/>
      <c r="M46" s="3" t="s">
        <v>483</v>
      </c>
      <c r="N46" s="4" t="s">
        <v>484</v>
      </c>
      <c r="O46" s="4"/>
      <c r="P46" s="4"/>
      <c r="Q46" s="15"/>
      <c r="R46" s="15"/>
      <c r="S46" s="4"/>
      <c r="T46" s="4"/>
      <c r="U46" s="14"/>
    </row>
    <row r="47" spans="1:21" s="979" customFormat="1" ht="15" customHeight="1" x14ac:dyDescent="0.25">
      <c r="A47" s="993">
        <f>(A27+A29)/2</f>
        <v>104007.87419855274</v>
      </c>
      <c r="B47" s="993">
        <f>(B27+B29)/2</f>
        <v>489266.63797032344</v>
      </c>
      <c r="C47" s="974"/>
      <c r="D47" s="974">
        <v>7</v>
      </c>
      <c r="E47" s="974"/>
      <c r="F47" s="974"/>
      <c r="G47" s="1005" t="s">
        <v>537</v>
      </c>
      <c r="H47" s="975"/>
      <c r="I47" s="975">
        <v>0.5</v>
      </c>
      <c r="J47" s="975">
        <v>0.5</v>
      </c>
      <c r="K47" s="975">
        <v>0</v>
      </c>
      <c r="L47" s="976"/>
      <c r="M47" s="977"/>
      <c r="N47" s="978"/>
      <c r="O47" s="978"/>
      <c r="P47" s="978"/>
      <c r="Q47" s="975"/>
      <c r="R47" s="975"/>
      <c r="S47" s="978"/>
      <c r="T47" s="978"/>
      <c r="U47" s="1001"/>
    </row>
    <row r="48" spans="1:21" s="979" customFormat="1" ht="15" customHeight="1" x14ac:dyDescent="0.25">
      <c r="A48" s="993"/>
      <c r="B48" s="993"/>
      <c r="C48" s="974"/>
      <c r="D48" s="974"/>
      <c r="E48" s="974"/>
      <c r="F48" s="974"/>
      <c r="G48" s="1005"/>
      <c r="H48" s="975"/>
      <c r="I48" s="975"/>
      <c r="J48" s="975"/>
      <c r="K48" s="975"/>
      <c r="L48" s="976"/>
      <c r="M48" s="977"/>
      <c r="N48" s="978"/>
      <c r="O48" s="978"/>
      <c r="P48" s="978"/>
      <c r="Q48" s="975"/>
      <c r="R48" s="975"/>
      <c r="S48" s="978"/>
      <c r="T48" s="978"/>
      <c r="U48" s="1001"/>
    </row>
    <row r="49" spans="1:21" s="979" customFormat="1" ht="15" customHeight="1" x14ac:dyDescent="0.25">
      <c r="A49" s="993"/>
      <c r="B49" s="993"/>
      <c r="C49" s="974"/>
      <c r="D49" s="974"/>
      <c r="E49" s="974"/>
      <c r="F49" s="974"/>
      <c r="G49" s="1005"/>
      <c r="H49" s="975"/>
      <c r="I49" s="975"/>
      <c r="J49" s="975"/>
      <c r="K49" s="975"/>
      <c r="L49" s="976"/>
      <c r="M49" s="977"/>
      <c r="N49" s="978"/>
      <c r="O49" s="978"/>
      <c r="P49" s="978"/>
      <c r="Q49" s="975"/>
      <c r="R49" s="975"/>
      <c r="S49" s="978"/>
      <c r="T49" s="978"/>
      <c r="U49" s="1001"/>
    </row>
    <row r="50" spans="1:21" s="979" customFormat="1" ht="15" customHeight="1" x14ac:dyDescent="0.25">
      <c r="A50" s="1006" t="s">
        <v>538</v>
      </c>
      <c r="B50" s="993"/>
      <c r="C50" s="974"/>
      <c r="D50" s="974"/>
      <c r="E50" s="974"/>
      <c r="F50" s="974" t="s">
        <v>539</v>
      </c>
      <c r="G50" s="1005"/>
      <c r="H50" s="975"/>
      <c r="I50" s="975"/>
      <c r="J50" s="975"/>
      <c r="K50" s="975"/>
      <c r="L50" s="976"/>
      <c r="M50" s="977"/>
      <c r="N50" s="978"/>
      <c r="O50" s="978"/>
      <c r="P50" s="978"/>
      <c r="Q50" s="975"/>
      <c r="R50" s="975"/>
      <c r="S50" s="978"/>
      <c r="T50" s="978"/>
      <c r="U50" s="1001"/>
    </row>
    <row r="51" spans="1:21" s="979" customFormat="1" ht="15" customHeight="1" x14ac:dyDescent="0.25">
      <c r="A51" s="974">
        <f>((A27+A29)/2)-(Ontwerp!I285/2)</f>
        <v>103894.51285311695</v>
      </c>
      <c r="B51" s="993">
        <f>((B27+B29)/2)-F51</f>
        <v>486266.63797032344</v>
      </c>
      <c r="C51" s="974"/>
      <c r="D51" s="974"/>
      <c r="E51" s="974"/>
      <c r="F51" s="1007">
        <v>3000</v>
      </c>
      <c r="G51" s="1005"/>
      <c r="H51" s="975"/>
      <c r="I51" s="975"/>
      <c r="J51" s="975"/>
      <c r="K51" s="975"/>
      <c r="L51" s="976"/>
      <c r="M51" s="3" t="s">
        <v>483</v>
      </c>
      <c r="N51" s="3" t="str">
        <f>POINT(A51,B51)</f>
        <v>103894.512853117,486266.637970323</v>
      </c>
      <c r="O51" s="4" t="s">
        <v>495</v>
      </c>
      <c r="P51" s="577"/>
      <c r="Q51" s="15"/>
      <c r="R51" s="15"/>
      <c r="S51" s="4"/>
      <c r="T51" s="4"/>
      <c r="U51" s="14"/>
    </row>
    <row r="52" spans="1:21" s="979" customFormat="1" ht="15" customHeight="1" x14ac:dyDescent="0.25">
      <c r="A52" s="974"/>
      <c r="B52" s="993"/>
      <c r="C52" s="974"/>
      <c r="D52" s="974"/>
      <c r="E52" s="974"/>
      <c r="F52" s="974"/>
      <c r="G52" s="1009"/>
      <c r="H52" s="975"/>
      <c r="I52" s="975"/>
      <c r="J52" s="975"/>
      <c r="K52" s="975"/>
      <c r="L52" s="976"/>
      <c r="M52" s="3" t="s">
        <v>493</v>
      </c>
      <c r="N52" s="4" t="s">
        <v>494</v>
      </c>
      <c r="O52" s="4" t="s">
        <v>333</v>
      </c>
      <c r="P52" s="4" t="s">
        <v>495</v>
      </c>
      <c r="Q52" s="15"/>
      <c r="R52" s="15"/>
      <c r="S52" s="4"/>
      <c r="T52" s="4"/>
      <c r="U52" s="14"/>
    </row>
    <row r="53" spans="1:21" s="979" customFormat="1" ht="15" customHeight="1" x14ac:dyDescent="0.25">
      <c r="A53" s="993">
        <v>0</v>
      </c>
      <c r="B53" s="993">
        <f>Ontwerp!G49</f>
        <v>1.0092347860336299</v>
      </c>
      <c r="C53" s="974">
        <f>Ontwerp!C40</f>
        <v>20.200040360140243</v>
      </c>
      <c r="D53" s="974">
        <f>B53+Ontwerp!C39</f>
        <v>-5.5541561916755846</v>
      </c>
      <c r="E53" s="974"/>
      <c r="F53" s="974"/>
      <c r="G53" s="1005"/>
      <c r="H53" s="975"/>
      <c r="I53" s="975"/>
      <c r="J53" s="975"/>
      <c r="K53" s="975"/>
      <c r="L53" s="976"/>
      <c r="M53" s="3" t="s">
        <v>540</v>
      </c>
      <c r="N53" s="4" t="str">
        <f>POINT(A53,B53)</f>
        <v>0,1.00923478603363</v>
      </c>
      <c r="O53" s="4" t="str">
        <f>POINT(ROUND(C53,2),ROUND(D53,2))</f>
        <v>20.2,-5.55</v>
      </c>
      <c r="P53" s="4" t="s">
        <v>495</v>
      </c>
      <c r="Q53" s="15"/>
      <c r="R53" s="15"/>
      <c r="S53" s="4"/>
      <c r="T53" s="4"/>
      <c r="U53" s="14"/>
    </row>
    <row r="54" spans="1:21" s="979" customFormat="1" ht="15" customHeight="1" x14ac:dyDescent="0.25">
      <c r="A54" s="993"/>
      <c r="B54" s="993"/>
      <c r="C54" s="974">
        <f>C53+Ontwerp!C43</f>
        <v>38.741060022637086</v>
      </c>
      <c r="D54" s="974">
        <f>D53+Ontwerp!C42</f>
        <v>-8.4907652139663696</v>
      </c>
      <c r="E54" s="974"/>
      <c r="F54" s="974"/>
      <c r="G54" s="1005"/>
      <c r="H54" s="975">
        <f>Ontwerp!D8</f>
        <v>60</v>
      </c>
      <c r="I54" s="975" t="s">
        <v>541</v>
      </c>
      <c r="J54" s="975"/>
      <c r="K54" s="975"/>
      <c r="L54" s="976"/>
      <c r="M54" s="3" t="s">
        <v>542</v>
      </c>
      <c r="N54" s="4" t="str">
        <f>O53</f>
        <v>20.2,-5.55</v>
      </c>
      <c r="O54" s="4" t="s">
        <v>543</v>
      </c>
      <c r="P54" s="4" t="str">
        <f>POINT(ROUND(C54,2),ROUND(D54,2))</f>
        <v>38.74,-8.49</v>
      </c>
      <c r="Q54" s="15" t="s">
        <v>476</v>
      </c>
      <c r="R54" s="4">
        <f>H54</f>
        <v>60</v>
      </c>
      <c r="S54" s="4"/>
      <c r="T54" s="4"/>
      <c r="U54" s="14"/>
    </row>
    <row r="55" spans="1:21" s="979" customFormat="1" ht="15" customHeight="1" x14ac:dyDescent="0.25">
      <c r="A55" s="993">
        <f>Ontwerp!C46</f>
        <v>148.26876040507608</v>
      </c>
      <c r="B55" s="993"/>
      <c r="C55" s="974"/>
      <c r="D55" s="974"/>
      <c r="E55" s="974"/>
      <c r="F55" s="974"/>
      <c r="G55" s="1005"/>
      <c r="H55" s="975"/>
      <c r="I55" s="975"/>
      <c r="J55" s="975"/>
      <c r="K55" s="975"/>
      <c r="L55" s="976"/>
      <c r="M55" s="3" t="s">
        <v>540</v>
      </c>
      <c r="N55" s="4" t="str">
        <f>P54</f>
        <v>38.74,-8.49</v>
      </c>
      <c r="O55" s="4" t="str">
        <f>POINT(ROUND(C54+A55,2),ROUND(D54,2))</f>
        <v>187.01,-8.49</v>
      </c>
      <c r="P55" s="4" t="s">
        <v>495</v>
      </c>
      <c r="Q55" s="15"/>
      <c r="R55" s="4"/>
      <c r="S55" s="4"/>
      <c r="T55" s="4"/>
      <c r="U55" s="14"/>
    </row>
    <row r="56" spans="1:21" s="979" customFormat="1" ht="15" customHeight="1" x14ac:dyDescent="0.25">
      <c r="A56" s="975">
        <f>Ontwerp!Q39</f>
        <v>216.97834790098614</v>
      </c>
      <c r="B56" s="993">
        <f>Ontwerp!C38+Ontwerp!C48+Ontwerp!G49</f>
        <v>-2.665473579309364</v>
      </c>
      <c r="C56" s="974"/>
      <c r="D56" s="975"/>
      <c r="E56" s="974"/>
      <c r="F56" s="974"/>
      <c r="G56" s="1010" t="s">
        <v>544</v>
      </c>
      <c r="H56" s="975">
        <f>Ontwerp!D12</f>
        <v>80</v>
      </c>
      <c r="I56" s="975" t="s">
        <v>545</v>
      </c>
      <c r="J56" s="975"/>
      <c r="K56" s="975"/>
      <c r="L56" s="976"/>
      <c r="M56" s="3" t="s">
        <v>542</v>
      </c>
      <c r="N56" s="4" t="str">
        <f>O55</f>
        <v>187.01,-8.49</v>
      </c>
      <c r="O56" s="4" t="s">
        <v>543</v>
      </c>
      <c r="P56" s="4" t="str">
        <f>POINT(ROUND(A56,2),ROUND(B56,2))</f>
        <v>216.98,-2.67</v>
      </c>
      <c r="Q56" s="15" t="s">
        <v>476</v>
      </c>
      <c r="R56" s="4">
        <f>H56</f>
        <v>80</v>
      </c>
      <c r="S56" s="4"/>
      <c r="T56" s="4"/>
      <c r="U56" s="14"/>
    </row>
    <row r="57" spans="1:21" s="979" customFormat="1" ht="15" customHeight="1" x14ac:dyDescent="0.25">
      <c r="A57" s="993">
        <f>ROUND(Ontwerp!C16,2)</f>
        <v>226.72</v>
      </c>
      <c r="B57" s="993">
        <f>Ontwerp!G52</f>
        <v>1.271496534347534</v>
      </c>
      <c r="C57" s="974"/>
      <c r="D57" s="975"/>
      <c r="E57" s="974"/>
      <c r="F57" s="974"/>
      <c r="G57" s="1010"/>
      <c r="H57" s="975"/>
      <c r="I57" s="975"/>
      <c r="J57" s="975"/>
      <c r="K57" s="975"/>
      <c r="L57" s="976"/>
      <c r="M57" s="3" t="s">
        <v>540</v>
      </c>
      <c r="N57" s="4" t="str">
        <f>P56</f>
        <v>216.98,-2.67</v>
      </c>
      <c r="O57" s="4" t="str">
        <f>POINT(ROUND(A57,2),ROUND(B57,2))</f>
        <v>226.72,1.27</v>
      </c>
      <c r="P57" s="4" t="s">
        <v>495</v>
      </c>
      <c r="Q57" s="15"/>
      <c r="R57" s="4"/>
      <c r="S57" s="4"/>
      <c r="T57" s="4"/>
      <c r="U57" s="14"/>
    </row>
    <row r="58" spans="1:21" s="979" customFormat="1" x14ac:dyDescent="0.2">
      <c r="A58" s="974"/>
      <c r="B58" s="974"/>
      <c r="C58" s="974"/>
      <c r="D58" s="974"/>
      <c r="E58" s="974"/>
      <c r="F58" s="974"/>
      <c r="G58" s="975"/>
      <c r="H58" s="975"/>
      <c r="I58" s="975"/>
      <c r="J58" s="975"/>
      <c r="K58" s="975"/>
      <c r="L58" s="976"/>
      <c r="M58" s="3" t="s">
        <v>493</v>
      </c>
      <c r="N58" s="4" t="s">
        <v>494</v>
      </c>
      <c r="O58" s="4" t="s">
        <v>546</v>
      </c>
      <c r="P58" s="4" t="s">
        <v>495</v>
      </c>
      <c r="Q58" s="4"/>
      <c r="R58" s="4"/>
      <c r="S58" s="4"/>
      <c r="T58" s="2"/>
      <c r="U58" s="4"/>
    </row>
    <row r="59" spans="1:21" s="979" customFormat="1" ht="15" customHeight="1" x14ac:dyDescent="0.25">
      <c r="A59" s="999"/>
      <c r="B59" s="974"/>
      <c r="C59" s="974"/>
      <c r="D59" s="974"/>
      <c r="E59" s="974"/>
      <c r="F59" s="974"/>
      <c r="G59" s="975"/>
      <c r="H59" s="975"/>
      <c r="I59" s="975"/>
      <c r="J59" s="975"/>
      <c r="K59" s="975"/>
      <c r="L59" s="976"/>
      <c r="M59" s="46" t="s">
        <v>497</v>
      </c>
      <c r="N59" s="47">
        <v>79</v>
      </c>
      <c r="O59" s="47" t="s">
        <v>498</v>
      </c>
      <c r="P59" s="47">
        <v>1</v>
      </c>
      <c r="Q59" s="47" t="s">
        <v>499</v>
      </c>
      <c r="R59" s="47">
        <f>Ontwerp!O433</f>
        <v>79</v>
      </c>
      <c r="S59" s="47" t="s">
        <v>500</v>
      </c>
      <c r="T59" s="47">
        <v>1</v>
      </c>
      <c r="U59" s="47"/>
    </row>
    <row r="60" spans="1:21" s="979" customFormat="1" ht="15" customHeight="1" x14ac:dyDescent="0.25">
      <c r="A60" s="1011" t="str">
        <f>Ontwerp!Z289</f>
        <v>Verticale MAATLIJNEN standaard</v>
      </c>
      <c r="B60" s="974"/>
      <c r="C60" s="974"/>
      <c r="D60" s="974"/>
      <c r="E60" s="974"/>
      <c r="F60" s="974"/>
      <c r="G60" s="975"/>
      <c r="H60" s="975"/>
      <c r="I60" s="975"/>
      <c r="J60" s="975"/>
      <c r="K60" s="975"/>
      <c r="L60" s="976"/>
      <c r="M60" s="3" t="s">
        <v>540</v>
      </c>
      <c r="N60" s="4" t="str">
        <f>VLOOKUP(N59,Ontwerp!Z291:AC432,3,FALSE)</f>
        <v>226.722690871591,1.40572071075439</v>
      </c>
      <c r="O60" s="4" t="str">
        <f>VLOOKUP(N59,Ontwerp!Z291:AC432,4,FALSE)</f>
        <v>226.722690871591,-16.0407652139664</v>
      </c>
      <c r="P60" s="4" t="s">
        <v>495</v>
      </c>
      <c r="Q60" s="4"/>
      <c r="R60" s="4"/>
      <c r="S60" s="4"/>
      <c r="T60" s="2"/>
      <c r="U60" s="4"/>
    </row>
    <row r="61" spans="1:21" s="979" customFormat="1" ht="15" customHeight="1" x14ac:dyDescent="0.25">
      <c r="A61" s="1011" t="str">
        <f>Ontwerp!AF289</f>
        <v>Horizontale afstand tov intredepunt</v>
      </c>
      <c r="B61" s="974"/>
      <c r="C61" s="974"/>
      <c r="D61" s="974"/>
      <c r="E61" s="974"/>
      <c r="F61" s="974"/>
      <c r="G61" s="975"/>
      <c r="H61" s="975"/>
      <c r="I61" s="975">
        <v>0.45</v>
      </c>
      <c r="J61" s="975"/>
      <c r="K61" s="975">
        <v>90</v>
      </c>
      <c r="L61" s="976"/>
      <c r="M61" s="3" t="s">
        <v>527</v>
      </c>
      <c r="N61" s="4" t="s">
        <v>458</v>
      </c>
      <c r="O61" s="4" t="s">
        <v>528</v>
      </c>
      <c r="P61" s="4" t="str">
        <f>VLOOKUP(N59,Ontwerp!Z291:AI432,10,FALSE)</f>
        <v>226.642690871591,-15.9607652139664</v>
      </c>
      <c r="Q61" s="4">
        <f>I61</f>
        <v>0.45</v>
      </c>
      <c r="R61" s="4">
        <f>K61</f>
        <v>90</v>
      </c>
      <c r="S61" s="155">
        <f>VLOOKUP(N59,Ontwerp!Z291:AJ432,11,FALSE)</f>
        <v>226.72</v>
      </c>
      <c r="T61" s="2"/>
      <c r="U61" s="4"/>
    </row>
    <row r="62" spans="1:21" s="979" customFormat="1" ht="15" customHeight="1" x14ac:dyDescent="0.25">
      <c r="A62" s="1013" t="s">
        <v>274</v>
      </c>
      <c r="B62" s="974"/>
      <c r="C62" s="974"/>
      <c r="D62" s="974"/>
      <c r="E62" s="974"/>
      <c r="F62" s="974"/>
      <c r="G62" s="975"/>
      <c r="H62" s="975"/>
      <c r="I62" s="975">
        <v>0.45</v>
      </c>
      <c r="J62" s="975"/>
      <c r="K62" s="975">
        <v>90</v>
      </c>
      <c r="L62" s="976"/>
      <c r="M62" s="3" t="s">
        <v>527</v>
      </c>
      <c r="N62" s="4" t="s">
        <v>458</v>
      </c>
      <c r="O62" s="4" t="s">
        <v>528</v>
      </c>
      <c r="P62" s="4" t="str">
        <f>VLOOKUP(N59,Ontwerp!Z291:AP432,17,FALSE)</f>
        <v>226.642690871591,-13.7607652139664</v>
      </c>
      <c r="Q62" s="4">
        <f>I62</f>
        <v>0.45</v>
      </c>
      <c r="R62" s="4">
        <f>K62</f>
        <v>90</v>
      </c>
      <c r="S62" s="155">
        <f>VLOOKUP(N59,Ontwerp!Z291:AQ432,18,FALSE)</f>
        <v>229.59</v>
      </c>
      <c r="T62" s="2"/>
      <c r="U62" s="4"/>
    </row>
    <row r="63" spans="1:21" s="979" customFormat="1" ht="15" customHeight="1" x14ac:dyDescent="0.25">
      <c r="A63" s="999"/>
      <c r="B63" s="974"/>
      <c r="C63" s="974"/>
      <c r="D63" s="974"/>
      <c r="E63" s="974"/>
      <c r="F63" s="974"/>
      <c r="G63" s="975"/>
      <c r="H63" s="975"/>
      <c r="I63" s="975"/>
      <c r="J63" s="975"/>
      <c r="K63" s="975"/>
      <c r="L63" s="976"/>
      <c r="M63" s="46" t="s">
        <v>503</v>
      </c>
      <c r="N63" s="47"/>
      <c r="O63" s="47"/>
      <c r="P63" s="47"/>
      <c r="Q63" s="47"/>
      <c r="R63" s="47"/>
      <c r="S63" s="47"/>
      <c r="T63" s="48"/>
      <c r="U63" s="47"/>
    </row>
    <row r="64" spans="1:21" s="979" customFormat="1" ht="15" customHeight="1" x14ac:dyDescent="0.25">
      <c r="A64" s="1011"/>
      <c r="B64" s="974"/>
      <c r="C64" s="974"/>
      <c r="D64" s="974"/>
      <c r="E64" s="974"/>
      <c r="F64" s="974"/>
      <c r="G64" s="975"/>
      <c r="H64" s="975"/>
      <c r="I64" s="975"/>
      <c r="J64" s="975"/>
      <c r="K64" s="975"/>
      <c r="L64" s="976"/>
      <c r="M64" s="46" t="s">
        <v>497</v>
      </c>
      <c r="N64" s="47">
        <v>6</v>
      </c>
      <c r="O64" s="47" t="s">
        <v>498</v>
      </c>
      <c r="P64" s="47">
        <v>1</v>
      </c>
      <c r="Q64" s="47" t="s">
        <v>499</v>
      </c>
      <c r="R64" s="47">
        <f>Ontwerp!AO282-1</f>
        <v>6</v>
      </c>
      <c r="S64" s="47" t="s">
        <v>500</v>
      </c>
      <c r="T64" s="47">
        <v>1</v>
      </c>
      <c r="U64" s="68"/>
    </row>
    <row r="65" spans="1:21" s="979" customFormat="1" ht="15" customHeight="1" x14ac:dyDescent="0.25">
      <c r="A65" s="994">
        <f>VLOOKUP(N64,Ontwerp!AO269:AU280,3,FALSE)</f>
        <v>216.97834790098614</v>
      </c>
      <c r="B65" s="974">
        <f>VLOOKUP(N64,Ontwerp!AO269:AU280,7,FALSE)</f>
        <v>-2.665473579309364</v>
      </c>
      <c r="C65" s="974">
        <f>VLOOKUP(N64,Ontwerp!AO269:AU280,3,FALSE)</f>
        <v>216.97834790098614</v>
      </c>
      <c r="D65" s="974">
        <f>Ontwerp!$AB$287-Variabelen!B$45</f>
        <v>-19.99076521396637</v>
      </c>
      <c r="E65" s="974"/>
      <c r="F65" s="974"/>
      <c r="G65" s="975"/>
      <c r="H65" s="975"/>
      <c r="I65" s="975"/>
      <c r="J65" s="975"/>
      <c r="K65" s="975"/>
      <c r="L65" s="976"/>
      <c r="M65" s="3" t="str">
        <f>IF(R64=0,"","_MLEADER")</f>
        <v>_MLEADER</v>
      </c>
      <c r="N65" s="3" t="str">
        <f t="array" ref="N65">IF(R64=0,"",POINT(A65,B65))</f>
        <v>216.978347900986,-2.66547357930936</v>
      </c>
      <c r="O65" s="4" t="str">
        <f t="array" ref="O65">IF(R64=0,"",POINT(C65,D65))</f>
        <v>216.978347900986,-19.9907652139664</v>
      </c>
      <c r="P65" s="4" t="str">
        <f>IF(R64=0,"",";")</f>
        <v>;</v>
      </c>
      <c r="Q65" s="4" t="str">
        <f>IF(R64=0,"",";")</f>
        <v>;</v>
      </c>
      <c r="R65" s="4" t="str">
        <f>IF(R64=0,"",VLOOKUP(N64,Ontwerp!AO269:AU280,2,FALSE))</f>
        <v>Tv4</v>
      </c>
      <c r="S65" s="15"/>
      <c r="T65" s="4"/>
      <c r="U65" s="14"/>
    </row>
    <row r="66" spans="1:21" s="979" customFormat="1" x14ac:dyDescent="0.2">
      <c r="A66" s="975"/>
      <c r="B66" s="975"/>
      <c r="C66" s="975"/>
      <c r="D66" s="975"/>
      <c r="E66" s="974"/>
      <c r="F66" s="974"/>
      <c r="G66" s="975"/>
      <c r="H66" s="975"/>
      <c r="I66" s="975"/>
      <c r="J66" s="975"/>
      <c r="K66" s="975"/>
      <c r="L66" s="976"/>
      <c r="M66" s="46" t="s">
        <v>503</v>
      </c>
      <c r="N66" s="47"/>
      <c r="O66" s="47"/>
      <c r="P66" s="47"/>
      <c r="Q66" s="153"/>
      <c r="R66" s="153"/>
      <c r="S66" s="47"/>
      <c r="T66" s="47"/>
      <c r="U66" s="68"/>
    </row>
    <row r="67" spans="1:21" s="979" customFormat="1" x14ac:dyDescent="0.2">
      <c r="A67" s="975"/>
      <c r="B67" s="975"/>
      <c r="C67" s="975"/>
      <c r="D67" s="975"/>
      <c r="E67" s="974"/>
      <c r="F67" s="974"/>
      <c r="G67" s="975"/>
      <c r="H67" s="975"/>
      <c r="I67" s="975"/>
      <c r="J67" s="975"/>
      <c r="K67" s="975"/>
      <c r="L67" s="976"/>
      <c r="M67" s="977"/>
      <c r="N67" s="978"/>
      <c r="O67" s="978"/>
      <c r="P67" s="978"/>
      <c r="Q67" s="975"/>
      <c r="R67" s="975"/>
      <c r="S67" s="978"/>
      <c r="T67" s="978"/>
      <c r="U67" s="1001"/>
    </row>
    <row r="68" spans="1:21" s="979" customFormat="1" ht="15" customHeight="1" x14ac:dyDescent="0.25">
      <c r="A68" s="999"/>
      <c r="B68" s="974"/>
      <c r="C68" s="974"/>
      <c r="D68" s="974"/>
      <c r="E68" s="974"/>
      <c r="F68" s="974"/>
      <c r="G68" s="975"/>
      <c r="H68" s="975"/>
      <c r="I68" s="975"/>
      <c r="J68" s="975"/>
      <c r="K68" s="975"/>
      <c r="L68" s="976"/>
      <c r="M68" s="46" t="s">
        <v>497</v>
      </c>
      <c r="N68" s="47">
        <v>79</v>
      </c>
      <c r="O68" s="47" t="s">
        <v>498</v>
      </c>
      <c r="P68" s="47">
        <v>1</v>
      </c>
      <c r="Q68" s="47" t="s">
        <v>499</v>
      </c>
      <c r="R68" s="47">
        <f>Ontwerp!O433</f>
        <v>79</v>
      </c>
      <c r="S68" s="47" t="s">
        <v>500</v>
      </c>
      <c r="T68" s="47">
        <v>1</v>
      </c>
      <c r="U68" s="47"/>
    </row>
    <row r="69" spans="1:21" s="979" customFormat="1" ht="15" customHeight="1" x14ac:dyDescent="0.25">
      <c r="A69" s="1014" t="s">
        <v>547</v>
      </c>
      <c r="B69" s="974"/>
      <c r="C69" s="974"/>
      <c r="D69" s="974"/>
      <c r="E69" s="974"/>
      <c r="F69" s="974"/>
      <c r="G69" s="975"/>
      <c r="H69" s="975"/>
      <c r="I69" s="975">
        <v>0.45</v>
      </c>
      <c r="J69" s="975"/>
      <c r="K69" s="975">
        <v>0</v>
      </c>
      <c r="L69" s="976"/>
      <c r="M69" s="3" t="s">
        <v>527</v>
      </c>
      <c r="N69" s="4" t="s">
        <v>458</v>
      </c>
      <c r="O69" s="4" t="str">
        <f>VLOOKUP(N68,Ontwerp!Z291:AW432,23,FALSE)</f>
        <v>_BR</v>
      </c>
      <c r="P69" s="4" t="str">
        <f>VLOOKUP(N68,Ontwerp!Z291:AW432,24,FALSE)</f>
        <v>226.642690871591,-11.5607652139664</v>
      </c>
      <c r="Q69" s="4">
        <f>I69</f>
        <v>0.45</v>
      </c>
      <c r="R69" s="4">
        <f>K69</f>
        <v>0</v>
      </c>
      <c r="S69" s="155">
        <f>VLOOKUP(N68,Ontwerp!Z291:AZ432,27,FALSE)</f>
        <v>1.27</v>
      </c>
      <c r="T69" s="2"/>
      <c r="U69" s="4"/>
    </row>
    <row r="70" spans="1:21" s="979" customFormat="1" ht="15" customHeight="1" x14ac:dyDescent="0.25">
      <c r="A70" s="1014" t="s">
        <v>548</v>
      </c>
      <c r="B70" s="974"/>
      <c r="C70" s="974"/>
      <c r="D70" s="974"/>
      <c r="E70" s="974"/>
      <c r="F70" s="974"/>
      <c r="G70" s="975"/>
      <c r="H70" s="975"/>
      <c r="I70" s="975">
        <v>0.45</v>
      </c>
      <c r="J70" s="975"/>
      <c r="K70" s="975">
        <v>0</v>
      </c>
      <c r="L70" s="976"/>
      <c r="M70" s="3" t="s">
        <v>527</v>
      </c>
      <c r="N70" s="4" t="s">
        <v>458</v>
      </c>
      <c r="O70" s="4" t="str">
        <f>VLOOKUP(N68,Ontwerp!Z291:BF432,32,FALSE)</f>
        <v>_BR</v>
      </c>
      <c r="P70" s="4" t="str">
        <f>VLOOKUP(N68,Ontwerp!Z291:BI432,33,FALSE)</f>
        <v>226.642690871591,-9.76076521396637</v>
      </c>
      <c r="Q70" s="4">
        <f>I70</f>
        <v>0.45</v>
      </c>
      <c r="R70" s="4">
        <f>K70</f>
        <v>0</v>
      </c>
      <c r="S70" s="155">
        <f>VLOOKUP(N68,Ontwerp!Z291:BI432,36,FALSE)</f>
        <v>0</v>
      </c>
      <c r="T70" s="2"/>
      <c r="U70" s="4"/>
    </row>
    <row r="71" spans="1:21" s="979" customFormat="1" ht="15" customHeight="1" x14ac:dyDescent="0.25">
      <c r="A71" s="999"/>
      <c r="B71" s="974"/>
      <c r="C71" s="974"/>
      <c r="D71" s="974"/>
      <c r="E71" s="974"/>
      <c r="F71" s="974"/>
      <c r="G71" s="975"/>
      <c r="H71" s="975"/>
      <c r="I71" s="975"/>
      <c r="J71" s="975"/>
      <c r="K71" s="975"/>
      <c r="L71" s="976"/>
      <c r="M71" s="46" t="s">
        <v>503</v>
      </c>
      <c r="N71" s="47"/>
      <c r="O71" s="47"/>
      <c r="P71" s="47"/>
      <c r="Q71" s="47"/>
      <c r="R71" s="47"/>
      <c r="S71" s="47"/>
      <c r="T71" s="48"/>
      <c r="U71" s="47"/>
    </row>
    <row r="72" spans="1:21" s="979" customFormat="1" ht="15" customHeight="1" x14ac:dyDescent="0.25">
      <c r="A72" s="999"/>
      <c r="B72" s="974"/>
      <c r="C72" s="974"/>
      <c r="D72" s="974"/>
      <c r="E72" s="974"/>
      <c r="F72" s="974"/>
      <c r="G72" s="978" t="str">
        <f>IF(INPUT!D15="A3","ISO-4","ISO-5")</f>
        <v>ISO-5</v>
      </c>
      <c r="H72" s="975"/>
      <c r="I72" s="975"/>
      <c r="J72" s="975"/>
      <c r="K72" s="975"/>
      <c r="L72" s="976"/>
      <c r="M72" s="3" t="s">
        <v>549</v>
      </c>
      <c r="N72" s="4" t="s">
        <v>550</v>
      </c>
      <c r="O72" s="4" t="str">
        <f>G72</f>
        <v>ISO-5</v>
      </c>
      <c r="P72" s="4"/>
      <c r="Q72" s="4"/>
      <c r="R72" s="4"/>
      <c r="S72" s="4"/>
      <c r="T72" s="2"/>
      <c r="U72" s="4"/>
    </row>
    <row r="73" spans="1:21" s="979" customFormat="1" ht="15.75" customHeight="1" x14ac:dyDescent="0.25">
      <c r="A73" s="999">
        <f>ROUND(Ontwerp!Q36,2)</f>
        <v>20.2</v>
      </c>
      <c r="B73" s="974">
        <f>Ontwerp!$AB$287-Variabelen!B43</f>
        <v>-16.04076521396637</v>
      </c>
      <c r="C73" s="999">
        <f>ROUND(Ontwerp!Q37,2)</f>
        <v>38.74</v>
      </c>
      <c r="D73" s="974">
        <f t="shared" ref="D73:D79" si="0">B73</f>
        <v>-16.04076521396637</v>
      </c>
      <c r="E73" s="974">
        <f t="shared" ref="E73:E79" si="1">(A73+C73)/2</f>
        <v>29.47</v>
      </c>
      <c r="F73" s="974">
        <f>Ontwerp!$AB$287-Variabelen!B44</f>
        <v>-17.49076521396637</v>
      </c>
      <c r="G73" s="1015" t="str">
        <f>"Rv="&amp;Ontwerp!D8&amp;" / L∩="&amp;ROUND(Ontwerp!C44,2)</f>
        <v>Rv=60 / L∩=18.85</v>
      </c>
      <c r="H73" s="975"/>
      <c r="I73" s="975"/>
      <c r="J73" s="975"/>
      <c r="K73" s="975"/>
      <c r="L73" s="976"/>
      <c r="M73" s="3" t="str">
        <f>IF(INPUT!D28=INPUT!S27,"","_DIMLINEAR")</f>
        <v>_DIMLINEAR</v>
      </c>
      <c r="N73" s="4" t="str">
        <f>IF(INPUT!D28=INPUT!S27,"",POINT(A73,B73))</f>
        <v>20.2,-16.0407652139664</v>
      </c>
      <c r="O73" s="4" t="str">
        <f>IF(INPUT!D28=INPUT!S27,"",POINT(C73,D73))</f>
        <v>38.74,-16.0407652139664</v>
      </c>
      <c r="P73" s="15" t="str">
        <f>IF(INPUT!D28=INPUT!S27,"","_M")</f>
        <v>_M</v>
      </c>
      <c r="Q73" s="15" t="str">
        <f>IF(INPUT!D28=INPUT!S27,"",G73)</f>
        <v>Rv=60 / L∩=18.85</v>
      </c>
      <c r="R73" s="15"/>
      <c r="S73" s="15" t="str">
        <f>IF(INPUT!D28=INPUT!S27,"",";")</f>
        <v>;</v>
      </c>
      <c r="T73" s="4" t="str">
        <f>IF(INPUT!D28=INPUT!S27,"",POINT(E73,F73))</f>
        <v>29.47,-17.4907652139664</v>
      </c>
      <c r="U73" s="4"/>
    </row>
    <row r="74" spans="1:21" s="979" customFormat="1" ht="15.75" customHeight="1" x14ac:dyDescent="0.25">
      <c r="A74" s="999">
        <f>ROUND(Ontwerp!Q38,2)</f>
        <v>187.01</v>
      </c>
      <c r="B74" s="974">
        <f>Ontwerp!$AB$287-Variabelen!B43</f>
        <v>-16.04076521396637</v>
      </c>
      <c r="C74" s="999">
        <f>ROUND(Ontwerp!Q39,2)</f>
        <v>216.98</v>
      </c>
      <c r="D74" s="974">
        <f t="shared" si="0"/>
        <v>-16.04076521396637</v>
      </c>
      <c r="E74" s="974">
        <f t="shared" si="1"/>
        <v>201.995</v>
      </c>
      <c r="F74" s="974">
        <f>Ontwerp!$AB$287-Variabelen!B44</f>
        <v>-17.49076521396637</v>
      </c>
      <c r="G74" s="1015" t="str">
        <f>"Rv="&amp;Ontwerp!D12&amp;" / L∩="&amp;ROUND(Ontwerp!C50,2)</f>
        <v>Rv=80 / L∩=30.72</v>
      </c>
      <c r="H74" s="975"/>
      <c r="I74" s="975"/>
      <c r="J74" s="975"/>
      <c r="K74" s="975"/>
      <c r="L74" s="976"/>
      <c r="M74" s="3" t="str">
        <f>IF(INPUT!D28=INPUT!S27,"","_DIMLINEAR")</f>
        <v>_DIMLINEAR</v>
      </c>
      <c r="N74" s="4" t="str">
        <f>IF(INPUT!D28=INPUT!S27,"",POINT(A74,B74))</f>
        <v>187.01,-16.0407652139664</v>
      </c>
      <c r="O74" s="4" t="str">
        <f>IF(INPUT!D28=INPUT!S27,"",POINT(C74,D74))</f>
        <v>216.98,-16.0407652139664</v>
      </c>
      <c r="P74" s="15" t="str">
        <f>IF(INPUT!D28=INPUT!S27,"","_M")</f>
        <v>_M</v>
      </c>
      <c r="Q74" s="15" t="str">
        <f>IF(INPUT!D28=INPUT!S27,"",G74)</f>
        <v>Rv=80 / L∩=30.72</v>
      </c>
      <c r="R74" s="15"/>
      <c r="S74" s="15" t="str">
        <f>IF(INPUT!D28=INPUT!S27,"",";")</f>
        <v>;</v>
      </c>
      <c r="T74" s="4" t="str">
        <f>IF(INPUT!D28=INPUT!S27,"",POINT(E74,F74))</f>
        <v>201.995,-17.4907652139664</v>
      </c>
      <c r="U74" s="4"/>
    </row>
    <row r="75" spans="1:21" s="979" customFormat="1" ht="15.75" customHeight="1" x14ac:dyDescent="0.25">
      <c r="A75" s="999">
        <f>ROUND(Ontwerp!J274,2)</f>
        <v>52.32</v>
      </c>
      <c r="B75" s="974">
        <f>Ontwerp!$AB$287-Variabelen!B43</f>
        <v>-16.04076521396637</v>
      </c>
      <c r="C75" s="999">
        <f>ROUND(A75+Ontwerp!I275,2)</f>
        <v>66.17</v>
      </c>
      <c r="D75" s="974">
        <f t="shared" si="0"/>
        <v>-16.04076521396637</v>
      </c>
      <c r="E75" s="974">
        <f t="shared" si="1"/>
        <v>59.245000000000005</v>
      </c>
      <c r="F75" s="974">
        <f>IF(OR(A75&lt;C73,C75&gt;A73),Ontwerp!$AB$287-Variabelen!B$44-1,Ontwerp!$AB$287-Variabelen!B$44)</f>
        <v>-18.49076521396637</v>
      </c>
      <c r="G75" s="1015" t="str">
        <f>IF(Ontwerp!A275="","","Rh="&amp;Ontwerp!D275&amp;" / L∩="&amp;ROUND(Ontwerp!I275,2))</f>
        <v>Rh=150 / L∩=13.85</v>
      </c>
      <c r="H75" s="975" t="s">
        <v>551</v>
      </c>
      <c r="I75" s="975"/>
      <c r="J75" s="975"/>
      <c r="K75" s="975"/>
      <c r="L75" s="976"/>
      <c r="M75" s="3" t="str">
        <f>IF(Ontwerp!A275="","","_DIMLINEAR")</f>
        <v>_DIMLINEAR</v>
      </c>
      <c r="N75" s="4" t="str">
        <f t="array" ref="N75">IF(Ontwerp!A275="","",POINT(A75,B75))</f>
        <v>52.32,-16.0407652139664</v>
      </c>
      <c r="O75" s="4" t="str">
        <f t="array" ref="O75">IF(Ontwerp!A275="","",POINT(C75,D75))</f>
        <v>66.17,-16.0407652139664</v>
      </c>
      <c r="P75" s="15" t="str">
        <f>IF(Ontwerp!A275="","","_M")</f>
        <v>_M</v>
      </c>
      <c r="Q75" s="15" t="str">
        <f>IF(Ontwerp!A275="","",G75)</f>
        <v>Rh=150 / L∩=13.85</v>
      </c>
      <c r="R75" s="15"/>
      <c r="S75" s="15" t="str">
        <f>IF(Ontwerp!A275="","",";")</f>
        <v>;</v>
      </c>
      <c r="T75" s="4" t="str">
        <f t="array" ref="T75">IF(Ontwerp!A275="","",POINT(E75,F75))</f>
        <v>59.245,-18.4907652139664</v>
      </c>
      <c r="U75" s="4"/>
    </row>
    <row r="76" spans="1:21" s="979" customFormat="1" ht="15.75" customHeight="1" x14ac:dyDescent="0.25">
      <c r="A76" s="999">
        <f>ROUND(Ontwerp!J277,2)</f>
        <v>226.72</v>
      </c>
      <c r="B76" s="974">
        <f>Ontwerp!$AB$287-Variabelen!B43</f>
        <v>-16.04076521396637</v>
      </c>
      <c r="C76" s="999" t="e">
        <f>ROUND(A76+Ontwerp!I278,2)</f>
        <v>#VALUE!</v>
      </c>
      <c r="D76" s="974">
        <f t="shared" si="0"/>
        <v>-16.04076521396637</v>
      </c>
      <c r="E76" s="974" t="e">
        <f t="shared" si="1"/>
        <v>#VALUE!</v>
      </c>
      <c r="F76" s="974" t="e">
        <f>IF(OR(A76&gt;C74,C76&gt;A74),Ontwerp!$AB$287-Variabelen!B$44-1,Ontwerp!$AB$287-Variabelen!B$44)</f>
        <v>#VALUE!</v>
      </c>
      <c r="G76" s="1015" t="str">
        <f>IF(Ontwerp!A278="","","Rh="&amp;Ontwerp!D278&amp;" / L∩="&amp;ROUND(Ontwerp!I278,2))</f>
        <v/>
      </c>
      <c r="H76" s="975" t="s">
        <v>552</v>
      </c>
      <c r="I76" s="975"/>
      <c r="J76" s="975"/>
      <c r="K76" s="975"/>
      <c r="L76" s="976"/>
      <c r="M76" s="977" t="str">
        <f>IF(Ontwerp!A278="","","_DIMLINEAR")</f>
        <v/>
      </c>
      <c r="N76" s="978" t="str">
        <f t="array" ref="N76">IF(Ontwerp!A278="","",POINT(A76,B76))</f>
        <v/>
      </c>
      <c r="O76" s="978" t="str">
        <f t="array" ref="O76">IF(Ontwerp!A278="","",POINT(C76,D76))</f>
        <v/>
      </c>
      <c r="P76" s="975" t="str">
        <f>IF(Ontwerp!A278="","","_M")</f>
        <v/>
      </c>
      <c r="Q76" s="975" t="str">
        <f>IF(Ontwerp!A278="","",G76)</f>
        <v/>
      </c>
      <c r="R76" s="975"/>
      <c r="S76" s="975" t="str">
        <f>IF(Ontwerp!A278="","",";")</f>
        <v/>
      </c>
      <c r="T76" s="978" t="str">
        <f t="array" ref="T76">IF(Ontwerp!A278="","",POINT(E76,F76))</f>
        <v/>
      </c>
      <c r="U76" s="978"/>
    </row>
    <row r="77" spans="1:21" s="979" customFormat="1" ht="15.75" customHeight="1" x14ac:dyDescent="0.25">
      <c r="A77" s="999" t="e">
        <f>ROUND(Ontwerp!J280,2)</f>
        <v>#VALUE!</v>
      </c>
      <c r="B77" s="974">
        <f>Ontwerp!$AB$287-Variabelen!B43</f>
        <v>-16.04076521396637</v>
      </c>
      <c r="C77" s="999" t="e">
        <f>ROUND(A77+Ontwerp!I281,2)</f>
        <v>#VALUE!</v>
      </c>
      <c r="D77" s="974">
        <f t="shared" si="0"/>
        <v>-16.04076521396637</v>
      </c>
      <c r="E77" s="974" t="e">
        <f t="shared" si="1"/>
        <v>#VALUE!</v>
      </c>
      <c r="F77" s="974" t="e">
        <f>IF(OR(A77&gt;C74,C77&gt;A74),Ontwerp!$AB$287-Variabelen!B$44-1,Ontwerp!$AB$287-Variabelen!B$44)</f>
        <v>#VALUE!</v>
      </c>
      <c r="G77" s="1015" t="str">
        <f>IF(Ontwerp!A278="","","Rh="&amp;Ontwerp!D281&amp;" / L∩="&amp;ROUND(Ontwerp!I281,2))</f>
        <v/>
      </c>
      <c r="H77" s="975" t="s">
        <v>553</v>
      </c>
      <c r="I77" s="975"/>
      <c r="J77" s="975"/>
      <c r="K77" s="975"/>
      <c r="L77" s="976"/>
      <c r="M77" s="977" t="str">
        <f>IF(Ontwerp!A279="","","_DIMLINEAR")</f>
        <v/>
      </c>
      <c r="N77" s="978" t="str">
        <f t="array" ref="N77">IF(Ontwerp!A279="","",POINT(A77,B77))</f>
        <v/>
      </c>
      <c r="O77" s="978" t="str">
        <f t="array" ref="O77">IF(Ontwerp!A279="","",POINT(C77,D77))</f>
        <v/>
      </c>
      <c r="P77" s="975" t="str">
        <f>IF(Ontwerp!A279="","","_M")</f>
        <v/>
      </c>
      <c r="Q77" s="975" t="str">
        <f>IF(Ontwerp!A279="","",G77)</f>
        <v/>
      </c>
      <c r="R77" s="975"/>
      <c r="S77" s="975" t="str">
        <f>IF(Ontwerp!A279="","",";")</f>
        <v/>
      </c>
      <c r="T77" s="978" t="str">
        <f t="array" ref="T77">IF(Ontwerp!A279="","",POINT(E77,F77))</f>
        <v/>
      </c>
      <c r="U77" s="978"/>
    </row>
    <row r="78" spans="1:21" s="979" customFormat="1" ht="15.75" customHeight="1" x14ac:dyDescent="0.25">
      <c r="A78" s="999" t="str">
        <f>IF(A75&lt;C73,A75,"")</f>
        <v/>
      </c>
      <c r="B78" s="974">
        <f>Ontwerp!$AB$287-Variabelen!B43</f>
        <v>-16.04076521396637</v>
      </c>
      <c r="C78" s="999" t="str">
        <f>IF(A75&lt;C73,C73,"")</f>
        <v/>
      </c>
      <c r="D78" s="974">
        <f t="shared" si="0"/>
        <v>-16.04076521396637</v>
      </c>
      <c r="E78" s="974" t="e">
        <f t="shared" si="1"/>
        <v>#VALUE!</v>
      </c>
      <c r="F78" s="974">
        <f>Ontwerp!$AB$287-Variabelen!B$44-2</f>
        <v>-19.49076521396637</v>
      </c>
      <c r="G78" s="1015" t="b">
        <f>IF(A75&lt;C73,"Rc="&amp;ROUND(Ontwerp!F9,0)&amp;" / L∩="&amp;ROUND(Ontwerp!I275+C73-C75,2))</f>
        <v>0</v>
      </c>
      <c r="H78" s="975" t="s">
        <v>554</v>
      </c>
      <c r="I78" s="975"/>
      <c r="J78" s="975"/>
      <c r="K78" s="975"/>
      <c r="L78" s="976"/>
      <c r="M78" s="977" t="str">
        <f>IF(Ontwerp!Q2="nee","",IF(A75&lt;C73,"_DIMLINEAR",""))</f>
        <v/>
      </c>
      <c r="N78" s="978" t="str">
        <f t="array" ref="N78">IF(Ontwerp!Q2="nee","",IF(A75&lt;C73,POINT(A78,B78),""))</f>
        <v/>
      </c>
      <c r="O78" s="978" t="str">
        <f t="array" ref="O78">IF(Ontwerp!Q2="nee","",IF(A75&lt;C73,POINT(C78,D78),""))</f>
        <v/>
      </c>
      <c r="P78" s="975" t="str">
        <f>IF(Ontwerp!Q2="nee","",IF(A75&lt;C73,"_M",""))</f>
        <v/>
      </c>
      <c r="Q78" s="975" t="str">
        <f>IF(Ontwerp!Q2="nee","",IF(A75&lt;C73,G78,""))</f>
        <v/>
      </c>
      <c r="R78" s="975"/>
      <c r="S78" s="975" t="str">
        <f>IF(Ontwerp!Q2="nee","",IF(A75&lt;C73,";",""))</f>
        <v/>
      </c>
      <c r="T78" s="978" t="str">
        <f t="array" ref="T78">IF(Ontwerp!Q2="nee","",IF(A75&lt;C73,POINT(E78,F78)))</f>
        <v/>
      </c>
      <c r="U78" s="978"/>
    </row>
    <row r="79" spans="1:21" s="979" customFormat="1" ht="15.75" customHeight="1" x14ac:dyDescent="0.25">
      <c r="A79" s="999" t="e">
        <f>IF(OR(C76&gt;A74,C77&gt;A74),A74,"")</f>
        <v>#VALUE!</v>
      </c>
      <c r="B79" s="974">
        <f>Ontwerp!$AB$287-Variabelen!B43</f>
        <v>-16.04076521396637</v>
      </c>
      <c r="C79" s="999" t="e">
        <f>IF(C76&gt;A74,C76,IF(C77&gt;A74,C77,""))</f>
        <v>#VALUE!</v>
      </c>
      <c r="D79" s="974">
        <f t="shared" si="0"/>
        <v>-16.04076521396637</v>
      </c>
      <c r="E79" s="974" t="e">
        <f t="shared" si="1"/>
        <v>#VALUE!</v>
      </c>
      <c r="F79" s="974">
        <f>Ontwerp!$AB$287-Variabelen!B$44-2</f>
        <v>-19.49076521396637</v>
      </c>
      <c r="G79" s="1015" t="e">
        <f>IF(C76&gt;A74,"Rc="&amp;ROUND(Ontwerp!F10,0)&amp;" / L∩="&amp;ROUND(Ontwerp!I278+A76-A74,2),IF(C77&gt;A74,"Rc="&amp;ROUND(Ontwerp!F11,0)&amp;" / L∩="&amp;ROUND(Ontwerp!I281+A77-A74,2),""))</f>
        <v>#VALUE!</v>
      </c>
      <c r="H79" s="975" t="s">
        <v>555</v>
      </c>
      <c r="I79" s="975"/>
      <c r="J79" s="975"/>
      <c r="K79" s="975"/>
      <c r="L79" s="976"/>
      <c r="M79" s="977" t="str">
        <f>IF(Ontwerp!Q2="nee","",IF(Ontwerp!Q1&gt;1,"_DIMLINEAR",""))</f>
        <v/>
      </c>
      <c r="N79" s="978" t="str">
        <f t="array" ref="N79">IF(Ontwerp!Q2="nee","",IF(Ontwerp!Q1&gt;1,POINT(A79,B79),""))</f>
        <v/>
      </c>
      <c r="O79" s="978" t="str">
        <f t="array" ref="O79">IF(Ontwerp!Q2="nee","",IF(Ontwerp!Q1&gt;1,POINT(C79,D79),""))</f>
        <v/>
      </c>
      <c r="P79" s="975" t="str">
        <f>IF(Ontwerp!Q2="nee","",IF(Ontwerp!Q1&gt;1,"_M",""))</f>
        <v/>
      </c>
      <c r="Q79" s="975" t="str">
        <f>IF(Ontwerp!Q2="nee","",IF(Ontwerp!Q1&gt;1,G79,""))</f>
        <v/>
      </c>
      <c r="R79" s="975"/>
      <c r="S79" s="975" t="str">
        <f>IF(Ontwerp!Q2="nee","",IF(Ontwerp!Q1&gt;1,";",""))</f>
        <v/>
      </c>
      <c r="T79" s="978" t="str">
        <f t="array" ref="T79">IF(Ontwerp!Q2="nee","",IF(Ontwerp!Q1&gt;1,POINT(E79,F79),""))</f>
        <v/>
      </c>
      <c r="U79" s="978"/>
    </row>
    <row r="80" spans="1:21" s="979" customFormat="1" ht="15" customHeight="1" x14ac:dyDescent="0.25">
      <c r="A80" s="1016" t="s">
        <v>556</v>
      </c>
      <c r="B80" s="993"/>
      <c r="C80" s="974"/>
      <c r="D80" s="975"/>
      <c r="E80" s="974"/>
      <c r="F80" s="974"/>
      <c r="G80" s="999"/>
      <c r="H80" s="975"/>
      <c r="I80" s="975" t="s">
        <v>993</v>
      </c>
      <c r="J80" s="975"/>
      <c r="K80" s="975"/>
      <c r="L80" s="976"/>
      <c r="M80" s="3" t="s">
        <v>493</v>
      </c>
      <c r="N80" s="4" t="s">
        <v>494</v>
      </c>
      <c r="O80" s="4" t="s">
        <v>557</v>
      </c>
      <c r="P80" s="4" t="s">
        <v>495</v>
      </c>
      <c r="Q80" s="15"/>
      <c r="R80" s="15"/>
      <c r="S80" s="4"/>
      <c r="T80" s="4"/>
      <c r="U80" s="14"/>
    </row>
    <row r="81" spans="1:21" s="979" customFormat="1" ht="15" customHeight="1" x14ac:dyDescent="0.25">
      <c r="A81" s="993">
        <v>0</v>
      </c>
      <c r="B81" s="993">
        <v>0</v>
      </c>
      <c r="C81" s="974">
        <f>Ontwerp!C16</f>
        <v>226.72269087159117</v>
      </c>
      <c r="D81" s="974">
        <v>0</v>
      </c>
      <c r="E81" s="974"/>
      <c r="F81" s="974"/>
      <c r="G81" s="999"/>
      <c r="H81" s="975"/>
      <c r="I81" s="975"/>
      <c r="J81" s="975"/>
      <c r="K81" s="975"/>
      <c r="L81" s="976"/>
      <c r="M81" s="977" t="str">
        <f>IF(Ontwerp!BP324="","","_PLINE")</f>
        <v/>
      </c>
      <c r="N81" s="978" t="str">
        <f>IF(Ontwerp!BP324="","",Ontwerp!BQ324)</f>
        <v/>
      </c>
      <c r="O81" s="978" t="str">
        <f>IF(Ontwerp!BP324="","",Ontwerp!BR324)</f>
        <v/>
      </c>
      <c r="P81" s="978" t="str">
        <f>IF(Ontwerp!BP324="","",";")</f>
        <v/>
      </c>
      <c r="Q81" s="975"/>
      <c r="R81" s="975"/>
      <c r="S81" s="978"/>
      <c r="T81" s="978"/>
      <c r="U81" s="1001"/>
    </row>
    <row r="82" spans="1:21" s="979" customFormat="1" ht="15" customHeight="1" x14ac:dyDescent="0.25">
      <c r="A82" s="1017" t="s">
        <v>558</v>
      </c>
      <c r="B82" s="993"/>
      <c r="C82" s="974"/>
      <c r="D82" s="974"/>
      <c r="E82" s="974"/>
      <c r="F82" s="974"/>
      <c r="G82" s="999"/>
      <c r="H82" s="975"/>
      <c r="I82" s="975"/>
      <c r="J82" s="975"/>
      <c r="K82" s="975"/>
      <c r="L82" s="976"/>
      <c r="M82" s="46" t="s">
        <v>497</v>
      </c>
      <c r="N82" s="47">
        <v>9</v>
      </c>
      <c r="O82" s="47" t="s">
        <v>498</v>
      </c>
      <c r="P82" s="47">
        <v>0</v>
      </c>
      <c r="Q82" s="47" t="s">
        <v>499</v>
      </c>
      <c r="R82" s="47">
        <f>Ontwerp!BN323</f>
        <v>9</v>
      </c>
      <c r="S82" s="47" t="s">
        <v>500</v>
      </c>
      <c r="T82" s="47">
        <v>1</v>
      </c>
      <c r="U82" s="47"/>
    </row>
    <row r="83" spans="1:21" s="979" customFormat="1" ht="15" customHeight="1" x14ac:dyDescent="0.25">
      <c r="A83" s="1017" t="s">
        <v>559</v>
      </c>
      <c r="B83" s="993"/>
      <c r="C83" s="974"/>
      <c r="D83" s="974"/>
      <c r="E83" s="974"/>
      <c r="F83" s="974"/>
      <c r="G83" s="999"/>
      <c r="H83" s="975"/>
      <c r="I83" s="975"/>
      <c r="J83" s="975"/>
      <c r="K83" s="975"/>
      <c r="L83" s="976"/>
      <c r="M83" s="3" t="s">
        <v>540</v>
      </c>
      <c r="N83" s="4" t="str">
        <f>VLOOKUP(N82,Ontwerp!BN291:BS322,4,FALSE)</f>
        <v>-0.5,-8</v>
      </c>
      <c r="O83" s="4" t="str">
        <f>VLOOKUP(N82,Ontwerp!BN291:BS322,5,FALSE)</f>
        <v>227.222690871591,-8</v>
      </c>
      <c r="P83" s="4" t="s">
        <v>495</v>
      </c>
      <c r="Q83" s="4"/>
      <c r="R83" s="4"/>
      <c r="S83" s="4"/>
      <c r="T83" s="2"/>
      <c r="U83" s="4"/>
    </row>
    <row r="84" spans="1:21" s="979" customFormat="1" ht="15" customHeight="1" x14ac:dyDescent="0.25">
      <c r="A84" s="1018" t="s">
        <v>560</v>
      </c>
      <c r="B84" s="993"/>
      <c r="C84" s="974"/>
      <c r="D84" s="974"/>
      <c r="E84" s="974"/>
      <c r="F84" s="974"/>
      <c r="G84" s="999"/>
      <c r="H84" s="975"/>
      <c r="I84" s="975">
        <f>Variabelen!B$32</f>
        <v>0.45</v>
      </c>
      <c r="J84" s="975"/>
      <c r="K84" s="975">
        <v>0</v>
      </c>
      <c r="L84" s="976"/>
      <c r="M84" s="3" t="s">
        <v>527</v>
      </c>
      <c r="N84" s="4" t="s">
        <v>458</v>
      </c>
      <c r="O84" s="4" t="s">
        <v>459</v>
      </c>
      <c r="P84" s="4" t="str">
        <f>VLOOKUP(N82,Ontwerp!BN291:CB322,11,FALSE)</f>
        <v>-1,-8.225</v>
      </c>
      <c r="Q84" s="4">
        <f>I84</f>
        <v>0.45</v>
      </c>
      <c r="R84" s="4">
        <f>K84</f>
        <v>0</v>
      </c>
      <c r="S84" s="4" t="str">
        <f>VLOOKUP(N82,Ontwerp!BN291:CB322,14,FALSE)</f>
        <v xml:space="preserve"> -8,0</v>
      </c>
      <c r="T84" s="2"/>
      <c r="U84" s="4"/>
    </row>
    <row r="85" spans="1:21" s="979" customFormat="1" ht="15" customHeight="1" x14ac:dyDescent="0.25">
      <c r="A85" s="993"/>
      <c r="B85" s="993"/>
      <c r="C85" s="974"/>
      <c r="D85" s="974"/>
      <c r="E85" s="974"/>
      <c r="F85" s="974"/>
      <c r="G85" s="999"/>
      <c r="H85" s="975"/>
      <c r="I85" s="975"/>
      <c r="J85" s="975"/>
      <c r="K85" s="975"/>
      <c r="L85" s="976"/>
      <c r="M85" s="46" t="s">
        <v>503</v>
      </c>
      <c r="N85" s="47"/>
      <c r="O85" s="47"/>
      <c r="P85" s="47"/>
      <c r="Q85" s="47"/>
      <c r="R85" s="47"/>
      <c r="S85" s="47"/>
      <c r="T85" s="48"/>
      <c r="U85" s="47"/>
    </row>
    <row r="86" spans="1:21" s="979" customFormat="1" ht="15" customHeight="1" x14ac:dyDescent="0.25">
      <c r="A86" s="975" t="s">
        <v>334</v>
      </c>
      <c r="B86" s="975" t="s">
        <v>561</v>
      </c>
      <c r="C86" s="975"/>
      <c r="D86" s="975"/>
      <c r="E86" s="974"/>
      <c r="F86" s="974"/>
      <c r="G86" s="1010"/>
      <c r="H86" s="975"/>
      <c r="I86" s="975"/>
      <c r="J86" s="975"/>
      <c r="K86" s="975"/>
      <c r="L86" s="976"/>
      <c r="M86" s="3" t="s">
        <v>493</v>
      </c>
      <c r="N86" s="4" t="s">
        <v>494</v>
      </c>
      <c r="O86" s="4" t="s">
        <v>334</v>
      </c>
      <c r="P86" s="4" t="s">
        <v>495</v>
      </c>
      <c r="Q86" s="4"/>
      <c r="R86" s="4"/>
      <c r="S86" s="4"/>
      <c r="T86" s="4"/>
      <c r="U86" s="4"/>
    </row>
    <row r="87" spans="1:21" s="979" customFormat="1" ht="15" customHeight="1" x14ac:dyDescent="0.25">
      <c r="A87" s="993"/>
      <c r="B87" s="993"/>
      <c r="C87" s="974"/>
      <c r="D87" s="974"/>
      <c r="E87" s="974"/>
      <c r="F87" s="974"/>
      <c r="G87" s="1010"/>
      <c r="H87" s="975"/>
      <c r="I87" s="975"/>
      <c r="J87" s="975"/>
      <c r="K87" s="975"/>
      <c r="L87" s="976"/>
      <c r="M87" s="3" t="s">
        <v>507</v>
      </c>
      <c r="N87" s="4"/>
      <c r="O87" s="4"/>
      <c r="P87" s="4"/>
      <c r="Q87" s="4"/>
      <c r="R87" s="4"/>
      <c r="S87" s="4"/>
      <c r="T87" s="4"/>
      <c r="U87" s="4"/>
    </row>
    <row r="88" spans="1:21" s="979" customFormat="1" ht="15" customHeight="1" x14ac:dyDescent="0.25">
      <c r="A88" s="975"/>
      <c r="B88" s="975"/>
      <c r="C88" s="975"/>
      <c r="D88" s="975"/>
      <c r="E88" s="974"/>
      <c r="F88" s="974"/>
      <c r="G88" s="1010"/>
      <c r="H88" s="975"/>
      <c r="I88" s="975"/>
      <c r="J88" s="975"/>
      <c r="K88" s="975"/>
      <c r="L88" s="976"/>
      <c r="M88" s="46" t="s">
        <v>497</v>
      </c>
      <c r="N88" s="47">
        <v>565</v>
      </c>
      <c r="O88" s="47" t="s">
        <v>498</v>
      </c>
      <c r="P88" s="47">
        <v>1</v>
      </c>
      <c r="Q88" s="47" t="s">
        <v>499</v>
      </c>
      <c r="R88" s="47">
        <f>Ontwerp!I288-1</f>
        <v>565</v>
      </c>
      <c r="S88" s="47" t="s">
        <v>500</v>
      </c>
      <c r="T88" s="47">
        <v>1</v>
      </c>
      <c r="U88" s="47"/>
    </row>
    <row r="89" spans="1:21" s="979" customFormat="1" ht="15" customHeight="1" x14ac:dyDescent="0.25">
      <c r="A89" s="975"/>
      <c r="B89" s="975"/>
      <c r="C89" s="975"/>
      <c r="D89" s="975"/>
      <c r="E89" s="974"/>
      <c r="F89" s="974"/>
      <c r="G89" s="1010"/>
      <c r="H89" s="975"/>
      <c r="I89" s="975"/>
      <c r="J89" s="975"/>
      <c r="K89" s="975"/>
      <c r="L89" s="976"/>
      <c r="M89" s="3"/>
      <c r="N89" s="4" t="str">
        <f>VLOOKUP(N88,Ontwerp!I291:M1291,5,FALSE)</f>
        <v>226.322310034134,1.27639031410217</v>
      </c>
      <c r="O89" s="4"/>
      <c r="P89" s="4"/>
      <c r="Q89" s="15"/>
      <c r="R89" s="4"/>
      <c r="S89" s="4"/>
      <c r="T89" s="4"/>
      <c r="U89" s="14"/>
    </row>
    <row r="90" spans="1:21" s="979" customFormat="1" x14ac:dyDescent="0.2">
      <c r="A90" s="974"/>
      <c r="B90" s="974"/>
      <c r="C90" s="974"/>
      <c r="D90" s="974"/>
      <c r="E90" s="974"/>
      <c r="F90" s="974"/>
      <c r="G90" s="975"/>
      <c r="H90" s="975"/>
      <c r="I90" s="975"/>
      <c r="J90" s="975"/>
      <c r="K90" s="975"/>
      <c r="L90" s="976"/>
      <c r="M90" s="46" t="s">
        <v>503</v>
      </c>
      <c r="N90" s="47"/>
      <c r="O90" s="47"/>
      <c r="P90" s="47"/>
      <c r="Q90" s="47"/>
      <c r="R90" s="47"/>
      <c r="S90" s="47"/>
      <c r="T90" s="48"/>
      <c r="U90" s="47"/>
    </row>
    <row r="91" spans="1:21" s="979" customFormat="1" x14ac:dyDescent="0.2">
      <c r="A91" s="974"/>
      <c r="B91" s="975"/>
      <c r="C91" s="975"/>
      <c r="D91" s="975"/>
      <c r="E91" s="974"/>
      <c r="F91" s="974"/>
      <c r="G91" s="975"/>
      <c r="H91" s="975"/>
      <c r="I91" s="975"/>
      <c r="J91" s="975"/>
      <c r="K91" s="975"/>
      <c r="L91" s="976"/>
      <c r="M91" s="3"/>
      <c r="N91" s="4" t="str">
        <f>VLOOKUP(N88+1,Ontwerp!I291:M1291,5,FALSE)</f>
        <v>226.722686613842,1.27149653434753</v>
      </c>
      <c r="O91" s="4" t="s">
        <v>495</v>
      </c>
      <c r="P91" s="4"/>
      <c r="Q91" s="4"/>
      <c r="R91" s="4"/>
      <c r="S91" s="4"/>
      <c r="T91" s="4"/>
      <c r="U91" s="4"/>
    </row>
    <row r="92" spans="1:21" s="979" customFormat="1" x14ac:dyDescent="0.2">
      <c r="A92" s="975" t="s">
        <v>349</v>
      </c>
      <c r="B92" s="975"/>
      <c r="C92" s="975"/>
      <c r="D92" s="975"/>
      <c r="E92" s="974"/>
      <c r="F92" s="974" t="s">
        <v>1067</v>
      </c>
      <c r="G92" s="975"/>
      <c r="H92" s="975"/>
      <c r="I92" s="975"/>
      <c r="J92" s="975"/>
      <c r="K92" s="975"/>
      <c r="L92" s="976"/>
      <c r="M92" s="977"/>
      <c r="N92" s="978"/>
      <c r="O92" s="978"/>
      <c r="P92" s="978"/>
      <c r="Q92" s="978"/>
      <c r="R92" s="978"/>
      <c r="S92" s="978"/>
      <c r="T92" s="978"/>
      <c r="U92" s="978"/>
    </row>
    <row r="93" spans="1:21" s="979" customFormat="1" x14ac:dyDescent="0.2">
      <c r="A93" s="975" t="s">
        <v>562</v>
      </c>
      <c r="B93" s="975"/>
      <c r="C93" s="975"/>
      <c r="D93" s="975"/>
      <c r="E93" s="974"/>
      <c r="F93" s="974"/>
      <c r="G93" s="975"/>
      <c r="H93" s="975"/>
      <c r="I93" s="975"/>
      <c r="J93" s="975"/>
      <c r="K93" s="975"/>
      <c r="L93" s="976"/>
      <c r="M93" s="977" t="str">
        <f>IF(Ontwerp!S71="","","_PLINE")</f>
        <v/>
      </c>
      <c r="N93" s="978" t="str">
        <f t="array" ref="N93">IF(Ontwerp!S71="","",POINT(Ontwerp!S71,Ontwerp!T75))</f>
        <v/>
      </c>
      <c r="O93" s="978" t="str">
        <f t="array" ref="O93">IF(Ontwerp!S71="","",POINT(Ontwerp!S71+(Ontwerp!T76*Ontwerp!T80),Ontwerp!T75-Ontwerp!T76))</f>
        <v/>
      </c>
      <c r="P93" s="978" t="str">
        <f t="array" ref="P93">IF(Ontwerp!S71="","",POINT(Ontwerp!S71+(Ontwerp!T76*Ontwerp!T80)+Ontwerp!T78,Ontwerp!T75-Ontwerp!T76))</f>
        <v/>
      </c>
      <c r="Q93" s="978" t="str">
        <f t="array" ref="Q93">IF(Ontwerp!S71="","",POINT(Ontwerp!T71,Ontwerp!T75))</f>
        <v/>
      </c>
      <c r="R93" s="978" t="str">
        <f>IF(Ontwerp!S71="","",";")</f>
        <v/>
      </c>
      <c r="S93" s="978"/>
      <c r="T93" s="978"/>
      <c r="U93" s="978"/>
    </row>
    <row r="94" spans="1:21" s="979" customFormat="1" x14ac:dyDescent="0.2">
      <c r="A94" s="975" t="s">
        <v>563</v>
      </c>
      <c r="B94" s="975"/>
      <c r="C94" s="975"/>
      <c r="D94" s="975"/>
      <c r="E94" s="974"/>
      <c r="F94" s="974"/>
      <c r="G94" s="975"/>
      <c r="H94" s="975"/>
      <c r="I94" s="975"/>
      <c r="J94" s="975"/>
      <c r="K94" s="975"/>
      <c r="L94" s="976"/>
      <c r="M94" s="977" t="str">
        <f>IF(Ontwerp!S72="","","_PLINE")</f>
        <v/>
      </c>
      <c r="N94" s="978" t="str">
        <f t="array" ref="N94">IF(Ontwerp!S72="","",POINT(Ontwerp!S72,Ontwerp!U75))</f>
        <v/>
      </c>
      <c r="O94" s="978" t="str">
        <f t="array" ref="O94">IF(Ontwerp!S72="","",POINT(Ontwerp!S72+(Ontwerp!U76*Ontwerp!U80),Ontwerp!U75-Ontwerp!U76))</f>
        <v/>
      </c>
      <c r="P94" s="978" t="str">
        <f t="array" ref="P94">IF(Ontwerp!S72="","",POINT(Ontwerp!S72+(Ontwerp!U76*Ontwerp!U80)+Ontwerp!U78,Ontwerp!U75-Ontwerp!U76))</f>
        <v/>
      </c>
      <c r="Q94" s="978" t="str">
        <f t="array" ref="Q94">IF(Ontwerp!S72="","",POINT(Ontwerp!T72,Ontwerp!U75))</f>
        <v/>
      </c>
      <c r="R94" s="978" t="str">
        <f>IF(Ontwerp!S72="","",";")</f>
        <v/>
      </c>
      <c r="S94" s="978"/>
      <c r="T94" s="978"/>
      <c r="U94" s="978"/>
    </row>
    <row r="95" spans="1:21" s="979" customFormat="1" x14ac:dyDescent="0.2">
      <c r="A95" s="975" t="s">
        <v>564</v>
      </c>
      <c r="B95" s="975"/>
      <c r="C95" s="975"/>
      <c r="D95" s="975"/>
      <c r="E95" s="974"/>
      <c r="F95" s="974"/>
      <c r="G95" s="975"/>
      <c r="H95" s="975"/>
      <c r="I95" s="975"/>
      <c r="J95" s="975"/>
      <c r="K95" s="975"/>
      <c r="L95" s="976"/>
      <c r="M95" s="977" t="str">
        <f>IF(Ontwerp!S73="","","_PLINE")</f>
        <v/>
      </c>
      <c r="N95" s="978" t="str">
        <f t="array" ref="N95">IF(Ontwerp!S73="","",POINT(Ontwerp!S73,Ontwerp!V75))</f>
        <v/>
      </c>
      <c r="O95" s="978" t="str">
        <f t="array" ref="O95">IF(Ontwerp!S73="","",POINT(Ontwerp!S73+(Ontwerp!V76*Ontwerp!V80),Ontwerp!V75-Ontwerp!V76))</f>
        <v/>
      </c>
      <c r="P95" s="978" t="str">
        <f t="array" ref="P95">IF(Ontwerp!S73="","",POINT(Ontwerp!S73+(Ontwerp!V76*Ontwerp!V80)+Ontwerp!V78,Ontwerp!V75-Ontwerp!V76))</f>
        <v/>
      </c>
      <c r="Q95" s="978" t="str">
        <f t="array" ref="Q95">IF(Ontwerp!S73="","",POINT(Ontwerp!T73,Ontwerp!V75))</f>
        <v/>
      </c>
      <c r="R95" s="978" t="str">
        <f>IF(Ontwerp!S73="","",";")</f>
        <v/>
      </c>
      <c r="S95" s="978"/>
      <c r="T95" s="978"/>
      <c r="U95" s="978"/>
    </row>
    <row r="96" spans="1:21" s="979" customFormat="1" x14ac:dyDescent="0.2">
      <c r="A96" s="974"/>
      <c r="B96" s="975"/>
      <c r="C96" s="975"/>
      <c r="D96" s="975"/>
      <c r="E96" s="974"/>
      <c r="F96" s="974"/>
      <c r="G96" s="975"/>
      <c r="H96" s="975"/>
      <c r="I96" s="975"/>
      <c r="J96" s="975"/>
      <c r="K96" s="975"/>
      <c r="L96" s="976"/>
      <c r="M96" s="977" t="str">
        <f>IF(Ontwerp!S71="","","_LAYER")</f>
        <v/>
      </c>
      <c r="N96" s="978" t="str">
        <f>IF(Ontwerp!S71="","","_Set")</f>
        <v/>
      </c>
      <c r="O96" s="978" t="str">
        <f>IF(Ontwerp!S71="","","WATER")</f>
        <v/>
      </c>
      <c r="P96" s="978" t="str">
        <f>IF(Ontwerp!S71="","",";")</f>
        <v/>
      </c>
      <c r="Q96" s="978"/>
      <c r="R96" s="978"/>
      <c r="S96" s="978"/>
      <c r="T96" s="978"/>
      <c r="U96" s="978"/>
    </row>
    <row r="97" spans="1:21" s="979" customFormat="1" x14ac:dyDescent="0.2">
      <c r="A97" s="974" t="s">
        <v>565</v>
      </c>
      <c r="B97" s="975"/>
      <c r="C97" s="975"/>
      <c r="D97" s="975"/>
      <c r="E97" s="974"/>
      <c r="F97" s="974"/>
      <c r="G97" s="975"/>
      <c r="H97" s="975"/>
      <c r="I97" s="975"/>
      <c r="J97" s="975"/>
      <c r="K97" s="975"/>
      <c r="L97" s="976"/>
      <c r="M97" s="977" t="str">
        <f>IF(Ontwerp!S71="","","_PLINE")</f>
        <v/>
      </c>
      <c r="N97" s="978" t="str">
        <f t="array" ref="N97">IF(Ontwerp!S71="","",POINT(Ontwerp!S71,Ontwerp!T75))</f>
        <v/>
      </c>
      <c r="O97" s="978" t="str">
        <f t="array" ref="O97">IF(Ontwerp!S71="","",POINT(Ontwerp!T71,Ontwerp!T75))</f>
        <v/>
      </c>
      <c r="P97" s="978" t="str">
        <f>IF(Ontwerp!S71="","",";")</f>
        <v/>
      </c>
      <c r="Q97" s="978"/>
      <c r="R97" s="978"/>
      <c r="S97" s="978"/>
      <c r="T97" s="978"/>
      <c r="U97" s="978"/>
    </row>
    <row r="98" spans="1:21" s="979" customFormat="1" x14ac:dyDescent="0.2">
      <c r="A98" s="974" t="s">
        <v>353</v>
      </c>
      <c r="B98" s="975"/>
      <c r="C98" s="975"/>
      <c r="D98" s="975"/>
      <c r="E98" s="974"/>
      <c r="F98" s="974"/>
      <c r="G98" s="975"/>
      <c r="H98" s="975"/>
      <c r="I98" s="975"/>
      <c r="J98" s="975"/>
      <c r="K98" s="975"/>
      <c r="L98" s="976"/>
      <c r="M98" s="977" t="str">
        <f>IF(Ontwerp!S72="","","_PLINE")</f>
        <v/>
      </c>
      <c r="N98" s="978" t="str">
        <f t="array" ref="N98">IF(Ontwerp!S72="","",POINT(Ontwerp!S72,Ontwerp!U75))</f>
        <v/>
      </c>
      <c r="O98" s="978" t="str">
        <f t="array" ref="O98">IF(Ontwerp!S72="","",POINT(Ontwerp!T72,Ontwerp!U75))</f>
        <v/>
      </c>
      <c r="P98" s="978" t="str">
        <f>IF(Ontwerp!S72="","",";")</f>
        <v/>
      </c>
      <c r="Q98" s="978"/>
      <c r="R98" s="978"/>
      <c r="S98" s="978"/>
      <c r="T98" s="978"/>
      <c r="U98" s="978"/>
    </row>
    <row r="99" spans="1:21" s="979" customFormat="1" x14ac:dyDescent="0.2">
      <c r="A99" s="974" t="s">
        <v>354</v>
      </c>
      <c r="B99" s="975"/>
      <c r="C99" s="975"/>
      <c r="D99" s="975"/>
      <c r="E99" s="974"/>
      <c r="F99" s="974"/>
      <c r="G99" s="975"/>
      <c r="H99" s="975"/>
      <c r="I99" s="975"/>
      <c r="J99" s="975"/>
      <c r="K99" s="975"/>
      <c r="L99" s="976"/>
      <c r="M99" s="977" t="str">
        <f>IF(Ontwerp!S73="","","_PLINE")</f>
        <v/>
      </c>
      <c r="N99" s="978" t="str">
        <f t="array" ref="N99">IF(Ontwerp!S73="","",POINT(Ontwerp!S73,Ontwerp!V75))</f>
        <v/>
      </c>
      <c r="O99" s="978" t="str">
        <f t="array" ref="O99">IF(Ontwerp!S73="","",POINT(Ontwerp!T73,Ontwerp!V75))</f>
        <v/>
      </c>
      <c r="P99" s="978" t="str">
        <f>IF(Ontwerp!S73="","",";")</f>
        <v/>
      </c>
      <c r="Q99" s="978"/>
      <c r="R99" s="978"/>
      <c r="S99" s="978"/>
      <c r="T99" s="978"/>
      <c r="U99" s="978"/>
    </row>
    <row r="100" spans="1:21" s="979" customFormat="1" x14ac:dyDescent="0.2">
      <c r="A100" s="975" t="s">
        <v>341</v>
      </c>
      <c r="B100" s="975"/>
      <c r="C100" s="975"/>
      <c r="D100" s="975"/>
      <c r="E100" s="974"/>
      <c r="F100" s="974"/>
      <c r="G100" s="975"/>
      <c r="H100" s="975"/>
      <c r="I100" s="975" t="s">
        <v>566</v>
      </c>
      <c r="J100" s="975"/>
      <c r="K100" s="975"/>
      <c r="L100" s="976"/>
      <c r="M100" s="3" t="str">
        <f>IF(Ontwerp!S63="","","_LAYER")</f>
        <v>_LAYER</v>
      </c>
      <c r="N100" s="4" t="str">
        <f>IF(Ontwerp!S63="","","_Set")</f>
        <v>_Set</v>
      </c>
      <c r="O100" s="4" t="str">
        <f>IF(Ontwerp!S63="","","WEGDEK")</f>
        <v>WEGDEK</v>
      </c>
      <c r="P100" s="4" t="str">
        <f>IF(Ontwerp!S63="","",";")</f>
        <v>;</v>
      </c>
      <c r="Q100" s="4"/>
      <c r="R100" s="4"/>
      <c r="S100" s="4"/>
      <c r="T100" s="4"/>
      <c r="U100" s="4"/>
    </row>
    <row r="101" spans="1:21" s="979" customFormat="1" x14ac:dyDescent="0.2">
      <c r="A101" s="975" t="s">
        <v>567</v>
      </c>
      <c r="B101" s="975"/>
      <c r="C101" s="975"/>
      <c r="D101" s="975"/>
      <c r="E101" s="974"/>
      <c r="F101" s="974"/>
      <c r="G101" s="975"/>
      <c r="H101" s="975"/>
      <c r="I101" s="975"/>
      <c r="J101" s="975"/>
      <c r="K101" s="975"/>
      <c r="L101" s="976"/>
      <c r="M101" s="3" t="str">
        <f>IF(Ontwerp!S63="","","_LINE")</f>
        <v>_LINE</v>
      </c>
      <c r="N101" s="4" t="str">
        <f t="array" ref="N101">IF(Ontwerp!S63="","",POINT(Ontwerp!S63,Ontwerp!V63+F104))</f>
        <v>37.0511845449723,1.21733407974243</v>
      </c>
      <c r="O101" s="4" t="str">
        <f t="array" ref="O101">IF(Ontwerp!S63="","",POINT(Ontwerp!T63,Ontwerp!W63+F104))</f>
        <v>55.5518441928991,1.21184902191162</v>
      </c>
      <c r="P101" s="4" t="str">
        <f>IF(Ontwerp!S63="","",";")</f>
        <v>;</v>
      </c>
      <c r="Q101" s="4"/>
      <c r="R101" s="4"/>
      <c r="S101" s="4"/>
      <c r="T101" s="4"/>
      <c r="U101" s="4"/>
    </row>
    <row r="102" spans="1:21" s="979" customFormat="1" x14ac:dyDescent="0.2">
      <c r="A102" s="975" t="s">
        <v>568</v>
      </c>
      <c r="B102" s="975"/>
      <c r="C102" s="975"/>
      <c r="D102" s="975"/>
      <c r="E102" s="974"/>
      <c r="F102" s="975"/>
      <c r="G102" s="978" t="str">
        <f>Ontwerp!U63</f>
        <v>fietspad</v>
      </c>
      <c r="H102" s="975"/>
      <c r="I102" s="975">
        <v>0.3</v>
      </c>
      <c r="J102" s="975"/>
      <c r="K102" s="975"/>
      <c r="L102" s="976"/>
      <c r="M102" s="3" t="str">
        <f>IF(Ontwerp!S63="","","_TEXT")</f>
        <v>_TEXT</v>
      </c>
      <c r="N102" s="4" t="str">
        <f>IF(Ontwerp!S63="","","_Justify")</f>
        <v>_Justify</v>
      </c>
      <c r="O102" s="4" t="str">
        <f>IF(Ontwerp!S63="","","_C")</f>
        <v>_C</v>
      </c>
      <c r="P102" s="4" t="str">
        <f t="array" ref="P102">IF(Ontwerp!S63="","",POINT((Ontwerp!S63+Ontwerp!T63)/2,(Ontwerp!V63+F105)))</f>
        <v>46.3015143689357,1.36733407974243</v>
      </c>
      <c r="Q102" s="4">
        <f>IF(Ontwerp!S63="","",I102)</f>
        <v>0.3</v>
      </c>
      <c r="R102" s="4">
        <f>IF(Ontwerp!S63="","",0)</f>
        <v>0</v>
      </c>
      <c r="S102" s="4" t="str">
        <f>IF(Ontwerp!S63="","",G102)</f>
        <v>fietspad</v>
      </c>
      <c r="T102" s="4"/>
      <c r="U102" s="4"/>
    </row>
    <row r="103" spans="1:21" s="979" customFormat="1" x14ac:dyDescent="0.2">
      <c r="A103" s="975" t="s">
        <v>569</v>
      </c>
      <c r="B103" s="975"/>
      <c r="C103" s="975"/>
      <c r="D103" s="975"/>
      <c r="E103" s="974"/>
      <c r="F103" s="974"/>
      <c r="G103" s="975"/>
      <c r="H103" s="975"/>
      <c r="I103" s="975"/>
      <c r="J103" s="975"/>
      <c r="K103" s="975"/>
      <c r="L103" s="976"/>
      <c r="M103" s="3" t="str">
        <f>IF(Ontwerp!S64="","","_LINE")</f>
        <v>_LINE</v>
      </c>
      <c r="N103" s="4" t="str">
        <f t="array" ref="N103">IF(Ontwerp!S64="","",POINT(Ontwerp!S64,Ontwerp!V64+F104))</f>
        <v>147.322172481391,1.34115152359009</v>
      </c>
      <c r="O103" s="4" t="str">
        <f t="array" ref="O103">IF(Ontwerp!S64="","",POINT(Ontwerp!T64,Ontwerp!W64+F104))</f>
        <v>181.340406804611,1.31707899570465</v>
      </c>
      <c r="P103" s="4" t="str">
        <f>IF(Ontwerp!S64="","",";")</f>
        <v>;</v>
      </c>
      <c r="Q103" s="4"/>
      <c r="R103" s="4"/>
      <c r="S103" s="4"/>
      <c r="T103" s="4"/>
      <c r="U103" s="4"/>
    </row>
    <row r="104" spans="1:21" s="979" customFormat="1" x14ac:dyDescent="0.2">
      <c r="A104" s="975"/>
      <c r="B104" s="975"/>
      <c r="C104" s="975"/>
      <c r="D104" s="975"/>
      <c r="E104" s="1019" t="s">
        <v>566</v>
      </c>
      <c r="F104" s="975">
        <v>0.05</v>
      </c>
      <c r="G104" s="978" t="str">
        <f>Ontwerp!U64</f>
        <v>Kennemerplein</v>
      </c>
      <c r="H104" s="975"/>
      <c r="I104" s="975">
        <v>0.3</v>
      </c>
      <c r="J104" s="975"/>
      <c r="K104" s="975"/>
      <c r="L104" s="976"/>
      <c r="M104" s="3" t="str">
        <f>IF(Ontwerp!S64="","","_TEXT")</f>
        <v>_TEXT</v>
      </c>
      <c r="N104" s="4" t="str">
        <f>IF(Ontwerp!S64="","","_Justify")</f>
        <v>_Justify</v>
      </c>
      <c r="O104" s="4" t="str">
        <f>IF(Ontwerp!S64="","","_C")</f>
        <v>_C</v>
      </c>
      <c r="P104" s="4" t="str">
        <f t="array" ref="P104">IF(Ontwerp!S64="","",POINT((Ontwerp!S64+Ontwerp!T64)/2,(Ontwerp!V64+F105)))</f>
        <v>164.331289643001,1.49115152359009</v>
      </c>
      <c r="Q104" s="4">
        <f>IF(Ontwerp!S64="","",I104)</f>
        <v>0.3</v>
      </c>
      <c r="R104" s="4">
        <f>IF(Ontwerp!S64="","",0)</f>
        <v>0</v>
      </c>
      <c r="S104" s="4" t="str">
        <f>IF(Ontwerp!S64="","",G104)</f>
        <v>Kennemerplein</v>
      </c>
      <c r="T104" s="4"/>
      <c r="U104" s="4"/>
    </row>
    <row r="105" spans="1:21" s="979" customFormat="1" x14ac:dyDescent="0.2">
      <c r="A105" s="975" t="s">
        <v>570</v>
      </c>
      <c r="B105" s="975"/>
      <c r="C105" s="975"/>
      <c r="D105" s="975"/>
      <c r="E105" s="1019" t="s">
        <v>571</v>
      </c>
      <c r="F105" s="974">
        <v>0.2</v>
      </c>
      <c r="G105" s="975"/>
      <c r="H105" s="975"/>
      <c r="I105" s="975"/>
      <c r="J105" s="975"/>
      <c r="K105" s="975"/>
      <c r="L105" s="976"/>
      <c r="M105" s="3" t="str">
        <f>IF(Ontwerp!S65="","","_LINE")</f>
        <v>_LINE</v>
      </c>
      <c r="N105" s="4" t="str">
        <f t="array" ref="N105">IF(Ontwerp!S65="","",POINT(Ontwerp!S65,Ontwerp!V65+F104))</f>
        <v>189.530325135111,1.27028541564941</v>
      </c>
      <c r="O105" s="4" t="str">
        <f t="array" ref="O105">IF(Ontwerp!S65="","",POINT(Ontwerp!T65,Ontwerp!W65+F104))</f>
        <v>194.124073696148,1.32342581748962</v>
      </c>
      <c r="P105" s="4" t="str">
        <f>IF(Ontwerp!S65="","",";")</f>
        <v>;</v>
      </c>
      <c r="Q105" s="4"/>
      <c r="R105" s="4"/>
      <c r="S105" s="4"/>
      <c r="T105" s="4"/>
      <c r="U105" s="4"/>
    </row>
    <row r="106" spans="1:21" s="979" customFormat="1" x14ac:dyDescent="0.2">
      <c r="A106" s="975"/>
      <c r="B106" s="975"/>
      <c r="C106" s="975"/>
      <c r="D106" s="975"/>
      <c r="E106" s="974"/>
      <c r="F106" s="974"/>
      <c r="G106" s="978" t="str">
        <f>Ontwerp!U65</f>
        <v>fietspad</v>
      </c>
      <c r="H106" s="975"/>
      <c r="I106" s="975">
        <v>0.3</v>
      </c>
      <c r="J106" s="975"/>
      <c r="K106" s="975"/>
      <c r="L106" s="976"/>
      <c r="M106" s="3" t="str">
        <f>IF(Ontwerp!S65="","","_TEXT")</f>
        <v>_TEXT</v>
      </c>
      <c r="N106" s="4" t="str">
        <f>IF(Ontwerp!S65="","","_Justify")</f>
        <v>_Justify</v>
      </c>
      <c r="O106" s="4" t="str">
        <f>IF(Ontwerp!S65="","","_C")</f>
        <v>_C</v>
      </c>
      <c r="P106" s="4" t="str">
        <f t="array" ref="P106">IF(Ontwerp!S65="","",POINT((Ontwerp!S65+Ontwerp!T65)/2,(Ontwerp!V65+F105)))</f>
        <v>191.827199415629,1.42028541564941</v>
      </c>
      <c r="Q106" s="4">
        <f>IF(Ontwerp!S65="","",I106)</f>
        <v>0.3</v>
      </c>
      <c r="R106" s="4">
        <f>IF(Ontwerp!S65="","",0)</f>
        <v>0</v>
      </c>
      <c r="S106" s="4" t="str">
        <f>IF(Ontwerp!S65="","",G106)</f>
        <v>fietspad</v>
      </c>
      <c r="T106" s="4"/>
      <c r="U106" s="4"/>
    </row>
    <row r="107" spans="1:21" s="979" customFormat="1" x14ac:dyDescent="0.2">
      <c r="A107" s="975" t="s">
        <v>572</v>
      </c>
      <c r="B107" s="975"/>
      <c r="C107" s="975"/>
      <c r="D107" s="975"/>
      <c r="E107" s="974"/>
      <c r="F107" s="974"/>
      <c r="G107" s="975"/>
      <c r="H107" s="975"/>
      <c r="I107" s="975"/>
      <c r="J107" s="975"/>
      <c r="K107" s="975"/>
      <c r="L107" s="976"/>
      <c r="M107" s="977" t="str">
        <f>IF(Ontwerp!S66="","","_LINE")</f>
        <v/>
      </c>
      <c r="N107" s="978" t="str">
        <f t="array" ref="N107">IF(Ontwerp!S66="","",POINT(Ontwerp!S66,Ontwerp!V66+F104))</f>
        <v/>
      </c>
      <c r="O107" s="978" t="str">
        <f t="array" ref="O107">IF(Ontwerp!S66="","",POINT(Ontwerp!T66,Ontwerp!W66+F104))</f>
        <v/>
      </c>
      <c r="P107" s="978" t="str">
        <f>IF(Ontwerp!S66="","",";")</f>
        <v/>
      </c>
      <c r="Q107" s="978"/>
      <c r="R107" s="978"/>
      <c r="S107" s="978"/>
      <c r="T107" s="978"/>
      <c r="U107" s="978"/>
    </row>
    <row r="108" spans="1:21" s="979" customFormat="1" x14ac:dyDescent="0.2">
      <c r="A108" s="975"/>
      <c r="B108" s="975"/>
      <c r="C108" s="975"/>
      <c r="D108" s="975"/>
      <c r="E108" s="974"/>
      <c r="F108" s="974"/>
      <c r="G108" s="978" t="str">
        <f>Ontwerp!U66</f>
        <v>Badweg</v>
      </c>
      <c r="H108" s="975"/>
      <c r="I108" s="975">
        <v>0.3</v>
      </c>
      <c r="J108" s="975"/>
      <c r="K108" s="975"/>
      <c r="L108" s="976"/>
      <c r="M108" s="977" t="str">
        <f>IF(Ontwerp!S66="","","_TEXT")</f>
        <v/>
      </c>
      <c r="N108" s="978" t="str">
        <f>IF(Ontwerp!S66="","","_Justify")</f>
        <v/>
      </c>
      <c r="O108" s="978" t="str">
        <f>IF(Ontwerp!S66="","","_C")</f>
        <v/>
      </c>
      <c r="P108" s="978" t="str">
        <f t="array" ref="P108">IF(Ontwerp!S66="","",POINT((Ontwerp!S66+Ontwerp!T66)/2,(Ontwerp!V66+F105)))</f>
        <v/>
      </c>
      <c r="Q108" s="978" t="str">
        <f>IF(Ontwerp!S66="","",I108)</f>
        <v/>
      </c>
      <c r="R108" s="978" t="str">
        <f>IF(Ontwerp!S66="","",0)</f>
        <v/>
      </c>
      <c r="S108" s="978" t="str">
        <f>IF(Ontwerp!S66="","",G108)</f>
        <v/>
      </c>
      <c r="T108" s="978"/>
      <c r="U108" s="978"/>
    </row>
    <row r="109" spans="1:21" s="979" customFormat="1" x14ac:dyDescent="0.2">
      <c r="A109" s="975" t="s">
        <v>573</v>
      </c>
      <c r="B109" s="975"/>
      <c r="C109" s="975"/>
      <c r="D109" s="975"/>
      <c r="E109" s="974"/>
      <c r="F109" s="974"/>
      <c r="G109" s="975"/>
      <c r="H109" s="975"/>
      <c r="I109" s="975"/>
      <c r="J109" s="975"/>
      <c r="K109" s="975"/>
      <c r="L109" s="976"/>
      <c r="M109" s="977" t="str">
        <f>IF(Ontwerp!S67="","","_LINE")</f>
        <v/>
      </c>
      <c r="N109" s="978" t="str">
        <f t="array" ref="N109">IF(Ontwerp!S67="","",POINT(Ontwerp!S67,Ontwerp!V67+F104))</f>
        <v/>
      </c>
      <c r="O109" s="978" t="str">
        <f t="array" ref="O109">IF(Ontwerp!S67="","",POINT(Ontwerp!T67,Ontwerp!W67+F104))</f>
        <v/>
      </c>
      <c r="P109" s="978" t="str">
        <f>IF(Ontwerp!S67="","",";")</f>
        <v/>
      </c>
      <c r="Q109" s="978"/>
      <c r="R109" s="978"/>
      <c r="S109" s="978"/>
      <c r="T109" s="978"/>
      <c r="U109" s="978"/>
    </row>
    <row r="110" spans="1:21" s="979" customFormat="1" x14ac:dyDescent="0.2">
      <c r="A110" s="975"/>
      <c r="B110" s="975"/>
      <c r="C110" s="975"/>
      <c r="D110" s="975"/>
      <c r="E110" s="974"/>
      <c r="F110" s="974"/>
      <c r="G110" s="978" t="str">
        <f>Ontwerp!U67</f>
        <v>voetpad</v>
      </c>
      <c r="H110" s="975"/>
      <c r="I110" s="975">
        <v>0.3</v>
      </c>
      <c r="J110" s="975"/>
      <c r="K110" s="975"/>
      <c r="L110" s="976"/>
      <c r="M110" s="977" t="str">
        <f>IF(Ontwerp!S67="","","_TEXT")</f>
        <v/>
      </c>
      <c r="N110" s="978" t="str">
        <f>IF(Ontwerp!S67="","","_Justify")</f>
        <v/>
      </c>
      <c r="O110" s="978" t="str">
        <f>IF(Ontwerp!S67="","","_C")</f>
        <v/>
      </c>
      <c r="P110" s="978" t="str">
        <f t="array" ref="P110">IF(Ontwerp!S67="","",POINT((Ontwerp!S67+Ontwerp!T67)/2,(Ontwerp!V67+F105)))</f>
        <v/>
      </c>
      <c r="Q110" s="978" t="str">
        <f>IF(Ontwerp!S67="","",I110)</f>
        <v/>
      </c>
      <c r="R110" s="978" t="str">
        <f>IF(Ontwerp!S67="","",0)</f>
        <v/>
      </c>
      <c r="S110" s="978" t="str">
        <f>IF(Ontwerp!S67="","",G110)</f>
        <v/>
      </c>
      <c r="T110" s="978"/>
      <c r="U110" s="1001"/>
    </row>
    <row r="111" spans="1:21" s="979" customFormat="1" x14ac:dyDescent="0.2">
      <c r="A111" s="975"/>
      <c r="B111" s="975"/>
      <c r="C111" s="975"/>
      <c r="D111" s="975"/>
      <c r="E111" s="974"/>
      <c r="F111" s="974"/>
      <c r="G111" s="978" t="str">
        <f>IF(INPUT!D15="A3","ISO-4_Ronly","ISO-5_Ronly")</f>
        <v>ISO-5_Ronly</v>
      </c>
      <c r="H111" s="975"/>
      <c r="I111" s="975"/>
      <c r="J111" s="975"/>
      <c r="K111" s="975"/>
      <c r="L111" s="976"/>
      <c r="M111" s="3" t="s">
        <v>549</v>
      </c>
      <c r="N111" s="4" t="s">
        <v>550</v>
      </c>
      <c r="O111" s="4" t="str">
        <f>G111</f>
        <v>ISO-5_Ronly</v>
      </c>
      <c r="P111" s="15"/>
      <c r="Q111" s="4"/>
      <c r="R111" s="4"/>
      <c r="S111" s="4"/>
      <c r="T111" s="4"/>
      <c r="U111" s="14"/>
    </row>
    <row r="112" spans="1:21" s="979" customFormat="1" ht="15" customHeight="1" x14ac:dyDescent="0.25">
      <c r="A112" s="1006" t="s">
        <v>574</v>
      </c>
      <c r="B112" s="993"/>
      <c r="C112" s="974"/>
      <c r="D112" s="974"/>
      <c r="E112" s="974"/>
      <c r="F112" s="974"/>
      <c r="G112" s="999"/>
      <c r="H112" s="975"/>
      <c r="I112" s="975"/>
      <c r="J112" s="975"/>
      <c r="K112" s="975"/>
      <c r="L112" s="976"/>
      <c r="M112" s="3" t="s">
        <v>493</v>
      </c>
      <c r="N112" s="4" t="s">
        <v>494</v>
      </c>
      <c r="O112" s="4" t="s">
        <v>517</v>
      </c>
      <c r="P112" s="4" t="s">
        <v>495</v>
      </c>
      <c r="Q112" s="15"/>
      <c r="R112" s="15"/>
      <c r="S112" s="4"/>
      <c r="T112" s="4"/>
      <c r="U112" s="14"/>
    </row>
    <row r="113" spans="1:21" s="979" customFormat="1" ht="15" customHeight="1" x14ac:dyDescent="0.25">
      <c r="A113" s="1020"/>
      <c r="B113" s="993"/>
      <c r="C113" s="974"/>
      <c r="D113" s="974"/>
      <c r="E113" s="974"/>
      <c r="F113" s="974"/>
      <c r="G113" s="999"/>
      <c r="H113" s="975"/>
      <c r="I113" s="975"/>
      <c r="J113" s="975"/>
      <c r="K113" s="975"/>
      <c r="L113" s="976"/>
      <c r="M113" s="46" t="s">
        <v>497</v>
      </c>
      <c r="N113" s="47">
        <v>1</v>
      </c>
      <c r="O113" s="47" t="s">
        <v>498</v>
      </c>
      <c r="P113" s="47">
        <v>1</v>
      </c>
      <c r="Q113" s="47" t="s">
        <v>499</v>
      </c>
      <c r="R113" s="47">
        <f>Ontwerp!R92</f>
        <v>0</v>
      </c>
      <c r="S113" s="47" t="s">
        <v>500</v>
      </c>
      <c r="T113" s="47">
        <v>1</v>
      </c>
      <c r="U113" s="68"/>
    </row>
    <row r="114" spans="1:21" s="979" customFormat="1" ht="15" customHeight="1" x14ac:dyDescent="0.25">
      <c r="A114" s="1020"/>
      <c r="B114" s="993"/>
      <c r="C114" s="974"/>
      <c r="D114" s="974"/>
      <c r="E114" s="974"/>
      <c r="F114" s="974"/>
      <c r="G114" s="999"/>
      <c r="H114" s="975"/>
      <c r="I114" s="975"/>
      <c r="J114" s="975"/>
      <c r="K114" s="975"/>
      <c r="L114" s="976"/>
      <c r="M114" s="977" t="str">
        <f>IF(Ontwerp!R92&gt;0,"_INSERT","")</f>
        <v/>
      </c>
      <c r="N114" s="977" t="str">
        <f>IF(Ontwerp!R92&gt;0,VLOOKUP(VLOOKUP(N113,Ontwerp!R93:V98,3,FALSE),Variabelen!J47:K58,2,FALSE),"")</f>
        <v/>
      </c>
      <c r="O114" s="978"/>
      <c r="P114" s="978" t="str" cm="1">
        <f t="array" ref="P114">IF(Ontwerp!R92&gt;0,POINT(VLOOKUP(N113,Ontwerp!R93:V98,2,FALSE),VLOOKUP(N113,Ontwerp!R93:V98,5,FALSE)),"")</f>
        <v/>
      </c>
      <c r="Q114" s="975" t="str">
        <f>IF(Ontwerp!R92&gt;0,1,"")</f>
        <v/>
      </c>
      <c r="R114" s="975" t="str">
        <f>IF(Ontwerp!R92&gt;0,VLOOKUP(N113,Ontwerp!R93:V98,4,FALSE),"")</f>
        <v/>
      </c>
      <c r="S114" s="978" t="str">
        <f>IF(Ontwerp!R92&gt;0,0,"")</f>
        <v/>
      </c>
      <c r="T114" s="978"/>
      <c r="U114" s="1001"/>
    </row>
    <row r="115" spans="1:21" s="979" customFormat="1" ht="15" customHeight="1" x14ac:dyDescent="0.25">
      <c r="A115" s="1020"/>
      <c r="B115" s="993"/>
      <c r="C115" s="974"/>
      <c r="D115" s="974"/>
      <c r="E115" s="974"/>
      <c r="F115" s="974"/>
      <c r="G115" s="999"/>
      <c r="H115" s="975"/>
      <c r="I115" s="975"/>
      <c r="J115" s="975"/>
      <c r="K115" s="975"/>
      <c r="L115" s="976"/>
      <c r="M115" s="977"/>
      <c r="N115" s="977"/>
      <c r="O115" s="978"/>
      <c r="P115" s="978"/>
      <c r="Q115" s="975"/>
      <c r="R115" s="975"/>
      <c r="S115" s="978"/>
      <c r="T115" s="978"/>
      <c r="U115" s="1001"/>
    </row>
    <row r="116" spans="1:21" s="979" customFormat="1" ht="15" customHeight="1" x14ac:dyDescent="0.25">
      <c r="A116" s="993">
        <v>0</v>
      </c>
      <c r="B116" s="993">
        <f>Ontwerp!G49</f>
        <v>1.0092347860336299</v>
      </c>
      <c r="C116" s="975" t="e">
        <f>VLOOKUP(N113,Ontwerp!R93:W98,2,FALSE)</f>
        <v>#N/A</v>
      </c>
      <c r="D116" s="974" t="e">
        <f>VLOOKUP(N113,Ontwerp!R93:W98,5,FALSE)</f>
        <v>#N/A</v>
      </c>
      <c r="E116" s="974">
        <v>0</v>
      </c>
      <c r="F116" s="974">
        <f>B116+(0.8)</f>
        <v>1.80923478603363</v>
      </c>
      <c r="G116" s="975"/>
      <c r="H116" s="975"/>
      <c r="I116" s="975"/>
      <c r="J116" s="975"/>
      <c r="K116" s="975"/>
      <c r="L116" s="976"/>
      <c r="M116" s="978" t="str">
        <f>IF(Ontwerp!R92=0,"",IF(VLOOKUP(Script!N113,Ontwerp!R93:W98,6,FALSE)="","","_DIMLINEAR"))</f>
        <v/>
      </c>
      <c r="N116" s="978" t="str">
        <f>IF(Ontwerp!R92=0,"",IF(VLOOKUP(Script!N113,Ontwerp!R93:W98,6,FALSE)="","",POINT(A116,B116)))</f>
        <v/>
      </c>
      <c r="O116" s="978" t="str">
        <f>IF(Ontwerp!R92=0,"",IF(VLOOKUP(Script!N113,Ontwerp!R93:W98,6,FALSE)="","",POINT(C116,D116)))</f>
        <v/>
      </c>
      <c r="P116" s="978" t="str">
        <f>IF(Ontwerp!R92=0,"",IF(VLOOKUP(Script!N113,Ontwerp!R93:W98,6,FALSE)="","",";"))</f>
        <v/>
      </c>
      <c r="Q116" s="978" t="str">
        <f>IF(Ontwerp!R92=0,"",IF(VLOOKUP(Script!N113,Ontwerp!R93:W98,6,FALSE)="","",POINT(E116,F116)))</f>
        <v/>
      </c>
      <c r="R116" s="978"/>
      <c r="S116" s="978"/>
      <c r="T116" s="978"/>
      <c r="U116" s="1001"/>
    </row>
    <row r="117" spans="1:21" s="979" customFormat="1" ht="15" customHeight="1" x14ac:dyDescent="0.25">
      <c r="A117" s="1020"/>
      <c r="B117" s="993"/>
      <c r="C117" s="974" t="e">
        <f>C116+E117</f>
        <v>#N/A</v>
      </c>
      <c r="D117" s="974">
        <v>1.1499999999999999</v>
      </c>
      <c r="E117" s="974">
        <v>-0.05</v>
      </c>
      <c r="F117" s="974">
        <f>F116+D117</f>
        <v>2.9592347860336297</v>
      </c>
      <c r="G117" s="999" t="e">
        <f>VLOOKUP(Script!N113,Ontwerp!R93:W98,6,FALSE)</f>
        <v>#N/A</v>
      </c>
      <c r="H117" s="975"/>
      <c r="I117" s="975">
        <v>0.45</v>
      </c>
      <c r="J117" s="975"/>
      <c r="K117" s="975"/>
      <c r="L117" s="976"/>
      <c r="M117" s="977" t="str">
        <f>IF(Ontwerp!R92=0,"",IF(VLOOKUP(Script!N113,Ontwerp!R93:W98,6,FALSE)="","","_TEXT"))</f>
        <v/>
      </c>
      <c r="N117" s="978" t="str">
        <f>IF(Ontwerp!R92=0,"",IF(VLOOKUP(Script!N113,Ontwerp!R93:W98,6,FALSE)="","","_Justify"))</f>
        <v/>
      </c>
      <c r="O117" s="978" t="str">
        <f>IF(Ontwerp!R92=0,"",IF(VLOOKUP(Script!N113,Ontwerp!R93:W98,6,FALSE)="","","_R"))</f>
        <v/>
      </c>
      <c r="P117" s="978" t="str">
        <f>IF(Ontwerp!R92=0,"",IF(VLOOKUP(Script!N113,Ontwerp!R93:W98,6,FALSE)="","",VLOOKUP(Script!N113,Ontwerp!R93:W98,2,FALSE)&amp;","&amp;F117))</f>
        <v/>
      </c>
      <c r="Q117" s="975" t="str">
        <f>IF(Ontwerp!R92=0,"",IF(VLOOKUP(Script!N113,Ontwerp!R93:W98,6,FALSE)="","",I117))</f>
        <v/>
      </c>
      <c r="R117" s="975" t="str">
        <f>IF(Ontwerp!R92=0,"",IF(VLOOKUP(Script!N113,Ontwerp!R93:W98,6,FALSE)="","",0))</f>
        <v/>
      </c>
      <c r="S117" s="977" t="str">
        <f>IF(Ontwerp!R92=0,"",IF(VLOOKUP(Script!N113,Ontwerp!R93:W98,6,FALSE)="","",G117))</f>
        <v/>
      </c>
      <c r="T117" s="978"/>
      <c r="U117" s="1001"/>
    </row>
    <row r="118" spans="1:21" s="979" customFormat="1" ht="15" customHeight="1" x14ac:dyDescent="0.25">
      <c r="A118" s="1021"/>
      <c r="B118" s="993"/>
      <c r="C118" s="974"/>
      <c r="D118" s="974"/>
      <c r="E118" s="974"/>
      <c r="F118" s="974"/>
      <c r="G118" s="999"/>
      <c r="H118" s="975"/>
      <c r="I118" s="975"/>
      <c r="J118" s="975"/>
      <c r="K118" s="975"/>
      <c r="L118" s="976"/>
      <c r="M118" s="353" t="s">
        <v>503</v>
      </c>
      <c r="N118" s="153"/>
      <c r="O118" s="153"/>
      <c r="P118" s="153"/>
      <c r="Q118" s="153"/>
      <c r="R118" s="153"/>
      <c r="S118" s="153"/>
      <c r="T118" s="153"/>
      <c r="U118" s="68"/>
    </row>
    <row r="119" spans="1:21" s="979" customFormat="1" ht="15" customHeight="1" x14ac:dyDescent="0.25">
      <c r="A119" s="1006" t="s">
        <v>575</v>
      </c>
      <c r="B119" s="993"/>
      <c r="C119" s="974"/>
      <c r="D119" s="974"/>
      <c r="E119" s="974"/>
      <c r="F119" s="974"/>
      <c r="G119" s="999"/>
      <c r="H119" s="975"/>
      <c r="I119" s="975"/>
      <c r="J119" s="975"/>
      <c r="K119" s="975"/>
      <c r="L119" s="976"/>
      <c r="M119" s="977"/>
      <c r="N119" s="978"/>
      <c r="O119" s="978"/>
      <c r="P119" s="978"/>
      <c r="Q119" s="975"/>
      <c r="R119" s="975"/>
      <c r="S119" s="978"/>
      <c r="T119" s="978"/>
      <c r="U119" s="1001"/>
    </row>
    <row r="120" spans="1:21" s="979" customFormat="1" ht="15" customHeight="1" x14ac:dyDescent="0.25">
      <c r="A120" s="993"/>
      <c r="B120" s="993"/>
      <c r="C120" s="974"/>
      <c r="D120" s="974"/>
      <c r="E120" s="974"/>
      <c r="F120" s="974"/>
      <c r="G120" s="978" t="s">
        <v>576</v>
      </c>
      <c r="H120" s="975"/>
      <c r="I120" s="975">
        <f>Variabelen!B$32</f>
        <v>0.45</v>
      </c>
      <c r="J120" s="975"/>
      <c r="K120" s="975"/>
      <c r="L120" s="976"/>
      <c r="M120" s="3" t="s">
        <v>527</v>
      </c>
      <c r="N120" s="4" t="s">
        <v>458</v>
      </c>
      <c r="O120" s="4" t="s">
        <v>459</v>
      </c>
      <c r="P120" s="4" t="str">
        <f>-Variabelen!B$31&amp;","&amp;-0.5*I120</f>
        <v>-1,-0.225</v>
      </c>
      <c r="Q120" s="15">
        <f>I120</f>
        <v>0.45</v>
      </c>
      <c r="R120" s="15">
        <v>0</v>
      </c>
      <c r="S120" s="3" t="str">
        <f>G120</f>
        <v>N.A.P.</v>
      </c>
      <c r="T120" s="4"/>
      <c r="U120" s="14"/>
    </row>
    <row r="121" spans="1:21" s="979" customFormat="1" ht="15" customHeight="1" x14ac:dyDescent="0.25">
      <c r="A121" s="993">
        <v>-7</v>
      </c>
      <c r="B121" s="993"/>
      <c r="C121" s="974"/>
      <c r="D121" s="974"/>
      <c r="E121" s="974"/>
      <c r="F121" s="974"/>
      <c r="G121" s="978" t="str">
        <f>Variabelen!B3&amp;". INTREDE"</f>
        <v>A. INTREDE</v>
      </c>
      <c r="H121" s="975"/>
      <c r="I121" s="975">
        <f>1.5*I120</f>
        <v>0.67500000000000004</v>
      </c>
      <c r="J121" s="975"/>
      <c r="K121" s="975"/>
      <c r="L121" s="976"/>
      <c r="M121" s="3" t="s">
        <v>527</v>
      </c>
      <c r="N121" s="4" t="s">
        <v>458</v>
      </c>
      <c r="O121" s="4" t="s">
        <v>459</v>
      </c>
      <c r="P121" s="4" t="str">
        <f>IF(Ontwerp!BO291&lt;0,A121&amp;","&amp;Variabelen!B$28,0&amp;","&amp;Ontwerp!BO291+Variabelen!B$28)</f>
        <v>0,1.5</v>
      </c>
      <c r="Q121" s="15">
        <f>I121</f>
        <v>0.67500000000000004</v>
      </c>
      <c r="R121" s="15">
        <v>0</v>
      </c>
      <c r="S121" s="3" t="str">
        <f>G121</f>
        <v>A. INTREDE</v>
      </c>
      <c r="T121" s="4"/>
      <c r="U121" s="14"/>
    </row>
    <row r="122" spans="1:21" s="979" customFormat="1" ht="15" customHeight="1" x14ac:dyDescent="0.25">
      <c r="A122" s="993"/>
      <c r="B122" s="993"/>
      <c r="C122" s="974"/>
      <c r="D122" s="974"/>
      <c r="E122" s="974"/>
      <c r="F122" s="974"/>
      <c r="G122" s="978" t="str">
        <f>Variabelen!B5&amp;". UITTREDE"</f>
        <v>B. UITTREDE</v>
      </c>
      <c r="H122" s="975"/>
      <c r="I122" s="975">
        <f>1.5*I120</f>
        <v>0.67500000000000004</v>
      </c>
      <c r="J122" s="975"/>
      <c r="K122" s="975"/>
      <c r="L122" s="976"/>
      <c r="M122" s="3" t="s">
        <v>527</v>
      </c>
      <c r="N122" s="4" t="s">
        <v>458</v>
      </c>
      <c r="O122" s="4" t="s">
        <v>462</v>
      </c>
      <c r="P122" s="4" t="str">
        <f>IF(Ontwerp!BO291&lt;0,Ontwerp!C16&amp;","&amp;Variabelen!B$28,Ontwerp!C16&amp;","&amp;Ontwerp!BO291+Variabelen!B$28)</f>
        <v>226.722690871591,1.5</v>
      </c>
      <c r="Q122" s="15">
        <f>I122</f>
        <v>0.67500000000000004</v>
      </c>
      <c r="R122" s="15">
        <v>0</v>
      </c>
      <c r="S122" s="3" t="str">
        <f>G122</f>
        <v>B. UITTREDE</v>
      </c>
      <c r="T122" s="4"/>
      <c r="U122" s="4"/>
    </row>
    <row r="123" spans="1:21" s="979" customFormat="1" x14ac:dyDescent="0.2">
      <c r="A123" s="974"/>
      <c r="B123" s="974"/>
      <c r="C123" s="974"/>
      <c r="D123" s="974"/>
      <c r="E123" s="974"/>
      <c r="F123" s="974"/>
      <c r="G123" s="975"/>
      <c r="H123" s="975"/>
      <c r="I123" s="975"/>
      <c r="J123" s="975"/>
      <c r="K123" s="975"/>
      <c r="L123" s="976"/>
      <c r="M123" s="46" t="s">
        <v>497</v>
      </c>
      <c r="N123" s="47">
        <v>3</v>
      </c>
      <c r="O123" s="47" t="s">
        <v>498</v>
      </c>
      <c r="P123" s="47">
        <v>0</v>
      </c>
      <c r="Q123" s="47" t="s">
        <v>499</v>
      </c>
      <c r="R123" s="47">
        <f>Ontwerp!BN336</f>
        <v>3</v>
      </c>
      <c r="S123" s="47" t="s">
        <v>500</v>
      </c>
      <c r="T123" s="47">
        <v>1</v>
      </c>
      <c r="U123" s="47"/>
    </row>
    <row r="124" spans="1:21" s="979" customFormat="1" ht="15" customHeight="1" x14ac:dyDescent="0.25">
      <c r="A124" s="1006" t="s">
        <v>577</v>
      </c>
      <c r="B124" s="993"/>
      <c r="C124" s="974"/>
      <c r="D124" s="974"/>
      <c r="E124" s="974"/>
      <c r="F124" s="974"/>
      <c r="G124" s="999"/>
      <c r="H124" s="975"/>
      <c r="I124" s="975"/>
      <c r="J124" s="975"/>
      <c r="K124" s="975"/>
      <c r="L124" s="976"/>
      <c r="M124" s="3" t="s">
        <v>540</v>
      </c>
      <c r="N124" s="4" t="str">
        <f>VLOOKUP(N123,Ontwerp!BN$329:CB$335,4,FALSE)</f>
        <v>-11,-16.0407652139664</v>
      </c>
      <c r="O124" s="4" t="str">
        <f>VLOOKUP(N123,Ontwerp!BN$329:CB$335,5,FALSE)</f>
        <v>227.222690871591,-16.0407652139664</v>
      </c>
      <c r="P124" s="4" t="s">
        <v>495</v>
      </c>
      <c r="Q124" s="15"/>
      <c r="R124" s="15"/>
      <c r="S124" s="4"/>
      <c r="T124" s="4"/>
      <c r="U124" s="14"/>
    </row>
    <row r="125" spans="1:21" s="979" customFormat="1" ht="15" customHeight="1" x14ac:dyDescent="0.25">
      <c r="A125" s="1017"/>
      <c r="B125" s="993"/>
      <c r="C125" s="974"/>
      <c r="D125" s="974"/>
      <c r="E125" s="974"/>
      <c r="F125" s="974"/>
      <c r="G125" s="978" t="s">
        <v>578</v>
      </c>
      <c r="H125" s="975"/>
      <c r="I125" s="975">
        <f>Variabelen!B$32</f>
        <v>0.45</v>
      </c>
      <c r="J125" s="975"/>
      <c r="K125" s="975">
        <v>0</v>
      </c>
      <c r="L125" s="976"/>
      <c r="M125" s="3" t="s">
        <v>527</v>
      </c>
      <c r="N125" s="4" t="s">
        <v>458</v>
      </c>
      <c r="O125" s="4" t="s">
        <v>459</v>
      </c>
      <c r="P125" s="4" t="str">
        <f>VLOOKUP(N123,Ontwerp!BN$329:CB$335,11,FALSE)</f>
        <v>-2.7,-15.8157652139664</v>
      </c>
      <c r="Q125" s="15">
        <f>I125</f>
        <v>0.45</v>
      </c>
      <c r="R125" s="15">
        <v>0</v>
      </c>
      <c r="S125" s="3" t="str">
        <f>VLOOKUP(N123,Ontwerp!BN$329:CB$335,14,FALSE)</f>
        <v>Horiz. afstand tov Intrede (m)</v>
      </c>
      <c r="T125" s="4"/>
      <c r="U125" s="14"/>
    </row>
    <row r="126" spans="1:21" s="979" customFormat="1" ht="15" customHeight="1" x14ac:dyDescent="0.25">
      <c r="A126" s="1017"/>
      <c r="B126" s="993"/>
      <c r="C126" s="974"/>
      <c r="D126" s="974"/>
      <c r="E126" s="974"/>
      <c r="F126" s="974"/>
      <c r="G126" s="978"/>
      <c r="H126" s="975"/>
      <c r="I126" s="975"/>
      <c r="J126" s="975"/>
      <c r="K126" s="975"/>
      <c r="L126" s="976"/>
      <c r="M126" s="977"/>
      <c r="N126" s="978"/>
      <c r="O126" s="978"/>
      <c r="P126" s="978"/>
      <c r="Q126" s="975"/>
      <c r="R126" s="975"/>
      <c r="S126" s="977"/>
      <c r="T126" s="978"/>
      <c r="U126" s="1001"/>
    </row>
    <row r="127" spans="1:21" s="979" customFormat="1" ht="15" customHeight="1" x14ac:dyDescent="0.25">
      <c r="A127" s="1017"/>
      <c r="B127" s="993"/>
      <c r="C127" s="974"/>
      <c r="D127" s="974"/>
      <c r="E127" s="974"/>
      <c r="F127" s="974"/>
      <c r="G127" s="978"/>
      <c r="H127" s="975"/>
      <c r="I127" s="975"/>
      <c r="J127" s="975"/>
      <c r="K127" s="975"/>
      <c r="L127" s="976"/>
      <c r="M127" s="977"/>
      <c r="N127" s="978"/>
      <c r="O127" s="978"/>
      <c r="P127" s="978"/>
      <c r="Q127" s="975"/>
      <c r="R127" s="975"/>
      <c r="S127" s="977"/>
      <c r="T127" s="978"/>
      <c r="U127" s="1001"/>
    </row>
    <row r="128" spans="1:21" s="979" customFormat="1" ht="15" customHeight="1" x14ac:dyDescent="0.25">
      <c r="A128" s="1006" t="s">
        <v>579</v>
      </c>
      <c r="B128" s="993"/>
      <c r="C128" s="974"/>
      <c r="D128" s="974"/>
      <c r="E128" s="974"/>
      <c r="F128" s="974"/>
      <c r="G128" s="978"/>
      <c r="H128" s="975"/>
      <c r="I128" s="975"/>
      <c r="J128" s="975"/>
      <c r="K128" s="975"/>
      <c r="L128" s="976"/>
      <c r="M128" s="353" t="s">
        <v>503</v>
      </c>
      <c r="N128" s="354"/>
      <c r="O128" s="354"/>
      <c r="P128" s="354"/>
      <c r="Q128" s="358"/>
      <c r="R128" s="354"/>
      <c r="S128" s="354"/>
      <c r="T128" s="354"/>
      <c r="U128" s="68"/>
    </row>
    <row r="129" spans="1:21" s="979" customFormat="1" ht="15" customHeight="1" x14ac:dyDescent="0.25">
      <c r="A129" s="1022" t="s">
        <v>580</v>
      </c>
      <c r="B129" s="974"/>
      <c r="C129" s="974"/>
      <c r="D129" s="974"/>
      <c r="E129" s="974"/>
      <c r="F129" s="974"/>
      <c r="G129" s="978"/>
      <c r="H129" s="975"/>
      <c r="I129" s="975"/>
      <c r="J129" s="975"/>
      <c r="K129" s="975"/>
      <c r="L129" s="976"/>
      <c r="M129" s="351" t="s">
        <v>581</v>
      </c>
      <c r="N129" s="352" t="s">
        <v>582</v>
      </c>
      <c r="O129" s="360" t="str">
        <f t="array" ref="O129">POINT(A130,B130)</f>
        <v>-20,-18.4907652139664</v>
      </c>
      <c r="P129" s="360" t="str">
        <f t="array" ref="P129">POINT(C130,D130)</f>
        <v>251.722690871591,11.4057207107544</v>
      </c>
      <c r="Q129" s="15"/>
      <c r="R129" s="4"/>
      <c r="S129" s="4"/>
      <c r="T129" s="4"/>
      <c r="U129" s="14"/>
    </row>
    <row r="130" spans="1:21" s="979" customFormat="1" ht="15" customHeight="1" x14ac:dyDescent="0.25">
      <c r="A130" s="974">
        <v>-20</v>
      </c>
      <c r="B130" s="993">
        <f>Ontwerp!AB287-10</f>
        <v>-18.49076521396637</v>
      </c>
      <c r="C130" s="974">
        <f>Ontwerp!I285+E130</f>
        <v>251.72269087159117</v>
      </c>
      <c r="D130" s="975">
        <f>Ontwerp!AB286+10</f>
        <v>11.405720710754395</v>
      </c>
      <c r="E130" s="974">
        <v>25</v>
      </c>
      <c r="F130" s="974"/>
      <c r="G130" s="975"/>
      <c r="H130" s="975"/>
      <c r="I130" s="975"/>
      <c r="J130" s="975"/>
      <c r="K130" s="975"/>
      <c r="L130" s="976"/>
      <c r="M130" s="977"/>
      <c r="N130" s="978"/>
      <c r="O130" s="978"/>
      <c r="P130" s="975"/>
      <c r="Q130" s="975"/>
      <c r="R130" s="975"/>
      <c r="S130" s="975"/>
      <c r="T130" s="978"/>
      <c r="U130" s="1001"/>
    </row>
    <row r="131" spans="1:21" s="979" customFormat="1" ht="15" customHeight="1" x14ac:dyDescent="0.25">
      <c r="A131" s="1023" t="s">
        <v>583</v>
      </c>
      <c r="B131" s="1024"/>
      <c r="C131" s="1025"/>
      <c r="E131" s="1025"/>
      <c r="F131" s="974"/>
      <c r="G131" s="1010"/>
      <c r="H131" s="975"/>
      <c r="I131" s="975"/>
      <c r="J131" s="975"/>
      <c r="K131" s="975"/>
      <c r="L131" s="976"/>
      <c r="M131" s="353" t="s">
        <v>497</v>
      </c>
      <c r="N131" s="354">
        <v>96</v>
      </c>
      <c r="O131" s="354" t="s">
        <v>498</v>
      </c>
      <c r="P131" s="354">
        <v>1</v>
      </c>
      <c r="Q131" s="354" t="s">
        <v>499</v>
      </c>
      <c r="R131" s="354">
        <f>Ontwerp!A262</f>
        <v>96</v>
      </c>
      <c r="S131" s="354" t="s">
        <v>500</v>
      </c>
      <c r="T131" s="354">
        <v>1</v>
      </c>
      <c r="U131" s="68"/>
    </row>
    <row r="132" spans="1:21" s="979" customFormat="1" ht="15" customHeight="1" x14ac:dyDescent="0.25">
      <c r="A132" s="1026" t="s">
        <v>584</v>
      </c>
      <c r="B132" s="1027">
        <f>Ontwerp!A262</f>
        <v>96</v>
      </c>
      <c r="C132" s="1025"/>
      <c r="E132" s="1025"/>
      <c r="F132" s="974"/>
      <c r="G132" s="1010"/>
      <c r="H132" s="975"/>
      <c r="I132" s="975"/>
      <c r="J132" s="975"/>
      <c r="K132" s="975"/>
      <c r="L132" s="976"/>
      <c r="M132" s="909" t="str">
        <f>IF(B132=0,"","_LAYER")</f>
        <v>_LAYER</v>
      </c>
      <c r="N132" s="352" t="str">
        <f>IF(B132=0,"","_Set")</f>
        <v>_Set</v>
      </c>
      <c r="O132" s="355"/>
      <c r="P132" s="909" t="str">
        <f>IF(B132=0,"","MAATVOERING-GRIJS")</f>
        <v>MAATVOERING-GRIJS</v>
      </c>
      <c r="Q132" s="352" t="str">
        <f>IF(B132=0,"",";")</f>
        <v>;</v>
      </c>
      <c r="R132" s="352"/>
      <c r="S132" s="352"/>
      <c r="T132" s="352"/>
      <c r="U132" s="14"/>
    </row>
    <row r="133" spans="1:21" s="979" customFormat="1" ht="15" customHeight="1" x14ac:dyDescent="0.25">
      <c r="A133" s="1023"/>
      <c r="B133" s="1024"/>
      <c r="C133" s="1025"/>
      <c r="E133" s="1025"/>
      <c r="F133" s="974"/>
      <c r="G133" s="1010"/>
      <c r="H133" s="975"/>
      <c r="I133" s="975"/>
      <c r="J133" s="975"/>
      <c r="K133" s="975"/>
      <c r="L133" s="976"/>
      <c r="M133" s="975" t="str">
        <f>IF(B132=0,"",IF(VLOOKUP(N131,Ontwerp!A62:N261,2,FALSE)="rv","_CIRCLE",""))</f>
        <v/>
      </c>
      <c r="N133" s="1008" t="str">
        <f>IF(B132=0,"",IF(VLOOKUP(N131,Ontwerp!A62:N261,9,FALSE)="","",N134))</f>
        <v/>
      </c>
      <c r="O133" s="978" t="str">
        <f>IF(B132=0,"",IF(VLOOKUP(N131,Ontwerp!A62:N261,9,FALSE)="","",O134))</f>
        <v/>
      </c>
      <c r="P133" s="978" t="str">
        <f>IF(B132=0,"",IF(VLOOKUP(N131,Ontwerp!A62:N261,9,FALSE)="","",VLOOKUP(N131,Ontwerp!A62:N261,9,FALSE)/1000))</f>
        <v/>
      </c>
      <c r="R133" s="986"/>
      <c r="S133" s="986"/>
      <c r="T133" s="986"/>
      <c r="U133" s="1001"/>
    </row>
    <row r="134" spans="1:21" s="979" customFormat="1" ht="15" customHeight="1" x14ac:dyDescent="0.25">
      <c r="A134" s="1026" t="s">
        <v>585</v>
      </c>
      <c r="B134" s="1024"/>
      <c r="C134" s="1025"/>
      <c r="E134" s="1025"/>
      <c r="F134" s="974"/>
      <c r="G134" s="1010"/>
      <c r="H134" s="975"/>
      <c r="I134" s="975"/>
      <c r="J134" s="975"/>
      <c r="K134" s="975"/>
      <c r="L134" s="976"/>
      <c r="M134" s="351" t="str">
        <f>IF(B132=0,"","_CIRCLE")</f>
        <v>_CIRCLE</v>
      </c>
      <c r="N134" s="910" t="str">
        <f t="array" ref="N134">IF(B132=0,"",POINT((VLOOKUP(N131,Ontwerp!A62:N261,5,FALSE)),(VLOOKUP(N131,Ontwerp!A62:N261,12,FALSE))))</f>
        <v>231.414,.531496534347534</v>
      </c>
      <c r="O134" s="352" t="str">
        <f>IF(B132=0,"","_D")</f>
        <v>_D</v>
      </c>
      <c r="P134" s="352">
        <f>IF(B132=0,"",(VLOOKUP(N131,Ontwerp!A62:N261,8,FALSE))/1000)</f>
        <v>0.08</v>
      </c>
      <c r="Q134" s="15"/>
      <c r="R134" s="352"/>
      <c r="S134" s="352"/>
      <c r="T134" s="352"/>
      <c r="U134" s="14"/>
    </row>
    <row r="135" spans="1:21" s="979" customFormat="1" ht="15" customHeight="1" x14ac:dyDescent="0.25">
      <c r="A135" s="1023"/>
      <c r="B135" s="993"/>
      <c r="C135" s="974"/>
      <c r="D135" s="975"/>
      <c r="E135" s="974"/>
      <c r="F135" s="1025"/>
      <c r="G135" s="1027"/>
      <c r="L135" s="1028"/>
      <c r="Q135" s="975"/>
      <c r="R135" s="986"/>
      <c r="S135" s="986"/>
      <c r="T135" s="986"/>
      <c r="U135" s="1001"/>
    </row>
    <row r="136" spans="1:21" s="979" customFormat="1" x14ac:dyDescent="0.2">
      <c r="L136" s="1028"/>
      <c r="M136" s="909" t="str">
        <f>IF(B132=0,"","_LAYER")</f>
        <v>_LAYER</v>
      </c>
      <c r="N136" s="352" t="str">
        <f>IF(B132=0,"","_Set")</f>
        <v>_Set</v>
      </c>
      <c r="O136" s="355"/>
      <c r="P136" s="909" t="str">
        <f>IF(B132=0,"",VLOOKUP(N131,Ontwerp!A62:N261,14,FALSE))</f>
        <v>LAAGSPANNING</v>
      </c>
      <c r="Q136" s="352" t="str">
        <f>IF(B132=0,"",";")</f>
        <v>;</v>
      </c>
      <c r="R136" s="355"/>
      <c r="S136" s="352"/>
      <c r="T136" s="15"/>
      <c r="U136" s="14"/>
    </row>
    <row r="137" spans="1:21" s="979" customFormat="1" ht="15" customHeight="1" x14ac:dyDescent="0.25">
      <c r="A137" s="975"/>
      <c r="B137" s="975"/>
      <c r="C137" s="975"/>
      <c r="D137" s="975"/>
      <c r="E137" s="975"/>
      <c r="F137" s="974"/>
      <c r="G137" s="1010"/>
      <c r="H137" s="975"/>
      <c r="I137" s="975"/>
      <c r="J137" s="975"/>
      <c r="K137" s="975"/>
      <c r="L137" s="1028"/>
      <c r="M137" s="351" t="str">
        <f>IF(B132=0,"","_HATCH")</f>
        <v>_HATCH</v>
      </c>
      <c r="N137" s="352" t="str">
        <f>IF(B132=0,"","S")</f>
        <v>S</v>
      </c>
      <c r="O137" s="15"/>
      <c r="P137" s="910" t="str">
        <f>IF(B132=0,"",((VLOOKUP(N131,Ontwerp!A62:N261,5,FALSE)))&amp;","&amp;((VLOOKUP(N131,Ontwerp!A62:N261,12,FALSE))-((P134*0.49))))</f>
        <v>231.414,0.492296534347534</v>
      </c>
      <c r="Q137" s="4" t="str">
        <f>IF(B132=0,"",";")</f>
        <v>;</v>
      </c>
      <c r="R137" s="355"/>
      <c r="S137" s="352"/>
      <c r="T137" s="352"/>
      <c r="U137" s="14"/>
    </row>
    <row r="138" spans="1:21" s="979" customFormat="1" ht="15" customHeight="1" x14ac:dyDescent="0.25">
      <c r="A138" s="975" t="s">
        <v>586</v>
      </c>
      <c r="B138" s="975"/>
      <c r="C138" s="975"/>
      <c r="D138" s="975"/>
      <c r="E138" s="975">
        <v>0.7</v>
      </c>
      <c r="F138" s="974"/>
      <c r="G138" s="1029" t="str">
        <f>IF(B132=0,"",IF(VLOOKUP(N131,Ontwerp!A62:N261,2,FALSE)="rv","MAATVOERING",IF(VLOOKUP(N131,Ontwerp!A62:N261,3,FALSE)&lt;&gt;"","MAATVOERING","")))</f>
        <v/>
      </c>
      <c r="H138" s="975"/>
      <c r="I138" s="975"/>
      <c r="J138" s="975"/>
      <c r="K138" s="975"/>
      <c r="L138" s="1028"/>
      <c r="M138" s="985" t="str">
        <f>IF(G138="","","_LAYER")</f>
        <v/>
      </c>
      <c r="N138" s="986" t="str">
        <f>IF(G138="","","_Set")</f>
        <v/>
      </c>
      <c r="O138" s="986"/>
      <c r="P138" s="985" t="str">
        <f>IF(G138="","",G138)</f>
        <v/>
      </c>
      <c r="Q138" s="986" t="str">
        <f>IF(G138="","",";")</f>
        <v/>
      </c>
      <c r="R138" s="978"/>
      <c r="S138" s="986"/>
      <c r="T138" s="978"/>
      <c r="U138" s="1030"/>
    </row>
    <row r="139" spans="1:21" s="979" customFormat="1" ht="15" customHeight="1" x14ac:dyDescent="0.25">
      <c r="A139" s="975"/>
      <c r="B139" s="975"/>
      <c r="C139" s="975"/>
      <c r="D139" s="975">
        <f>VLOOKUP(N131,Ontwerp!A62:L261,6,FALSE)</f>
        <v>0</v>
      </c>
      <c r="E139" s="974">
        <f>VLOOKUP(N131,Ontwerp!A62:L261,8,FALSE)/2000</f>
        <v>0.04</v>
      </c>
      <c r="F139" s="975">
        <f>IF(D139&gt;0,-0.3,0.3)</f>
        <v>0.3</v>
      </c>
      <c r="G139" s="1010"/>
      <c r="H139" s="975"/>
      <c r="J139" s="975"/>
      <c r="K139" s="975"/>
      <c r="L139" s="976"/>
      <c r="M139" s="978" t="str">
        <f>IF(B132=0,"",IF(VLOOKUP(N131,Ontwerp!A62:N261,2,FALSE)="rv","_DIMLINEAR",""))</f>
        <v/>
      </c>
      <c r="N139" s="978" t="str">
        <f t="array" ref="N139">IF(B132=0,"",IF(VLOOKUP(N131,Ontwerp!A62:N261,2,FALSE)="rv",POINT(C141,E141),""))</f>
        <v/>
      </c>
      <c r="O139" s="978" t="str">
        <f t="array" ref="O139">IF(B132=0,"",IF(VLOOKUP(N131,Ontwerp!A62:N261,2,FALSE)="rv",POINT(C141,D139),""))</f>
        <v/>
      </c>
      <c r="P139" s="978" t="str">
        <f>IF(B132=0,"",IF(VLOOKUP(N131,Ontwerp!A62:N261,2,FALSE)="rv",";",""))</f>
        <v/>
      </c>
      <c r="Q139" s="978" t="str">
        <f t="array" ref="Q139">IF(B132=0,"",IF(VLOOKUP(N131,Ontwerp!A62:N261,2,FALSE)="rv",POINT(C141+E139+E138,D139+F139),""))</f>
        <v/>
      </c>
      <c r="R139" s="986"/>
      <c r="S139" s="986"/>
      <c r="T139" s="986"/>
      <c r="U139" s="1030"/>
    </row>
    <row r="140" spans="1:21" s="979" customFormat="1" ht="15" customHeight="1" x14ac:dyDescent="0.25">
      <c r="A140" s="975"/>
      <c r="B140" s="975"/>
      <c r="C140" s="975"/>
      <c r="D140" s="975"/>
      <c r="E140" s="974"/>
      <c r="F140" s="975"/>
      <c r="G140" s="1010"/>
      <c r="H140" s="975"/>
      <c r="J140" s="975"/>
      <c r="K140" s="975"/>
      <c r="L140" s="976"/>
      <c r="M140" s="978"/>
      <c r="N140" s="978"/>
      <c r="O140" s="978"/>
      <c r="P140" s="978"/>
      <c r="Q140" s="978"/>
      <c r="R140" s="986"/>
      <c r="S140" s="986"/>
      <c r="T140" s="986"/>
      <c r="U140" s="1030"/>
    </row>
    <row r="141" spans="1:21" s="979" customFormat="1" ht="15" customHeight="1" x14ac:dyDescent="0.25">
      <c r="A141" s="993">
        <v>0</v>
      </c>
      <c r="B141" s="993">
        <f>Ontwerp!G49</f>
        <v>1.0092347860336299</v>
      </c>
      <c r="C141" s="975">
        <f>VLOOKUP(N131,Ontwerp!A62:N261,5,FALSE)</f>
        <v>231.41399999999999</v>
      </c>
      <c r="D141" s="974">
        <f>VLOOKUP(N131,Ontwerp!A62:L261,12,FALSE)+(0.5*VLOOKUP(N131,Ontwerp!A62:N261,8,FALSE)/1000)</f>
        <v>0.571496534347534</v>
      </c>
      <c r="E141" s="974">
        <v>0</v>
      </c>
      <c r="F141" s="974">
        <f>B141+(0.8)</f>
        <v>1.80923478603363</v>
      </c>
      <c r="G141" s="975"/>
      <c r="H141" s="975"/>
      <c r="I141" s="975"/>
      <c r="J141" s="975"/>
      <c r="K141" s="975"/>
      <c r="L141" s="976"/>
      <c r="M141" s="978" t="str">
        <f>IF(B132=0,"",IF(VLOOKUP(N131,Ontwerp!A62:N261,3,FALSE)="","","_DIMLINEAR"))</f>
        <v/>
      </c>
      <c r="N141" s="978" t="str">
        <f>IF(B132=0,"",IF(VLOOKUP(N131,Ontwerp!A62:N261,3,FALSE)="","",POINT(A141,B141)))</f>
        <v/>
      </c>
      <c r="O141" s="978" t="str">
        <f>IF(B132=0,"",IF(VLOOKUP(N131,Ontwerp!A62:N261,3,FALSE)="","",POINT(C141,D141)))</f>
        <v/>
      </c>
      <c r="P141" s="978" t="str">
        <f>IF(B132=0,"",IF(VLOOKUP(N131,Ontwerp!A62:N261,3,FALSE)="","",";"))</f>
        <v/>
      </c>
      <c r="Q141" s="978" t="str">
        <f>IF(B132=0,"",IF(VLOOKUP(N131,Ontwerp!A62:N261,3,FALSE)="","",POINT(E141,F141)))</f>
        <v/>
      </c>
      <c r="R141" s="978"/>
      <c r="S141" s="978"/>
      <c r="T141" s="978"/>
      <c r="U141" s="1030"/>
    </row>
    <row r="142" spans="1:21" s="979" customFormat="1" ht="15" customHeight="1" x14ac:dyDescent="0.25">
      <c r="A142" s="993"/>
      <c r="B142" s="993"/>
      <c r="C142" s="974">
        <f>C141+E142</f>
        <v>231.36399999999998</v>
      </c>
      <c r="D142" s="974">
        <v>1.1499999999999999</v>
      </c>
      <c r="E142" s="974">
        <v>-0.05</v>
      </c>
      <c r="F142" s="974">
        <f>F141+D142</f>
        <v>2.9592347860336297</v>
      </c>
      <c r="G142" s="1031">
        <f>VLOOKUP(N131,Ontwerp!A62:N261,3,FALSE)</f>
        <v>0</v>
      </c>
      <c r="H142" s="975"/>
      <c r="I142" s="975">
        <v>0.45</v>
      </c>
      <c r="J142" s="975"/>
      <c r="K142" s="975"/>
      <c r="L142" s="976"/>
      <c r="M142" s="978" t="str">
        <f>IF(B132=0,"",IF(VLOOKUP(N131,Ontwerp!A62:N261,3,FALSE)="","","_TEXT"))</f>
        <v/>
      </c>
      <c r="N142" s="978" t="str">
        <f>IF(B132=0,"",IF(VLOOKUP(N131,Ontwerp!A62:N261,3,FALSE)="","","_Justify"))</f>
        <v/>
      </c>
      <c r="O142" s="978" t="str">
        <f>IF(B132=0,"",IF(VLOOKUP(N131,Ontwerp!A62:N261,3,FALSE)="","","_R"))</f>
        <v/>
      </c>
      <c r="P142" s="978" t="str">
        <f t="array" ref="P142">IF(B132=0,"",IF(VLOOKUP(N131,Ontwerp!A62:N261,3,FALSE)="","",POINT(C142,F142)))</f>
        <v/>
      </c>
      <c r="Q142" s="978" t="str">
        <f>IF(B132=0,"",IF(VLOOKUP(N131,Ontwerp!A62:N261,3,FALSE)="","",I142))</f>
        <v/>
      </c>
      <c r="R142" s="978" t="str">
        <f>IF(B132=0,"",IF(VLOOKUP(N131,Ontwerp!A62:N261,3,FALSE)="","",0))</f>
        <v/>
      </c>
      <c r="S142" s="978" t="str">
        <f>IF(B132=0,"",IF(VLOOKUP(N131,Ontwerp!A62:N261,3,FALSE)="","",G142))</f>
        <v/>
      </c>
      <c r="T142" s="978"/>
      <c r="U142" s="1030"/>
    </row>
    <row r="143" spans="1:21" s="979" customFormat="1" ht="15" customHeight="1" x14ac:dyDescent="0.25">
      <c r="A143" s="993"/>
      <c r="B143" s="993"/>
      <c r="C143" s="974"/>
      <c r="D143" s="975"/>
      <c r="E143" s="974"/>
      <c r="F143" s="974"/>
      <c r="G143" s="1031"/>
      <c r="H143" s="975"/>
      <c r="I143" s="975"/>
      <c r="J143" s="975"/>
      <c r="K143" s="975"/>
      <c r="L143" s="976"/>
      <c r="M143" s="353" t="s">
        <v>503</v>
      </c>
      <c r="N143" s="354"/>
      <c r="O143" s="153"/>
      <c r="P143" s="354"/>
      <c r="Q143" s="153"/>
      <c r="R143" s="153"/>
      <c r="S143" s="354"/>
      <c r="T143" s="153"/>
      <c r="U143" s="68"/>
    </row>
    <row r="144" spans="1:21" s="979" customFormat="1" ht="15" customHeight="1" x14ac:dyDescent="0.25">
      <c r="A144" s="1006" t="s">
        <v>286</v>
      </c>
      <c r="B144" s="993"/>
      <c r="C144" s="974"/>
      <c r="D144" s="975"/>
      <c r="E144" s="974"/>
      <c r="F144" s="974"/>
      <c r="G144" s="1032"/>
      <c r="H144" s="975"/>
      <c r="I144" s="975"/>
      <c r="J144" s="975"/>
      <c r="K144" s="975"/>
      <c r="L144" s="976"/>
      <c r="M144" s="353" t="s">
        <v>497</v>
      </c>
      <c r="N144" s="354">
        <v>1</v>
      </c>
      <c r="O144" s="354" t="s">
        <v>498</v>
      </c>
      <c r="P144" s="354">
        <v>1</v>
      </c>
      <c r="Q144" s="354" t="s">
        <v>499</v>
      </c>
      <c r="R144" s="354">
        <f>Ontwerp!R43</f>
        <v>0</v>
      </c>
      <c r="S144" s="354" t="s">
        <v>500</v>
      </c>
      <c r="T144" s="354">
        <v>1</v>
      </c>
      <c r="U144" s="68"/>
    </row>
    <row r="145" spans="1:21" s="979" customFormat="1" ht="15" customHeight="1" x14ac:dyDescent="0.25">
      <c r="A145" s="1032" t="s">
        <v>587</v>
      </c>
      <c r="B145" s="974"/>
      <c r="C145" s="974"/>
      <c r="D145" s="974"/>
      <c r="E145" s="974"/>
      <c r="F145" s="974"/>
      <c r="G145" s="975"/>
      <c r="H145" s="975"/>
      <c r="I145" s="975"/>
      <c r="J145" s="975"/>
      <c r="K145" s="975"/>
      <c r="L145" s="976"/>
      <c r="M145" s="977" t="str">
        <f>IF(Ontwerp!R43=0,"","_LAYER")</f>
        <v/>
      </c>
      <c r="N145" s="978" t="str">
        <f>IF(Ontwerp!R43=0,"","_Set")</f>
        <v/>
      </c>
      <c r="O145" s="978" t="str">
        <f>IF(Ontwerp!R43=0,"",VLOOKUP(HLOOKUP(N144,Ontwerp!S43:X55,2,FALSE),Variabelen!A47:D58,2,FALSE))</f>
        <v/>
      </c>
      <c r="P145" s="978" t="str">
        <f>IF(Ontwerp!R43=0,"",";")</f>
        <v/>
      </c>
      <c r="Q145" s="975"/>
      <c r="R145" s="975"/>
      <c r="S145" s="978"/>
      <c r="T145" s="978"/>
      <c r="U145" s="1001"/>
    </row>
    <row r="146" spans="1:21" s="979" customFormat="1" ht="15" customHeight="1" x14ac:dyDescent="0.25">
      <c r="A146" s="1033" t="s">
        <v>505</v>
      </c>
      <c r="B146" s="993"/>
      <c r="C146" s="974"/>
      <c r="D146" s="974"/>
      <c r="E146" s="974"/>
      <c r="F146" s="974"/>
      <c r="G146" s="1032" t="s">
        <v>588</v>
      </c>
      <c r="H146" s="975"/>
      <c r="I146" s="975"/>
      <c r="J146" s="975"/>
      <c r="K146" s="975"/>
      <c r="L146" s="976"/>
      <c r="M146" s="977" t="str">
        <f>IF(Ontwerp!R43=0,"","_PLINE")</f>
        <v/>
      </c>
      <c r="N146" s="978" t="str">
        <f t="array" ref="N146">IF(Ontwerp!R43=0,"",POINT(HLOOKUP(N144,Ontwerp!S43:X55,4,FALSE),HLOOKUP(N144,Ontwerp!S43:X55,6,FALSE)-HLOOKUP(N144,Ontwerp!S43:X55,5,FALSE)))</f>
        <v/>
      </c>
      <c r="O146" s="978" t="str">
        <f t="array" ref="O146">IF(Ontwerp!R43=0,"",POINT(HLOOKUP(N144,Ontwerp!S43:X55,4,FALSE)+HLOOKUP(N144,Ontwerp!AJ41:AO59,5,FALSE),HLOOKUP(N144,Ontwerp!S43:X55,6,FALSE)+HLOOKUP(N144,Ontwerp!AJ41:AO59,4,FALSE)-HLOOKUP(N144,Ontwerp!S43:X55,5,FALSE)))</f>
        <v/>
      </c>
      <c r="P146" s="978" t="str">
        <f>IF(Ontwerp!A391=2,";","")</f>
        <v/>
      </c>
      <c r="Q146" s="975"/>
      <c r="R146" s="975"/>
      <c r="S146" s="978"/>
      <c r="T146" s="978"/>
      <c r="U146" s="1001"/>
    </row>
    <row r="147" spans="1:21" s="979" customFormat="1" ht="15" customHeight="1" x14ac:dyDescent="0.25">
      <c r="A147" s="1033" t="s">
        <v>508</v>
      </c>
      <c r="B147" s="993"/>
      <c r="C147" s="974"/>
      <c r="D147" s="974"/>
      <c r="E147" s="974"/>
      <c r="F147" s="974"/>
      <c r="G147" s="1032" t="s">
        <v>589</v>
      </c>
      <c r="H147" s="975"/>
      <c r="I147" s="975"/>
      <c r="J147" s="975"/>
      <c r="K147" s="975"/>
      <c r="L147" s="976"/>
      <c r="M147" s="977"/>
      <c r="N147" s="978" t="str">
        <f>IF(Ontwerp!R43=0,"","_A")</f>
        <v/>
      </c>
      <c r="O147" s="978" t="str">
        <f t="array" ref="O147">IF(Ontwerp!R43=0,"",POINT(HLOOKUP(N144,Ontwerp!S43:X55,4,FALSE)+HLOOKUP(N144,Ontwerp!AJ41:AO59,5,FALSE)+HLOOKUP(N144,Ontwerp!AJ41:AO59,8,FALSE),HLOOKUP(N144,Ontwerp!AJ41:AO59,2,FALSE)))</f>
        <v/>
      </c>
      <c r="P147" s="978"/>
      <c r="Q147" s="975"/>
      <c r="R147" s="978"/>
      <c r="S147" s="978"/>
      <c r="T147" s="978"/>
      <c r="U147" s="1001"/>
    </row>
    <row r="148" spans="1:21" s="979" customFormat="1" ht="15" customHeight="1" x14ac:dyDescent="0.25">
      <c r="A148" s="1033" t="s">
        <v>509</v>
      </c>
      <c r="B148" s="993"/>
      <c r="C148" s="974"/>
      <c r="D148" s="974"/>
      <c r="E148" s="974"/>
      <c r="F148" s="974"/>
      <c r="G148" s="1032" t="s">
        <v>590</v>
      </c>
      <c r="H148" s="975"/>
      <c r="I148" s="975"/>
      <c r="J148" s="975"/>
      <c r="K148" s="975"/>
      <c r="L148" s="976"/>
      <c r="M148" s="977"/>
      <c r="N148" s="978" t="str">
        <f>IF(Ontwerp!R43=0,"","_L")</f>
        <v/>
      </c>
      <c r="O148" s="978" t="str">
        <f t="array" ref="O148">IF(Ontwerp!R43=0,"",POINT(HLOOKUP(N144,Ontwerp!S43:X55,4,FALSE)+HLOOKUP(N144,Ontwerp!AJ41:AO59,5,FALSE)+HLOOKUP(N144,Ontwerp!AJ41:AO59,8,FALSE)+HLOOKUP(N144,Ontwerp!AJ41:AO59,11,FALSE),HLOOKUP(N144,Ontwerp!AJ41:AO59,2,FALSE)))</f>
        <v/>
      </c>
      <c r="P148" s="978"/>
      <c r="Q148" s="975"/>
      <c r="R148" s="978"/>
      <c r="S148" s="978"/>
      <c r="T148" s="978"/>
      <c r="U148" s="1001"/>
    </row>
    <row r="149" spans="1:21" s="979" customFormat="1" ht="15" customHeight="1" x14ac:dyDescent="0.25">
      <c r="A149" s="1033" t="s">
        <v>511</v>
      </c>
      <c r="B149" s="974"/>
      <c r="C149" s="974"/>
      <c r="D149" s="974"/>
      <c r="E149" s="974"/>
      <c r="F149" s="974"/>
      <c r="G149" s="1032" t="s">
        <v>591</v>
      </c>
      <c r="H149" s="975"/>
      <c r="I149" s="975"/>
      <c r="J149" s="975"/>
      <c r="K149" s="975"/>
      <c r="L149" s="976"/>
      <c r="M149" s="977"/>
      <c r="N149" s="978" t="str">
        <f>IF(Ontwerp!R43=0,"","_A")</f>
        <v/>
      </c>
      <c r="O149" s="978" t="str">
        <f t="array" ref="O149">IF(Ontwerp!R43=0,"",POINT(HLOOKUP(N144,Ontwerp!S43:X55,4,FALSE)+HLOOKUP(N144,Ontwerp!AJ41:AO59,5,FALSE)+HLOOKUP(N144,Ontwerp!AJ41:AO59,8,FALSE)+HLOOKUP(N144,Ontwerp!AJ41:AO59,11,FALSE)+HLOOKUP(N144,Ontwerp!AJ41:AO59,14,FALSE),HLOOKUP(N144,Ontwerp!S43:X55,9,FALSE)+HLOOKUP(N144,Ontwerp!AJ41:AO59,13,FALSE)))</f>
        <v/>
      </c>
      <c r="P149" s="978"/>
      <c r="Q149" s="975"/>
      <c r="R149" s="978"/>
      <c r="S149" s="978"/>
      <c r="T149" s="978"/>
      <c r="U149" s="1001"/>
    </row>
    <row r="150" spans="1:21" s="979" customFormat="1" ht="15" customHeight="1" x14ac:dyDescent="0.25">
      <c r="A150" s="1033" t="s">
        <v>512</v>
      </c>
      <c r="B150" s="974"/>
      <c r="C150" s="974"/>
      <c r="D150" s="974"/>
      <c r="E150" s="974"/>
      <c r="F150" s="974"/>
      <c r="G150" s="1032" t="s">
        <v>592</v>
      </c>
      <c r="H150" s="975"/>
      <c r="I150" s="975"/>
      <c r="J150" s="975"/>
      <c r="K150" s="975"/>
      <c r="L150" s="976"/>
      <c r="M150" s="977"/>
      <c r="N150" s="978" t="str">
        <f>IF(Ontwerp!R43=0,"","_L")</f>
        <v/>
      </c>
      <c r="O150" s="978" t="str">
        <f t="array" ref="O150">IF(Ontwerp!R43=0,"",POINT(HLOOKUP(N144,Ontwerp!S43:X55,12,FALSE),HLOOKUP(N144,Ontwerp!S43:X55,13,FALSE)-HLOOKUP(N144,Ontwerp!S43:X55,5,FALSE)))</f>
        <v/>
      </c>
      <c r="P150" s="978" t="str">
        <f>IF(Ontwerp!R43=0,"",";")</f>
        <v/>
      </c>
      <c r="Q150" s="975"/>
      <c r="R150" s="978"/>
      <c r="S150" s="978"/>
      <c r="T150" s="978"/>
      <c r="U150" s="1001"/>
    </row>
    <row r="151" spans="1:21" s="979" customFormat="1" ht="15" customHeight="1" x14ac:dyDescent="0.25">
      <c r="A151" s="1033"/>
      <c r="B151" s="974"/>
      <c r="C151" s="974"/>
      <c r="D151" s="974"/>
      <c r="E151" s="974"/>
      <c r="F151" s="974">
        <v>0.5</v>
      </c>
      <c r="G151" s="1034" t="s">
        <v>593</v>
      </c>
      <c r="H151" s="975"/>
      <c r="I151" s="975">
        <v>0.45</v>
      </c>
      <c r="J151" s="975"/>
      <c r="K151" s="975"/>
      <c r="L151" s="976"/>
      <c r="M151" s="977" t="str">
        <f>IF(Ontwerp!R43=0,"","_TEXT")</f>
        <v/>
      </c>
      <c r="N151" s="978" t="str">
        <f>IF(Ontwerp!R43=0,"","_Justify")</f>
        <v/>
      </c>
      <c r="O151" s="978" t="str">
        <f>IF(Ontwerp!R43=0,"","_C")</f>
        <v/>
      </c>
      <c r="P151" s="978" t="str">
        <f t="array" ref="P151">IF(Ontwerp!R43=0,"",POINT(HLOOKUP(N144,Ontwerp!S43:X55,4,FALSE)+HLOOKUP(N144,Ontwerp!AJ41:AO59,5,FALSE)+HLOOKUP(N144,Ontwerp!AJ41:AO59,8,FALSE)+0.5*HLOOKUP(N144,Ontwerp!AJ41:AO59,11,FALSE),HLOOKUP(N144,Ontwerp!S43:X55,9,FALSE)+F151))</f>
        <v/>
      </c>
      <c r="Q151" s="978" t="str">
        <f>IF(Ontwerp!R43=0,"",I151)</f>
        <v/>
      </c>
      <c r="R151" s="978" t="str">
        <f>IF(Ontwerp!R43=0,"",0)</f>
        <v/>
      </c>
      <c r="S151" s="978" t="str">
        <f>IF(Ontwerp!R43=0,"",G151&amp;HLOOKUP(N144,Ontwerp!S43:X55,3,FALSE)&amp;" "&amp;O145)</f>
        <v/>
      </c>
      <c r="T151" s="978"/>
      <c r="U151" s="1001"/>
    </row>
    <row r="152" spans="1:21" s="979" customFormat="1" ht="15" customHeight="1" x14ac:dyDescent="0.25">
      <c r="A152" s="993"/>
      <c r="B152" s="993"/>
      <c r="C152" s="974"/>
      <c r="D152" s="975"/>
      <c r="E152" s="974"/>
      <c r="F152" s="974"/>
      <c r="G152" s="1032"/>
      <c r="H152" s="975"/>
      <c r="I152" s="975"/>
      <c r="J152" s="975"/>
      <c r="K152" s="975"/>
      <c r="L152" s="976"/>
      <c r="M152" s="353" t="s">
        <v>503</v>
      </c>
      <c r="N152" s="354"/>
      <c r="O152" s="153"/>
      <c r="P152" s="354"/>
      <c r="Q152" s="47"/>
      <c r="R152" s="47"/>
      <c r="S152" s="47"/>
      <c r="T152" s="48"/>
      <c r="U152" s="68"/>
    </row>
    <row r="153" spans="1:21" s="979" customFormat="1" ht="15" customHeight="1" x14ac:dyDescent="0.25">
      <c r="A153" s="993"/>
      <c r="B153" s="993"/>
      <c r="C153" s="974"/>
      <c r="D153" s="975"/>
      <c r="E153" s="974"/>
      <c r="F153" s="974"/>
      <c r="G153" s="1031"/>
      <c r="H153" s="975"/>
      <c r="I153" s="975"/>
      <c r="J153" s="975"/>
      <c r="K153" s="975"/>
      <c r="L153" s="976"/>
      <c r="M153" s="3" t="s">
        <v>493</v>
      </c>
      <c r="N153" s="4" t="s">
        <v>494</v>
      </c>
      <c r="O153" s="4" t="s">
        <v>335</v>
      </c>
      <c r="P153" s="4" t="s">
        <v>495</v>
      </c>
      <c r="Q153" s="15"/>
      <c r="R153" s="15"/>
      <c r="S153" s="352"/>
      <c r="T153" s="15"/>
      <c r="U153" s="14"/>
    </row>
    <row r="154" spans="1:21" s="979" customFormat="1" ht="15" customHeight="1" x14ac:dyDescent="0.25">
      <c r="A154" s="993">
        <v>15</v>
      </c>
      <c r="B154" s="993">
        <v>-3</v>
      </c>
      <c r="C154" s="974"/>
      <c r="D154" s="975"/>
      <c r="E154" s="974"/>
      <c r="F154" s="974"/>
      <c r="G154" s="1035" t="str">
        <f>"WEERGAVE ANDERE GESTUURDE BORINGEN SLECHTS INDICATIEF"</f>
        <v>WEERGAVE ANDERE GESTUURDE BORINGEN SLECHTS INDICATIEF</v>
      </c>
      <c r="H154" s="975"/>
      <c r="I154" s="975">
        <v>0.5</v>
      </c>
      <c r="J154" s="975"/>
      <c r="K154" s="975"/>
      <c r="L154" s="976"/>
      <c r="M154" s="977" t="str">
        <f>IF(Ontwerp!R43=0,"","_TEXT")</f>
        <v/>
      </c>
      <c r="N154" s="978"/>
      <c r="O154" s="978"/>
      <c r="P154" s="978" t="str">
        <f>IF(Ontwerp!R43=0,"",_xlfn.SINGLE(POINT(A154,B154)))</f>
        <v/>
      </c>
      <c r="Q154" s="978" t="str">
        <f>IF(Ontwerp!R43=0,"",I154)</f>
        <v/>
      </c>
      <c r="R154" s="978" t="str">
        <f>IF(Ontwerp!R43=0,"",0)</f>
        <v/>
      </c>
      <c r="S154" s="978" t="str">
        <f>IF(Ontwerp!R43=0,"",G154)</f>
        <v/>
      </c>
      <c r="T154" s="978"/>
      <c r="U154" s="1001"/>
    </row>
    <row r="155" spans="1:21" s="979" customFormat="1" ht="15" customHeight="1" x14ac:dyDescent="0.25">
      <c r="A155" s="1006" t="s">
        <v>263</v>
      </c>
      <c r="B155" s="993"/>
      <c r="C155" s="974"/>
      <c r="D155" s="975"/>
      <c r="E155" s="974"/>
      <c r="F155" s="974"/>
      <c r="G155" s="1010"/>
      <c r="H155" s="975"/>
      <c r="I155" s="975"/>
      <c r="J155" s="975"/>
      <c r="K155" s="975"/>
      <c r="L155" s="976"/>
      <c r="M155" s="3" t="s">
        <v>493</v>
      </c>
      <c r="N155" s="4" t="s">
        <v>494</v>
      </c>
      <c r="O155" s="4" t="s">
        <v>557</v>
      </c>
      <c r="P155" s="4" t="s">
        <v>495</v>
      </c>
      <c r="Q155" s="352"/>
      <c r="R155" s="15"/>
      <c r="S155" s="352"/>
      <c r="T155" s="15"/>
      <c r="U155" s="14"/>
    </row>
    <row r="156" spans="1:21" s="979" customFormat="1" ht="15" customHeight="1" x14ac:dyDescent="0.25">
      <c r="A156" s="993" t="str">
        <f>IF(Ontwerp!C35="j",IF(Ontwerp!E35&gt;Ontwerp!F35+Ontwerp!H35,"ONDIEPE BORING",IF(Ontwerp!E35&lt;Ontwerp!G35-Ontwerp!H35,"DIEPE BORING","LET OP! BORING TE DICHT OP AFSLUITENDE LAAG")),IF(Ontwerp!C35="n","GEEN KWELPOLDER","MAAK KEUZE KWELPOLDER J/N"))</f>
        <v>GEEN KWELPOLDER</v>
      </c>
      <c r="B156" s="993"/>
      <c r="C156" s="974"/>
      <c r="D156" s="975" t="str">
        <f>IF(A156="ONDIEPE BORING",Ontwerp!F35,IF(A156="DIEPE BORING",Ontwerp!G35,"GEEN AFSLUITENDE LAAG"))</f>
        <v>GEEN AFSLUITENDE LAAG</v>
      </c>
      <c r="E156" s="974">
        <v>-11.5</v>
      </c>
      <c r="F156" s="974"/>
      <c r="G156" s="1010"/>
      <c r="H156" s="975"/>
      <c r="I156" s="975"/>
      <c r="J156" s="975"/>
      <c r="K156" s="975"/>
      <c r="L156" s="976"/>
      <c r="M156" s="977" t="str">
        <f>IF(Ontwerp!C35="j","_LINE","")</f>
        <v/>
      </c>
      <c r="N156" s="978" t="str">
        <f>IF(Ontwerp!C35="j",-Variabelen!B$30&amp;","&amp;D156,"")</f>
        <v/>
      </c>
      <c r="O156" s="978" t="str">
        <f>IF(Ontwerp!C35="j",Ontwerp!C16+Variabelen!B$30&amp;","&amp;D156,"")</f>
        <v/>
      </c>
      <c r="P156" s="978" t="str">
        <f>IF(Ontwerp!C35="j",";","")</f>
        <v/>
      </c>
      <c r="Q156" s="975"/>
      <c r="R156" s="975"/>
      <c r="S156" s="986"/>
      <c r="T156" s="975"/>
      <c r="U156" s="1001"/>
    </row>
    <row r="157" spans="1:21" s="979" customFormat="1" ht="15" customHeight="1" x14ac:dyDescent="0.25">
      <c r="A157" s="993"/>
      <c r="B157" s="993"/>
      <c r="C157" s="974"/>
      <c r="D157" s="975"/>
      <c r="E157" s="974"/>
      <c r="F157" s="974"/>
      <c r="G157" s="978" t="str">
        <f>IF(INPUT!D15="A3","ISO-4","ISO-5")</f>
        <v>ISO-5</v>
      </c>
      <c r="H157" s="975"/>
      <c r="I157" s="975"/>
      <c r="J157" s="975"/>
      <c r="K157" s="975"/>
      <c r="L157" s="976"/>
      <c r="M157" s="3" t="s">
        <v>549</v>
      </c>
      <c r="N157" s="4" t="s">
        <v>550</v>
      </c>
      <c r="O157" s="4" t="str">
        <f>G157</f>
        <v>ISO-5</v>
      </c>
      <c r="P157" s="4"/>
      <c r="Q157" s="15"/>
      <c r="R157" s="15"/>
      <c r="S157" s="352"/>
      <c r="T157" s="15"/>
      <c r="U157" s="14"/>
    </row>
    <row r="158" spans="1:21" s="979" customFormat="1" ht="15" customHeight="1" x14ac:dyDescent="0.25">
      <c r="A158" s="993"/>
      <c r="B158" s="993"/>
      <c r="C158" s="974"/>
      <c r="D158" s="975"/>
      <c r="E158" s="974">
        <v>1.25</v>
      </c>
      <c r="F158" s="974"/>
      <c r="G158" s="1010"/>
      <c r="H158" s="975"/>
      <c r="I158" s="975"/>
      <c r="J158" s="975"/>
      <c r="K158" s="975"/>
      <c r="L158" s="976"/>
      <c r="M158" s="3" t="s">
        <v>493</v>
      </c>
      <c r="N158" s="4" t="s">
        <v>494</v>
      </c>
      <c r="O158" s="4" t="s">
        <v>335</v>
      </c>
      <c r="P158" s="4" t="s">
        <v>495</v>
      </c>
      <c r="Q158" s="15"/>
      <c r="R158" s="15"/>
      <c r="S158" s="352"/>
      <c r="T158" s="15"/>
      <c r="U158" s="14"/>
    </row>
    <row r="159" spans="1:21" s="979" customFormat="1" ht="15" customHeight="1" x14ac:dyDescent="0.25">
      <c r="A159" s="993">
        <v>-3</v>
      </c>
      <c r="B159" s="993">
        <v>0</v>
      </c>
      <c r="C159" s="974">
        <v>-11.25</v>
      </c>
      <c r="D159" s="975" t="str">
        <f>D156</f>
        <v>GEEN AFSLUITENDE LAAG</v>
      </c>
      <c r="E159" s="974">
        <f>IF(A156="ONDIEPE BORING",E156-E158,E156)</f>
        <v>-11.5</v>
      </c>
      <c r="F159" s="974" t="e">
        <f>D156/2</f>
        <v>#VALUE!</v>
      </c>
      <c r="G159" s="1035" t="str">
        <f>"O.K. Afsluitende laag "&amp;D156&amp;" m"</f>
        <v>O.K. Afsluitende laag GEEN AFSLUITENDE LAAG m</v>
      </c>
      <c r="H159" s="975"/>
      <c r="I159" s="975"/>
      <c r="J159" s="975"/>
      <c r="K159" s="975"/>
      <c r="L159" s="976"/>
      <c r="M159" s="977" t="str">
        <f>IF(Ontwerp!C35="j","_DIMLINEAR","")</f>
        <v/>
      </c>
      <c r="N159" s="978" t="str">
        <f>IF(Ontwerp!C35="j",_xlfn.SINGLE(POINT(A159,B159)),"")</f>
        <v/>
      </c>
      <c r="O159" s="978" t="str">
        <f>IF(Ontwerp!C35="j",_xlfn.SINGLE(POINT(C159,D159)),"")</f>
        <v/>
      </c>
      <c r="P159" s="978" t="str">
        <f>IF(Ontwerp!C35="j","_M","")</f>
        <v/>
      </c>
      <c r="Q159" s="975" t="str">
        <f>IF(Ontwerp!C35="j",G159,"")</f>
        <v/>
      </c>
      <c r="R159" s="975"/>
      <c r="S159" s="975" t="str">
        <f>IF(Ontwerp!C35="j",";","")</f>
        <v/>
      </c>
      <c r="T159" s="978" t="str">
        <f>IF(Ontwerp!C35="j",_xlfn.SINGLE(POINT(E159,F159)),"")</f>
        <v/>
      </c>
      <c r="U159" s="1001"/>
    </row>
    <row r="160" spans="1:21" s="979" customFormat="1" ht="15" customHeight="1" x14ac:dyDescent="0.25">
      <c r="A160" s="993">
        <f>C159</f>
        <v>-11.25</v>
      </c>
      <c r="B160" s="993">
        <f>Ontwerp!E35</f>
        <v>-8.4907652139663696</v>
      </c>
      <c r="C160" s="974">
        <f>C159</f>
        <v>-11.25</v>
      </c>
      <c r="D160" s="975" t="str">
        <f>D156</f>
        <v>GEEN AFSLUITENDE LAAG</v>
      </c>
      <c r="E160" s="974">
        <f>E156</f>
        <v>-11.5</v>
      </c>
      <c r="F160" s="974" t="e">
        <f>(D156+B160)/2</f>
        <v>#VALUE!</v>
      </c>
      <c r="G160" s="1035" t="e">
        <f>ROUND(ABS(Ontwerp!E35-Script!D156),2)&amp;" &gt;"&amp;Ontwerp!H35</f>
        <v>#VALUE!</v>
      </c>
      <c r="H160" s="975"/>
      <c r="I160" s="975"/>
      <c r="J160" s="975"/>
      <c r="K160" s="975"/>
      <c r="L160" s="976"/>
      <c r="M160" s="977" t="str">
        <f>IF(Ontwerp!C35="j","_DIMLINEAR","")</f>
        <v/>
      </c>
      <c r="N160" s="978" t="str">
        <f>IF(Ontwerp!C35="j",_xlfn.SINGLE(POINT(A160,B160)),"")</f>
        <v/>
      </c>
      <c r="O160" s="978" t="str">
        <f>IF(Ontwerp!C35="j",_xlfn.SINGLE(POINT(C160,D160)),"")</f>
        <v/>
      </c>
      <c r="P160" s="978" t="str">
        <f>IF(Ontwerp!C35="j","_M","")</f>
        <v/>
      </c>
      <c r="Q160" s="975" t="str">
        <f>IF(Ontwerp!C35="j",G160,"")</f>
        <v/>
      </c>
      <c r="R160" s="975"/>
      <c r="S160" s="975" t="str">
        <f>IF(Ontwerp!C35="j",";","")</f>
        <v/>
      </c>
      <c r="T160" s="978" t="str">
        <f>IF(Ontwerp!C35="j",_xlfn.SINGLE(POINT(E160,F160)),"")</f>
        <v/>
      </c>
      <c r="U160" s="1001"/>
    </row>
    <row r="161" spans="1:21" s="979" customFormat="1" ht="15" customHeight="1" x14ac:dyDescent="0.25">
      <c r="A161" s="993">
        <v>-10</v>
      </c>
      <c r="B161" s="993">
        <v>2</v>
      </c>
      <c r="C161" s="974"/>
      <c r="D161" s="975"/>
      <c r="E161" s="974"/>
      <c r="F161" s="974"/>
      <c r="G161" s="1035" t="str">
        <f>"LET OP: KWELGEBIED, "&amp;A156</f>
        <v>LET OP: KWELGEBIED, GEEN KWELPOLDER</v>
      </c>
      <c r="H161" s="975"/>
      <c r="I161" s="975">
        <v>0.5</v>
      </c>
      <c r="J161" s="975"/>
      <c r="K161" s="975"/>
      <c r="L161" s="976"/>
      <c r="M161" s="977" t="str">
        <f>IF(Ontwerp!C35="j","_TEXT","")</f>
        <v/>
      </c>
      <c r="N161" s="978" t="str">
        <f>IF(Ontwerp!C35="j","_Justify","")</f>
        <v/>
      </c>
      <c r="O161" s="978" t="str">
        <f>IF(Ontwerp!C35="j","_C","")</f>
        <v/>
      </c>
      <c r="P161" s="978" t="str">
        <f>IF(Ontwerp!C35="j",_xlfn.SINGLE(POINT(A161,B161)),"")</f>
        <v/>
      </c>
      <c r="Q161" s="978" t="str">
        <f>IF(Ontwerp!C35="j",I161,"")</f>
        <v/>
      </c>
      <c r="R161" s="978" t="str">
        <f>IF(Ontwerp!C35="j",0,"")</f>
        <v/>
      </c>
      <c r="S161" s="978" t="str">
        <f>IF(Ontwerp!C35="j",G161,"")</f>
        <v/>
      </c>
      <c r="T161" s="978"/>
      <c r="U161" s="1001"/>
    </row>
    <row r="162" spans="1:21" s="979" customFormat="1" ht="15" customHeight="1" x14ac:dyDescent="0.25">
      <c r="A162" s="993"/>
      <c r="B162" s="993"/>
      <c r="C162" s="974"/>
      <c r="D162" s="975"/>
      <c r="E162" s="974"/>
      <c r="F162" s="974"/>
      <c r="G162" s="1010"/>
      <c r="H162" s="975"/>
      <c r="I162" s="975"/>
      <c r="J162" s="975"/>
      <c r="K162" s="975"/>
      <c r="L162" s="976"/>
      <c r="M162" s="983"/>
      <c r="N162" s="975"/>
      <c r="O162" s="975"/>
      <c r="P162" s="975"/>
      <c r="Q162" s="975"/>
      <c r="R162" s="975"/>
      <c r="S162" s="975"/>
      <c r="T162" s="975"/>
      <c r="U162" s="975"/>
    </row>
    <row r="163" spans="1:21" s="979" customFormat="1" ht="15" customHeight="1" x14ac:dyDescent="0.25">
      <c r="A163" s="1006" t="s">
        <v>594</v>
      </c>
      <c r="B163" s="993"/>
      <c r="C163" s="974"/>
      <c r="D163" s="975"/>
      <c r="E163" s="974"/>
      <c r="F163" s="974"/>
      <c r="G163" s="1010"/>
      <c r="H163" s="975"/>
      <c r="I163" s="975"/>
      <c r="J163" s="975"/>
      <c r="K163" s="975"/>
      <c r="L163" s="976"/>
      <c r="M163" s="351" t="s">
        <v>493</v>
      </c>
      <c r="N163" s="352" t="s">
        <v>494</v>
      </c>
      <c r="O163" s="4" t="s">
        <v>517</v>
      </c>
      <c r="P163" s="352" t="s">
        <v>495</v>
      </c>
      <c r="Q163" s="352"/>
      <c r="R163" s="352"/>
      <c r="S163" s="352"/>
      <c r="T163" s="352"/>
      <c r="U163" s="4"/>
    </row>
    <row r="164" spans="1:21" s="979" customFormat="1" ht="15" customHeight="1" x14ac:dyDescent="0.25">
      <c r="A164" s="993"/>
      <c r="B164" s="993"/>
      <c r="C164" s="974"/>
      <c r="D164" s="975"/>
      <c r="E164" s="974"/>
      <c r="F164" s="974"/>
      <c r="G164" s="1010"/>
      <c r="H164" s="979" t="str">
        <f>INPUT!E19&amp;"xBuis"</f>
        <v>1xBuis</v>
      </c>
      <c r="K164" s="975"/>
      <c r="L164" s="976"/>
      <c r="M164" s="3" t="str">
        <f>IF(INPUT!E19&lt;10,"_INSERT","")</f>
        <v>_INSERT</v>
      </c>
      <c r="N164" s="4" t="str">
        <f>IF(INPUT!E19&lt;10,H164,"")</f>
        <v>1xBuis</v>
      </c>
      <c r="O164" s="4" t="str">
        <f>IF(INPUT!E19&lt;10,POINT(A166,B166),"")</f>
        <v>-530,0</v>
      </c>
      <c r="P164" s="4">
        <f>IF(INPUT!E19&lt;10,1000*INPUT!E20,"")</f>
        <v>160000</v>
      </c>
      <c r="Q164" s="15"/>
      <c r="R164" s="4">
        <f>IF(INPUT!E19&lt;10,0,"")</f>
        <v>0</v>
      </c>
      <c r="S164" s="352"/>
      <c r="T164" s="352"/>
      <c r="U164" s="4"/>
    </row>
    <row r="165" spans="1:21" s="979" customFormat="1" ht="15" customHeight="1" x14ac:dyDescent="0.25">
      <c r="A165" s="993"/>
      <c r="B165" s="993"/>
      <c r="C165" s="974"/>
      <c r="D165" s="975"/>
      <c r="E165" s="974"/>
      <c r="F165" s="974"/>
      <c r="G165" s="1010"/>
      <c r="I165" s="979" t="s">
        <v>595</v>
      </c>
      <c r="K165" s="975"/>
      <c r="L165" s="976"/>
      <c r="M165" s="351" t="s">
        <v>493</v>
      </c>
      <c r="N165" s="352" t="s">
        <v>494</v>
      </c>
      <c r="O165" s="4" t="s">
        <v>596</v>
      </c>
      <c r="P165" s="352" t="s">
        <v>495</v>
      </c>
      <c r="Q165" s="15"/>
      <c r="R165" s="4"/>
      <c r="S165" s="352"/>
      <c r="T165" s="352"/>
      <c r="U165" s="4"/>
    </row>
    <row r="166" spans="1:21" s="979" customFormat="1" ht="15" customHeight="1" x14ac:dyDescent="0.25">
      <c r="A166" s="1025">
        <v>-530</v>
      </c>
      <c r="B166" s="1024">
        <v>0</v>
      </c>
      <c r="C166" s="1025"/>
      <c r="D166" s="1025"/>
      <c r="E166" s="1025"/>
      <c r="F166" s="1025"/>
      <c r="G166" s="1027"/>
      <c r="I166" s="979">
        <f>0.1*Ontwerp!C33/2</f>
        <v>12</v>
      </c>
      <c r="K166" s="975"/>
      <c r="L166" s="976"/>
      <c r="M166" s="3" t="str">
        <f ca="1">IF(Ontwerp!C33&gt;Ontwerp!C27,"_CIRCLE","")</f>
        <v>_CIRCLE</v>
      </c>
      <c r="N166" s="4"/>
      <c r="O166" s="4" t="str">
        <f ca="1">IF(Ontwerp!C33&gt;Ontwerp!C27,POINT(A166,B166),"")</f>
        <v>-530,0</v>
      </c>
      <c r="P166" s="4">
        <f ca="1">IF(Ontwerp!C33&gt;Ontwerp!C27,I166,"")</f>
        <v>12</v>
      </c>
      <c r="Q166" s="352"/>
      <c r="R166" s="352"/>
      <c r="S166" s="352"/>
      <c r="T166" s="352"/>
      <c r="U166" s="4"/>
    </row>
    <row r="167" spans="1:21" s="979" customFormat="1" ht="15.75" customHeight="1" x14ac:dyDescent="0.25">
      <c r="A167" s="999">
        <f ca="1">A166-HLOOKUP(Ontwerp!C6,Variabelen!N2:AA11,7,FALSE)/2/10</f>
        <v>-535.5</v>
      </c>
      <c r="B167" s="974">
        <v>0</v>
      </c>
      <c r="C167" s="999">
        <f ca="1">A166+HLOOKUP(Ontwerp!C6,Variabelen!N2:AA11,7,FALSE)/2/10</f>
        <v>-524.5</v>
      </c>
      <c r="D167" s="974">
        <f>B167</f>
        <v>0</v>
      </c>
      <c r="E167" s="974">
        <f>A166</f>
        <v>-530</v>
      </c>
      <c r="F167" s="974">
        <f>1+Ontwerp!C33/1.5/2/10</f>
        <v>9</v>
      </c>
      <c r="G167" s="1015" t="s">
        <v>597</v>
      </c>
      <c r="H167" s="1027"/>
      <c r="I167" s="979">
        <f ca="1">IF(OR(INPUT!D27=1,INPUT!D27=5),Ontwerp!C27/20,IF(OR(INPUT!D27=2,INPUT!D27=3,INPUT!D27=4),5/2,"CHECK BORING of BOOGZINKER"))</f>
        <v>5.5</v>
      </c>
      <c r="K167" s="975"/>
      <c r="L167" s="976"/>
      <c r="M167" s="3" t="s">
        <v>598</v>
      </c>
      <c r="N167" s="4"/>
      <c r="O167" s="4" t="str">
        <f>POINT(A166,B166)</f>
        <v>-530,0</v>
      </c>
      <c r="P167" s="4">
        <f ca="1">I167</f>
        <v>5.5</v>
      </c>
      <c r="Q167" s="352"/>
      <c r="R167" s="352"/>
      <c r="S167" s="352"/>
      <c r="T167" s="352"/>
      <c r="U167" s="352"/>
    </row>
    <row r="168" spans="1:21" s="979" customFormat="1" ht="15.75" customHeight="1" x14ac:dyDescent="0.25">
      <c r="A168" s="999">
        <f>A166-Ontwerp!C33/2/10</f>
        <v>-542</v>
      </c>
      <c r="B168" s="974">
        <v>0</v>
      </c>
      <c r="C168" s="999">
        <f>A166+Ontwerp!C33/2/10</f>
        <v>-518</v>
      </c>
      <c r="D168" s="974">
        <v>0</v>
      </c>
      <c r="E168" s="974">
        <v>0</v>
      </c>
      <c r="F168" s="974">
        <f>-Ontwerp!C33/2/10-1.7</f>
        <v>-13.7</v>
      </c>
      <c r="G168" s="1015" t="str">
        <f>"Ruimen naar "&amp;Ontwerp!C30&amp;"x bundel"</f>
        <v>Ruimen naar 1.5x bundel</v>
      </c>
      <c r="H168" s="975"/>
      <c r="I168" s="975"/>
      <c r="J168" s="975"/>
      <c r="K168" s="975"/>
      <c r="L168" s="976"/>
      <c r="M168" s="351" t="s">
        <v>493</v>
      </c>
      <c r="N168" s="352" t="s">
        <v>494</v>
      </c>
      <c r="O168" s="351" t="s">
        <v>335</v>
      </c>
      <c r="P168" s="352" t="s">
        <v>495</v>
      </c>
      <c r="Q168" s="352"/>
      <c r="R168" s="352"/>
      <c r="S168" s="352"/>
      <c r="T168" s="352"/>
      <c r="U168" s="352"/>
    </row>
    <row r="169" spans="1:21" s="979" customFormat="1" x14ac:dyDescent="0.2">
      <c r="H169" s="975"/>
      <c r="I169" s="975"/>
      <c r="J169" s="975"/>
      <c r="K169" s="975"/>
      <c r="L169" s="976"/>
      <c r="M169" s="3" t="s">
        <v>599</v>
      </c>
      <c r="N169" s="4" t="str">
        <f ca="1">POINT(A167,B167)</f>
        <v>-535.5,0</v>
      </c>
      <c r="O169" s="4" t="str">
        <f ca="1">POINT(C167,D167)</f>
        <v>-524.5,0</v>
      </c>
      <c r="P169" s="15" t="s">
        <v>600</v>
      </c>
      <c r="Q169" s="15" t="str">
        <f>G167</f>
        <v>Ø boorkop</v>
      </c>
      <c r="R169" s="15"/>
      <c r="S169" s="15" t="s">
        <v>495</v>
      </c>
      <c r="T169" s="4" t="str">
        <f>POINT(E167,F167)</f>
        <v>-530,9</v>
      </c>
      <c r="U169" s="15"/>
    </row>
    <row r="170" spans="1:21" s="979" customFormat="1" x14ac:dyDescent="0.2">
      <c r="A170" s="979" t="s">
        <v>601</v>
      </c>
      <c r="H170" s="975"/>
      <c r="I170" s="975"/>
      <c r="J170" s="975"/>
      <c r="K170" s="975"/>
      <c r="L170" s="976"/>
      <c r="M170" s="3" t="str">
        <f ca="1">IF(Ontwerp!C33&gt;E272*Ontwerp!C27,"_DIMLINEAR","")</f>
        <v>_DIMLINEAR</v>
      </c>
      <c r="N170" s="4" t="str">
        <f ca="1">IF(Ontwerp!C33&gt;E272*Ontwerp!C27,POINT(A168,B168),"")</f>
        <v>-542,0</v>
      </c>
      <c r="O170" s="4" t="str">
        <f ca="1">IF(Ontwerp!C33&gt;E272*Ontwerp!C27,POINT(C168,D168),"")</f>
        <v>-518,0</v>
      </c>
      <c r="P170" s="15" t="str">
        <f ca="1">IF(Ontwerp!C33&gt;E272*Ontwerp!C27,"_M","")</f>
        <v>_M</v>
      </c>
      <c r="Q170" s="15" t="str">
        <f ca="1">IF(Ontwerp!C33&gt;E272*Ontwerp!C27,G168,"")</f>
        <v>Ruimen naar 1.5x bundel</v>
      </c>
      <c r="R170" s="15"/>
      <c r="S170" s="15" t="str">
        <f ca="1">IF(Ontwerp!C33&gt;E272*Ontwerp!C27,";","")</f>
        <v>;</v>
      </c>
      <c r="T170" s="4" t="str">
        <f ca="1">IF(Ontwerp!C33&gt;E272*Ontwerp!C27,POINT(E168,F168),"")</f>
        <v>0,-13.7</v>
      </c>
      <c r="U170" s="355"/>
    </row>
    <row r="171" spans="1:21" s="979" customFormat="1" ht="15" customHeight="1" x14ac:dyDescent="0.25">
      <c r="A171" s="993"/>
      <c r="B171" s="993"/>
      <c r="C171" s="974"/>
      <c r="D171" s="975"/>
      <c r="E171" s="974"/>
      <c r="F171" s="974"/>
      <c r="G171" s="1010"/>
      <c r="H171" s="975"/>
      <c r="I171" s="975"/>
      <c r="J171" s="975"/>
      <c r="K171" s="975"/>
      <c r="L171" s="976"/>
      <c r="M171" s="983"/>
      <c r="N171" s="975"/>
      <c r="O171" s="975"/>
      <c r="P171" s="975"/>
      <c r="Q171" s="975"/>
      <c r="R171" s="975"/>
      <c r="S171" s="975"/>
      <c r="T171" s="975"/>
      <c r="U171" s="975"/>
    </row>
    <row r="172" spans="1:21" s="979" customFormat="1" ht="15" customHeight="1" x14ac:dyDescent="0.25">
      <c r="A172" s="993"/>
      <c r="B172" s="993"/>
      <c r="C172" s="974"/>
      <c r="D172" s="975"/>
      <c r="E172" s="974"/>
      <c r="F172" s="974"/>
      <c r="G172" s="1010"/>
      <c r="H172" s="975"/>
      <c r="I172" s="975"/>
      <c r="J172" s="975"/>
      <c r="K172" s="975"/>
      <c r="L172" s="976"/>
      <c r="M172" s="3" t="s">
        <v>483</v>
      </c>
      <c r="N172" s="4" t="s">
        <v>484</v>
      </c>
      <c r="O172" s="4"/>
      <c r="P172" s="4"/>
      <c r="Q172" s="4"/>
      <c r="R172" s="4"/>
      <c r="S172" s="4"/>
      <c r="T172" s="4"/>
      <c r="U172" s="4"/>
    </row>
    <row r="173" spans="1:21" s="979" customFormat="1" ht="15" customHeight="1" x14ac:dyDescent="0.25">
      <c r="A173" s="1006" t="s">
        <v>602</v>
      </c>
      <c r="B173" s="975"/>
      <c r="C173" s="975"/>
      <c r="D173" s="975"/>
      <c r="E173" s="975"/>
      <c r="F173" s="975"/>
      <c r="G173" s="975"/>
      <c r="H173" s="975"/>
      <c r="I173" s="975"/>
      <c r="J173" s="975"/>
      <c r="K173" s="975"/>
      <c r="L173" s="976"/>
      <c r="M173" s="3" t="s">
        <v>603</v>
      </c>
      <c r="N173" s="4" t="s">
        <v>604</v>
      </c>
      <c r="O173" s="4" t="str">
        <f>INPUT!D15</f>
        <v>A2Z4</v>
      </c>
      <c r="P173" s="4"/>
      <c r="Q173" s="15"/>
      <c r="R173" s="15"/>
      <c r="S173" s="15"/>
      <c r="T173" s="15"/>
      <c r="U173" s="15"/>
    </row>
    <row r="174" spans="1:21" s="979" customFormat="1" ht="15" customHeight="1" x14ac:dyDescent="0.25">
      <c r="A174" s="993"/>
      <c r="B174" s="1036"/>
      <c r="C174" s="974"/>
      <c r="D174" s="975"/>
      <c r="E174" s="974"/>
      <c r="F174" s="974"/>
      <c r="G174" s="1037"/>
      <c r="H174" s="975"/>
      <c r="I174" s="975"/>
      <c r="J174" s="975"/>
      <c r="K174" s="975"/>
      <c r="L174" s="976"/>
      <c r="M174" s="3" t="s">
        <v>603</v>
      </c>
      <c r="N174" s="4" t="s">
        <v>494</v>
      </c>
      <c r="O174" s="4" t="str">
        <f>INPUT!D15</f>
        <v>A2Z4</v>
      </c>
      <c r="P174" s="15"/>
      <c r="Q174" s="15"/>
      <c r="R174" s="15"/>
      <c r="S174" s="15"/>
      <c r="T174" s="15"/>
      <c r="U174" s="15"/>
    </row>
    <row r="175" spans="1:21" s="979" customFormat="1" ht="15" customHeight="1" x14ac:dyDescent="0.25">
      <c r="A175" s="993"/>
      <c r="B175" s="1036"/>
      <c r="C175" s="974"/>
      <c r="D175" s="975"/>
      <c r="E175" s="974"/>
      <c r="F175" s="974" t="s">
        <v>1075</v>
      </c>
      <c r="G175" s="1037"/>
      <c r="H175" s="975"/>
      <c r="I175" s="975"/>
      <c r="J175" s="975"/>
      <c r="K175" s="975"/>
      <c r="L175" s="976"/>
      <c r="M175" s="3" t="s">
        <v>605</v>
      </c>
      <c r="N175" s="4"/>
      <c r="O175" s="4"/>
      <c r="P175" s="15"/>
      <c r="Q175" s="15"/>
      <c r="R175" s="15"/>
      <c r="S175" s="15"/>
      <c r="T175" s="15"/>
      <c r="U175" s="15"/>
    </row>
    <row r="176" spans="1:21" s="979" customFormat="1" ht="15" customHeight="1" x14ac:dyDescent="0.25">
      <c r="A176" s="993">
        <v>-10</v>
      </c>
      <c r="B176" s="993">
        <v>-10</v>
      </c>
      <c r="C176" s="974">
        <v>1500</v>
      </c>
      <c r="D176" s="975">
        <v>1500</v>
      </c>
      <c r="E176" s="974"/>
      <c r="F176" s="974"/>
      <c r="G176" s="1038" t="s">
        <v>606</v>
      </c>
      <c r="H176" s="975"/>
      <c r="I176" s="975"/>
      <c r="J176" s="975"/>
      <c r="K176" s="975"/>
      <c r="L176" s="976"/>
      <c r="M176" s="3" t="s">
        <v>607</v>
      </c>
      <c r="N176" s="352" t="str">
        <f t="array" ref="N176">POINT(A176,B176)</f>
        <v>-10,-10</v>
      </c>
      <c r="O176" s="352" t="str">
        <f t="array" ref="O176">POINT(C176,D176)</f>
        <v>1500,1500</v>
      </c>
      <c r="P176" s="352" t="s">
        <v>495</v>
      </c>
      <c r="Q176" s="355"/>
      <c r="R176" s="352"/>
      <c r="S176" s="352"/>
      <c r="T176" s="352"/>
      <c r="U176" s="14"/>
    </row>
    <row r="177" spans="1:21" s="979" customFormat="1" ht="15" customHeight="1" x14ac:dyDescent="0.25">
      <c r="A177" s="993"/>
      <c r="B177" s="993"/>
      <c r="C177" s="974"/>
      <c r="D177" s="975"/>
      <c r="E177" s="974"/>
      <c r="F177" s="974"/>
      <c r="G177" s="1010"/>
      <c r="H177" s="975"/>
      <c r="I177" s="975"/>
      <c r="J177" s="975"/>
      <c r="K177" s="975"/>
      <c r="L177" s="976"/>
      <c r="M177" s="3" t="s">
        <v>493</v>
      </c>
      <c r="N177" s="4" t="s">
        <v>494</v>
      </c>
      <c r="O177" s="4" t="s">
        <v>608</v>
      </c>
      <c r="P177" s="4" t="s">
        <v>495</v>
      </c>
      <c r="Q177" s="15"/>
      <c r="R177" s="4"/>
      <c r="S177" s="2"/>
      <c r="T177" s="352"/>
      <c r="U177" s="14"/>
    </row>
    <row r="178" spans="1:21" s="979" customFormat="1" ht="15" customHeight="1" x14ac:dyDescent="0.25">
      <c r="A178" s="974">
        <v>2</v>
      </c>
      <c r="B178" s="974">
        <v>2</v>
      </c>
      <c r="C178" s="974">
        <v>-5</v>
      </c>
      <c r="D178" s="974">
        <v>-2</v>
      </c>
      <c r="E178" s="974">
        <f>HLOOKUP(INPUT!D15,Variabelen!K79:P81,2,FALSE)+C178</f>
        <v>1309</v>
      </c>
      <c r="F178" s="974">
        <f>HLOOKUP(INPUT!D15,Variabelen!K79:P81,3,FALSE)+D178</f>
        <v>418</v>
      </c>
      <c r="G178" s="1010"/>
      <c r="H178" s="975"/>
      <c r="I178" s="975"/>
      <c r="J178" s="975"/>
      <c r="K178" s="975"/>
      <c r="L178" s="976"/>
      <c r="M178" s="3" t="s">
        <v>609</v>
      </c>
      <c r="N178" s="4" t="str">
        <f t="array" ref="N178">POINT(A178,B178)</f>
        <v>2,2</v>
      </c>
      <c r="O178" s="4" t="str">
        <f t="array" ref="O178">POINT(E178,F178)</f>
        <v>1309,418</v>
      </c>
      <c r="P178" s="4"/>
      <c r="Q178" s="15"/>
      <c r="R178" s="4"/>
      <c r="S178" s="2"/>
      <c r="T178" s="352"/>
      <c r="U178" s="14"/>
    </row>
    <row r="179" spans="1:21" s="979" customFormat="1" ht="15" customHeight="1" x14ac:dyDescent="0.25">
      <c r="A179" s="987"/>
      <c r="B179" s="974"/>
      <c r="C179" s="975"/>
      <c r="D179" s="974"/>
      <c r="E179" s="974"/>
      <c r="F179" s="974"/>
      <c r="G179" s="975"/>
      <c r="H179" s="975"/>
      <c r="I179" s="975"/>
      <c r="J179" s="975"/>
      <c r="K179" s="975"/>
      <c r="L179" s="976"/>
      <c r="M179" s="3" t="s">
        <v>493</v>
      </c>
      <c r="N179" s="4" t="s">
        <v>494</v>
      </c>
      <c r="O179" s="4" t="s">
        <v>610</v>
      </c>
      <c r="P179" s="4" t="s">
        <v>495</v>
      </c>
      <c r="Q179" s="15"/>
      <c r="R179" s="4"/>
      <c r="S179" s="2"/>
      <c r="T179" s="2"/>
      <c r="U179" s="4"/>
    </row>
    <row r="180" spans="1:21" s="979" customFormat="1" ht="15" customHeight="1" x14ac:dyDescent="0.25">
      <c r="A180" s="974"/>
      <c r="B180" s="974"/>
      <c r="C180" s="974">
        <f>HLOOKUP(INPUT!D15,Variabelen!K79:P81,2,FALSE)-Variabelen!K80</f>
        <v>894</v>
      </c>
      <c r="D180" s="974"/>
      <c r="E180" s="974"/>
      <c r="F180" s="974"/>
      <c r="G180" s="999" t="str">
        <f ca="1">INPUT!K4</f>
        <v>TITELBLOKGBT</v>
      </c>
      <c r="H180" s="975"/>
      <c r="I180" s="975"/>
      <c r="J180" s="975"/>
      <c r="K180" s="975"/>
      <c r="L180" s="976"/>
      <c r="M180" s="3" t="s">
        <v>529</v>
      </c>
      <c r="N180" s="4" t="str">
        <f ca="1">G180</f>
        <v>TITELBLOKGBT</v>
      </c>
      <c r="O180" s="4"/>
      <c r="P180" s="4" t="str">
        <f>A178+C180&amp;","&amp;B178</f>
        <v>896,2</v>
      </c>
      <c r="Q180" s="4">
        <v>1000</v>
      </c>
      <c r="R180" s="4">
        <v>1000</v>
      </c>
      <c r="S180" s="4">
        <v>0</v>
      </c>
      <c r="T180" s="4"/>
      <c r="U180" s="14"/>
    </row>
    <row r="181" spans="1:21" s="979" customFormat="1" ht="15" customHeight="1" x14ac:dyDescent="0.25">
      <c r="A181" s="974"/>
      <c r="B181" s="974"/>
      <c r="C181" s="974"/>
      <c r="D181" s="974"/>
      <c r="E181" s="974"/>
      <c r="F181" s="974"/>
      <c r="G181" s="999"/>
      <c r="H181" s="975"/>
      <c r="I181" s="975"/>
      <c r="J181" s="975"/>
      <c r="K181" s="975"/>
      <c r="L181" s="976"/>
      <c r="M181" s="977"/>
      <c r="N181" s="978"/>
      <c r="O181" s="978"/>
      <c r="P181" s="978"/>
      <c r="Q181" s="975"/>
      <c r="R181" s="975"/>
      <c r="S181" s="978"/>
      <c r="T181" s="978"/>
      <c r="U181" s="1001"/>
    </row>
    <row r="182" spans="1:21" s="979" customFormat="1" ht="15" customHeight="1" x14ac:dyDescent="0.25">
      <c r="A182" s="1006" t="s">
        <v>611</v>
      </c>
      <c r="B182" s="993"/>
      <c r="C182" s="974"/>
      <c r="D182" s="974"/>
      <c r="E182" s="974"/>
      <c r="F182" s="974"/>
      <c r="G182" s="999"/>
      <c r="H182" s="975"/>
      <c r="I182" s="975"/>
      <c r="J182" s="975"/>
      <c r="K182" s="975"/>
      <c r="L182" s="976"/>
      <c r="M182" s="977"/>
      <c r="N182" s="978"/>
      <c r="O182" s="978"/>
      <c r="P182" s="978"/>
      <c r="Q182" s="978"/>
      <c r="R182" s="978"/>
      <c r="S182" s="978"/>
      <c r="T182" s="978"/>
      <c r="U182" s="978"/>
    </row>
    <row r="183" spans="1:21" s="979" customFormat="1" ht="15" customHeight="1" x14ac:dyDescent="0.25">
      <c r="A183" s="993"/>
      <c r="B183" s="993"/>
      <c r="C183" s="974"/>
      <c r="D183" s="974"/>
      <c r="E183" s="974"/>
      <c r="F183" s="974"/>
      <c r="G183" s="999"/>
      <c r="H183" s="975"/>
      <c r="I183" s="975"/>
      <c r="J183" s="975"/>
      <c r="K183" s="975"/>
      <c r="L183" s="976"/>
      <c r="M183" s="3" t="s">
        <v>493</v>
      </c>
      <c r="N183" s="4" t="s">
        <v>494</v>
      </c>
      <c r="O183" s="3" t="s">
        <v>608</v>
      </c>
      <c r="P183" s="4" t="s">
        <v>495</v>
      </c>
      <c r="Q183" s="4"/>
      <c r="R183" s="4"/>
      <c r="S183" s="4"/>
      <c r="T183" s="4"/>
      <c r="U183" s="4"/>
    </row>
    <row r="184" spans="1:21" s="979" customFormat="1" ht="15" customHeight="1" x14ac:dyDescent="0.25">
      <c r="A184" s="1039">
        <f>HLOOKUP(Variabelen!B80,Variabelen!E89:J109,2,FALSE)</f>
        <v>115</v>
      </c>
      <c r="B184" s="1039">
        <f>HLOOKUP(Variabelen!B80,Variabelen!E89:J109,3,FALSE)</f>
        <v>160.58594369888306</v>
      </c>
      <c r="C184" s="974">
        <f>HLOOKUP(Variabelen!B80,Variabelen!E89:J109,4,FALSE)</f>
        <v>1309</v>
      </c>
      <c r="D184" s="974">
        <f>HLOOKUP(Variabelen!B80,Variabelen!E89:J109,5,FALSE)</f>
        <v>418</v>
      </c>
      <c r="E184" s="974"/>
      <c r="F184" s="974"/>
      <c r="G184" s="999"/>
      <c r="H184" s="975"/>
      <c r="I184" s="975"/>
      <c r="J184" s="975"/>
      <c r="K184" s="975"/>
      <c r="L184" s="976"/>
      <c r="M184" s="3" t="s">
        <v>612</v>
      </c>
      <c r="N184" s="4"/>
      <c r="O184" s="4" t="str">
        <f>POINT(A184,B184)</f>
        <v>115,160.585943698883</v>
      </c>
      <c r="P184" s="4" t="str">
        <f>POINT(C184,D184)</f>
        <v>1309,418</v>
      </c>
      <c r="Q184" s="4"/>
      <c r="R184" s="4"/>
      <c r="S184" s="4"/>
      <c r="T184" s="4"/>
      <c r="U184" s="4"/>
    </row>
    <row r="185" spans="1:21" s="979" customFormat="1" ht="15" customHeight="1" x14ac:dyDescent="0.25">
      <c r="A185" s="993">
        <v>-1</v>
      </c>
      <c r="B185" s="993">
        <v>-1</v>
      </c>
      <c r="C185" s="975">
        <f>HLOOKUP(Variabelen!B80,Variabelen!K79:P81,2,FALSE)</f>
        <v>1314</v>
      </c>
      <c r="D185" s="975">
        <f>HLOOKUP(Variabelen!B80,Variabelen!I79:P81,3,FALSE)</f>
        <v>420</v>
      </c>
      <c r="E185" s="974" t="s">
        <v>613</v>
      </c>
      <c r="F185" s="974"/>
      <c r="G185" s="999"/>
      <c r="H185" s="975"/>
      <c r="I185" s="975"/>
      <c r="J185" s="975"/>
      <c r="K185" s="975"/>
      <c r="L185" s="976"/>
      <c r="M185" s="3" t="s">
        <v>581</v>
      </c>
      <c r="N185" s="4" t="s">
        <v>614</v>
      </c>
      <c r="O185" s="4" t="str">
        <f>POINT(A185,B185)</f>
        <v>-1,-1</v>
      </c>
      <c r="P185" s="4" t="str">
        <f>POINT(C185,D185)</f>
        <v>1314,420</v>
      </c>
      <c r="Q185" s="4"/>
      <c r="R185" s="4"/>
      <c r="S185" s="4"/>
      <c r="T185" s="4"/>
      <c r="U185" s="3"/>
    </row>
    <row r="186" spans="1:21" s="979" customFormat="1" ht="15" customHeight="1" x14ac:dyDescent="0.25">
      <c r="A186" s="1040" t="s">
        <v>615</v>
      </c>
      <c r="B186" s="993"/>
      <c r="C186" s="974" t="s">
        <v>293</v>
      </c>
      <c r="D186" s="974" t="s">
        <v>616</v>
      </c>
      <c r="E186" s="974" t="s">
        <v>617</v>
      </c>
      <c r="F186" s="974"/>
      <c r="G186" s="999"/>
      <c r="H186" s="975"/>
      <c r="I186" s="975"/>
      <c r="J186" s="975"/>
      <c r="K186" s="975"/>
      <c r="L186" s="976"/>
      <c r="M186" s="3" t="s">
        <v>527</v>
      </c>
      <c r="N186" s="4" t="s">
        <v>458</v>
      </c>
      <c r="O186" s="4" t="s">
        <v>459</v>
      </c>
      <c r="P186" s="83" t="s">
        <v>618</v>
      </c>
      <c r="Q186" s="4">
        <v>6</v>
      </c>
      <c r="R186" s="4">
        <f>K186</f>
        <v>0</v>
      </c>
      <c r="S186" s="4" t="s">
        <v>619</v>
      </c>
      <c r="T186" s="15"/>
      <c r="U186" s="15"/>
    </row>
    <row r="187" spans="1:21" s="979" customFormat="1" ht="15" customHeight="1" x14ac:dyDescent="0.25">
      <c r="A187" s="993">
        <f>HLOOKUP(Variabelen!B80,Variabelen!E89:J109,6,FALSE)</f>
        <v>119</v>
      </c>
      <c r="B187" s="993">
        <f>HLOOKUP(Variabelen!B80,Variabelen!E89:J109,7,FALSE)</f>
        <v>406</v>
      </c>
      <c r="C187" s="975">
        <v>105</v>
      </c>
      <c r="D187" s="975">
        <v>8</v>
      </c>
      <c r="E187" s="974">
        <f>A187+C187</f>
        <v>224</v>
      </c>
      <c r="F187" s="974">
        <f>B187+D187</f>
        <v>414</v>
      </c>
      <c r="G187" s="1005" t="str">
        <f>"SITUATIE, SCHAAL 1:"&amp;Variabelen!B83</f>
        <v>SITUATIE, SCHAAL 1:250</v>
      </c>
      <c r="H187" s="975"/>
      <c r="I187" s="975"/>
      <c r="J187" s="975"/>
      <c r="K187" s="975"/>
      <c r="L187" s="976"/>
      <c r="M187" s="3" t="s">
        <v>620</v>
      </c>
      <c r="N187" s="4" t="str">
        <f>POINT(A187,B187)</f>
        <v>119,406</v>
      </c>
      <c r="O187" s="4" t="str">
        <f>POINT(E187,F187)</f>
        <v>224,414</v>
      </c>
      <c r="P187" s="3" t="str">
        <f>G187</f>
        <v>SITUATIE, SCHAAL 1:250</v>
      </c>
      <c r="Q187" s="4" t="s">
        <v>495</v>
      </c>
      <c r="R187" s="15"/>
      <c r="S187" s="15"/>
      <c r="T187" s="4"/>
      <c r="U187" s="4"/>
    </row>
    <row r="188" spans="1:21" s="979" customFormat="1" ht="15" customHeight="1" x14ac:dyDescent="0.25">
      <c r="A188" s="993"/>
      <c r="B188" s="993"/>
      <c r="C188" s="975"/>
      <c r="D188" s="975"/>
      <c r="E188" s="974"/>
      <c r="F188" s="974"/>
      <c r="G188" s="1005"/>
      <c r="H188" s="975"/>
      <c r="I188" s="975"/>
      <c r="J188" s="975"/>
      <c r="K188" s="975"/>
      <c r="L188" s="976"/>
      <c r="M188" s="3" t="str">
        <f>IF(K4=1,"_TEXTMASK","")</f>
        <v>_TEXTMASK</v>
      </c>
      <c r="N188" s="4" t="str">
        <f>IF(K4=1,POINT(A187,B187+4),"")</f>
        <v>119,410</v>
      </c>
      <c r="O188" s="4" t="str">
        <f>IF(K4=1,";","")</f>
        <v>;</v>
      </c>
      <c r="P188" s="3"/>
      <c r="Q188" s="4"/>
      <c r="R188" s="15"/>
      <c r="S188" s="15"/>
      <c r="T188" s="4"/>
      <c r="U188" s="4"/>
    </row>
    <row r="189" spans="1:21" s="979" customFormat="1" ht="15" customHeight="1" x14ac:dyDescent="0.25">
      <c r="A189" s="974">
        <f>C184+C189</f>
        <v>1298</v>
      </c>
      <c r="B189" s="974">
        <f>D184+D189</f>
        <v>406</v>
      </c>
      <c r="C189" s="975">
        <v>-11</v>
      </c>
      <c r="D189" s="975">
        <v>-12</v>
      </c>
      <c r="E189" s="974"/>
      <c r="F189" s="974"/>
      <c r="G189" s="1041" t="s">
        <v>537</v>
      </c>
      <c r="H189" s="975"/>
      <c r="I189" s="975">
        <v>1</v>
      </c>
      <c r="J189" s="975"/>
      <c r="K189" s="975">
        <f>-INPUT!D13</f>
        <v>11.665857887914305</v>
      </c>
      <c r="L189" s="976"/>
      <c r="M189" s="3" t="s">
        <v>529</v>
      </c>
      <c r="N189" s="4" t="str">
        <f>G189</f>
        <v>NOORDPIJL</v>
      </c>
      <c r="O189" s="4"/>
      <c r="P189" s="4" t="str">
        <f>POINT(A189+C189,B189+D189)</f>
        <v>1287,394</v>
      </c>
      <c r="Q189" s="15">
        <v>1500</v>
      </c>
      <c r="R189" s="15">
        <f>Q189</f>
        <v>1500</v>
      </c>
      <c r="S189" s="4">
        <f>K189</f>
        <v>11.665857887914305</v>
      </c>
      <c r="T189" s="4"/>
      <c r="U189" s="4"/>
    </row>
    <row r="190" spans="1:21" s="979" customFormat="1" ht="15" customHeight="1" x14ac:dyDescent="0.25">
      <c r="A190" s="993"/>
      <c r="B190" s="993"/>
      <c r="C190" s="974"/>
      <c r="D190" s="974"/>
      <c r="E190" s="974"/>
      <c r="F190" s="974"/>
      <c r="G190" s="999"/>
      <c r="H190" s="975"/>
      <c r="I190" s="975"/>
      <c r="J190" s="975"/>
      <c r="K190" s="975"/>
      <c r="L190" s="976"/>
      <c r="M190" s="3" t="s">
        <v>621</v>
      </c>
      <c r="N190" s="4"/>
      <c r="O190" s="4"/>
      <c r="P190" s="4"/>
      <c r="Q190" s="4"/>
      <c r="R190" s="4"/>
      <c r="S190" s="4"/>
      <c r="T190" s="4"/>
      <c r="U190" s="4"/>
    </row>
    <row r="191" spans="1:21" s="979" customFormat="1" ht="15" customHeight="1" x14ac:dyDescent="0.25">
      <c r="A191" s="1042" t="s">
        <v>622</v>
      </c>
      <c r="B191" s="993"/>
      <c r="C191" s="974"/>
      <c r="D191" s="974"/>
      <c r="E191" s="974"/>
      <c r="F191" s="974"/>
      <c r="G191" s="999"/>
      <c r="H191" s="975"/>
      <c r="I191" s="975"/>
      <c r="J191" s="975"/>
      <c r="K191" s="975"/>
      <c r="L191" s="976"/>
      <c r="M191" s="3" t="s">
        <v>483</v>
      </c>
      <c r="N191" s="4" t="str">
        <f>POINT(A27,B27)</f>
        <v>103896.941034738,489289.542193465</v>
      </c>
      <c r="O191" s="4" t="str">
        <f t="array" ref="O191">IF($K$4=1,POINT(INPUT!J13,INPUT!K13),POINT(A27+INPUT!J13,B27+INPUT!K13))</f>
        <v>.979343476141334,-.202203748084471</v>
      </c>
      <c r="P191" s="4" t="str">
        <f t="array" ref="P191">IF($K$4=1,";",POINT(A27+INPUT!J13,B27+1.1*ABS(INPUT!K13)))</f>
        <v>;</v>
      </c>
      <c r="Q191" s="4"/>
      <c r="R191" s="4"/>
      <c r="S191" s="4"/>
      <c r="T191" s="4"/>
      <c r="U191" s="4"/>
    </row>
    <row r="192" spans="1:21" s="979" customFormat="1" ht="15" customHeight="1" x14ac:dyDescent="0.25">
      <c r="A192" s="1043" t="s">
        <v>623</v>
      </c>
      <c r="B192" s="993"/>
      <c r="C192" s="974"/>
      <c r="D192" s="974"/>
      <c r="E192" s="974"/>
      <c r="F192" s="974"/>
      <c r="G192" s="999"/>
      <c r="H192" s="975"/>
      <c r="I192" s="975"/>
      <c r="J192" s="975"/>
      <c r="K192" s="975"/>
      <c r="L192" s="976"/>
      <c r="M192" s="3" t="s">
        <v>624</v>
      </c>
      <c r="N192" s="4" t="s">
        <v>495</v>
      </c>
      <c r="O192" s="4"/>
      <c r="P192" s="4"/>
      <c r="Q192" s="4"/>
      <c r="R192" s="4"/>
      <c r="S192" s="4"/>
      <c r="T192" s="4"/>
      <c r="U192" s="4"/>
    </row>
    <row r="193" spans="1:21" s="979" customFormat="1" ht="15" customHeight="1" x14ac:dyDescent="0.25">
      <c r="A193" s="974">
        <f>E27/2</f>
        <v>113.27299003558279</v>
      </c>
      <c r="B193" s="993">
        <v>0</v>
      </c>
      <c r="C193" s="1044" t="s">
        <v>625</v>
      </c>
      <c r="D193" s="974"/>
      <c r="E193" s="974"/>
      <c r="F193" s="974"/>
      <c r="G193" s="999"/>
      <c r="H193" s="975"/>
      <c r="I193" s="975"/>
      <c r="J193" s="975"/>
      <c r="K193" s="975"/>
      <c r="L193" s="976"/>
      <c r="M193" s="3" t="s">
        <v>581</v>
      </c>
      <c r="N193" s="4" t="s">
        <v>626</v>
      </c>
      <c r="O193" s="4" t="str">
        <f>POINT(A193,B193)</f>
        <v>113.272990035583,0</v>
      </c>
      <c r="P193" s="4">
        <v>100</v>
      </c>
      <c r="Q193" s="4"/>
      <c r="R193" s="4"/>
      <c r="S193" s="4"/>
      <c r="T193" s="4"/>
      <c r="U193" s="4"/>
    </row>
    <row r="194" spans="1:21" s="979" customFormat="1" ht="15" customHeight="1" x14ac:dyDescent="0.25">
      <c r="A194" s="993"/>
      <c r="B194" s="993"/>
      <c r="C194" s="974"/>
      <c r="D194" s="974"/>
      <c r="E194" s="974"/>
      <c r="F194" s="974"/>
      <c r="G194" s="1045" t="str">
        <f>1000/Variabelen!B83&amp;"XP"</f>
        <v>4XP</v>
      </c>
      <c r="H194" s="975"/>
      <c r="I194" s="975"/>
      <c r="J194" s="975"/>
      <c r="K194" s="975"/>
      <c r="L194" s="976"/>
      <c r="M194" s="3" t="s">
        <v>581</v>
      </c>
      <c r="N194" s="50" t="str">
        <f>G194</f>
        <v>4XP</v>
      </c>
      <c r="O194" s="4"/>
      <c r="P194" s="4"/>
      <c r="Q194" s="4"/>
      <c r="R194" s="4"/>
      <c r="S194" s="4"/>
      <c r="T194" s="4"/>
      <c r="U194" s="4"/>
    </row>
    <row r="195" spans="1:21" s="979" customFormat="1" ht="15" customHeight="1" x14ac:dyDescent="0.25">
      <c r="A195" s="999"/>
      <c r="B195" s="974"/>
      <c r="C195" s="974"/>
      <c r="D195" s="974"/>
      <c r="E195" s="974"/>
      <c r="F195" s="974"/>
      <c r="G195" s="975"/>
      <c r="H195" s="975"/>
      <c r="I195" s="975"/>
      <c r="J195" s="975"/>
      <c r="K195" s="975"/>
      <c r="L195" s="976"/>
      <c r="M195" s="3" t="s">
        <v>483</v>
      </c>
      <c r="N195" s="4" t="s">
        <v>484</v>
      </c>
      <c r="O195" s="3"/>
      <c r="P195" s="4"/>
      <c r="Q195" s="4"/>
      <c r="R195" s="4"/>
      <c r="S195" s="4"/>
      <c r="T195" s="2"/>
      <c r="U195" s="4"/>
    </row>
    <row r="196" spans="1:21" s="979" customFormat="1" ht="15" customHeight="1" x14ac:dyDescent="0.25">
      <c r="A196" s="999"/>
      <c r="B196" s="974"/>
      <c r="C196" s="974"/>
      <c r="D196" s="974"/>
      <c r="E196" s="974"/>
      <c r="F196" s="974"/>
      <c r="G196" s="975"/>
      <c r="H196" s="975"/>
      <c r="I196" s="975"/>
      <c r="J196" s="975"/>
      <c r="K196" s="975"/>
      <c r="L196" s="976"/>
      <c r="M196" s="977"/>
      <c r="N196" s="975"/>
      <c r="O196" s="977"/>
      <c r="P196" s="978"/>
      <c r="Q196" s="978"/>
      <c r="R196" s="978"/>
      <c r="S196" s="978"/>
      <c r="T196" s="981"/>
      <c r="U196" s="978"/>
    </row>
    <row r="197" spans="1:21" s="979" customFormat="1" ht="15" customHeight="1" x14ac:dyDescent="0.25">
      <c r="A197" s="999"/>
      <c r="B197" s="974"/>
      <c r="C197" s="974"/>
      <c r="D197" s="1012"/>
      <c r="E197" s="974"/>
      <c r="F197" s="974"/>
      <c r="G197" s="975"/>
      <c r="H197" s="975"/>
      <c r="I197" s="975"/>
      <c r="J197" s="975"/>
      <c r="K197" s="975"/>
      <c r="L197" s="976"/>
      <c r="M197" s="3" t="s">
        <v>605</v>
      </c>
      <c r="N197" s="4"/>
      <c r="O197" s="3"/>
      <c r="P197" s="4"/>
      <c r="Q197" s="4"/>
      <c r="R197" s="4"/>
      <c r="S197" s="4"/>
      <c r="T197" s="2"/>
      <c r="U197" s="4"/>
    </row>
    <row r="198" spans="1:21" s="979" customFormat="1" ht="15" customHeight="1" x14ac:dyDescent="0.25">
      <c r="A198" s="1006" t="s">
        <v>627</v>
      </c>
      <c r="B198" s="993"/>
      <c r="C198" s="974"/>
      <c r="D198" s="1025"/>
      <c r="E198" s="1025"/>
      <c r="F198" s="974"/>
      <c r="G198" s="999"/>
      <c r="H198" s="975"/>
      <c r="I198" s="975"/>
      <c r="J198" s="975"/>
      <c r="K198" s="975"/>
      <c r="L198" s="976"/>
      <c r="M198" s="3" t="s">
        <v>493</v>
      </c>
      <c r="N198" s="4" t="s">
        <v>494</v>
      </c>
      <c r="O198" s="3" t="s">
        <v>608</v>
      </c>
      <c r="P198" s="4" t="s">
        <v>495</v>
      </c>
      <c r="Q198" s="4"/>
      <c r="R198" s="4"/>
      <c r="S198" s="4"/>
      <c r="T198" s="4"/>
      <c r="U198" s="4"/>
    </row>
    <row r="199" spans="1:21" s="979" customFormat="1" ht="15" customHeight="1" x14ac:dyDescent="0.25">
      <c r="A199" s="1039">
        <f>HLOOKUP(Variabelen!B80,Variabelen!E89:J109,8,FALSE)</f>
        <v>80</v>
      </c>
      <c r="B199" s="993">
        <f>HLOOKUP(Variabelen!B80,Variabelen!E89:J109,9,FALSE)</f>
        <v>62</v>
      </c>
      <c r="C199" s="974">
        <f>HLOOKUP(Variabelen!B80,Variabelen!E89:J109,10,FALSE)</f>
        <v>1309</v>
      </c>
      <c r="D199" s="974">
        <f>HLOOKUP(Variabelen!B80,Variabelen!E89:J109,11,FALSE)</f>
        <v>160.58594369888306</v>
      </c>
      <c r="E199" s="974"/>
      <c r="F199" s="974"/>
      <c r="G199" s="999"/>
      <c r="H199" s="975"/>
      <c r="I199" s="975"/>
      <c r="J199" s="975"/>
      <c r="K199" s="975"/>
      <c r="L199" s="976"/>
      <c r="M199" s="3" t="s">
        <v>612</v>
      </c>
      <c r="N199" s="4"/>
      <c r="O199" s="4" t="str">
        <f>POINT(A199,B199)</f>
        <v>80,62</v>
      </c>
      <c r="P199" s="4" t="str">
        <f>POINT(C199,D199)</f>
        <v>1309,160.585943698883</v>
      </c>
      <c r="Q199" s="4"/>
      <c r="R199" s="4"/>
      <c r="S199" s="4"/>
      <c r="T199" s="4"/>
      <c r="U199" s="4"/>
    </row>
    <row r="200" spans="1:21" s="979" customFormat="1" ht="15" customHeight="1" x14ac:dyDescent="0.25">
      <c r="A200" s="993">
        <f>HLOOKUP(Variabelen!B80,Variabelen!E89:J109,12,FALSE)</f>
        <v>84</v>
      </c>
      <c r="B200" s="993">
        <f>HLOOKUP(Variabelen!B80,Variabelen!E89:J109,13,FALSE)</f>
        <v>150.58594369888306</v>
      </c>
      <c r="C200" s="974"/>
      <c r="D200" s="974"/>
      <c r="E200" s="974"/>
      <c r="F200" s="974"/>
      <c r="G200" s="1005" t="str">
        <f>"LENGTEPROFIEL, SCHAAL 1:"&amp;Variabelen!B84</f>
        <v>LENGTEPROFIEL, SCHAAL 1:250</v>
      </c>
      <c r="H200" s="975"/>
      <c r="I200" s="975">
        <f>IF(INPUT!D15="A3",5,6)</f>
        <v>6</v>
      </c>
      <c r="J200" s="975">
        <v>0</v>
      </c>
      <c r="K200" s="975"/>
      <c r="L200" s="976"/>
      <c r="M200" s="3" t="s">
        <v>527</v>
      </c>
      <c r="N200" s="4" t="s">
        <v>458</v>
      </c>
      <c r="O200" s="4" t="s">
        <v>528</v>
      </c>
      <c r="P200" s="4" t="str">
        <f>POINT(A200,B200)</f>
        <v>84,150.585943698883</v>
      </c>
      <c r="Q200" s="4">
        <f>I200</f>
        <v>6</v>
      </c>
      <c r="R200" s="4">
        <f>K200</f>
        <v>0</v>
      </c>
      <c r="S200" s="3" t="str">
        <f>G200</f>
        <v>LENGTEPROFIEL, SCHAAL 1:250</v>
      </c>
      <c r="T200" s="4"/>
      <c r="U200" s="4"/>
    </row>
    <row r="201" spans="1:21" s="979" customFormat="1" ht="15" customHeight="1" x14ac:dyDescent="0.25">
      <c r="A201" s="993">
        <f>Variabelen!E96+10</f>
        <v>90</v>
      </c>
      <c r="B201" s="993">
        <v>120</v>
      </c>
      <c r="C201" s="975" t="e">
        <f ca="1">IF(VLOOKUP(Script!E$201,#REF!,2,FALSE)&gt;0,1,0)</f>
        <v>#REF!</v>
      </c>
      <c r="D201" s="974"/>
      <c r="E201" s="974" t="str">
        <f ca="1">INPUT!D7</f>
        <v>3D25V700-12</v>
      </c>
      <c r="F201" s="979" t="e">
        <f ca="1">VLOOKUP(E201,#REF!,2,FALSE)</f>
        <v>#REF!</v>
      </c>
      <c r="G201" s="1005" t="e">
        <f ca="1">F201&amp;"x "&amp;#REF!</f>
        <v>#REF!</v>
      </c>
      <c r="I201" s="975">
        <v>2.4</v>
      </c>
      <c r="J201" s="975">
        <v>0</v>
      </c>
      <c r="K201" s="975"/>
      <c r="L201" s="976"/>
      <c r="M201" s="977"/>
      <c r="N201" s="978"/>
      <c r="O201" s="978"/>
      <c r="P201" s="978"/>
      <c r="Q201" s="978"/>
      <c r="R201" s="978"/>
      <c r="S201" s="977"/>
      <c r="T201" s="978"/>
      <c r="U201" s="978"/>
    </row>
    <row r="202" spans="1:21" s="979" customFormat="1" ht="15" customHeight="1" x14ac:dyDescent="0.25">
      <c r="A202" s="993"/>
      <c r="B202" s="979" t="e">
        <f ca="1">B201-C201*(I202+D202)</f>
        <v>#REF!</v>
      </c>
      <c r="C202" s="975" t="e">
        <f ca="1">IF(VLOOKUP(Script!E$201,#REF!,3,FALSE)&gt;0,1,0)</f>
        <v>#REF!</v>
      </c>
      <c r="D202" s="974">
        <v>1.2</v>
      </c>
      <c r="E202" s="974"/>
      <c r="F202" s="974" t="e">
        <f ca="1">VLOOKUP(E201,#REF!,3,FALSE)</f>
        <v>#REF!</v>
      </c>
      <c r="G202" s="1005" t="e">
        <f ca="1">F202&amp;"x "&amp;#REF!</f>
        <v>#REF!</v>
      </c>
      <c r="I202" s="975">
        <f>I201</f>
        <v>2.4</v>
      </c>
      <c r="J202" s="975">
        <v>0</v>
      </c>
      <c r="K202" s="975"/>
      <c r="L202" s="976"/>
      <c r="M202" s="977"/>
      <c r="N202" s="978"/>
      <c r="O202" s="978"/>
      <c r="P202" s="978"/>
      <c r="Q202" s="978"/>
      <c r="R202" s="978"/>
      <c r="S202" s="977"/>
      <c r="T202" s="978"/>
      <c r="U202" s="978"/>
    </row>
    <row r="203" spans="1:21" s="979" customFormat="1" ht="15" customHeight="1" x14ac:dyDescent="0.25">
      <c r="A203" s="993"/>
      <c r="B203" s="979" t="e">
        <f ca="1">B202-C202*(I203+D203)</f>
        <v>#REF!</v>
      </c>
      <c r="C203" s="975" t="e">
        <f ca="1">IF(VLOOKUP(Script!E$201,#REF!,4,FALSE)&gt;0,1,0)</f>
        <v>#REF!</v>
      </c>
      <c r="D203" s="974">
        <f>D202</f>
        <v>1.2</v>
      </c>
      <c r="E203" s="974"/>
      <c r="F203" s="974" t="e">
        <f ca="1">VLOOKUP(E201,#REF!,4,FALSE)</f>
        <v>#REF!</v>
      </c>
      <c r="G203" s="1005" t="e">
        <f ca="1">F203&amp;"x "&amp;#REF!</f>
        <v>#REF!</v>
      </c>
      <c r="I203" s="975">
        <f>I202</f>
        <v>2.4</v>
      </c>
      <c r="J203" s="975">
        <v>0</v>
      </c>
      <c r="K203" s="975"/>
      <c r="L203" s="976"/>
      <c r="M203" s="977"/>
      <c r="N203" s="978"/>
      <c r="O203" s="978"/>
      <c r="P203" s="978"/>
      <c r="Q203" s="978"/>
      <c r="R203" s="978"/>
      <c r="S203" s="977"/>
      <c r="T203" s="978"/>
      <c r="U203" s="978"/>
    </row>
    <row r="204" spans="1:21" s="979" customFormat="1" ht="15" customHeight="1" x14ac:dyDescent="0.25">
      <c r="A204" s="993"/>
      <c r="B204" s="979" t="e">
        <f ca="1">B203-C203*(I204+D204)</f>
        <v>#REF!</v>
      </c>
      <c r="C204" s="975" t="e">
        <f ca="1">IF(VLOOKUP(Script!E$201,#REF!,5,FALSE)&gt;0,1,0)</f>
        <v>#REF!</v>
      </c>
      <c r="D204" s="974">
        <f>D203</f>
        <v>1.2</v>
      </c>
      <c r="E204" s="974"/>
      <c r="F204" s="974" t="e">
        <f ca="1">VLOOKUP(E201,#REF!,5,FALSE)</f>
        <v>#REF!</v>
      </c>
      <c r="G204" s="1005" t="e">
        <f ca="1">F204&amp;"x "&amp;#REF!</f>
        <v>#REF!</v>
      </c>
      <c r="I204" s="975">
        <f>I203</f>
        <v>2.4</v>
      </c>
      <c r="J204" s="975">
        <v>0</v>
      </c>
      <c r="K204" s="975"/>
      <c r="L204" s="976"/>
      <c r="M204" s="977"/>
      <c r="N204" s="978"/>
      <c r="O204" s="978"/>
      <c r="P204" s="978"/>
      <c r="Q204" s="978"/>
      <c r="R204" s="978"/>
      <c r="S204" s="977"/>
      <c r="T204" s="978"/>
      <c r="U204" s="978"/>
    </row>
    <row r="205" spans="1:21" s="979" customFormat="1" ht="15" customHeight="1" x14ac:dyDescent="0.25">
      <c r="A205" s="993"/>
      <c r="B205" s="979" t="e">
        <f ca="1">B204-C204*(I205+D205)</f>
        <v>#REF!</v>
      </c>
      <c r="C205" s="975" t="e">
        <f ca="1">IF(VLOOKUP(Script!E$201,#REF!,6,FALSE)&gt;0,1,0)</f>
        <v>#REF!</v>
      </c>
      <c r="D205" s="974">
        <f>D204</f>
        <v>1.2</v>
      </c>
      <c r="E205" s="974"/>
      <c r="F205" s="974" t="e">
        <f ca="1">VLOOKUP(E201,#REF!,6,FALSE)</f>
        <v>#REF!</v>
      </c>
      <c r="G205" s="1005" t="e">
        <f ca="1">F205&amp;"x "&amp;#REF!</f>
        <v>#REF!</v>
      </c>
      <c r="I205" s="975">
        <f>I204</f>
        <v>2.4</v>
      </c>
      <c r="J205" s="975">
        <v>0</v>
      </c>
      <c r="K205" s="975"/>
      <c r="L205" s="976"/>
      <c r="M205" s="977"/>
      <c r="N205" s="978"/>
      <c r="O205" s="978"/>
      <c r="P205" s="978"/>
      <c r="Q205" s="978"/>
      <c r="R205" s="978"/>
      <c r="S205" s="977"/>
      <c r="T205" s="978"/>
      <c r="U205" s="978"/>
    </row>
    <row r="206" spans="1:21" s="979" customFormat="1" ht="15" customHeight="1" x14ac:dyDescent="0.25">
      <c r="A206" s="993"/>
      <c r="B206" s="979" t="e">
        <f ca="1">B205-C205*(I206+D206)</f>
        <v>#REF!</v>
      </c>
      <c r="C206" s="975" t="e">
        <f ca="1">IF(VLOOKUP(Script!E$201,#REF!,6,FALSE)&gt;0,1,0)</f>
        <v>#REF!</v>
      </c>
      <c r="D206" s="974">
        <f>D205</f>
        <v>1.2</v>
      </c>
      <c r="E206" s="974"/>
      <c r="F206" s="974" t="e">
        <f ca="1">VLOOKUP(E201,#REF!,7,FALSE)</f>
        <v>#REF!</v>
      </c>
      <c r="G206" s="1005" t="e">
        <f ca="1">F206&amp;"x "&amp;#REF!</f>
        <v>#REF!</v>
      </c>
      <c r="I206" s="975">
        <f>I205</f>
        <v>2.4</v>
      </c>
      <c r="J206" s="975">
        <v>0</v>
      </c>
      <c r="K206" s="975"/>
      <c r="L206" s="976"/>
      <c r="M206" s="977"/>
      <c r="N206" s="978"/>
      <c r="O206" s="978"/>
      <c r="P206" s="978"/>
      <c r="Q206" s="978"/>
      <c r="R206" s="978"/>
      <c r="S206" s="977"/>
      <c r="T206" s="978"/>
      <c r="U206" s="978"/>
    </row>
    <row r="207" spans="1:21" s="979" customFormat="1" ht="15" customHeight="1" x14ac:dyDescent="0.25">
      <c r="A207" s="993"/>
      <c r="B207" s="993"/>
      <c r="C207" s="974"/>
      <c r="D207" s="974"/>
      <c r="E207" s="974"/>
      <c r="F207" s="974"/>
      <c r="G207" s="999"/>
      <c r="H207" s="975"/>
      <c r="I207" s="975"/>
      <c r="J207" s="975"/>
      <c r="K207" s="975"/>
      <c r="L207" s="976"/>
      <c r="M207" s="3" t="s">
        <v>621</v>
      </c>
      <c r="N207" s="4"/>
      <c r="O207" s="4"/>
      <c r="P207" s="4"/>
      <c r="Q207" s="4"/>
      <c r="R207" s="4"/>
      <c r="S207" s="4"/>
      <c r="T207" s="4"/>
      <c r="U207" s="4"/>
    </row>
    <row r="208" spans="1:21" s="979" customFormat="1" ht="15" customHeight="1" x14ac:dyDescent="0.25">
      <c r="A208" s="1046" t="s">
        <v>628</v>
      </c>
      <c r="B208" s="993"/>
      <c r="C208" s="974"/>
      <c r="D208" s="974"/>
      <c r="E208" s="974"/>
      <c r="F208" s="974"/>
      <c r="G208" s="999"/>
      <c r="H208" s="975"/>
      <c r="I208" s="975"/>
      <c r="J208" s="975"/>
      <c r="K208" s="975"/>
      <c r="L208" s="976"/>
      <c r="M208" s="977"/>
      <c r="N208" s="978"/>
      <c r="O208" s="978"/>
      <c r="P208" s="978"/>
      <c r="Q208" s="978"/>
      <c r="R208" s="978"/>
      <c r="S208" s="978"/>
      <c r="T208" s="978"/>
      <c r="U208" s="978"/>
    </row>
    <row r="209" spans="1:21" s="979" customFormat="1" ht="15" customHeight="1" x14ac:dyDescent="0.25">
      <c r="A209" s="1046" t="s">
        <v>629</v>
      </c>
      <c r="B209" s="993"/>
      <c r="C209" s="974"/>
      <c r="D209" s="974"/>
      <c r="E209" s="974"/>
      <c r="F209" s="974"/>
      <c r="G209" s="999"/>
      <c r="H209" s="975"/>
      <c r="I209" s="975"/>
      <c r="J209" s="975"/>
      <c r="K209" s="975"/>
      <c r="L209" s="976"/>
      <c r="M209" s="977"/>
      <c r="N209" s="978"/>
      <c r="O209" s="978"/>
      <c r="P209" s="978"/>
      <c r="Q209" s="978"/>
      <c r="R209" s="978"/>
      <c r="S209" s="978"/>
      <c r="T209" s="978"/>
      <c r="U209" s="978"/>
    </row>
    <row r="210" spans="1:21" s="979" customFormat="1" ht="15" customHeight="1" x14ac:dyDescent="0.25">
      <c r="A210" s="974">
        <f>Ontwerp!I285/2</f>
        <v>113.36134543579558</v>
      </c>
      <c r="B210" s="993">
        <f>IF(Ontwerp!AB286&lt;0,Ontwerp!AB287+2-9,Ontwerp!AB287+Ontwerp!AB286-2-9)/2</f>
        <v>-9.0425222516059875</v>
      </c>
      <c r="C210" s="1047">
        <f>-F210*0.5*Variabelen!B84/1000</f>
        <v>-4.375</v>
      </c>
      <c r="D210" s="974">
        <f>IF(INPUT!D28=INPUT!S26,Script!B211,Script!D211)</f>
        <v>1.5</v>
      </c>
      <c r="E210" s="974"/>
      <c r="F210" s="974">
        <f>Variabelen!E90-Variabelen!E96</f>
        <v>35</v>
      </c>
      <c r="G210" s="1047"/>
      <c r="H210" s="975"/>
      <c r="I210" s="975"/>
      <c r="J210" s="975"/>
      <c r="K210" s="975"/>
      <c r="L210" s="976"/>
      <c r="M210" s="3" t="s">
        <v>581</v>
      </c>
      <c r="N210" s="4" t="s">
        <v>626</v>
      </c>
      <c r="O210" s="4" t="str">
        <f t="array" ref="O210">POINT(A51+A210+C210,B51+B210+D210)</f>
        <v>104003.499198553,486259.095448072</v>
      </c>
      <c r="P210" s="4">
        <v>100</v>
      </c>
      <c r="Q210" s="4"/>
      <c r="R210" s="4"/>
      <c r="S210" s="4"/>
      <c r="T210" s="4"/>
      <c r="U210" s="4"/>
    </row>
    <row r="211" spans="1:21" s="979" customFormat="1" ht="15" customHeight="1" x14ac:dyDescent="0.25">
      <c r="A211" s="1048" t="s">
        <v>1048</v>
      </c>
      <c r="B211" s="974">
        <v>1.5</v>
      </c>
      <c r="C211" s="974" t="s">
        <v>1049</v>
      </c>
      <c r="D211" s="974">
        <v>2.25</v>
      </c>
      <c r="E211" s="974"/>
      <c r="F211" s="974"/>
      <c r="G211" s="1045" t="str">
        <f>1000/Variabelen!B84&amp;"XP"</f>
        <v>4XP</v>
      </c>
      <c r="H211" s="975"/>
      <c r="I211" s="975"/>
      <c r="J211" s="975"/>
      <c r="K211" s="975"/>
      <c r="L211" s="976"/>
      <c r="M211" s="3" t="s">
        <v>581</v>
      </c>
      <c r="N211" s="50" t="str">
        <f>G211</f>
        <v>4XP</v>
      </c>
      <c r="O211" s="4"/>
      <c r="P211" s="4"/>
      <c r="Q211" s="4"/>
      <c r="R211" s="4"/>
      <c r="S211" s="4"/>
      <c r="T211" s="4"/>
      <c r="U211" s="4"/>
    </row>
    <row r="212" spans="1:21" s="979" customFormat="1" ht="15" customHeight="1" x14ac:dyDescent="0.25">
      <c r="A212" s="999"/>
      <c r="B212" s="974"/>
      <c r="C212" s="974"/>
      <c r="D212" s="974" t="s">
        <v>1050</v>
      </c>
      <c r="E212" s="974"/>
      <c r="F212" s="974"/>
      <c r="G212" s="975"/>
      <c r="H212" s="975"/>
      <c r="I212" s="975"/>
      <c r="J212" s="975"/>
      <c r="K212" s="975"/>
      <c r="L212" s="976"/>
      <c r="M212" s="3" t="s">
        <v>483</v>
      </c>
      <c r="N212" s="4" t="s">
        <v>484</v>
      </c>
      <c r="O212" s="4"/>
      <c r="P212" s="4"/>
      <c r="Q212" s="4"/>
      <c r="R212" s="2"/>
      <c r="S212" s="4"/>
      <c r="T212" s="4"/>
      <c r="U212" s="4"/>
    </row>
    <row r="213" spans="1:21" s="979" customFormat="1" ht="15" customHeight="1" x14ac:dyDescent="0.25">
      <c r="A213" s="1049" t="s">
        <v>630</v>
      </c>
      <c r="B213" s="1024"/>
      <c r="C213" s="1025"/>
      <c r="D213" s="1025"/>
      <c r="E213" s="1025"/>
      <c r="F213" s="1025"/>
      <c r="G213" s="1050"/>
      <c r="L213" s="1028"/>
      <c r="M213" s="351" t="s">
        <v>605</v>
      </c>
      <c r="N213" s="15"/>
      <c r="O213" s="352"/>
      <c r="P213" s="352"/>
      <c r="Q213" s="352"/>
      <c r="R213" s="352"/>
      <c r="S213" s="352"/>
      <c r="T213" s="4"/>
      <c r="U213" s="4"/>
    </row>
    <row r="214" spans="1:21" s="979" customFormat="1" ht="15" customHeight="1" x14ac:dyDescent="0.25">
      <c r="A214" s="1024"/>
      <c r="B214" s="1024"/>
      <c r="C214" s="1025"/>
      <c r="D214" s="1025"/>
      <c r="E214" s="1025"/>
      <c r="F214" s="1025"/>
      <c r="G214" s="1027"/>
      <c r="L214" s="1028"/>
      <c r="M214" s="351" t="s">
        <v>493</v>
      </c>
      <c r="N214" s="352" t="s">
        <v>494</v>
      </c>
      <c r="O214" s="351" t="s">
        <v>608</v>
      </c>
      <c r="P214" s="352" t="s">
        <v>495</v>
      </c>
      <c r="Q214" s="352"/>
      <c r="R214" s="352"/>
      <c r="S214" s="4"/>
      <c r="T214" s="4"/>
      <c r="U214" s="4"/>
    </row>
    <row r="215" spans="1:21" s="979" customFormat="1" ht="15" customHeight="1" x14ac:dyDescent="0.25">
      <c r="A215" s="1024">
        <f>HLOOKUP(Variabelen!B80,Variabelen!E89:J126,33,FALSE)</f>
        <v>2</v>
      </c>
      <c r="B215" s="1024">
        <f ca="1">HLOOKUP(Variabelen!B80,Variabelen!E89:J126,34,FALSE)</f>
        <v>202</v>
      </c>
      <c r="C215" s="1024">
        <f>HLOOKUP(Variabelen!B80,Variabelen!E89:J126,35,FALSE)</f>
        <v>80</v>
      </c>
      <c r="D215" s="1024">
        <f ca="1">HLOOKUP(Variabelen!B80,Variabelen!E89:J126,36,FALSE)</f>
        <v>273</v>
      </c>
      <c r="E215" s="1025"/>
      <c r="F215" s="1025"/>
      <c r="G215" s="1027"/>
      <c r="L215" s="1028"/>
      <c r="M215" s="351" t="s">
        <v>609</v>
      </c>
      <c r="N215" s="352"/>
      <c r="O215" s="352" t="str">
        <f ca="1">POINT(A215,B215)</f>
        <v>2,202</v>
      </c>
      <c r="P215" s="352" t="str">
        <f ca="1">POINT(C215,D215)</f>
        <v>80,273</v>
      </c>
      <c r="Q215" s="352"/>
      <c r="R215" s="352"/>
      <c r="S215" s="352"/>
      <c r="T215" s="4"/>
      <c r="U215" s="4"/>
    </row>
    <row r="216" spans="1:21" s="979" customFormat="1" ht="15" customHeight="1" x14ac:dyDescent="0.25">
      <c r="A216" s="1024">
        <f>HLOOKUP(Variabelen!B80,Variabelen!E89:J126,37,FALSE)</f>
        <v>6</v>
      </c>
      <c r="B216" s="1024">
        <f ca="1">HLOOKUP(Variabelen!B80,Variabelen!E89:J126,38,FALSE)</f>
        <v>264</v>
      </c>
      <c r="C216" s="1025"/>
      <c r="D216" s="1025"/>
      <c r="E216" s="1025"/>
      <c r="F216" s="1025"/>
      <c r="G216" s="1051" t="s">
        <v>631</v>
      </c>
      <c r="I216" s="979">
        <v>3.5</v>
      </c>
      <c r="J216" s="979">
        <v>0</v>
      </c>
      <c r="L216" s="1028"/>
      <c r="M216" s="351" t="s">
        <v>527</v>
      </c>
      <c r="N216" s="352" t="s">
        <v>458</v>
      </c>
      <c r="O216" s="352" t="s">
        <v>528</v>
      </c>
      <c r="P216" s="352" t="str">
        <f ca="1">POINT(A216,B216)</f>
        <v>6,264</v>
      </c>
      <c r="Q216" s="352">
        <f>I216</f>
        <v>3.5</v>
      </c>
      <c r="R216" s="352">
        <f>K216</f>
        <v>0</v>
      </c>
      <c r="S216" s="351" t="str">
        <f>G216</f>
        <v>GPS PUNTEN BOORLIJN:</v>
      </c>
      <c r="T216" s="4"/>
      <c r="U216" s="4"/>
    </row>
    <row r="217" spans="1:21" s="979" customFormat="1" ht="15" customHeight="1" x14ac:dyDescent="0.25">
      <c r="A217" s="1027"/>
      <c r="B217" s="1027"/>
      <c r="C217" s="1025"/>
      <c r="D217" s="1025"/>
      <c r="E217" s="1025"/>
      <c r="F217" s="1025"/>
      <c r="L217" s="1028"/>
      <c r="M217" s="351" t="s">
        <v>493</v>
      </c>
      <c r="N217" s="352" t="s">
        <v>494</v>
      </c>
      <c r="O217" s="351" t="s">
        <v>610</v>
      </c>
      <c r="P217" s="352" t="s">
        <v>495</v>
      </c>
      <c r="Q217" s="355"/>
      <c r="R217" s="355"/>
      <c r="S217" s="352"/>
      <c r="T217" s="352"/>
      <c r="U217" s="355"/>
    </row>
    <row r="218" spans="1:21" s="979" customFormat="1" ht="15" customHeight="1" x14ac:dyDescent="0.25">
      <c r="A218" s="988" t="s">
        <v>632</v>
      </c>
      <c r="B218" s="1027"/>
      <c r="C218" s="1025"/>
      <c r="D218" s="1025"/>
      <c r="E218" s="1025"/>
      <c r="F218" s="1025"/>
      <c r="L218" s="1028"/>
      <c r="M218" s="983"/>
      <c r="N218" s="986"/>
      <c r="O218" s="983"/>
      <c r="P218" s="986"/>
      <c r="S218" s="986"/>
      <c r="T218" s="986"/>
    </row>
    <row r="219" spans="1:21" s="979" customFormat="1" ht="15" customHeight="1" x14ac:dyDescent="0.25">
      <c r="A219" s="1025" t="s">
        <v>633</v>
      </c>
      <c r="B219" s="1025"/>
      <c r="C219" s="1025" t="s">
        <v>634</v>
      </c>
      <c r="D219" s="1025"/>
      <c r="E219" s="1025"/>
      <c r="F219" s="1025"/>
      <c r="G219" s="1027"/>
      <c r="I219" s="979" t="s">
        <v>635</v>
      </c>
      <c r="L219" s="1028"/>
      <c r="M219" s="353" t="s">
        <v>497</v>
      </c>
      <c r="N219" s="354">
        <v>7</v>
      </c>
      <c r="O219" s="354" t="s">
        <v>498</v>
      </c>
      <c r="P219" s="354">
        <v>0</v>
      </c>
      <c r="Q219" s="354" t="s">
        <v>499</v>
      </c>
      <c r="R219" s="354">
        <f>Ontwerp!AO282</f>
        <v>7</v>
      </c>
      <c r="S219" s="354" t="s">
        <v>500</v>
      </c>
      <c r="T219" s="354">
        <v>1</v>
      </c>
      <c r="U219" s="357"/>
    </row>
    <row r="220" spans="1:21" s="979" customFormat="1" ht="15" customHeight="1" x14ac:dyDescent="0.25">
      <c r="A220" s="1025">
        <f>Variabelen!E125</f>
        <v>6</v>
      </c>
      <c r="B220" s="1025">
        <f ca="1">HLOOKUP(Variabelen!B80,Variabelen!E89:J126,38,FALSE)-C220</f>
        <v>258</v>
      </c>
      <c r="C220" s="1025">
        <f>Variabelen!E128</f>
        <v>6</v>
      </c>
      <c r="D220" s="1025"/>
      <c r="E220" s="1025"/>
      <c r="F220" s="1025"/>
      <c r="G220" s="975"/>
      <c r="I220" s="1053">
        <f>IF(INPUT!D15="A3",2.5,3)</f>
        <v>3</v>
      </c>
      <c r="L220" s="1028"/>
      <c r="M220" s="351" t="s">
        <v>527</v>
      </c>
      <c r="N220" s="352" t="s">
        <v>458</v>
      </c>
      <c r="O220" s="352" t="s">
        <v>528</v>
      </c>
      <c r="P220" s="352" t="str">
        <f ca="1">POINT(A220,B220-N219*C220)</f>
        <v>6,216</v>
      </c>
      <c r="Q220" s="399">
        <f>I220</f>
        <v>3</v>
      </c>
      <c r="R220" s="352">
        <v>0</v>
      </c>
      <c r="S220" s="131" t="str">
        <f>VLOOKUP(N219,Ontwerp!AO268:AU281,2,FALSE)&amp;": "&amp;ROUND(VLOOKUP(N219,Ontwerp!AO268:AU281,5,FALSE),1)&amp;", "&amp;ROUND(VLOOKUP(N219,Ontwerp!AO268:AU281,6,FALSE),1)</f>
        <v>B: 104118.8, 489243.7</v>
      </c>
      <c r="T220" s="4"/>
      <c r="U220" s="4"/>
    </row>
    <row r="221" spans="1:21" s="979" customFormat="1" ht="15" customHeight="1" x14ac:dyDescent="0.25">
      <c r="A221" s="1025"/>
      <c r="B221" s="1025"/>
      <c r="C221" s="1025"/>
      <c r="D221" s="1025"/>
      <c r="E221" s="1025"/>
      <c r="F221" s="1025"/>
      <c r="G221" s="1027"/>
      <c r="L221" s="1028"/>
      <c r="M221" s="353" t="s">
        <v>503</v>
      </c>
      <c r="N221" s="354"/>
      <c r="O221" s="354"/>
      <c r="P221" s="354"/>
      <c r="Q221" s="354"/>
      <c r="R221" s="354"/>
      <c r="S221" s="357"/>
      <c r="T221" s="47"/>
      <c r="U221" s="47"/>
    </row>
    <row r="222" spans="1:21" s="979" customFormat="1" ht="15" customHeight="1" x14ac:dyDescent="0.25">
      <c r="A222" s="1025"/>
      <c r="B222" s="1025"/>
      <c r="C222" s="1025"/>
      <c r="D222" s="1025"/>
      <c r="E222" s="1025"/>
      <c r="F222" s="1025"/>
      <c r="G222" s="1051" t="s">
        <v>248</v>
      </c>
      <c r="I222" s="1054" t="str">
        <f>IF(INPUT!D27=2,"","  ( ~ "&amp;ROUND(100*TAN(RADIANS(K222)),0)&amp;"% )")</f>
        <v xml:space="preserve">  ( ~ 32% )</v>
      </c>
      <c r="K222" s="979">
        <f>ROUND(Ontwerp!D7,0)</f>
        <v>18</v>
      </c>
      <c r="L222" s="1028"/>
      <c r="M222" s="351" t="s">
        <v>527</v>
      </c>
      <c r="N222" s="352" t="s">
        <v>458</v>
      </c>
      <c r="O222" s="352" t="s">
        <v>528</v>
      </c>
      <c r="P222" s="352" t="str">
        <f ca="1">POINT(A220,B220-(N219+1)*C220)</f>
        <v>6,210</v>
      </c>
      <c r="Q222" s="399">
        <f>I220</f>
        <v>3</v>
      </c>
      <c r="R222" s="352">
        <v>0</v>
      </c>
      <c r="S222" s="131" t="str">
        <f>IF(OR(INPUT!D27=1,INPUT!D27=5),G222&amp;" "&amp;K222&amp;"°"&amp;I222,G222&amp;" "&amp;90-K222&amp;"°  (P"&amp;Ontwerp!C2&amp;")")</f>
        <v>Intredehoek 18°  ( ~ 32% )</v>
      </c>
      <c r="T222" s="4"/>
      <c r="U222" s="4"/>
    </row>
    <row r="223" spans="1:21" s="979" customFormat="1" ht="15" customHeight="1" x14ac:dyDescent="0.25">
      <c r="A223" s="1024"/>
      <c r="B223" s="1024"/>
      <c r="C223" s="1025" t="str">
        <f>Variabelen!E131</f>
        <v>A3</v>
      </c>
      <c r="D223" s="1025"/>
      <c r="E223" s="1025"/>
      <c r="F223" s="1025"/>
      <c r="G223" s="1055" t="str">
        <f>IF(OR(INPUT!D27=1,INPUT!D27=5),"Uittredehoek",IF(INPUT!D27=2,"Boogstraal",IF(INPUT!D27=3,"Boogstraal","CHECK BORING of BOOGZINKER")))</f>
        <v>Uittredehoek</v>
      </c>
      <c r="H223" s="979">
        <f>ROUND(Ontwerp!D8,1)</f>
        <v>60</v>
      </c>
      <c r="I223" s="1054">
        <f>ROUND(100*TAN(RADIANS(K223)),0)</f>
        <v>40</v>
      </c>
      <c r="K223" s="979">
        <f>ROUND(Ontwerp!D13,0)</f>
        <v>22</v>
      </c>
      <c r="L223" s="1028"/>
      <c r="M223" s="351" t="s">
        <v>527</v>
      </c>
      <c r="N223" s="352" t="s">
        <v>458</v>
      </c>
      <c r="O223" s="352" t="s">
        <v>528</v>
      </c>
      <c r="P223" s="352" t="str">
        <f ca="1">POINT(A220,B220-(N219+2)*C220)</f>
        <v>6,204</v>
      </c>
      <c r="Q223" s="399">
        <f>I220</f>
        <v>3</v>
      </c>
      <c r="R223" s="352">
        <v>0</v>
      </c>
      <c r="S223" s="131" t="str">
        <f>IF(OR(INPUT!D27=1,INPUT!D27=5),G223&amp;" "&amp;K223&amp;"°"&amp;"  ( ~ "&amp;I223&amp;"% )",IF(OR(INPUT!D27=2,INPUT!D27=3),G223&amp;" "&amp;H223&amp;" m","CHECK BORING of BOOGZINKER"))</f>
        <v>Uittredehoek 22°  ( ~ 40% )</v>
      </c>
      <c r="T223" s="4"/>
      <c r="U223" s="4"/>
    </row>
    <row r="224" spans="1:21" s="979" customFormat="1" ht="15" customHeight="1" x14ac:dyDescent="0.25">
      <c r="A224" s="1006" t="s">
        <v>636</v>
      </c>
      <c r="B224" s="993"/>
      <c r="C224" s="974"/>
      <c r="D224" s="974"/>
      <c r="E224" s="974"/>
      <c r="F224" s="974"/>
      <c r="G224" s="999"/>
      <c r="H224" s="975"/>
      <c r="I224" s="975"/>
      <c r="J224" s="975"/>
      <c r="K224" s="975"/>
      <c r="L224" s="976"/>
      <c r="M224" s="977"/>
      <c r="N224" s="978"/>
      <c r="O224" s="978"/>
      <c r="P224" s="978"/>
      <c r="Q224" s="978"/>
      <c r="R224" s="978"/>
      <c r="S224" s="978"/>
      <c r="T224" s="978"/>
    </row>
    <row r="225" spans="1:21" s="979" customFormat="1" ht="15" customHeight="1" x14ac:dyDescent="0.25">
      <c r="A225" s="993"/>
      <c r="B225" s="993"/>
      <c r="C225" s="974"/>
      <c r="D225" s="974"/>
      <c r="E225" s="974"/>
      <c r="F225" s="974"/>
      <c r="G225" s="999"/>
      <c r="H225" s="975"/>
      <c r="I225" s="975"/>
      <c r="J225" s="975"/>
      <c r="K225" s="975"/>
      <c r="L225" s="976"/>
      <c r="M225" s="3" t="s">
        <v>493</v>
      </c>
      <c r="N225" s="4" t="s">
        <v>494</v>
      </c>
      <c r="O225" s="3" t="s">
        <v>608</v>
      </c>
      <c r="P225" s="4" t="s">
        <v>495</v>
      </c>
      <c r="Q225" s="4"/>
      <c r="R225" s="4"/>
      <c r="S225" s="4"/>
      <c r="T225" s="4"/>
      <c r="U225" s="355"/>
    </row>
    <row r="226" spans="1:21" s="979" customFormat="1" ht="15" customHeight="1" x14ac:dyDescent="0.25">
      <c r="A226" s="1056">
        <f>HLOOKUP(Variabelen!B80,Variabelen!E131:J137,2,FALSE)</f>
        <v>2</v>
      </c>
      <c r="B226" s="1039">
        <f ca="1">HLOOKUP(Variabelen!B80,Variabelen!E131:J137,3,FALSE)</f>
        <v>273</v>
      </c>
      <c r="C226" s="974">
        <f>HLOOKUP(Variabelen!B80,Variabelen!E131:J137,4,FALSE)</f>
        <v>114</v>
      </c>
      <c r="D226" s="974">
        <f>HLOOKUP(Variabelen!B80,Variabelen!E131:J137,5,FALSE)</f>
        <v>418</v>
      </c>
      <c r="E226" s="974"/>
      <c r="F226" s="974"/>
      <c r="G226" s="999"/>
      <c r="H226" s="975"/>
      <c r="I226" s="975"/>
      <c r="J226" s="975"/>
      <c r="K226" s="975"/>
      <c r="L226" s="976"/>
      <c r="M226" s="3" t="s">
        <v>612</v>
      </c>
      <c r="N226" s="4"/>
      <c r="O226" s="4" t="str">
        <f ca="1">POINT(A226,B226)</f>
        <v>2,273</v>
      </c>
      <c r="P226" s="4" t="str">
        <f>POINT(C226,D226)</f>
        <v>114,418</v>
      </c>
      <c r="Q226" s="4"/>
      <c r="R226" s="4"/>
      <c r="S226" s="4"/>
      <c r="T226" s="4"/>
      <c r="U226" s="355"/>
    </row>
    <row r="227" spans="1:21" s="979" customFormat="1" ht="15" customHeight="1" x14ac:dyDescent="0.25">
      <c r="A227" s="993">
        <f>A226-10</f>
        <v>-8</v>
      </c>
      <c r="B227" s="993">
        <v>-1</v>
      </c>
      <c r="C227" s="975">
        <v>0</v>
      </c>
      <c r="D227" s="975">
        <f>D185</f>
        <v>420</v>
      </c>
      <c r="E227" s="974" t="s">
        <v>637</v>
      </c>
      <c r="F227" s="974"/>
      <c r="G227" s="999"/>
      <c r="H227" s="975"/>
      <c r="I227" s="975"/>
      <c r="J227" s="975"/>
      <c r="K227" s="975"/>
      <c r="L227" s="976"/>
      <c r="M227" s="977"/>
      <c r="N227" s="978"/>
      <c r="O227" s="978"/>
      <c r="P227" s="978"/>
      <c r="Q227" s="978"/>
      <c r="R227" s="978"/>
      <c r="S227" s="978"/>
      <c r="T227" s="978"/>
    </row>
    <row r="228" spans="1:21" s="979" customFormat="1" ht="15" customHeight="1" x14ac:dyDescent="0.25">
      <c r="A228" s="1042" t="s">
        <v>638</v>
      </c>
      <c r="B228" s="993"/>
      <c r="C228" s="974" t="s">
        <v>293</v>
      </c>
      <c r="D228" s="974" t="s">
        <v>616</v>
      </c>
      <c r="E228" s="974" t="s">
        <v>617</v>
      </c>
      <c r="F228" s="974"/>
      <c r="G228" s="999"/>
      <c r="H228" s="975"/>
      <c r="I228" s="975"/>
      <c r="J228" s="975"/>
      <c r="K228" s="975"/>
      <c r="L228" s="976"/>
      <c r="M228" s="3" t="s">
        <v>527</v>
      </c>
      <c r="N228" s="4" t="s">
        <v>458</v>
      </c>
      <c r="O228" s="4" t="s">
        <v>528</v>
      </c>
      <c r="P228" s="83" t="s">
        <v>618</v>
      </c>
      <c r="Q228" s="4">
        <v>4</v>
      </c>
      <c r="R228" s="4">
        <f>K228</f>
        <v>0</v>
      </c>
      <c r="S228" s="4" t="s">
        <v>619</v>
      </c>
      <c r="T228" s="4"/>
      <c r="U228" s="355"/>
    </row>
    <row r="229" spans="1:21" s="979" customFormat="1" ht="15" customHeight="1" x14ac:dyDescent="0.25">
      <c r="A229" s="993">
        <f>HLOOKUP(Variabelen!B80,Variabelen!E131:J137,6,FALSE)</f>
        <v>6</v>
      </c>
      <c r="B229" s="993">
        <f>HLOOKUP(Variabelen!B80,Variabelen!E131:J137,7,FALSE)</f>
        <v>409</v>
      </c>
      <c r="C229" s="975">
        <v>100</v>
      </c>
      <c r="D229" s="975">
        <v>6</v>
      </c>
      <c r="E229" s="974">
        <f>A229+C229</f>
        <v>106</v>
      </c>
      <c r="F229" s="974">
        <f>B229+D229</f>
        <v>415</v>
      </c>
      <c r="G229" s="1005" t="str">
        <f>"BOVENAANZICHT, SCHAAL 1:"&amp;Ontwerp!R9</f>
        <v>BOVENAANZICHT, SCHAAL 1:4000</v>
      </c>
      <c r="H229" s="975"/>
      <c r="I229" s="975"/>
      <c r="J229" s="975"/>
      <c r="K229" s="975"/>
      <c r="L229" s="976"/>
      <c r="M229" s="3" t="s">
        <v>620</v>
      </c>
      <c r="N229" s="4" t="str">
        <f>POINT(A229,B229)</f>
        <v>6,409</v>
      </c>
      <c r="O229" s="4" t="str">
        <f>POINT(E229,F229)</f>
        <v>106,415</v>
      </c>
      <c r="P229" s="3" t="str">
        <f>G229</f>
        <v>BOVENAANZICHT, SCHAAL 1:4000</v>
      </c>
      <c r="Q229" s="4" t="s">
        <v>495</v>
      </c>
      <c r="R229" s="15"/>
      <c r="S229" s="15"/>
      <c r="T229" s="4"/>
      <c r="U229" s="355"/>
    </row>
    <row r="230" spans="1:21" s="979" customFormat="1" ht="15" customHeight="1" x14ac:dyDescent="0.25">
      <c r="A230" s="993"/>
      <c r="B230" s="993"/>
      <c r="C230" s="975"/>
      <c r="D230" s="975"/>
      <c r="E230" s="974"/>
      <c r="F230" s="974"/>
      <c r="G230" s="1005"/>
      <c r="H230" s="975"/>
      <c r="I230" s="975"/>
      <c r="J230" s="975"/>
      <c r="K230" s="975"/>
      <c r="L230" s="976"/>
      <c r="M230" s="3" t="str">
        <f>IF(K4=1,"_TEXTMASK","")</f>
        <v>_TEXTMASK</v>
      </c>
      <c r="N230" s="4" t="str">
        <f>IF(K4=1,POINT(A229,B229+4),"")</f>
        <v>6,413</v>
      </c>
      <c r="O230" s="4" t="str">
        <f>IF(K4=1,";","")</f>
        <v>;</v>
      </c>
      <c r="P230" s="3"/>
      <c r="Q230" s="4"/>
      <c r="R230" s="15"/>
      <c r="S230" s="15"/>
      <c r="T230" s="4"/>
      <c r="U230" s="355"/>
    </row>
    <row r="231" spans="1:21" s="979" customFormat="1" ht="15" customHeight="1" x14ac:dyDescent="0.25">
      <c r="A231" s="974">
        <f>C226+C231</f>
        <v>108</v>
      </c>
      <c r="B231" s="974">
        <f>D226+D231</f>
        <v>410</v>
      </c>
      <c r="C231" s="975">
        <v>-6</v>
      </c>
      <c r="D231" s="975">
        <v>-8</v>
      </c>
      <c r="E231" s="974"/>
      <c r="F231" s="974"/>
      <c r="G231" s="1041" t="s">
        <v>537</v>
      </c>
      <c r="H231" s="975"/>
      <c r="I231" s="975">
        <v>0.4</v>
      </c>
      <c r="J231" s="975"/>
      <c r="K231" s="975">
        <v>0</v>
      </c>
      <c r="L231" s="976"/>
      <c r="M231" s="3" t="s">
        <v>529</v>
      </c>
      <c r="N231" s="4" t="str">
        <f>G231</f>
        <v>NOORDPIJL</v>
      </c>
      <c r="O231" s="4"/>
      <c r="P231" s="4" t="str">
        <f>POINT(A231+C231,B231+D231)</f>
        <v>102,402</v>
      </c>
      <c r="Q231" s="15">
        <v>600</v>
      </c>
      <c r="R231" s="15">
        <f>Q231</f>
        <v>600</v>
      </c>
      <c r="S231" s="4">
        <f>K231</f>
        <v>0</v>
      </c>
      <c r="T231" s="4"/>
      <c r="U231" s="4"/>
    </row>
    <row r="232" spans="1:21" s="979" customFormat="1" ht="15" customHeight="1" x14ac:dyDescent="0.25">
      <c r="A232" s="993"/>
      <c r="B232" s="993"/>
      <c r="C232" s="975"/>
      <c r="D232" s="975"/>
      <c r="E232" s="974"/>
      <c r="F232" s="974"/>
      <c r="G232" s="1005"/>
      <c r="H232" s="975"/>
      <c r="I232" s="975"/>
      <c r="J232" s="975"/>
      <c r="K232" s="975"/>
      <c r="L232" s="976"/>
      <c r="M232" s="3" t="s">
        <v>621</v>
      </c>
      <c r="N232" s="4"/>
      <c r="O232" s="4"/>
      <c r="P232" s="3"/>
      <c r="Q232" s="4"/>
      <c r="R232" s="15"/>
      <c r="S232" s="4"/>
      <c r="T232" s="4"/>
      <c r="U232" s="355"/>
    </row>
    <row r="233" spans="1:21" s="979" customFormat="1" ht="15" customHeight="1" x14ac:dyDescent="0.25">
      <c r="A233" s="993"/>
      <c r="B233" s="993"/>
      <c r="C233" s="975"/>
      <c r="D233" s="975"/>
      <c r="E233" s="974"/>
      <c r="F233" s="974"/>
      <c r="G233" s="1005"/>
      <c r="H233" s="975"/>
      <c r="I233" s="975"/>
      <c r="J233" s="975"/>
      <c r="K233" s="975"/>
      <c r="L233" s="976"/>
      <c r="M233" s="3" t="s">
        <v>483</v>
      </c>
      <c r="N233" s="4" t="s">
        <v>484</v>
      </c>
      <c r="O233" s="4"/>
      <c r="P233" s="3"/>
      <c r="Q233" s="4"/>
      <c r="R233" s="15"/>
      <c r="S233" s="4"/>
      <c r="T233" s="4"/>
      <c r="U233" s="355"/>
    </row>
    <row r="234" spans="1:21" s="979" customFormat="1" ht="15" customHeight="1" x14ac:dyDescent="0.25">
      <c r="A234" s="993"/>
      <c r="B234" s="993"/>
      <c r="C234" s="975"/>
      <c r="D234" s="975"/>
      <c r="E234" s="974"/>
      <c r="F234" s="974"/>
      <c r="G234" s="1005"/>
      <c r="H234" s="975"/>
      <c r="I234" s="975"/>
      <c r="J234" s="975"/>
      <c r="K234" s="975"/>
      <c r="L234" s="976"/>
      <c r="M234" s="3" t="s">
        <v>624</v>
      </c>
      <c r="N234" s="4" t="s">
        <v>495</v>
      </c>
      <c r="O234" s="4"/>
      <c r="P234" s="3"/>
      <c r="Q234" s="4"/>
      <c r="R234" s="15"/>
      <c r="S234" s="4"/>
      <c r="T234" s="4"/>
      <c r="U234" s="355"/>
    </row>
    <row r="235" spans="1:21" s="979" customFormat="1" ht="15" customHeight="1" x14ac:dyDescent="0.25">
      <c r="A235" s="1057" t="s">
        <v>639</v>
      </c>
      <c r="B235" s="993"/>
      <c r="C235" s="975"/>
      <c r="D235" s="975"/>
      <c r="E235" s="974"/>
      <c r="F235" s="974"/>
      <c r="G235" s="1005"/>
      <c r="H235" s="975"/>
      <c r="I235" s="975"/>
      <c r="J235" s="975"/>
      <c r="K235" s="975"/>
      <c r="L235" s="976"/>
      <c r="M235" s="3" t="s">
        <v>581</v>
      </c>
      <c r="N235" s="4" t="s">
        <v>626</v>
      </c>
      <c r="O235" s="4" t="str">
        <f t="array" ref="O235">POINT(A27+0.5*C27,B27+0.5*D27)</f>
        <v>104007.874198553,489266.637970323</v>
      </c>
      <c r="P235" s="4">
        <v>100</v>
      </c>
      <c r="Q235" s="4"/>
      <c r="R235" s="4"/>
      <c r="S235" s="4"/>
      <c r="T235" s="4"/>
      <c r="U235" s="355"/>
    </row>
    <row r="236" spans="1:21" s="979" customFormat="1" ht="15" customHeight="1" x14ac:dyDescent="0.25">
      <c r="A236" s="993"/>
      <c r="B236" s="993"/>
      <c r="C236" s="975"/>
      <c r="D236" s="975"/>
      <c r="E236" s="974"/>
      <c r="F236" s="974"/>
      <c r="G236" s="1045" t="str">
        <f>1000/Ontwerp!R9&amp;"XP"</f>
        <v>0.25XP</v>
      </c>
      <c r="H236" s="975"/>
      <c r="I236" s="975"/>
      <c r="J236" s="975"/>
      <c r="K236" s="975"/>
      <c r="L236" s="976"/>
      <c r="M236" s="3" t="s">
        <v>581</v>
      </c>
      <c r="N236" s="50" t="str">
        <f>G236</f>
        <v>0.25XP</v>
      </c>
      <c r="O236" s="4"/>
      <c r="P236" s="4"/>
      <c r="Q236" s="4"/>
      <c r="R236" s="4"/>
      <c r="S236" s="4"/>
      <c r="T236" s="4"/>
      <c r="U236" s="355"/>
    </row>
    <row r="237" spans="1:21" s="979" customFormat="1" ht="15" customHeight="1" x14ac:dyDescent="0.25">
      <c r="A237" s="1006" t="s">
        <v>640</v>
      </c>
      <c r="B237" s="975"/>
      <c r="C237" s="975"/>
      <c r="D237" s="975"/>
      <c r="E237" s="975"/>
      <c r="F237" s="975"/>
      <c r="G237" s="975"/>
      <c r="H237" s="975"/>
      <c r="I237" s="975"/>
      <c r="J237" s="975"/>
      <c r="K237" s="975"/>
      <c r="L237" s="976"/>
      <c r="M237" s="977"/>
      <c r="N237" s="975"/>
      <c r="O237" s="975"/>
      <c r="P237" s="975"/>
      <c r="Q237" s="975"/>
      <c r="R237" s="978"/>
      <c r="S237" s="978"/>
      <c r="T237" s="978"/>
    </row>
    <row r="238" spans="1:21" s="979" customFormat="1" ht="15" customHeight="1" x14ac:dyDescent="0.25">
      <c r="A238" s="993">
        <f>A239-10</f>
        <v>-8</v>
      </c>
      <c r="B238" s="993">
        <v>0</v>
      </c>
      <c r="C238" s="974">
        <f>C239+10</f>
        <v>90</v>
      </c>
      <c r="D238" s="974">
        <f ca="1">D239+10</f>
        <v>112</v>
      </c>
      <c r="E238" s="974"/>
      <c r="F238" s="974"/>
      <c r="G238" s="999"/>
      <c r="H238" s="975"/>
      <c r="I238" s="975"/>
      <c r="J238" s="975"/>
      <c r="K238" s="975"/>
      <c r="L238" s="976"/>
      <c r="M238" s="351" t="s">
        <v>605</v>
      </c>
      <c r="N238" s="4"/>
      <c r="O238" s="4"/>
      <c r="P238" s="4"/>
      <c r="Q238" s="4"/>
      <c r="R238" s="4"/>
      <c r="S238" s="4"/>
      <c r="T238" s="4"/>
      <c r="U238" s="355"/>
    </row>
    <row r="239" spans="1:21" s="979" customFormat="1" ht="15" customHeight="1" x14ac:dyDescent="0.25">
      <c r="A239" s="1056">
        <f>HLOOKUP(Variabelen!B80,Variabelen!E131:J143,8,FALSE)</f>
        <v>2</v>
      </c>
      <c r="B239" s="1039">
        <f>HLOOKUP(Variabelen!B80,Variabelen!E131:J143,9,FALSE)</f>
        <v>2</v>
      </c>
      <c r="C239" s="974">
        <f>HLOOKUP(Variabelen!B80,Variabelen!E131:J143,10,FALSE)</f>
        <v>80</v>
      </c>
      <c r="D239" s="974">
        <f ca="1">HLOOKUP(Variabelen!B80,Variabelen!E131:J143,11,FALSE)</f>
        <v>102</v>
      </c>
      <c r="E239" s="974"/>
      <c r="F239" s="974">
        <v>40</v>
      </c>
      <c r="G239" s="999"/>
      <c r="H239" s="975"/>
      <c r="I239" s="975"/>
      <c r="J239" s="975"/>
      <c r="K239" s="975"/>
      <c r="L239" s="976"/>
      <c r="M239" s="3" t="s">
        <v>493</v>
      </c>
      <c r="N239" s="4" t="s">
        <v>494</v>
      </c>
      <c r="O239" s="3" t="s">
        <v>608</v>
      </c>
      <c r="P239" s="4" t="s">
        <v>495</v>
      </c>
      <c r="Q239" s="4"/>
      <c r="R239" s="4"/>
      <c r="S239" s="4"/>
      <c r="T239" s="4"/>
      <c r="U239" s="355"/>
    </row>
    <row r="240" spans="1:21" s="979" customFormat="1" ht="15" customHeight="1" x14ac:dyDescent="0.25">
      <c r="A240" s="993">
        <f>HLOOKUP(Variabelen!B80,Variabelen!E131:J143,12,FALSE)</f>
        <v>6</v>
      </c>
      <c r="B240" s="993">
        <v>0</v>
      </c>
      <c r="C240" s="975">
        <v>0</v>
      </c>
      <c r="D240" s="975">
        <f>D199</f>
        <v>160.58594369888306</v>
      </c>
      <c r="E240" s="974" t="s">
        <v>637</v>
      </c>
      <c r="F240" s="974"/>
      <c r="G240" s="999"/>
      <c r="H240" s="975"/>
      <c r="I240" s="975"/>
      <c r="J240" s="975"/>
      <c r="K240" s="975"/>
      <c r="L240" s="976"/>
      <c r="M240" s="351" t="s">
        <v>609</v>
      </c>
      <c r="N240" s="4"/>
      <c r="O240" s="4" t="str">
        <f>POINT(A239,B239)</f>
        <v>2,2</v>
      </c>
      <c r="P240" s="4" t="str">
        <f ca="1">POINT(C239,D239)</f>
        <v>80,102</v>
      </c>
      <c r="Q240" s="4"/>
      <c r="R240" s="4"/>
      <c r="S240" s="4"/>
      <c r="T240" s="4"/>
      <c r="U240" s="355"/>
    </row>
    <row r="241" spans="1:21" s="979" customFormat="1" ht="15" customHeight="1" x14ac:dyDescent="0.25">
      <c r="A241" s="1042" t="s">
        <v>638</v>
      </c>
      <c r="B241" s="993"/>
      <c r="C241" s="974"/>
      <c r="D241" s="974"/>
      <c r="E241" s="974"/>
      <c r="F241" s="974"/>
      <c r="G241" s="999"/>
      <c r="H241" s="975"/>
      <c r="I241" s="975"/>
      <c r="J241" s="975"/>
      <c r="K241" s="975"/>
      <c r="L241" s="976"/>
      <c r="S241" s="978"/>
      <c r="T241" s="978"/>
    </row>
    <row r="242" spans="1:21" s="979" customFormat="1" ht="15" customHeight="1" x14ac:dyDescent="0.25">
      <c r="A242" s="993">
        <f>HLOOKUP(Variabelen!B80,Variabelen!E131:J143,12,FALSE)</f>
        <v>6</v>
      </c>
      <c r="B242" s="993">
        <f ca="1">HLOOKUP(Variabelen!B80,Variabelen!E131:J143,13,FALSE)</f>
        <v>94</v>
      </c>
      <c r="C242" s="975"/>
      <c r="D242" s="975"/>
      <c r="E242" s="974"/>
      <c r="F242" s="974"/>
      <c r="G242" s="1058" t="s">
        <v>641</v>
      </c>
      <c r="H242" s="975"/>
      <c r="I242" s="975">
        <f>I216</f>
        <v>3.5</v>
      </c>
      <c r="J242" s="975">
        <v>0</v>
      </c>
      <c r="K242" s="975"/>
      <c r="L242" s="976"/>
      <c r="M242" s="3" t="s">
        <v>527</v>
      </c>
      <c r="N242" s="4" t="s">
        <v>458</v>
      </c>
      <c r="O242" s="4" t="s">
        <v>528</v>
      </c>
      <c r="P242" s="83" t="str">
        <f t="array" aca="1" ref="P242" ca="1">POINT(A242,B242)</f>
        <v>6,94</v>
      </c>
      <c r="Q242" s="4">
        <f>I242</f>
        <v>3.5</v>
      </c>
      <c r="R242" s="4">
        <f>J242</f>
        <v>0</v>
      </c>
      <c r="S242" s="4" t="str">
        <f>G242</f>
        <v>LEGENDA</v>
      </c>
      <c r="T242" s="4"/>
      <c r="U242" s="355"/>
    </row>
    <row r="243" spans="1:21" s="979" customFormat="1" ht="15" customHeight="1" x14ac:dyDescent="0.25">
      <c r="A243" s="993"/>
      <c r="B243" s="993"/>
      <c r="C243" s="975"/>
      <c r="D243" s="975"/>
      <c r="E243" s="974"/>
      <c r="F243" s="974"/>
      <c r="G243" s="1058" t="s">
        <v>642</v>
      </c>
      <c r="H243" s="975"/>
      <c r="I243" s="975">
        <v>1.25</v>
      </c>
      <c r="J243" s="975">
        <v>0</v>
      </c>
      <c r="K243" s="975"/>
      <c r="L243" s="976"/>
      <c r="M243" s="3" t="s">
        <v>527</v>
      </c>
      <c r="N243" s="4"/>
      <c r="O243" s="4"/>
      <c r="P243" s="83" t="str">
        <f t="array" aca="1" ref="P243" ca="1">POINT(A242,B242-F247-F248)</f>
        <v>6,90.5</v>
      </c>
      <c r="Q243" s="4">
        <f>I243</f>
        <v>1.25</v>
      </c>
      <c r="R243" s="4">
        <f>K243</f>
        <v>0</v>
      </c>
      <c r="S243" s="3" t="str">
        <f>G243</f>
        <v>LIJNTYPE</v>
      </c>
      <c r="T243" s="4"/>
      <c r="U243" s="355"/>
    </row>
    <row r="244" spans="1:21" s="979" customFormat="1" x14ac:dyDescent="0.2">
      <c r="A244" s="975"/>
      <c r="B244" s="975"/>
      <c r="C244" s="975"/>
      <c r="D244" s="975"/>
      <c r="E244" s="975"/>
      <c r="F244" s="975"/>
      <c r="G244" s="975" t="s">
        <v>643</v>
      </c>
      <c r="H244" s="975"/>
      <c r="I244" s="975"/>
      <c r="J244" s="975"/>
      <c r="K244" s="975"/>
      <c r="L244" s="976"/>
      <c r="M244" s="3" t="s">
        <v>527</v>
      </c>
      <c r="N244" s="4"/>
      <c r="O244" s="4"/>
      <c r="P244" s="83" t="str">
        <f t="array" aca="1" ref="P244" ca="1">POINT(C247+E248,B242-F247-F248)</f>
        <v>32,90.5</v>
      </c>
      <c r="Q244" s="4">
        <f>I243</f>
        <v>1.25</v>
      </c>
      <c r="R244" s="4">
        <f>K244</f>
        <v>0</v>
      </c>
      <c r="S244" s="3" t="str">
        <f>G244</f>
        <v>OMSCHRIJVING</v>
      </c>
      <c r="T244" s="4"/>
      <c r="U244" s="355"/>
    </row>
    <row r="245" spans="1:21" s="979" customFormat="1" x14ac:dyDescent="0.2">
      <c r="A245" s="974" t="s">
        <v>644</v>
      </c>
      <c r="B245" s="975"/>
      <c r="C245" s="975"/>
      <c r="D245" s="975"/>
      <c r="E245" s="975"/>
      <c r="F245" s="975"/>
      <c r="G245" s="975"/>
      <c r="H245" s="975"/>
      <c r="I245" s="975"/>
      <c r="J245" s="975"/>
      <c r="K245" s="975"/>
      <c r="L245" s="976"/>
      <c r="M245" s="353" t="s">
        <v>497</v>
      </c>
      <c r="N245" s="354">
        <v>11</v>
      </c>
      <c r="O245" s="354" t="s">
        <v>498</v>
      </c>
      <c r="P245" s="354">
        <v>1</v>
      </c>
      <c r="Q245" s="354" t="s">
        <v>499</v>
      </c>
      <c r="R245" s="354">
        <f>Ontwerp!AA262</f>
        <v>11</v>
      </c>
      <c r="S245" s="354" t="s">
        <v>500</v>
      </c>
      <c r="T245" s="354">
        <v>1</v>
      </c>
      <c r="U245" s="358"/>
    </row>
    <row r="246" spans="1:21" s="979" customFormat="1" x14ac:dyDescent="0.2">
      <c r="A246" s="975"/>
      <c r="B246" s="975"/>
      <c r="C246" s="975"/>
      <c r="D246" s="975"/>
      <c r="E246" s="975"/>
      <c r="F246" s="975"/>
      <c r="G246" s="975"/>
      <c r="H246" s="975"/>
      <c r="I246" s="975"/>
      <c r="J246" s="975"/>
      <c r="K246" s="975"/>
      <c r="L246" s="976"/>
      <c r="M246" s="3" t="s">
        <v>493</v>
      </c>
      <c r="N246" s="4" t="s">
        <v>494</v>
      </c>
      <c r="O246" s="4" t="str">
        <f>VLOOKUP(N245,Ontwerp!AA57:AB261,2,FALSE)</f>
        <v>HOOGSPANNING</v>
      </c>
      <c r="P246" s="4" t="s">
        <v>495</v>
      </c>
      <c r="Q246" s="4"/>
      <c r="R246" s="4"/>
      <c r="S246" s="4"/>
      <c r="T246" s="4"/>
      <c r="U246" s="355"/>
    </row>
    <row r="247" spans="1:21" s="979" customFormat="1" x14ac:dyDescent="0.2">
      <c r="A247" s="974">
        <f>A242</f>
        <v>6</v>
      </c>
      <c r="B247" s="975"/>
      <c r="C247" s="975">
        <v>30</v>
      </c>
      <c r="D247" s="975"/>
      <c r="E247" s="975"/>
      <c r="F247" s="975">
        <v>2.5</v>
      </c>
      <c r="G247" s="975"/>
      <c r="H247" s="975"/>
      <c r="I247" s="975"/>
      <c r="J247" s="975"/>
      <c r="K247" s="975"/>
      <c r="L247" s="976"/>
      <c r="M247" s="3" t="s">
        <v>540</v>
      </c>
      <c r="N247" s="4" t="str">
        <f t="array" aca="1" ref="N247" ca="1">POINT(A247,B242-((N245+1)*F247))</f>
        <v>6,64</v>
      </c>
      <c r="O247" s="4" t="str">
        <f t="array" aca="1" ref="O247" ca="1">POINT(C247,B242-((N245+1)*F247))</f>
        <v>30,64</v>
      </c>
      <c r="P247" s="4" t="s">
        <v>495</v>
      </c>
      <c r="Q247" s="15"/>
      <c r="R247" s="4"/>
      <c r="S247" s="4"/>
      <c r="T247" s="4"/>
      <c r="U247" s="355"/>
    </row>
    <row r="248" spans="1:21" s="979" customFormat="1" x14ac:dyDescent="0.2">
      <c r="A248" s="975"/>
      <c r="B248" s="975"/>
      <c r="C248" s="975"/>
      <c r="D248" s="975"/>
      <c r="E248" s="975">
        <v>2</v>
      </c>
      <c r="F248" s="975">
        <v>1</v>
      </c>
      <c r="G248" s="975"/>
      <c r="H248" s="975"/>
      <c r="K248" s="975"/>
      <c r="L248" s="976"/>
      <c r="M248" s="351" t="s">
        <v>527</v>
      </c>
      <c r="N248" s="352" t="s">
        <v>458</v>
      </c>
      <c r="O248" s="352" t="s">
        <v>528</v>
      </c>
      <c r="P248" s="352" t="str">
        <f t="array" aca="1" ref="P248" ca="1">POINT(C247+E248,B242-((N245+1)*F247)-F248)</f>
        <v>32,63</v>
      </c>
      <c r="Q248" s="363">
        <f>I243</f>
        <v>1.25</v>
      </c>
      <c r="R248" s="352">
        <v>0</v>
      </c>
      <c r="S248" s="3" t="str">
        <f>VLOOKUP(N245,Ontwerp!AA57:AB261,2,FALSE)</f>
        <v>HOOGSPANNING</v>
      </c>
      <c r="T248" s="4"/>
      <c r="U248" s="355"/>
    </row>
    <row r="249" spans="1:21" s="979" customFormat="1" x14ac:dyDescent="0.2">
      <c r="A249" s="975"/>
      <c r="B249" s="975"/>
      <c r="C249" s="975"/>
      <c r="D249" s="975"/>
      <c r="E249" s="975"/>
      <c r="F249" s="975"/>
      <c r="G249" s="975"/>
      <c r="H249" s="975"/>
      <c r="I249" s="975"/>
      <c r="J249" s="975"/>
      <c r="K249" s="975"/>
      <c r="L249" s="976"/>
      <c r="M249" s="353" t="s">
        <v>503</v>
      </c>
      <c r="N249" s="47"/>
      <c r="O249" s="153"/>
      <c r="P249" s="153"/>
      <c r="Q249" s="153"/>
      <c r="R249" s="47"/>
      <c r="S249" s="47"/>
      <c r="T249" s="47"/>
      <c r="U249" s="358"/>
    </row>
    <row r="250" spans="1:21" s="979" customFormat="1" x14ac:dyDescent="0.2">
      <c r="A250" s="974"/>
      <c r="B250" s="974"/>
      <c r="C250" s="974"/>
      <c r="D250" s="974"/>
      <c r="E250" s="974"/>
      <c r="F250" s="974"/>
      <c r="G250" s="975"/>
      <c r="H250" s="975"/>
      <c r="I250" s="975"/>
      <c r="J250" s="975"/>
      <c r="K250" s="975"/>
      <c r="L250" s="976"/>
      <c r="M250" s="3" t="s">
        <v>493</v>
      </c>
      <c r="N250" s="4" t="s">
        <v>494</v>
      </c>
      <c r="O250" s="4" t="s">
        <v>610</v>
      </c>
      <c r="P250" s="4" t="s">
        <v>495</v>
      </c>
      <c r="Q250" s="4"/>
      <c r="R250" s="4"/>
      <c r="S250" s="4"/>
      <c r="T250" s="4"/>
      <c r="U250" s="355"/>
    </row>
    <row r="251" spans="1:21" s="979" customFormat="1" x14ac:dyDescent="0.2"/>
    <row r="252" spans="1:21" s="979" customFormat="1" x14ac:dyDescent="0.2"/>
    <row r="253" spans="1:21" s="979" customFormat="1" x14ac:dyDescent="0.2"/>
    <row r="254" spans="1:21" s="979" customFormat="1" ht="15" customHeight="1" x14ac:dyDescent="0.25">
      <c r="A254" s="1024"/>
      <c r="B254" s="1024"/>
      <c r="C254" s="1025"/>
      <c r="D254" s="1025"/>
      <c r="E254" s="1025"/>
      <c r="F254" s="1025"/>
      <c r="G254" s="1055"/>
      <c r="I254" s="1054"/>
      <c r="L254" s="1028"/>
      <c r="M254" s="983"/>
      <c r="N254" s="986"/>
      <c r="O254" s="986"/>
      <c r="P254" s="986"/>
      <c r="S254" s="1059"/>
      <c r="T254" s="986"/>
      <c r="U254" s="1027"/>
    </row>
    <row r="255" spans="1:21" s="979" customFormat="1" ht="15" customHeight="1" x14ac:dyDescent="0.25">
      <c r="A255" s="1060" t="s">
        <v>645</v>
      </c>
      <c r="B255" s="993"/>
      <c r="C255" s="975"/>
      <c r="D255" s="975"/>
      <c r="E255" s="974"/>
      <c r="F255" s="974"/>
      <c r="G255" s="975"/>
      <c r="H255" s="975"/>
      <c r="I255" s="975"/>
      <c r="J255" s="975"/>
      <c r="K255" s="975"/>
      <c r="L255" s="976"/>
      <c r="M255" s="977"/>
      <c r="N255" s="978"/>
      <c r="O255" s="978"/>
      <c r="P255" s="978"/>
      <c r="Q255" s="978"/>
      <c r="S255" s="1059"/>
      <c r="T255" s="986"/>
      <c r="U255" s="1027"/>
    </row>
    <row r="256" spans="1:21" s="979" customFormat="1" ht="15" customHeight="1" x14ac:dyDescent="0.25">
      <c r="A256" s="1027">
        <v>-5</v>
      </c>
      <c r="B256" s="1027">
        <v>-5</v>
      </c>
      <c r="C256" s="1025">
        <f>C184+10</f>
        <v>1319</v>
      </c>
      <c r="D256" s="1025">
        <f>D184+10</f>
        <v>428</v>
      </c>
      <c r="E256" s="1025"/>
      <c r="F256" s="1025"/>
      <c r="L256" s="1028"/>
      <c r="M256" s="3" t="s">
        <v>581</v>
      </c>
      <c r="N256" s="4" t="s">
        <v>614</v>
      </c>
      <c r="O256" s="4" t="str">
        <f>POINT(A256,B256)</f>
        <v>-5,-5</v>
      </c>
      <c r="P256" s="4" t="str">
        <f>POINT(C256,D256)</f>
        <v>1319,428</v>
      </c>
      <c r="Q256" s="355"/>
      <c r="R256" s="355"/>
      <c r="S256" s="363"/>
      <c r="T256" s="352"/>
      <c r="U256" s="131"/>
    </row>
    <row r="257" spans="1:21" s="979" customFormat="1" ht="15" customHeight="1" x14ac:dyDescent="0.25">
      <c r="A257" s="1027"/>
      <c r="B257" s="1025"/>
      <c r="C257" s="1025"/>
      <c r="D257" s="1025"/>
      <c r="E257" s="1025"/>
      <c r="F257" s="1025"/>
      <c r="L257" s="1028"/>
      <c r="M257" s="983"/>
      <c r="N257" s="986"/>
      <c r="O257" s="986"/>
      <c r="P257" s="986"/>
      <c r="S257" s="986"/>
      <c r="T257" s="986"/>
      <c r="U257" s="1052"/>
    </row>
    <row r="258" spans="1:21" s="979" customFormat="1" ht="15" customHeight="1" x14ac:dyDescent="0.25">
      <c r="A258" s="1061" t="s">
        <v>646</v>
      </c>
      <c r="B258" s="1025"/>
      <c r="C258" s="1025"/>
      <c r="D258" s="1025"/>
      <c r="E258" s="1025"/>
      <c r="F258" s="1025"/>
      <c r="L258" s="1028"/>
      <c r="M258" s="977"/>
      <c r="N258" s="986"/>
      <c r="O258" s="986"/>
      <c r="P258" s="986"/>
      <c r="S258" s="986"/>
      <c r="T258" s="986"/>
      <c r="U258" s="1052"/>
    </row>
    <row r="259" spans="1:21" s="979" customFormat="1" ht="15" customHeight="1" x14ac:dyDescent="0.25">
      <c r="A259" s="1024"/>
      <c r="B259" s="1024"/>
      <c r="C259" s="1025"/>
      <c r="D259" s="1025"/>
      <c r="E259" s="1025"/>
      <c r="F259" s="1025"/>
      <c r="G259" s="1027"/>
      <c r="L259" s="1028"/>
      <c r="M259" s="983"/>
      <c r="N259" s="975"/>
      <c r="O259" s="975"/>
      <c r="P259" s="975"/>
      <c r="Q259" s="986"/>
      <c r="R259" s="986"/>
      <c r="S259" s="986"/>
      <c r="T259" s="986"/>
      <c r="U259" s="978"/>
    </row>
    <row r="260" spans="1:21" s="979" customFormat="1" ht="15" customHeight="1" x14ac:dyDescent="0.25">
      <c r="A260" s="1062" t="s">
        <v>647</v>
      </c>
      <c r="B260" s="1024"/>
      <c r="C260" s="1025"/>
      <c r="D260" s="1025"/>
      <c r="E260" s="1025"/>
      <c r="F260" s="1025"/>
      <c r="G260" s="1027"/>
      <c r="L260" s="1028"/>
      <c r="M260" s="351" t="s">
        <v>493</v>
      </c>
      <c r="N260" s="352" t="s">
        <v>494</v>
      </c>
      <c r="O260" s="351" t="s">
        <v>608</v>
      </c>
      <c r="P260" s="352" t="s">
        <v>495</v>
      </c>
      <c r="Q260" s="352"/>
      <c r="R260" s="352"/>
      <c r="S260" s="352"/>
      <c r="T260" s="352"/>
      <c r="U260" s="4"/>
    </row>
    <row r="261" spans="1:21" s="979" customFormat="1" ht="15" customHeight="1" x14ac:dyDescent="0.25">
      <c r="A261" s="1024">
        <f>HLOOKUP(Variabelen!B80,Variabelen!E89:J107,14,FALSE)</f>
        <v>2</v>
      </c>
      <c r="B261" s="1063">
        <f ca="1">HLOOKUP(Variabelen!B80,Variabelen!E89:J107,15,FALSE)</f>
        <v>102</v>
      </c>
      <c r="C261" s="1024">
        <f>HLOOKUP(Variabelen!B80,Variabelen!E89:J107,16,FALSE)</f>
        <v>80</v>
      </c>
      <c r="D261" s="1024">
        <f ca="1">HLOOKUP(Variabelen!B80,Variabelen!E89:J107,17,FALSE)</f>
        <v>202</v>
      </c>
      <c r="E261" s="1025"/>
      <c r="F261" s="1025"/>
      <c r="G261" s="1027"/>
      <c r="L261" s="1028"/>
      <c r="M261" s="351" t="s">
        <v>612</v>
      </c>
      <c r="N261" s="352"/>
      <c r="O261" s="352" t="str">
        <f ca="1">POINT(A261,B261)</f>
        <v>2,102</v>
      </c>
      <c r="P261" s="352" t="str">
        <f ca="1">POINT(C261,D261)</f>
        <v>80,202</v>
      </c>
      <c r="Q261" s="352"/>
      <c r="R261" s="352"/>
      <c r="S261" s="352"/>
      <c r="T261" s="352"/>
      <c r="U261" s="352"/>
    </row>
    <row r="262" spans="1:21" s="979" customFormat="1" ht="15" customHeight="1" x14ac:dyDescent="0.25">
      <c r="A262" s="1024">
        <f>HLOOKUP(Variabelen!B80,Variabelen!E89:J107,18,FALSE)</f>
        <v>6</v>
      </c>
      <c r="B262" s="1024">
        <f ca="1">HLOOKUP(Variabelen!B80,Variabelen!E89:J107,19,FALSE)</f>
        <v>195</v>
      </c>
      <c r="C262" s="1025"/>
      <c r="D262" s="1025"/>
      <c r="E262" s="1025"/>
      <c r="F262" s="1025"/>
      <c r="G262" s="1064" t="s">
        <v>648</v>
      </c>
      <c r="I262" s="979">
        <v>3.5</v>
      </c>
      <c r="J262" s="979">
        <v>0</v>
      </c>
      <c r="L262" s="1028"/>
      <c r="M262" s="351" t="s">
        <v>527</v>
      </c>
      <c r="N262" s="352" t="s">
        <v>458</v>
      </c>
      <c r="O262" s="352" t="s">
        <v>528</v>
      </c>
      <c r="P262" s="352" t="str">
        <f ca="1">POINT(A262,B262)</f>
        <v>6,195</v>
      </c>
      <c r="Q262" s="352">
        <f>I262</f>
        <v>3.5</v>
      </c>
      <c r="R262" s="352">
        <f>K262</f>
        <v>0</v>
      </c>
      <c r="S262" s="351" t="str">
        <f>G262</f>
        <v>DOORSNEDE BOORGAT, NoS</v>
      </c>
      <c r="T262" s="15"/>
      <c r="U262" s="15"/>
    </row>
    <row r="263" spans="1:21" s="979" customFormat="1" ht="15" customHeight="1" x14ac:dyDescent="0.25">
      <c r="A263" s="1065"/>
      <c r="B263" s="1025"/>
      <c r="C263" s="1027"/>
      <c r="D263" s="1027"/>
      <c r="E263" s="1025"/>
      <c r="F263" s="1025"/>
      <c r="L263" s="1028"/>
      <c r="M263" s="351" t="s">
        <v>621</v>
      </c>
      <c r="N263" s="4"/>
      <c r="O263" s="4"/>
      <c r="P263" s="4"/>
      <c r="Q263" s="352"/>
      <c r="R263" s="352"/>
      <c r="S263" s="352"/>
      <c r="T263" s="352"/>
      <c r="U263" s="4"/>
    </row>
    <row r="264" spans="1:21" s="979" customFormat="1" ht="15" customHeight="1" x14ac:dyDescent="0.25">
      <c r="B264" s="1024"/>
      <c r="C264" s="1025"/>
      <c r="D264" s="1025"/>
      <c r="E264" s="1025"/>
      <c r="F264" s="1025" t="s">
        <v>649</v>
      </c>
      <c r="L264" s="1028"/>
      <c r="M264" s="3" t="s">
        <v>483</v>
      </c>
      <c r="N264" s="4" t="str">
        <f>POINT(A51+A166,B51)</f>
        <v>103364.512853117,486266.637970323</v>
      </c>
      <c r="O264" s="4" t="s">
        <v>495</v>
      </c>
      <c r="P264" s="355"/>
      <c r="Q264" s="355"/>
      <c r="R264" s="355"/>
      <c r="S264" s="355"/>
      <c r="T264" s="355"/>
      <c r="U264" s="355"/>
    </row>
    <row r="265" spans="1:21" s="979" customFormat="1" x14ac:dyDescent="0.2">
      <c r="H265" s="975"/>
      <c r="I265" s="975"/>
      <c r="J265" s="975"/>
      <c r="K265" s="975"/>
      <c r="L265" s="976"/>
      <c r="M265" s="3" t="s">
        <v>624</v>
      </c>
      <c r="N265" s="4" t="s">
        <v>495</v>
      </c>
      <c r="O265" s="4"/>
      <c r="P265" s="355"/>
      <c r="Q265" s="355"/>
      <c r="R265" s="355"/>
      <c r="S265" s="355"/>
      <c r="T265" s="355"/>
      <c r="U265" s="355"/>
    </row>
    <row r="266" spans="1:21" s="979" customFormat="1" ht="15" customHeight="1" x14ac:dyDescent="0.25">
      <c r="A266" s="1066" t="s">
        <v>650</v>
      </c>
      <c r="B266" s="1066" t="s">
        <v>651</v>
      </c>
      <c r="C266" s="1067" t="s">
        <v>652</v>
      </c>
      <c r="D266" s="1067" t="s">
        <v>653</v>
      </c>
      <c r="E266" s="1068" t="s">
        <v>654</v>
      </c>
      <c r="F266" s="1025">
        <v>-2</v>
      </c>
      <c r="G266" s="1024"/>
      <c r="L266" s="1028"/>
      <c r="M266" s="351" t="s">
        <v>581</v>
      </c>
      <c r="N266" s="352" t="s">
        <v>626</v>
      </c>
      <c r="O266" s="352" t="str">
        <f>POINT(0,F266)</f>
        <v>0,-2</v>
      </c>
      <c r="P266" s="352">
        <v>100</v>
      </c>
      <c r="Q266" s="352"/>
      <c r="R266" s="352"/>
      <c r="S266" s="352"/>
      <c r="T266" s="352"/>
      <c r="U266" s="352"/>
    </row>
    <row r="267" spans="1:21" s="979" customFormat="1" ht="15" customHeight="1" x14ac:dyDescent="0.25">
      <c r="A267" s="1024">
        <f>Variabelen!E104-Variabelen!E102</f>
        <v>78</v>
      </c>
      <c r="B267" s="1024">
        <f>Variabelen!C105</f>
        <v>100</v>
      </c>
      <c r="C267" s="1025">
        <f>Ontwerp!C33/10</f>
        <v>24</v>
      </c>
      <c r="D267" s="1025">
        <v>25</v>
      </c>
      <c r="E267" s="1025">
        <v>12</v>
      </c>
      <c r="F267" s="1025"/>
      <c r="G267" s="1069" t="str">
        <f>IF(B267-D267&lt;A267,(B267-D267)/(C267+E267)&amp;"XP",A267/(C267+E267)&amp;"XP")</f>
        <v>2.08333333333333XP</v>
      </c>
      <c r="L267" s="1028"/>
      <c r="M267" s="351" t="s">
        <v>581</v>
      </c>
      <c r="N267" s="359" t="str">
        <f>G267</f>
        <v>2.08333333333333XP</v>
      </c>
      <c r="O267" s="352"/>
      <c r="P267" s="352"/>
      <c r="Q267" s="352"/>
      <c r="R267" s="352"/>
      <c r="S267" s="352"/>
      <c r="T267" s="352"/>
      <c r="U267" s="352"/>
    </row>
    <row r="268" spans="1:21" s="979" customFormat="1" x14ac:dyDescent="0.2">
      <c r="A268" s="975"/>
      <c r="B268" s="975"/>
      <c r="C268" s="975"/>
      <c r="D268" s="975"/>
      <c r="E268" s="975"/>
      <c r="F268" s="975"/>
      <c r="L268" s="1028"/>
      <c r="M268" s="351" t="s">
        <v>605</v>
      </c>
      <c r="N268" s="15"/>
      <c r="O268" s="15"/>
      <c r="P268" s="15"/>
      <c r="Q268" s="15"/>
      <c r="R268" s="15"/>
      <c r="S268" s="15"/>
      <c r="T268" s="15"/>
      <c r="U268" s="15"/>
    </row>
    <row r="269" spans="1:21" s="979" customFormat="1" ht="15" customHeight="1" x14ac:dyDescent="0.25">
      <c r="A269" s="1065"/>
      <c r="B269" s="1024"/>
      <c r="C269" s="1025"/>
      <c r="D269" s="1025"/>
      <c r="E269" s="1025"/>
      <c r="F269" s="1025"/>
      <c r="L269" s="1028"/>
      <c r="M269" s="975"/>
      <c r="N269" s="975"/>
      <c r="O269" s="975"/>
      <c r="P269" s="975"/>
      <c r="S269" s="986"/>
      <c r="T269" s="986"/>
      <c r="U269" s="978"/>
    </row>
    <row r="270" spans="1:21" s="979" customFormat="1" ht="15" customHeight="1" x14ac:dyDescent="0.25">
      <c r="A270" s="1065"/>
      <c r="B270" s="1024"/>
      <c r="C270" s="1025"/>
      <c r="D270" s="1025" t="s">
        <v>655</v>
      </c>
      <c r="E270" s="1025" t="s">
        <v>656</v>
      </c>
      <c r="F270" s="1025"/>
      <c r="G270" s="975">
        <f>LEN(G271)</f>
        <v>30</v>
      </c>
      <c r="I270" s="979" t="s">
        <v>657</v>
      </c>
      <c r="L270" s="1028"/>
      <c r="M270" s="983"/>
      <c r="N270" s="986"/>
      <c r="O270" s="983"/>
      <c r="P270" s="986"/>
      <c r="Q270" s="978"/>
      <c r="R270" s="978"/>
      <c r="S270" s="978"/>
      <c r="T270" s="978"/>
      <c r="U270" s="978"/>
    </row>
    <row r="271" spans="1:21" s="979" customFormat="1" ht="15" customHeight="1" x14ac:dyDescent="0.25">
      <c r="A271" s="1024">
        <f>HLOOKUP(Variabelen!B80,Variabelen!E89:J112,20,FALSE)</f>
        <v>6</v>
      </c>
      <c r="B271" s="1024">
        <f ca="1">HLOOKUP(Variabelen!B80,Variabelen!E89:J109,21,FALSE)</f>
        <v>105</v>
      </c>
      <c r="C271" s="1025"/>
      <c r="D271" s="1025">
        <f>Variabelen!E111</f>
        <v>5.5</v>
      </c>
      <c r="E271" s="1025">
        <f>Ontwerp!C30</f>
        <v>1.5</v>
      </c>
      <c r="F271" s="1025"/>
      <c r="G271" s="1070" t="str">
        <f>IF(INPUT!E19&lt;10,"Aanbrengen "&amp;INPUT!E19&amp;"x Ø"&amp;INPUT!E20&amp;" "&amp;INPUT!E21&amp;" "&amp;INPUT!E22,"Aanbrengen "&amp;IF(INPUT!E20=0,"",INPUT!E20&amp;" ")&amp;IF(INPUT!E21=0,"",INPUT!E21&amp;" ")&amp;IF(INPUT!E22=0,"",INPUT!E22&amp;" "))</f>
        <v>Aanbrengen 1x Ø160 PE100 SDR11</v>
      </c>
      <c r="I271" s="979">
        <f>IF(LEN(G271)&lt;26,Variabelen!E$110,0.85*Variabelen!E$110)</f>
        <v>2.5499999999999998</v>
      </c>
      <c r="L271" s="1028"/>
      <c r="M271" s="351" t="s">
        <v>527</v>
      </c>
      <c r="N271" s="352" t="s">
        <v>458</v>
      </c>
      <c r="O271" s="352" t="s">
        <v>528</v>
      </c>
      <c r="P271" s="352" t="str">
        <f ca="1">POINT(A271,B271)</f>
        <v>6,105</v>
      </c>
      <c r="Q271" s="363">
        <f>I$271</f>
        <v>2.5499999999999998</v>
      </c>
      <c r="R271" s="352">
        <f>K49</f>
        <v>0</v>
      </c>
      <c r="S271" s="356" t="str">
        <f>G271</f>
        <v>Aanbrengen 1x Ø160 PE100 SDR11</v>
      </c>
      <c r="T271" s="15"/>
      <c r="U271" s="15"/>
    </row>
    <row r="272" spans="1:21" s="979" customFormat="1" ht="15" customHeight="1" x14ac:dyDescent="0.25">
      <c r="A272" s="1024"/>
      <c r="B272" s="1071">
        <f ca="1">B271+D$271</f>
        <v>110.5</v>
      </c>
      <c r="C272" s="1025"/>
      <c r="D272" s="1025"/>
      <c r="E272" s="975">
        <v>1.1000000000000001</v>
      </c>
      <c r="F272" s="1025"/>
      <c r="G272" s="1072" t="str">
        <f>"Ruimen Ø"&amp;(ROUND(Ontwerp!C33,0))&amp;" mm"</f>
        <v>Ruimen Ø240 mm</v>
      </c>
      <c r="I272" s="979">
        <f>Variabelen!E$110</f>
        <v>3</v>
      </c>
      <c r="L272" s="1028"/>
      <c r="M272" s="351" t="str">
        <f ca="1">IF(Ontwerp!C33&gt;E272*Ontwerp!C27,"_TEXT","")</f>
        <v>_TEXT</v>
      </c>
      <c r="N272" s="352" t="str">
        <f ca="1">IF(Ontwerp!C33&gt;E272*Ontwerp!C27,"_Justify","")</f>
        <v>_Justify</v>
      </c>
      <c r="O272" s="352" t="str">
        <f ca="1">IF(Ontwerp!C33&gt;E272*Ontwerp!C27,"_BL","")</f>
        <v>_BL</v>
      </c>
      <c r="P272" s="352" t="str">
        <f ca="1">IF(Ontwerp!C33&gt;E272*Ontwerp!C27,POINT(A271,B272),"")</f>
        <v>6,110.5</v>
      </c>
      <c r="Q272" s="363">
        <f ca="1">IF(Ontwerp!C33&gt;E272*Ontwerp!C27,I$272,"")</f>
        <v>3</v>
      </c>
      <c r="R272" s="352">
        <f ca="1">IF(Ontwerp!C33&gt;E272*Ontwerp!C27,K273,"")</f>
        <v>0</v>
      </c>
      <c r="S272" s="356" t="str">
        <f ca="1">IF(Ontwerp!C33&gt;E272*Ontwerp!C27,G272,"")</f>
        <v>Ruimen Ø240 mm</v>
      </c>
      <c r="T272" s="15"/>
      <c r="U272" s="15"/>
    </row>
    <row r="273" spans="1:21" s="979" customFormat="1" ht="15" customHeight="1" x14ac:dyDescent="0.25">
      <c r="A273" s="1024"/>
      <c r="B273" s="1024">
        <f ca="1">IF(Ontwerp!C33&gt;Ontwerp!C27,B272+D$271,B271+D$271)</f>
        <v>116</v>
      </c>
      <c r="C273" s="1025"/>
      <c r="D273" s="1025"/>
      <c r="E273" s="1025"/>
      <c r="F273" s="1025"/>
      <c r="G273" s="1073" t="str">
        <f ca="1">"Pilotboring Ø"&amp;Ontwerp!C27&amp;" mm"</f>
        <v>Pilotboring Ø110 mm</v>
      </c>
      <c r="I273" s="979">
        <f>Variabelen!E$110</f>
        <v>3</v>
      </c>
      <c r="L273" s="1028"/>
      <c r="M273" s="351" t="s">
        <v>527</v>
      </c>
      <c r="N273" s="352" t="s">
        <v>458</v>
      </c>
      <c r="O273" s="352" t="s">
        <v>528</v>
      </c>
      <c r="P273" s="352" t="str">
        <f ca="1">POINT(A271,B273)</f>
        <v>6,116</v>
      </c>
      <c r="Q273" s="363">
        <f>I$273</f>
        <v>3</v>
      </c>
      <c r="R273" s="352">
        <f>K277</f>
        <v>0</v>
      </c>
      <c r="S273" s="356" t="str">
        <f ca="1">G273</f>
        <v>Pilotboring Ø110 mm</v>
      </c>
      <c r="T273" s="15"/>
      <c r="U273" s="15"/>
    </row>
    <row r="274" spans="1:21" s="979" customFormat="1" ht="15" customHeight="1" x14ac:dyDescent="0.25">
      <c r="A274" s="1024"/>
      <c r="B274" s="1024"/>
      <c r="C274" s="1025"/>
      <c r="D274" s="1025"/>
      <c r="E274" s="1025"/>
      <c r="F274" s="1025"/>
      <c r="G274" s="1074"/>
      <c r="I274" s="1054"/>
      <c r="L274" s="1028"/>
      <c r="M274" s="983"/>
      <c r="N274" s="986"/>
      <c r="O274" s="986"/>
      <c r="P274" s="986"/>
      <c r="Q274" s="1059"/>
      <c r="R274" s="986"/>
      <c r="S274" s="1052"/>
      <c r="T274" s="975"/>
      <c r="U274" s="975"/>
    </row>
    <row r="275" spans="1:21" s="979" customFormat="1" ht="15" customHeight="1" x14ac:dyDescent="0.25">
      <c r="A275" s="1024"/>
      <c r="B275" s="1024"/>
      <c r="C275" s="1025"/>
      <c r="D275" s="1025"/>
      <c r="E275" s="1025"/>
      <c r="F275" s="1025"/>
      <c r="G275" s="1074"/>
      <c r="I275" s="1054"/>
      <c r="L275" s="1028"/>
      <c r="M275" s="351" t="s">
        <v>493</v>
      </c>
      <c r="N275" s="352" t="s">
        <v>494</v>
      </c>
      <c r="O275" s="351" t="s">
        <v>333</v>
      </c>
      <c r="P275" s="352" t="s">
        <v>495</v>
      </c>
      <c r="Q275" s="363"/>
      <c r="R275" s="352"/>
      <c r="S275" s="356"/>
      <c r="T275" s="15"/>
      <c r="U275" s="15"/>
    </row>
    <row r="276" spans="1:21" s="979" customFormat="1" x14ac:dyDescent="0.2">
      <c r="A276" s="974">
        <v>150</v>
      </c>
      <c r="B276" s="974"/>
      <c r="C276" s="974">
        <f>A276+HLOOKUP(Variabelen!B$80,Variabelen!E$86:J$87,2,FALSE)</f>
        <v>1044</v>
      </c>
      <c r="D276" s="974">
        <v>170</v>
      </c>
      <c r="E276" s="974"/>
      <c r="F276" s="974"/>
      <c r="G276" s="975" t="str">
        <f>IF(Ontwerp!T1="j","CONCEPT","")</f>
        <v/>
      </c>
      <c r="H276" s="975"/>
      <c r="I276" s="975">
        <v>30</v>
      </c>
      <c r="J276" s="975"/>
      <c r="K276" s="975">
        <v>0</v>
      </c>
      <c r="L276" s="976"/>
      <c r="M276" s="3" t="s">
        <v>527</v>
      </c>
      <c r="N276" s="4" t="s">
        <v>458</v>
      </c>
      <c r="O276" s="4" t="s">
        <v>528</v>
      </c>
      <c r="P276" s="4" t="str">
        <f>POINT(C276,D276)</f>
        <v>1044,170</v>
      </c>
      <c r="Q276" s="4">
        <f>I276</f>
        <v>30</v>
      </c>
      <c r="R276" s="4">
        <f>K276</f>
        <v>0</v>
      </c>
      <c r="S276" s="2" t="str">
        <f>IF(Ontwerp!T1="J",G276,";")</f>
        <v>;</v>
      </c>
      <c r="T276" s="15"/>
      <c r="U276" s="15"/>
    </row>
    <row r="277" spans="1:21" s="979" customFormat="1" ht="15" customHeight="1" x14ac:dyDescent="0.25">
      <c r="A277" s="999"/>
      <c r="B277" s="974"/>
      <c r="C277" s="974"/>
      <c r="D277" s="974"/>
      <c r="E277" s="974"/>
      <c r="F277" s="974"/>
      <c r="G277" s="975"/>
      <c r="H277" s="975"/>
      <c r="I277" s="975"/>
      <c r="J277" s="975"/>
      <c r="K277" s="975"/>
      <c r="L277" s="976"/>
      <c r="M277" s="977"/>
      <c r="N277" s="978"/>
      <c r="O277" s="978"/>
      <c r="P277" s="978"/>
      <c r="Q277" s="978"/>
      <c r="R277" s="978"/>
      <c r="S277" s="978"/>
      <c r="T277" s="981"/>
      <c r="U277" s="978"/>
    </row>
    <row r="278" spans="1:21" s="979" customFormat="1" x14ac:dyDescent="0.2">
      <c r="A278" s="974" t="s">
        <v>658</v>
      </c>
      <c r="B278" s="974"/>
      <c r="C278" s="1075">
        <f>HLOOKUP(Variabelen!B80,Variabelen!K79:Q84,6,FALSE)</f>
        <v>894</v>
      </c>
      <c r="D278" s="974"/>
      <c r="E278" s="974"/>
      <c r="F278" s="974"/>
      <c r="G278" s="975"/>
      <c r="H278" s="975"/>
      <c r="I278" s="975"/>
      <c r="J278" s="975"/>
      <c r="K278" s="975"/>
      <c r="L278" s="976"/>
      <c r="M278" s="977"/>
      <c r="N278" s="978"/>
      <c r="O278" s="978"/>
      <c r="P278" s="978"/>
      <c r="Q278" s="978"/>
      <c r="R278" s="978"/>
      <c r="S278" s="978"/>
      <c r="T278" s="981"/>
      <c r="U278" s="978"/>
    </row>
    <row r="279" spans="1:21" s="979" customFormat="1" ht="15" customHeight="1" x14ac:dyDescent="0.25">
      <c r="A279" s="1076" t="s">
        <v>659</v>
      </c>
      <c r="B279" s="974"/>
      <c r="C279" s="974"/>
      <c r="D279" s="974"/>
      <c r="E279" s="974"/>
      <c r="F279" s="974"/>
      <c r="G279" s="975"/>
      <c r="H279" s="975"/>
      <c r="I279" s="975"/>
      <c r="J279" s="975"/>
      <c r="K279" s="975"/>
      <c r="L279" s="976"/>
      <c r="M279" s="3" t="s">
        <v>493</v>
      </c>
      <c r="N279" s="4" t="s">
        <v>494</v>
      </c>
      <c r="O279" s="3" t="s">
        <v>610</v>
      </c>
      <c r="P279" s="4" t="s">
        <v>495</v>
      </c>
      <c r="Q279" s="4"/>
      <c r="R279" s="4"/>
      <c r="S279" s="4"/>
      <c r="T279" s="2"/>
      <c r="U279" s="4"/>
    </row>
    <row r="280" spans="1:21" s="979" customFormat="1" ht="15" customHeight="1" x14ac:dyDescent="0.25">
      <c r="A280" s="999">
        <v>251.5</v>
      </c>
      <c r="B280" s="974">
        <v>47</v>
      </c>
      <c r="C280" s="975"/>
      <c r="D280" s="975"/>
      <c r="E280" s="974"/>
      <c r="F280" s="974"/>
      <c r="G280" s="975" t="str">
        <f ca="1">VLOOKUP(INPUT!E4,Variabelen!T28:W70,4,FALSE)</f>
        <v>logo_3D</v>
      </c>
      <c r="H280" s="975"/>
      <c r="I280" s="975">
        <f>IF(K4=1,1,1000)</f>
        <v>1</v>
      </c>
      <c r="J280" s="975"/>
      <c r="K280" s="975"/>
      <c r="L280" s="976"/>
      <c r="M280" s="3" t="s">
        <v>529</v>
      </c>
      <c r="N280" s="4" t="str">
        <f ca="1">G280</f>
        <v>logo_3D</v>
      </c>
      <c r="O280" s="3" t="str">
        <f>POINT(C278+A280,B280)</f>
        <v>1145.5,47</v>
      </c>
      <c r="P280" s="4"/>
      <c r="Q280" s="4">
        <f>I280</f>
        <v>1</v>
      </c>
      <c r="R280" s="15"/>
      <c r="S280" s="4">
        <v>0</v>
      </c>
      <c r="T280" s="2"/>
      <c r="U280" s="4"/>
    </row>
    <row r="281" spans="1:21" s="979" customFormat="1" ht="15" customHeight="1" x14ac:dyDescent="0.25">
      <c r="A281" s="999">
        <f>A280+75</f>
        <v>326.5</v>
      </c>
      <c r="B281" s="974">
        <f>B280</f>
        <v>47</v>
      </c>
      <c r="C281" s="974"/>
      <c r="D281" s="974"/>
      <c r="E281" s="974"/>
      <c r="F281" s="974"/>
      <c r="G281" s="975" t="str">
        <f>"logo_"&amp;INPUT!D31</f>
        <v>logo_Dmissie Electro BV</v>
      </c>
      <c r="H281" s="975"/>
      <c r="I281" s="975">
        <f>I280</f>
        <v>1</v>
      </c>
      <c r="J281" s="975"/>
      <c r="K281" s="975"/>
      <c r="L281" s="976"/>
      <c r="M281" s="977" t="str">
        <f ca="1">IF(INPUT!D4=3,"_INSERT","")</f>
        <v/>
      </c>
      <c r="N281" s="978" t="str">
        <f ca="1">IF(INPUT!D4=3,G281,"")</f>
        <v/>
      </c>
      <c r="O281" s="977" t="str">
        <f ca="1">IF(INPUT!D4=3,POINT(C278+A281,B281),"")</f>
        <v/>
      </c>
      <c r="P281" s="975"/>
      <c r="Q281" s="978" t="str">
        <f ca="1">IF(INPUT!D4=3,I281,"")</f>
        <v/>
      </c>
      <c r="R281" s="975"/>
      <c r="S281" s="978" t="str">
        <f ca="1">IF(INPUT!D4=3,0,"")</f>
        <v/>
      </c>
      <c r="T281" s="981"/>
      <c r="U281" s="978"/>
    </row>
    <row r="282" spans="1:21" s="979" customFormat="1" ht="15" customHeight="1" x14ac:dyDescent="0.25">
      <c r="A282" s="999"/>
      <c r="B282" s="974"/>
      <c r="C282" s="974"/>
      <c r="D282" s="974"/>
      <c r="E282" s="974"/>
      <c r="F282" s="974"/>
      <c r="G282" s="975"/>
      <c r="H282" s="975"/>
      <c r="I282" s="975"/>
      <c r="J282" s="975"/>
      <c r="K282" s="975"/>
      <c r="L282" s="976"/>
      <c r="M282" s="977"/>
      <c r="N282" s="978"/>
      <c r="O282" s="977"/>
      <c r="P282" s="978"/>
      <c r="Q282" s="978"/>
      <c r="R282" s="978"/>
      <c r="S282" s="978"/>
      <c r="T282" s="981"/>
      <c r="U282" s="978"/>
    </row>
    <row r="283" spans="1:21" s="979" customFormat="1" ht="15" customHeight="1" x14ac:dyDescent="0.25">
      <c r="A283" s="1077" t="s">
        <v>660</v>
      </c>
      <c r="B283" s="974"/>
      <c r="C283" s="974">
        <v>131</v>
      </c>
      <c r="D283" s="974"/>
      <c r="E283" s="974">
        <v>211</v>
      </c>
      <c r="F283" s="974"/>
      <c r="G283" s="975"/>
      <c r="H283" s="975"/>
      <c r="I283" s="975"/>
      <c r="J283" s="975"/>
      <c r="K283" s="975"/>
      <c r="L283" s="976"/>
      <c r="M283" s="3" t="s">
        <v>527</v>
      </c>
      <c r="N283" s="4" t="s">
        <v>458</v>
      </c>
      <c r="O283" s="4" t="s">
        <v>459</v>
      </c>
      <c r="P283" s="83" t="s">
        <v>618</v>
      </c>
      <c r="Q283" s="15"/>
      <c r="R283" s="15"/>
      <c r="S283" s="4">
        <v>2</v>
      </c>
      <c r="T283" s="4">
        <f>K283</f>
        <v>0</v>
      </c>
      <c r="U283" s="4" t="s">
        <v>619</v>
      </c>
    </row>
    <row r="284" spans="1:21" s="979" customFormat="1" x14ac:dyDescent="0.2">
      <c r="A284" s="974"/>
      <c r="B284" s="974"/>
      <c r="C284" s="974">
        <f>C283+C278</f>
        <v>1025</v>
      </c>
      <c r="D284" s="974">
        <v>25</v>
      </c>
      <c r="E284" s="974">
        <f>E283+C278</f>
        <v>1105</v>
      </c>
      <c r="F284" s="974">
        <v>54</v>
      </c>
      <c r="G284" s="975" t="str">
        <f ca="1">INPUT!D36</f>
        <v>Diepte en ligging kabels en leidingen zijn indicatief geprojecteerd op basis van KLIC-melding. Exacte diepte en ligging vooraf controleren middels proefsleuven en visuele inspectie van (riool)putten. Diepte te passeren persleidingen onbekend. 
Verkeersmaatregelen treffen conform CROW publicatie 96b.
Pilotboring realiseren met walk-over meetsysteem.</v>
      </c>
      <c r="H284" s="975"/>
      <c r="I284" s="975"/>
      <c r="J284" s="975"/>
      <c r="K284" s="975"/>
      <c r="L284" s="976"/>
      <c r="M284" s="3" t="s">
        <v>620</v>
      </c>
      <c r="N284" s="4" t="str">
        <f>POINT(C284,D284)</f>
        <v>1025,25</v>
      </c>
      <c r="O284" s="4" t="str">
        <f>POINT(E284,F284)</f>
        <v>1105,54</v>
      </c>
      <c r="P284" s="15"/>
      <c r="Q284" s="15"/>
      <c r="R284" s="15"/>
      <c r="S284" s="4"/>
      <c r="T284" s="4" t="str">
        <f ca="1">G284</f>
        <v>Diepte en ligging kabels en leidingen zijn indicatief geprojecteerd op basis van KLIC-melding. Exacte diepte en ligging vooraf controleren middels proefsleuven en visuele inspectie van (riool)putten. Diepte te passeren persleidingen onbekend. 
Verkeersmaatregelen treffen conform CROW publicatie 96b.
Pilotboring realiseren met walk-over meetsysteem.</v>
      </c>
      <c r="U284" s="15" t="s">
        <v>495</v>
      </c>
    </row>
    <row r="285" spans="1:21" s="979" customFormat="1" ht="15" customHeight="1" x14ac:dyDescent="0.25">
      <c r="A285" s="999">
        <v>-1</v>
      </c>
      <c r="B285" s="974"/>
      <c r="C285" s="974"/>
      <c r="D285" s="974"/>
      <c r="E285" s="974"/>
      <c r="F285" s="974"/>
      <c r="G285" s="975"/>
      <c r="H285" s="975"/>
      <c r="I285" s="975"/>
      <c r="J285" s="975"/>
      <c r="K285" s="975"/>
      <c r="L285" s="976"/>
      <c r="M285" s="977"/>
      <c r="N285" s="978"/>
      <c r="O285" s="977"/>
      <c r="P285" s="978"/>
      <c r="Q285" s="978"/>
      <c r="R285" s="978"/>
      <c r="S285" s="978"/>
      <c r="T285" s="981"/>
      <c r="U285" s="978"/>
    </row>
    <row r="286" spans="1:21" s="979" customFormat="1" ht="15" customHeight="1" x14ac:dyDescent="0.25">
      <c r="A286" s="999"/>
      <c r="B286" s="974"/>
      <c r="C286" s="974"/>
      <c r="D286" s="974"/>
      <c r="E286" s="974"/>
      <c r="F286" s="974"/>
      <c r="G286" s="975"/>
      <c r="H286" s="975"/>
      <c r="I286" s="975"/>
      <c r="J286" s="975"/>
      <c r="K286" s="975"/>
      <c r="L286" s="976"/>
      <c r="M286" s="3" t="s">
        <v>581</v>
      </c>
      <c r="N286" s="4" t="s">
        <v>661</v>
      </c>
      <c r="O286" s="4" t="str">
        <f>POINT(0,0)</f>
        <v>0,0</v>
      </c>
      <c r="P286" s="4">
        <v>1000</v>
      </c>
      <c r="Q286" s="4"/>
      <c r="R286" s="4"/>
      <c r="S286" s="4"/>
      <c r="T286" s="2"/>
      <c r="U286" s="4"/>
    </row>
    <row r="287" spans="1:21" s="979" customFormat="1" x14ac:dyDescent="0.2">
      <c r="A287" s="974"/>
      <c r="B287" s="974"/>
      <c r="C287" s="974"/>
      <c r="D287" s="974"/>
      <c r="E287" s="974"/>
      <c r="F287" s="974"/>
      <c r="G287" s="975"/>
      <c r="H287" s="975"/>
      <c r="I287" s="975"/>
      <c r="J287" s="975"/>
      <c r="K287" s="975"/>
      <c r="L287" s="976"/>
      <c r="M287" s="977"/>
      <c r="N287" s="978"/>
      <c r="O287" s="978"/>
      <c r="P287" s="978"/>
      <c r="Q287" s="975"/>
      <c r="R287" s="975"/>
      <c r="S287" s="978"/>
      <c r="T287" s="978"/>
      <c r="U287" s="981"/>
    </row>
    <row r="288" spans="1:21" s="979" customFormat="1" x14ac:dyDescent="0.2">
      <c r="A288" s="974" t="s">
        <v>114</v>
      </c>
      <c r="B288" s="974"/>
      <c r="C288" s="974" t="s">
        <v>662</v>
      </c>
      <c r="D288" s="974"/>
      <c r="E288" s="974"/>
      <c r="F288" s="974"/>
      <c r="G288" s="975"/>
      <c r="H288" s="975"/>
      <c r="I288" s="975"/>
      <c r="J288" s="975"/>
      <c r="K288" s="975"/>
      <c r="L288" s="976"/>
      <c r="M288" s="975"/>
      <c r="N288" s="975"/>
      <c r="O288" s="975"/>
      <c r="P288" s="975"/>
      <c r="Q288" s="975"/>
      <c r="R288" s="975"/>
      <c r="S288" s="975"/>
      <c r="T288" s="975"/>
      <c r="U288" s="975"/>
    </row>
    <row r="289" spans="1:21" s="979" customFormat="1" x14ac:dyDescent="0.2">
      <c r="A289" s="974">
        <v>406</v>
      </c>
      <c r="B289" s="1025"/>
      <c r="C289" s="974">
        <f t="shared" ref="C289:C306" si="2">A289+C$278</f>
        <v>1300</v>
      </c>
      <c r="D289" s="974">
        <v>4</v>
      </c>
      <c r="E289" s="974"/>
      <c r="F289" s="974"/>
      <c r="G289" s="975">
        <f ca="1">IF(Ontwerp!T1="j","--",INPUT!D6)</f>
        <v>1</v>
      </c>
      <c r="H289" s="975"/>
      <c r="I289" s="975">
        <v>5</v>
      </c>
      <c r="J289" s="975"/>
      <c r="K289" s="975">
        <v>0</v>
      </c>
      <c r="L289" s="976"/>
      <c r="M289" s="3" t="s">
        <v>527</v>
      </c>
      <c r="N289" s="4" t="s">
        <v>458</v>
      </c>
      <c r="O289" s="4" t="s">
        <v>528</v>
      </c>
      <c r="P289" s="4" t="str">
        <f t="shared" ref="P289:P300" si="3">POINT(C289,D289)</f>
        <v>1300,4</v>
      </c>
      <c r="Q289" s="15"/>
      <c r="R289" s="15"/>
      <c r="S289" s="4">
        <f t="shared" ref="S289:S300" si="4">I289</f>
        <v>5</v>
      </c>
      <c r="T289" s="4">
        <f t="shared" ref="T289:T300" si="5">K289</f>
        <v>0</v>
      </c>
      <c r="U289" s="2">
        <f t="shared" ref="U289:U306" ca="1" si="6">G289</f>
        <v>1</v>
      </c>
    </row>
    <row r="290" spans="1:21" s="979" customFormat="1" x14ac:dyDescent="0.2">
      <c r="A290" s="974">
        <v>367</v>
      </c>
      <c r="B290" s="974"/>
      <c r="C290" s="974">
        <f t="shared" si="2"/>
        <v>1261</v>
      </c>
      <c r="D290" s="974">
        <v>4</v>
      </c>
      <c r="E290" s="974"/>
      <c r="F290" s="974"/>
      <c r="G290" s="975" t="str">
        <f ca="1">INPUT!D7</f>
        <v>3D25V700-12</v>
      </c>
      <c r="H290" s="975"/>
      <c r="I290" s="975">
        <v>4</v>
      </c>
      <c r="J290" s="975"/>
      <c r="K290" s="975">
        <v>0</v>
      </c>
      <c r="L290" s="976"/>
      <c r="M290" s="3" t="s">
        <v>527</v>
      </c>
      <c r="N290" s="4" t="s">
        <v>458</v>
      </c>
      <c r="O290" s="4" t="s">
        <v>528</v>
      </c>
      <c r="P290" s="4" t="str">
        <f t="shared" si="3"/>
        <v>1261,4</v>
      </c>
      <c r="Q290" s="15"/>
      <c r="R290" s="15"/>
      <c r="S290" s="4">
        <f t="shared" si="4"/>
        <v>4</v>
      </c>
      <c r="T290" s="4">
        <f t="shared" si="5"/>
        <v>0</v>
      </c>
      <c r="U290" s="2" t="str">
        <f t="shared" ca="1" si="6"/>
        <v>3D25V700-12</v>
      </c>
    </row>
    <row r="291" spans="1:21" s="979" customFormat="1" x14ac:dyDescent="0.2">
      <c r="A291" s="974">
        <v>384</v>
      </c>
      <c r="B291" s="974"/>
      <c r="C291" s="974">
        <f t="shared" si="2"/>
        <v>1278</v>
      </c>
      <c r="D291" s="974">
        <v>57.5</v>
      </c>
      <c r="E291" s="974"/>
      <c r="F291" s="974"/>
      <c r="G291" s="975" t="str">
        <f ca="1">INPUT!D8</f>
        <v>3D25V700</v>
      </c>
      <c r="H291" s="975"/>
      <c r="I291" s="975">
        <v>2.2000000000000002</v>
      </c>
      <c r="J291" s="975"/>
      <c r="K291" s="975">
        <v>0</v>
      </c>
      <c r="L291" s="976"/>
      <c r="M291" s="3" t="s">
        <v>527</v>
      </c>
      <c r="N291" s="4" t="s">
        <v>458</v>
      </c>
      <c r="O291" s="4" t="s">
        <v>528</v>
      </c>
      <c r="P291" s="4" t="str">
        <f t="shared" si="3"/>
        <v>1278,57.5</v>
      </c>
      <c r="Q291" s="15"/>
      <c r="R291" s="15"/>
      <c r="S291" s="4">
        <f t="shared" si="4"/>
        <v>2.2000000000000002</v>
      </c>
      <c r="T291" s="4">
        <f t="shared" si="5"/>
        <v>0</v>
      </c>
      <c r="U291" s="2" t="str">
        <f t="shared" ca="1" si="6"/>
        <v>3D25V700</v>
      </c>
    </row>
    <row r="292" spans="1:21" s="979" customFormat="1" x14ac:dyDescent="0.2">
      <c r="A292" s="974">
        <v>384</v>
      </c>
      <c r="B292" s="974"/>
      <c r="C292" s="974">
        <f t="shared" si="2"/>
        <v>1278</v>
      </c>
      <c r="D292" s="974">
        <v>52.5</v>
      </c>
      <c r="E292" s="974"/>
      <c r="F292" s="974"/>
      <c r="G292" s="1001" t="str">
        <f>INPUT!D9</f>
        <v>M.Luijben</v>
      </c>
      <c r="H292" s="975"/>
      <c r="I292" s="975">
        <v>2.2000000000000002</v>
      </c>
      <c r="J292" s="975"/>
      <c r="K292" s="975">
        <v>0</v>
      </c>
      <c r="L292" s="976"/>
      <c r="M292" s="3" t="s">
        <v>527</v>
      </c>
      <c r="N292" s="4" t="s">
        <v>458</v>
      </c>
      <c r="O292" s="4" t="s">
        <v>528</v>
      </c>
      <c r="P292" s="4" t="str">
        <f t="shared" si="3"/>
        <v>1278,52.5</v>
      </c>
      <c r="Q292" s="15"/>
      <c r="R292" s="15"/>
      <c r="S292" s="4">
        <f t="shared" si="4"/>
        <v>2.2000000000000002</v>
      </c>
      <c r="T292" s="4">
        <f t="shared" si="5"/>
        <v>0</v>
      </c>
      <c r="U292" s="2" t="str">
        <f t="shared" si="6"/>
        <v>M.Luijben</v>
      </c>
    </row>
    <row r="293" spans="1:21" s="979" customFormat="1" x14ac:dyDescent="0.2">
      <c r="A293" s="974">
        <v>384</v>
      </c>
      <c r="B293" s="974"/>
      <c r="C293" s="974">
        <f t="shared" si="2"/>
        <v>1278</v>
      </c>
      <c r="D293" s="974">
        <v>47.5</v>
      </c>
      <c r="E293" s="974"/>
      <c r="F293" s="974"/>
      <c r="G293" s="1001" t="str">
        <f ca="1">INPUT!D10</f>
        <v>M.Visser</v>
      </c>
      <c r="H293" s="975"/>
      <c r="I293" s="975">
        <v>2.2000000000000002</v>
      </c>
      <c r="J293" s="975"/>
      <c r="K293" s="975">
        <v>0</v>
      </c>
      <c r="L293" s="976"/>
      <c r="M293" s="3" t="s">
        <v>527</v>
      </c>
      <c r="N293" s="4" t="s">
        <v>458</v>
      </c>
      <c r="O293" s="4" t="s">
        <v>528</v>
      </c>
      <c r="P293" s="4" t="str">
        <f t="shared" si="3"/>
        <v>1278,47.5</v>
      </c>
      <c r="Q293" s="15"/>
      <c r="R293" s="15"/>
      <c r="S293" s="4">
        <f t="shared" si="4"/>
        <v>2.2000000000000002</v>
      </c>
      <c r="T293" s="4">
        <f t="shared" si="5"/>
        <v>0</v>
      </c>
      <c r="U293" s="2" t="str">
        <f t="shared" ca="1" si="6"/>
        <v>M.Visser</v>
      </c>
    </row>
    <row r="294" spans="1:21" s="979" customFormat="1" x14ac:dyDescent="0.2">
      <c r="A294" s="974">
        <v>384</v>
      </c>
      <c r="B294" s="974"/>
      <c r="C294" s="974">
        <f t="shared" si="2"/>
        <v>1278</v>
      </c>
      <c r="D294" s="974">
        <v>42.5</v>
      </c>
      <c r="E294" s="974"/>
      <c r="F294" s="974"/>
      <c r="G294" s="1078">
        <f ca="1">INPUT!D11</f>
        <v>45969</v>
      </c>
      <c r="H294" s="975"/>
      <c r="I294" s="975">
        <v>2.2000000000000002</v>
      </c>
      <c r="J294" s="975"/>
      <c r="K294" s="975">
        <v>0</v>
      </c>
      <c r="L294" s="976"/>
      <c r="M294" s="3" t="s">
        <v>527</v>
      </c>
      <c r="N294" s="4" t="s">
        <v>458</v>
      </c>
      <c r="O294" s="4" t="s">
        <v>528</v>
      </c>
      <c r="P294" s="4" t="str">
        <f t="shared" si="3"/>
        <v>1278,42.5</v>
      </c>
      <c r="Q294" s="15"/>
      <c r="R294" s="15"/>
      <c r="S294" s="4">
        <f t="shared" si="4"/>
        <v>2.2000000000000002</v>
      </c>
      <c r="T294" s="4">
        <f t="shared" si="5"/>
        <v>0</v>
      </c>
      <c r="U294" s="555">
        <f t="shared" ca="1" si="6"/>
        <v>45969</v>
      </c>
    </row>
    <row r="295" spans="1:21" s="979" customFormat="1" x14ac:dyDescent="0.2">
      <c r="A295" s="974">
        <v>384</v>
      </c>
      <c r="B295" s="974"/>
      <c r="C295" s="974">
        <f t="shared" si="2"/>
        <v>1278</v>
      </c>
      <c r="D295" s="974">
        <v>37.5</v>
      </c>
      <c r="E295" s="974"/>
      <c r="F295" s="974"/>
      <c r="G295" s="1001" t="str">
        <f>INPUT!D30</f>
        <v>1:250</v>
      </c>
      <c r="H295" s="975"/>
      <c r="I295" s="975">
        <v>2.2000000000000002</v>
      </c>
      <c r="J295" s="975"/>
      <c r="K295" s="975">
        <v>0</v>
      </c>
      <c r="L295" s="976"/>
      <c r="M295" s="3" t="s">
        <v>527</v>
      </c>
      <c r="N295" s="4" t="s">
        <v>458</v>
      </c>
      <c r="O295" s="4" t="s">
        <v>528</v>
      </c>
      <c r="P295" s="4" t="str">
        <f t="shared" si="3"/>
        <v>1278,37.5</v>
      </c>
      <c r="Q295" s="15"/>
      <c r="R295" s="15"/>
      <c r="S295" s="4">
        <f t="shared" si="4"/>
        <v>2.2000000000000002</v>
      </c>
      <c r="T295" s="4">
        <f t="shared" si="5"/>
        <v>0</v>
      </c>
      <c r="U295" s="2" t="str">
        <f t="shared" si="6"/>
        <v>1:250</v>
      </c>
    </row>
    <row r="296" spans="1:21" s="979" customFormat="1" x14ac:dyDescent="0.2">
      <c r="A296" s="974">
        <v>384</v>
      </c>
      <c r="B296" s="974"/>
      <c r="C296" s="974">
        <f t="shared" si="2"/>
        <v>1278</v>
      </c>
      <c r="D296" s="974">
        <v>32.5</v>
      </c>
      <c r="E296" s="974"/>
      <c r="F296" s="974"/>
      <c r="G296" s="1001" t="str">
        <f>INPUT!D15</f>
        <v>A2Z4</v>
      </c>
      <c r="H296" s="975"/>
      <c r="I296" s="975">
        <v>2.2000000000000002</v>
      </c>
      <c r="J296" s="975"/>
      <c r="K296" s="975">
        <v>0</v>
      </c>
      <c r="L296" s="976"/>
      <c r="M296" s="3" t="s">
        <v>527</v>
      </c>
      <c r="N296" s="4" t="s">
        <v>458</v>
      </c>
      <c r="O296" s="4" t="s">
        <v>528</v>
      </c>
      <c r="P296" s="4" t="str">
        <f t="shared" si="3"/>
        <v>1278,32.5</v>
      </c>
      <c r="Q296" s="15"/>
      <c r="R296" s="15"/>
      <c r="S296" s="4">
        <f t="shared" si="4"/>
        <v>2.2000000000000002</v>
      </c>
      <c r="T296" s="4">
        <f t="shared" si="5"/>
        <v>0</v>
      </c>
      <c r="U296" s="2" t="str">
        <f t="shared" si="6"/>
        <v>A2Z4</v>
      </c>
    </row>
    <row r="297" spans="1:21" s="979" customFormat="1" x14ac:dyDescent="0.2">
      <c r="A297" s="974">
        <v>231</v>
      </c>
      <c r="B297" s="974"/>
      <c r="C297" s="974">
        <f t="shared" si="2"/>
        <v>1125</v>
      </c>
      <c r="D297" s="974">
        <v>25.5</v>
      </c>
      <c r="E297" s="974"/>
      <c r="F297" s="974"/>
      <c r="G297" s="1001" t="str">
        <f ca="1">INPUT!D16</f>
        <v>HDD12 Haarlem, N200</v>
      </c>
      <c r="H297" s="975"/>
      <c r="I297" s="975">
        <v>3.4</v>
      </c>
      <c r="J297" s="975"/>
      <c r="K297" s="975">
        <v>0</v>
      </c>
      <c r="L297" s="976"/>
      <c r="M297" s="3" t="s">
        <v>527</v>
      </c>
      <c r="N297" s="4" t="s">
        <v>458</v>
      </c>
      <c r="O297" s="4" t="s">
        <v>528</v>
      </c>
      <c r="P297" s="4" t="str">
        <f t="shared" si="3"/>
        <v>1125,25.5</v>
      </c>
      <c r="Q297" s="15"/>
      <c r="R297" s="15"/>
      <c r="S297" s="4">
        <f t="shared" si="4"/>
        <v>3.4</v>
      </c>
      <c r="T297" s="4">
        <f t="shared" si="5"/>
        <v>0</v>
      </c>
      <c r="U297" s="2" t="str">
        <f t="shared" ca="1" si="6"/>
        <v>HDD12 Haarlem, N200</v>
      </c>
    </row>
    <row r="298" spans="1:21" s="979" customFormat="1" x14ac:dyDescent="0.2">
      <c r="A298" s="974">
        <v>231</v>
      </c>
      <c r="B298" s="974"/>
      <c r="C298" s="974">
        <f t="shared" si="2"/>
        <v>1125</v>
      </c>
      <c r="D298" s="974">
        <v>18.75</v>
      </c>
      <c r="E298" s="974"/>
      <c r="F298" s="974"/>
      <c r="G298" s="1001" t="str">
        <f>INPUT!D24</f>
        <v>1x Ø160 PE100 SDR11</v>
      </c>
      <c r="H298" s="975"/>
      <c r="I298" s="975">
        <v>3.4</v>
      </c>
      <c r="J298" s="975"/>
      <c r="K298" s="975">
        <v>0</v>
      </c>
      <c r="L298" s="976"/>
      <c r="M298" s="3" t="s">
        <v>527</v>
      </c>
      <c r="N298" s="4" t="s">
        <v>458</v>
      </c>
      <c r="O298" s="4" t="s">
        <v>528</v>
      </c>
      <c r="P298" s="4" t="str">
        <f t="shared" si="3"/>
        <v>1125,18.75</v>
      </c>
      <c r="Q298" s="15"/>
      <c r="R298" s="15"/>
      <c r="S298" s="4">
        <f t="shared" si="4"/>
        <v>3.4</v>
      </c>
      <c r="T298" s="4">
        <f t="shared" si="5"/>
        <v>0</v>
      </c>
      <c r="U298" s="2" t="str">
        <f t="shared" si="6"/>
        <v>1x Ø160 PE100 SDR11</v>
      </c>
    </row>
    <row r="299" spans="1:21" s="979" customFormat="1" x14ac:dyDescent="0.2">
      <c r="A299" s="974">
        <v>231</v>
      </c>
      <c r="B299" s="974"/>
      <c r="C299" s="974">
        <f t="shared" si="2"/>
        <v>1125</v>
      </c>
      <c r="D299" s="974">
        <v>12</v>
      </c>
      <c r="E299" s="974"/>
      <c r="F299" s="974"/>
      <c r="G299" s="1001" t="str">
        <f>INPUT!D26</f>
        <v>Geboorde lengte 229.59 m</v>
      </c>
      <c r="H299" s="975"/>
      <c r="I299" s="975">
        <v>3.4</v>
      </c>
      <c r="J299" s="975"/>
      <c r="K299" s="975">
        <v>0</v>
      </c>
      <c r="L299" s="976"/>
      <c r="M299" s="3" t="s">
        <v>527</v>
      </c>
      <c r="N299" s="4" t="s">
        <v>458</v>
      </c>
      <c r="O299" s="4" t="s">
        <v>528</v>
      </c>
      <c r="P299" s="4" t="str">
        <f t="shared" si="3"/>
        <v>1125,12</v>
      </c>
      <c r="Q299" s="15"/>
      <c r="R299" s="15"/>
      <c r="S299" s="4">
        <f t="shared" si="4"/>
        <v>3.4</v>
      </c>
      <c r="T299" s="4">
        <f t="shared" si="5"/>
        <v>0</v>
      </c>
      <c r="U299" s="2" t="str">
        <f t="shared" si="6"/>
        <v>Geboorde lengte 229.59 m</v>
      </c>
    </row>
    <row r="300" spans="1:21" s="979" customFormat="1" x14ac:dyDescent="0.2">
      <c r="A300" s="974">
        <v>231</v>
      </c>
      <c r="B300" s="974"/>
      <c r="C300" s="974">
        <f t="shared" si="2"/>
        <v>1125</v>
      </c>
      <c r="D300" s="974">
        <v>3</v>
      </c>
      <c r="E300" s="974"/>
      <c r="F300" s="974"/>
      <c r="G300" s="975" t="str">
        <f>INPUT!D29</f>
        <v>Gestuurde boring</v>
      </c>
      <c r="H300" s="975"/>
      <c r="I300" s="975">
        <v>3.4</v>
      </c>
      <c r="J300" s="975"/>
      <c r="K300" s="975">
        <v>0</v>
      </c>
      <c r="L300" s="976"/>
      <c r="M300" s="3" t="s">
        <v>527</v>
      </c>
      <c r="N300" s="4" t="s">
        <v>458</v>
      </c>
      <c r="O300" s="4" t="s">
        <v>528</v>
      </c>
      <c r="P300" s="4" t="str">
        <f t="shared" si="3"/>
        <v>1125,3</v>
      </c>
      <c r="Q300" s="15"/>
      <c r="R300" s="15"/>
      <c r="S300" s="4">
        <f t="shared" si="4"/>
        <v>3.4</v>
      </c>
      <c r="T300" s="4">
        <f t="shared" si="5"/>
        <v>0</v>
      </c>
      <c r="U300" s="2" t="str">
        <f t="shared" si="6"/>
        <v>Gestuurde boring</v>
      </c>
    </row>
    <row r="301" spans="1:21" s="979" customFormat="1" x14ac:dyDescent="0.2">
      <c r="A301" s="974">
        <v>291</v>
      </c>
      <c r="B301" s="974"/>
      <c r="C301" s="974">
        <f t="shared" si="2"/>
        <v>1185</v>
      </c>
      <c r="D301" s="974">
        <v>51</v>
      </c>
      <c r="E301" s="963" t="s">
        <v>663</v>
      </c>
      <c r="F301" s="964"/>
      <c r="G301" s="975" t="str">
        <f ca="1">IF(INPUT!D4=3,"",INPUT!E31)</f>
        <v>Dmissie Electro BV</v>
      </c>
      <c r="H301" s="975"/>
      <c r="I301" s="975">
        <v>2.5</v>
      </c>
      <c r="J301" s="975"/>
      <c r="K301" s="975">
        <v>0</v>
      </c>
      <c r="L301" s="976"/>
      <c r="M301" s="3" t="str">
        <f ca="1">IF(INPUT!D4=3,"","_TEXT")</f>
        <v>_TEXT</v>
      </c>
      <c r="N301" s="4" t="str">
        <f ca="1">IF(INPUT!D4=3,"","_Justify")</f>
        <v>_Justify</v>
      </c>
      <c r="O301" s="4" t="str">
        <f ca="1">IF(INPUT!D4=3,"","_BL")</f>
        <v>_BL</v>
      </c>
      <c r="P301" s="4" t="str">
        <f t="array" aca="1" ref="P301" ca="1">IF(INPUT!D4=3,"",POINT(C301,D301))</f>
        <v>1185,51</v>
      </c>
      <c r="Q301" s="15"/>
      <c r="R301" s="15"/>
      <c r="S301" s="4">
        <f ca="1">IF(INPUT!D4=3,"",I301)</f>
        <v>2.5</v>
      </c>
      <c r="T301" s="4">
        <f ca="1">IF(INPUT!D4=3,"",K301)</f>
        <v>0</v>
      </c>
      <c r="U301" s="2" t="str">
        <f t="shared" ca="1" si="6"/>
        <v>Dmissie Electro BV</v>
      </c>
    </row>
    <row r="302" spans="1:21" s="979" customFormat="1" x14ac:dyDescent="0.2">
      <c r="A302" s="974">
        <v>291</v>
      </c>
      <c r="B302" s="974"/>
      <c r="C302" s="974">
        <f t="shared" si="2"/>
        <v>1185</v>
      </c>
      <c r="D302" s="974">
        <v>45</v>
      </c>
      <c r="E302" s="964"/>
      <c r="F302" s="964"/>
      <c r="G302" s="975" t="str">
        <f ca="1">IF(INPUT!D4=3,"",IF(INPUT!E32=0,"-",INPUT!E32))</f>
        <v>-</v>
      </c>
      <c r="H302" s="975"/>
      <c r="I302" s="975">
        <v>2.5</v>
      </c>
      <c r="J302" s="975"/>
      <c r="K302" s="975">
        <v>0</v>
      </c>
      <c r="L302" s="976"/>
      <c r="M302" s="3" t="str">
        <f ca="1">IF(INPUT!D4=3,"","_TEXT")</f>
        <v>_TEXT</v>
      </c>
      <c r="N302" s="4" t="str">
        <f ca="1">IF(INPUT!D4=3,"","_Justify")</f>
        <v>_Justify</v>
      </c>
      <c r="O302" s="4" t="str">
        <f ca="1">IF(INPUT!D4=3,"","_BL")</f>
        <v>_BL</v>
      </c>
      <c r="P302" s="4" t="str">
        <f t="array" aca="1" ref="P302" ca="1">IF(INPUT!D4=3,"",POINT(C302,D302))</f>
        <v>1185,45</v>
      </c>
      <c r="Q302" s="15"/>
      <c r="R302" s="15"/>
      <c r="S302" s="4">
        <f ca="1">IF(INPUT!D4=3,"",I302)</f>
        <v>2.5</v>
      </c>
      <c r="T302" s="4">
        <f ca="1">IF(INPUT!D4=3,"",K302)</f>
        <v>0</v>
      </c>
      <c r="U302" s="2" t="str">
        <f t="shared" ca="1" si="6"/>
        <v>-</v>
      </c>
    </row>
    <row r="303" spans="1:21" s="979" customFormat="1" x14ac:dyDescent="0.2">
      <c r="A303" s="974">
        <v>291</v>
      </c>
      <c r="B303" s="974"/>
      <c r="C303" s="974">
        <f t="shared" si="2"/>
        <v>1185</v>
      </c>
      <c r="D303" s="974">
        <v>39</v>
      </c>
      <c r="E303" s="964"/>
      <c r="F303" s="964"/>
      <c r="G303" s="975" t="str">
        <f ca="1">IF(INPUT!D4=3,"",INPUT!D33)</f>
        <v>Portsmuiden 15</v>
      </c>
      <c r="H303" s="975"/>
      <c r="I303" s="975">
        <v>2.5</v>
      </c>
      <c r="J303" s="975"/>
      <c r="K303" s="975">
        <v>0</v>
      </c>
      <c r="L303" s="976"/>
      <c r="M303" s="3" t="str">
        <f ca="1">IF(INPUT!D4=3,"","_TEXT")</f>
        <v>_TEXT</v>
      </c>
      <c r="N303" s="4" t="str">
        <f ca="1">IF(INPUT!D4=3,"","_Justify")</f>
        <v>_Justify</v>
      </c>
      <c r="O303" s="4" t="str">
        <f ca="1">IF(INPUT!D4=3,"","_BL")</f>
        <v>_BL</v>
      </c>
      <c r="P303" s="4" t="str" cm="1">
        <f t="array" aca="1" ref="P303" ca="1">IF(INPUT!D4=3,"",POINT(C303,D303))</f>
        <v>1185,39</v>
      </c>
      <c r="Q303" s="15"/>
      <c r="R303" s="15"/>
      <c r="S303" s="4">
        <f ca="1">IF(INPUT!D4=3,"",I303)</f>
        <v>2.5</v>
      </c>
      <c r="T303" s="4">
        <f ca="1">IF(INPUT!D4=3,"",K303)</f>
        <v>0</v>
      </c>
      <c r="U303" s="2" t="str">
        <f t="shared" ca="1" si="6"/>
        <v>Portsmuiden 15</v>
      </c>
    </row>
    <row r="304" spans="1:21" s="979" customFormat="1" x14ac:dyDescent="0.2">
      <c r="A304" s="974">
        <v>291</v>
      </c>
      <c r="B304" s="974"/>
      <c r="C304" s="974">
        <f t="shared" si="2"/>
        <v>1185</v>
      </c>
      <c r="D304" s="974">
        <v>33</v>
      </c>
      <c r="E304" s="964"/>
      <c r="F304" s="964"/>
      <c r="G304" s="975" t="str">
        <f ca="1">IF(INPUT!D4=3,"",INPUT!D34)</f>
        <v>1046 AH  Amsterdam</v>
      </c>
      <c r="H304" s="975"/>
      <c r="I304" s="975">
        <v>2.5</v>
      </c>
      <c r="J304" s="975"/>
      <c r="K304" s="975">
        <v>0</v>
      </c>
      <c r="L304" s="976"/>
      <c r="M304" s="3" t="str">
        <f ca="1">IF(INPUT!D4=3,"","_TEXT")</f>
        <v>_TEXT</v>
      </c>
      <c r="N304" s="4" t="str">
        <f ca="1">IF(INPUT!D4=3,"","_Justify")</f>
        <v>_Justify</v>
      </c>
      <c r="O304" s="4" t="str">
        <f ca="1">IF(INPUT!D4=3,"","_BL")</f>
        <v>_BL</v>
      </c>
      <c r="P304" s="4" t="str">
        <f t="array" aca="1" ref="P304" ca="1">IF(INPUT!D4=3,"",POINT(C304,D304))</f>
        <v>1185,33</v>
      </c>
      <c r="Q304" s="15"/>
      <c r="R304" s="15"/>
      <c r="S304" s="4">
        <f ca="1">IF(INPUT!D4=3,"",I304)</f>
        <v>2.5</v>
      </c>
      <c r="T304" s="4">
        <f ca="1">IF(INPUT!D4=3,"",K304)</f>
        <v>0</v>
      </c>
      <c r="U304" s="2" t="str">
        <f t="shared" ca="1" si="6"/>
        <v>1046 AH  Amsterdam</v>
      </c>
    </row>
    <row r="305" spans="1:21" s="979" customFormat="1" x14ac:dyDescent="0.2">
      <c r="A305" s="974">
        <v>367</v>
      </c>
      <c r="B305" s="974"/>
      <c r="C305" s="974">
        <f t="shared" si="2"/>
        <v>1261</v>
      </c>
      <c r="D305" s="974">
        <v>18</v>
      </c>
      <c r="E305" s="974"/>
      <c r="F305" s="974"/>
      <c r="G305" s="975" t="str">
        <f ca="1">INPUT!E3</f>
        <v>Vergunning</v>
      </c>
      <c r="H305" s="975"/>
      <c r="I305" s="975">
        <v>6</v>
      </c>
      <c r="J305" s="975"/>
      <c r="K305" s="975">
        <v>0</v>
      </c>
      <c r="L305" s="976"/>
      <c r="M305" s="3" t="s">
        <v>527</v>
      </c>
      <c r="N305" s="4" t="s">
        <v>458</v>
      </c>
      <c r="O305" s="4" t="s">
        <v>528</v>
      </c>
      <c r="P305" s="4" t="str">
        <f>POINT(C305,D305)</f>
        <v>1261,18</v>
      </c>
      <c r="Q305" s="15"/>
      <c r="R305" s="15"/>
      <c r="S305" s="4">
        <f>I305</f>
        <v>6</v>
      </c>
      <c r="T305" s="4">
        <f>K305</f>
        <v>0</v>
      </c>
      <c r="U305" s="2" t="str">
        <f t="shared" ca="1" si="6"/>
        <v>Vergunning</v>
      </c>
    </row>
    <row r="306" spans="1:21" s="979" customFormat="1" x14ac:dyDescent="0.2">
      <c r="A306" s="974">
        <v>414</v>
      </c>
      <c r="B306" s="974"/>
      <c r="C306" s="974">
        <f t="shared" si="2"/>
        <v>1308</v>
      </c>
      <c r="D306" s="974">
        <v>63</v>
      </c>
      <c r="E306" s="974"/>
      <c r="F306" s="974"/>
      <c r="G306" s="975" t="str">
        <f ca="1">IF(INPUT!K1="R","GPS file: "&amp;INPUT!K23,"-")</f>
        <v>-</v>
      </c>
      <c r="H306" s="975"/>
      <c r="I306" s="975">
        <v>1.2</v>
      </c>
      <c r="J306" s="975"/>
      <c r="K306" s="975">
        <v>0</v>
      </c>
      <c r="L306" s="976"/>
      <c r="M306" s="3" t="s">
        <v>527</v>
      </c>
      <c r="N306" s="4" t="s">
        <v>458</v>
      </c>
      <c r="O306" s="4" t="s">
        <v>1063</v>
      </c>
      <c r="P306" s="4" t="str">
        <f>POINT(C306,D306)</f>
        <v>1308,63</v>
      </c>
      <c r="Q306" s="15"/>
      <c r="R306" s="15"/>
      <c r="S306" s="4">
        <f>I306</f>
        <v>1.2</v>
      </c>
      <c r="T306" s="4">
        <f>K306</f>
        <v>0</v>
      </c>
      <c r="U306" s="857" t="str">
        <f t="shared" ca="1" si="6"/>
        <v>-</v>
      </c>
    </row>
    <row r="307" spans="1:21" s="979" customFormat="1" x14ac:dyDescent="0.2">
      <c r="A307" s="974"/>
      <c r="B307" s="974"/>
      <c r="C307" s="974"/>
      <c r="D307" s="974"/>
      <c r="E307" s="974"/>
      <c r="F307" s="974"/>
      <c r="G307" s="975"/>
      <c r="H307" s="975"/>
      <c r="I307" s="975"/>
      <c r="J307" s="975"/>
      <c r="K307" s="975"/>
      <c r="L307" s="976"/>
      <c r="M307" s="977"/>
      <c r="N307" s="978"/>
      <c r="O307" s="978"/>
      <c r="P307" s="978"/>
      <c r="Q307" s="975"/>
      <c r="R307" s="975"/>
      <c r="S307" s="978"/>
      <c r="T307" s="978"/>
      <c r="U307" s="981"/>
    </row>
    <row r="308" spans="1:21" s="979" customFormat="1" x14ac:dyDescent="0.2">
      <c r="A308" s="974" t="s">
        <v>664</v>
      </c>
      <c r="B308" s="974"/>
      <c r="C308" s="974"/>
      <c r="D308" s="974"/>
      <c r="E308" s="974" t="s">
        <v>634</v>
      </c>
      <c r="F308" s="974">
        <v>5</v>
      </c>
      <c r="G308" s="975"/>
      <c r="H308" s="975"/>
      <c r="I308" s="975"/>
      <c r="J308" s="975"/>
      <c r="K308" s="975"/>
      <c r="L308" s="976"/>
      <c r="M308" s="353" t="s">
        <v>497</v>
      </c>
      <c r="N308" s="354">
        <v>1</v>
      </c>
      <c r="O308" s="354" t="s">
        <v>498</v>
      </c>
      <c r="P308" s="354">
        <v>1</v>
      </c>
      <c r="Q308" s="354" t="s">
        <v>499</v>
      </c>
      <c r="R308" s="354">
        <f ca="1">INPUT!D6</f>
        <v>1</v>
      </c>
      <c r="S308" s="354" t="s">
        <v>500</v>
      </c>
      <c r="T308" s="354">
        <v>1</v>
      </c>
      <c r="U308" s="48"/>
    </row>
    <row r="309" spans="1:21" s="979" customFormat="1" x14ac:dyDescent="0.2">
      <c r="A309" s="974">
        <v>13</v>
      </c>
      <c r="B309" s="974"/>
      <c r="C309" s="974">
        <f>A309+C278</f>
        <v>907</v>
      </c>
      <c r="D309" s="974">
        <v>2.2000000000000002</v>
      </c>
      <c r="E309" s="974"/>
      <c r="F309" s="974"/>
      <c r="G309" s="1079">
        <f ca="1">TODAY()</f>
        <v>46080</v>
      </c>
      <c r="H309" s="1080"/>
      <c r="I309" s="975">
        <v>2.5</v>
      </c>
      <c r="J309" s="975"/>
      <c r="K309" s="975">
        <v>0</v>
      </c>
      <c r="L309" s="976"/>
      <c r="M309" s="3" t="str">
        <f ca="1">IF(INPUT!D6&gt;0,"_TEXT","")</f>
        <v>_TEXT</v>
      </c>
      <c r="N309" s="4" t="str">
        <f ca="1">IF(INPUT!D6&gt;0,"_Justify","")</f>
        <v>_Justify</v>
      </c>
      <c r="O309" s="4" t="str">
        <f ca="1">IF(INPUT!D6&gt;0,"_BL","")</f>
        <v>_BL</v>
      </c>
      <c r="P309" s="4" t="str">
        <f t="array" aca="1" ref="P309" ca="1">IF(INPUT!D$6&gt;0,POINT(C309,D309+N308*F308),"")</f>
        <v>907,7.2</v>
      </c>
      <c r="Q309" s="15"/>
      <c r="R309" s="15"/>
      <c r="S309" s="4">
        <f ca="1">IF(INPUT!D$6&gt;0,I309,"")</f>
        <v>2.5</v>
      </c>
      <c r="T309" s="4">
        <f ca="1">IF(INPUT!D$6&gt;0,K309,"")</f>
        <v>0</v>
      </c>
      <c r="U309" s="939">
        <f ca="1">IF(INPUT!D$6&gt;0,HLOOKUP(Script!N308,INPUT!I5:L8,2,FALSE),"")</f>
        <v>46080</v>
      </c>
    </row>
    <row r="310" spans="1:21" s="979" customFormat="1" x14ac:dyDescent="0.2">
      <c r="A310" s="974">
        <v>37</v>
      </c>
      <c r="B310" s="974"/>
      <c r="C310" s="974">
        <f>A310+C278</f>
        <v>931</v>
      </c>
      <c r="D310" s="974">
        <v>2.2000000000000002</v>
      </c>
      <c r="E310" s="974"/>
      <c r="F310" s="974"/>
      <c r="G310" s="1081" t="str">
        <f>G292</f>
        <v>M.Luijben</v>
      </c>
      <c r="H310" s="975"/>
      <c r="I310" s="975">
        <v>2.5</v>
      </c>
      <c r="J310" s="975"/>
      <c r="K310" s="975">
        <v>0</v>
      </c>
      <c r="L310" s="976"/>
      <c r="M310" s="3" t="str">
        <f ca="1">IF(INPUT!D6&gt;0,"_TEXT","")</f>
        <v>_TEXT</v>
      </c>
      <c r="N310" s="4" t="str">
        <f ca="1">IF(INPUT!D6&gt;0,"_Justify","")</f>
        <v>_Justify</v>
      </c>
      <c r="O310" s="4" t="str">
        <f ca="1">IF(INPUT!D6&gt;0,"_BL","")</f>
        <v>_BL</v>
      </c>
      <c r="P310" s="4" t="str">
        <f t="array" aca="1" ref="P310" ca="1">IF(INPUT!D$6&gt;0,POINT(C310,D310+N308*F308),"")</f>
        <v>931,7.2</v>
      </c>
      <c r="Q310" s="15"/>
      <c r="R310" s="15"/>
      <c r="S310" s="4">
        <f ca="1">IF(INPUT!D$6&gt;0,I310,"")</f>
        <v>2.5</v>
      </c>
      <c r="T310" s="4">
        <f ca="1">IF(INPUT!D$6&gt;0,K310,"")</f>
        <v>0</v>
      </c>
      <c r="U310" s="939" t="str">
        <f ca="1">IF(INPUT!D$6&gt;0,G310,"")</f>
        <v>M.Luijben</v>
      </c>
    </row>
    <row r="311" spans="1:21" s="979" customFormat="1" x14ac:dyDescent="0.2">
      <c r="A311" s="974">
        <v>57</v>
      </c>
      <c r="B311" s="974"/>
      <c r="C311" s="974">
        <f>A311+C278</f>
        <v>951</v>
      </c>
      <c r="D311" s="974">
        <v>2.2000000000000002</v>
      </c>
      <c r="E311" s="974"/>
      <c r="F311" s="974"/>
      <c r="G311" s="1081" t="str">
        <f ca="1">G293</f>
        <v>M.Visser</v>
      </c>
      <c r="H311" s="975"/>
      <c r="I311" s="975">
        <v>2.5</v>
      </c>
      <c r="J311" s="975"/>
      <c r="K311" s="975">
        <v>0</v>
      </c>
      <c r="L311" s="976"/>
      <c r="M311" s="3" t="str">
        <f ca="1">IF(INPUT!D6&gt;0,"_TEXT","")</f>
        <v>_TEXT</v>
      </c>
      <c r="N311" s="4" t="str">
        <f ca="1">IF(INPUT!D6&gt;0,"_Justify","")</f>
        <v>_Justify</v>
      </c>
      <c r="O311" s="4" t="str">
        <f ca="1">IF(INPUT!D6&gt;0,"_BL","")</f>
        <v>_BL</v>
      </c>
      <c r="P311" s="4" t="str">
        <f t="array" aca="1" ref="P311" ca="1">IF(INPUT!D$6&gt;0,POINT(C311,D311+N308*F308),"")</f>
        <v>951,7.2</v>
      </c>
      <c r="Q311" s="15"/>
      <c r="R311" s="15"/>
      <c r="S311" s="4">
        <f ca="1">IF(INPUT!D$6&gt;0,I311,"")</f>
        <v>2.5</v>
      </c>
      <c r="T311" s="4">
        <f ca="1">IF(INPUT!D$6&gt;0,K311,"")</f>
        <v>0</v>
      </c>
      <c r="U311" s="939" t="str">
        <f ca="1">IF(INPUT!D$6&gt;0,G311,"")</f>
        <v>M.Visser</v>
      </c>
    </row>
    <row r="312" spans="1:21" s="979" customFormat="1" x14ac:dyDescent="0.2">
      <c r="A312" s="974">
        <v>77</v>
      </c>
      <c r="B312" s="974"/>
      <c r="C312" s="974">
        <f>A312+C278</f>
        <v>971</v>
      </c>
      <c r="D312" s="974">
        <v>2.2000000000000002</v>
      </c>
      <c r="E312" s="974"/>
      <c r="F312" s="974"/>
      <c r="G312" s="1082" t="str">
        <f ca="1">IF(INPUT!D$6&gt;0,HLOOKUP(Script!N308,INPUT!I5:L8,3,FALSE),"")</f>
        <v>Minder diep</v>
      </c>
      <c r="H312" s="975"/>
      <c r="I312" s="975">
        <v>2.5</v>
      </c>
      <c r="J312" s="975"/>
      <c r="K312" s="975">
        <v>0</v>
      </c>
      <c r="L312" s="976"/>
      <c r="M312" s="3" t="str">
        <f ca="1">IF(INPUT!D6&gt;0,"_TEXT","")</f>
        <v>_TEXT</v>
      </c>
      <c r="N312" s="4" t="str">
        <f ca="1">IF(INPUT!D6&gt;0,"_Justify","")</f>
        <v>_Justify</v>
      </c>
      <c r="O312" s="4" t="str">
        <f ca="1">IF(INPUT!D6&gt;0,"_BL","")</f>
        <v>_BL</v>
      </c>
      <c r="P312" s="4" t="str">
        <f t="array" aca="1" ref="P312" ca="1">IF(INPUT!D$6&gt;0,POINT(C312,D312+N308*F308),"")</f>
        <v>971,7.2</v>
      </c>
      <c r="Q312" s="15"/>
      <c r="R312" s="15"/>
      <c r="S312" s="4">
        <f ca="1">IF(INPUT!D$6&gt;0,I312,"")</f>
        <v>2.5</v>
      </c>
      <c r="T312" s="4">
        <f ca="1">IF(INPUT!D$6&gt;0,K312,"")</f>
        <v>0</v>
      </c>
      <c r="U312" s="939" t="str">
        <f ca="1">IF(INPUT!D$6&gt;0,G312,"")</f>
        <v>Minder diep</v>
      </c>
    </row>
    <row r="313" spans="1:21" s="979" customFormat="1" x14ac:dyDescent="0.2">
      <c r="A313" s="974"/>
      <c r="B313" s="974"/>
      <c r="C313" s="974"/>
      <c r="D313" s="974"/>
      <c r="E313" s="974"/>
      <c r="F313" s="974"/>
      <c r="G313" s="975"/>
      <c r="H313" s="975"/>
      <c r="I313" s="975"/>
      <c r="J313" s="975"/>
      <c r="K313" s="975"/>
      <c r="L313" s="976"/>
      <c r="M313" s="46" t="s">
        <v>503</v>
      </c>
      <c r="N313" s="47"/>
      <c r="O313" s="47"/>
      <c r="P313" s="47"/>
      <c r="Q313" s="153"/>
      <c r="R313" s="153"/>
      <c r="S313" s="47"/>
      <c r="T313" s="47"/>
      <c r="U313" s="48"/>
    </row>
    <row r="314" spans="1:21" s="979" customFormat="1" x14ac:dyDescent="0.2">
      <c r="A314" s="974"/>
      <c r="B314" s="974"/>
      <c r="C314" s="974"/>
      <c r="D314" s="974"/>
      <c r="E314" s="974"/>
      <c r="F314" s="974"/>
      <c r="G314" s="975"/>
      <c r="H314" s="975"/>
      <c r="I314" s="975"/>
      <c r="J314" s="975"/>
      <c r="K314" s="975"/>
      <c r="L314" s="976"/>
      <c r="M314" s="3" t="s">
        <v>603</v>
      </c>
      <c r="N314" s="4" t="s">
        <v>494</v>
      </c>
      <c r="O314" s="4" t="s">
        <v>665</v>
      </c>
      <c r="P314" s="4"/>
      <c r="Q314" s="4"/>
      <c r="R314" s="15"/>
      <c r="S314" s="15"/>
      <c r="T314" s="15"/>
      <c r="U314" s="4"/>
    </row>
    <row r="315" spans="1:21" s="979" customFormat="1" x14ac:dyDescent="0.2">
      <c r="A315" s="975"/>
      <c r="B315" s="975"/>
      <c r="C315" s="975"/>
      <c r="D315" s="975"/>
      <c r="E315" s="975"/>
      <c r="F315" s="975"/>
      <c r="G315" s="975"/>
      <c r="H315" s="975"/>
      <c r="I315" s="975"/>
      <c r="J315" s="975"/>
      <c r="K315" s="975"/>
      <c r="L315" s="975"/>
      <c r="M315" s="975"/>
      <c r="N315" s="975"/>
      <c r="O315" s="975"/>
      <c r="P315" s="975"/>
      <c r="Q315" s="975"/>
      <c r="R315" s="975"/>
      <c r="S315" s="975"/>
      <c r="T315" s="975"/>
      <c r="U315" s="975"/>
    </row>
    <row r="316" spans="1:21" s="979" customFormat="1" x14ac:dyDescent="0.2">
      <c r="A316" s="974"/>
      <c r="B316" s="974"/>
      <c r="C316" s="974"/>
      <c r="D316" s="974"/>
      <c r="E316" s="974"/>
      <c r="F316" s="974"/>
      <c r="G316" s="975"/>
      <c r="H316" s="975"/>
      <c r="I316" s="975"/>
      <c r="J316" s="975"/>
      <c r="K316" s="975"/>
      <c r="L316" s="976"/>
      <c r="M316" s="351" t="s">
        <v>581</v>
      </c>
      <c r="N316" s="352" t="s">
        <v>582</v>
      </c>
      <c r="O316" s="364" t="str">
        <f>O317</f>
        <v>1400,-800</v>
      </c>
      <c r="P316" s="360" t="str">
        <f>P317</f>
        <v>-2000,2000</v>
      </c>
      <c r="Q316" s="4"/>
      <c r="R316" s="4"/>
      <c r="S316" s="15"/>
      <c r="T316" s="15"/>
      <c r="U316" s="15"/>
    </row>
    <row r="317" spans="1:21" s="979" customFormat="1" x14ac:dyDescent="0.2">
      <c r="A317" s="974">
        <v>1400</v>
      </c>
      <c r="B317" s="974">
        <v>-800</v>
      </c>
      <c r="C317" s="974">
        <v>-2000</v>
      </c>
      <c r="D317" s="974">
        <v>2000</v>
      </c>
      <c r="E317" s="974"/>
      <c r="F317" s="974"/>
      <c r="G317" s="975"/>
      <c r="H317" s="975"/>
      <c r="I317" s="975"/>
      <c r="J317" s="975"/>
      <c r="K317" s="975"/>
      <c r="L317" s="976"/>
      <c r="M317" s="3" t="s">
        <v>607</v>
      </c>
      <c r="N317" s="4" t="s">
        <v>614</v>
      </c>
      <c r="O317" s="4" t="str">
        <f>POINT(A317,B317)</f>
        <v>1400,-800</v>
      </c>
      <c r="P317" s="4" t="str">
        <f>POINT(C317,D317)</f>
        <v>-2000,2000</v>
      </c>
      <c r="Q317" s="15" t="s">
        <v>495</v>
      </c>
      <c r="R317" s="4"/>
      <c r="S317" s="2"/>
      <c r="T317" s="2"/>
      <c r="U317" s="4"/>
    </row>
    <row r="318" spans="1:21" s="979" customFormat="1" x14ac:dyDescent="0.2">
      <c r="A318" s="974"/>
      <c r="B318" s="974"/>
      <c r="C318" s="974"/>
      <c r="D318" s="974"/>
      <c r="E318" s="974"/>
      <c r="F318" s="974"/>
      <c r="G318" s="975"/>
      <c r="H318" s="975"/>
      <c r="I318" s="975"/>
      <c r="J318" s="975"/>
      <c r="K318" s="975"/>
      <c r="L318" s="976"/>
      <c r="M318" s="3" t="s">
        <v>666</v>
      </c>
      <c r="N318" s="4" t="s">
        <v>667</v>
      </c>
      <c r="O318" s="4" t="s">
        <v>668</v>
      </c>
      <c r="P318" s="4" t="s">
        <v>619</v>
      </c>
      <c r="Q318" s="15"/>
      <c r="R318" s="352"/>
      <c r="S318" s="352"/>
      <c r="T318" s="352"/>
      <c r="U318" s="352"/>
    </row>
    <row r="319" spans="1:21" s="979" customFormat="1" ht="15.75" customHeight="1" x14ac:dyDescent="0.2">
      <c r="A319" s="975" t="s">
        <v>669</v>
      </c>
      <c r="B319" s="975" t="s">
        <v>670</v>
      </c>
      <c r="C319" s="974" t="s">
        <v>671</v>
      </c>
      <c r="D319" s="974" t="s">
        <v>672</v>
      </c>
      <c r="E319" s="974" t="s">
        <v>673</v>
      </c>
      <c r="F319" s="974" t="s">
        <v>674</v>
      </c>
      <c r="G319" s="975"/>
      <c r="H319" s="975"/>
      <c r="I319" s="975"/>
      <c r="J319" s="975"/>
      <c r="K319" s="975"/>
      <c r="L319" s="976"/>
      <c r="M319" s="351" t="s">
        <v>493</v>
      </c>
      <c r="N319" s="352" t="s">
        <v>494</v>
      </c>
      <c r="O319" s="352" t="s">
        <v>335</v>
      </c>
      <c r="P319" s="352" t="s">
        <v>495</v>
      </c>
      <c r="Q319" s="355"/>
      <c r="R319" s="355"/>
      <c r="S319" s="352"/>
      <c r="T319" s="355"/>
      <c r="U319" s="4"/>
    </row>
    <row r="320" spans="1:21" s="979" customFormat="1" x14ac:dyDescent="0.2">
      <c r="A320" s="974">
        <f>A51</f>
        <v>103894.51285311695</v>
      </c>
      <c r="B320" s="974">
        <f>B51</f>
        <v>486266.63797032344</v>
      </c>
      <c r="C320" s="974">
        <v>-13</v>
      </c>
      <c r="D320" s="974">
        <f>Ontwerp!AB287-11</f>
        <v>-19.49076521396637</v>
      </c>
      <c r="E320" s="974">
        <f>Ontwerp!I285+2</f>
        <v>228.72269087159117</v>
      </c>
      <c r="F320" s="974">
        <f>IF(Ontwerp!AB286&lt;0,2,Ontwerp!AB286+2)</f>
        <v>3.405720710754395</v>
      </c>
      <c r="G320" s="975"/>
      <c r="H320" s="975"/>
      <c r="I320" s="975"/>
      <c r="J320" s="975"/>
      <c r="K320" s="975"/>
      <c r="L320" s="976"/>
      <c r="M320" s="351" t="s">
        <v>581</v>
      </c>
      <c r="N320" s="352" t="s">
        <v>614</v>
      </c>
      <c r="O320" s="352" t="str">
        <f>POINT(A320+C320,B320+D320)</f>
        <v>103881.512853117,486247.147205109</v>
      </c>
      <c r="P320" s="352" t="str">
        <f>POINT(A320+E320,B320+F320)</f>
        <v>104123.235543989,486270.043691034</v>
      </c>
      <c r="Q320" s="352"/>
      <c r="R320" s="352"/>
      <c r="S320" s="352"/>
      <c r="T320" s="352"/>
      <c r="U320" s="352"/>
    </row>
    <row r="321" spans="1:21" s="979" customFormat="1" x14ac:dyDescent="0.2">
      <c r="A321" s="974"/>
      <c r="B321" s="974"/>
      <c r="C321" s="974"/>
      <c r="D321" s="974"/>
      <c r="E321" s="974"/>
      <c r="F321" s="974"/>
      <c r="G321" s="975"/>
      <c r="H321" s="975"/>
      <c r="I321" s="975"/>
      <c r="J321" s="975"/>
      <c r="K321" s="975"/>
      <c r="L321" s="976"/>
      <c r="M321" s="977"/>
      <c r="N321" s="975"/>
      <c r="O321" s="975"/>
      <c r="P321" s="975"/>
      <c r="Q321" s="975"/>
      <c r="R321" s="975"/>
      <c r="S321" s="975"/>
      <c r="T321" s="975"/>
      <c r="U321" s="975"/>
    </row>
    <row r="322" spans="1:21" s="979" customFormat="1" x14ac:dyDescent="0.2">
      <c r="A322" s="974"/>
      <c r="B322" s="974"/>
      <c r="C322" s="974"/>
      <c r="D322" s="974"/>
      <c r="E322" s="974"/>
      <c r="F322" s="974"/>
      <c r="G322" s="975"/>
      <c r="H322" s="975"/>
      <c r="I322" s="975"/>
      <c r="J322" s="975"/>
      <c r="K322" s="975"/>
      <c r="L322" s="976"/>
      <c r="M322" s="3" t="s">
        <v>675</v>
      </c>
      <c r="N322" s="4" t="s">
        <v>676</v>
      </c>
      <c r="O322" s="4" t="str">
        <f>INPUT!D15</f>
        <v>A2Z4</v>
      </c>
      <c r="P322" s="4" t="str">
        <f>"Setup"&amp;INPUT!D15</f>
        <v>SetupA2Z4</v>
      </c>
      <c r="Q322" s="4" t="s">
        <v>495</v>
      </c>
      <c r="R322" s="15" t="s">
        <v>677</v>
      </c>
      <c r="S322" s="15"/>
      <c r="T322" s="15" t="s">
        <v>495</v>
      </c>
      <c r="U322" s="15" t="s">
        <v>495</v>
      </c>
    </row>
    <row r="323" spans="1:21" s="979" customFormat="1" x14ac:dyDescent="0.2">
      <c r="A323" s="974"/>
      <c r="B323" s="974"/>
      <c r="C323" s="974"/>
      <c r="D323" s="974"/>
      <c r="E323" s="974"/>
      <c r="F323" s="974"/>
      <c r="G323" s="975"/>
      <c r="H323" s="975"/>
      <c r="I323" s="975"/>
      <c r="J323" s="975"/>
      <c r="K323" s="975"/>
      <c r="L323" s="976"/>
      <c r="M323" s="4" t="s">
        <v>678</v>
      </c>
      <c r="N323" s="4"/>
      <c r="O323" s="4"/>
      <c r="P323" s="4"/>
      <c r="Q323" s="4"/>
      <c r="R323" s="4"/>
      <c r="S323" s="4"/>
      <c r="T323" s="4"/>
      <c r="U323" s="4"/>
    </row>
    <row r="324" spans="1:21" s="979" customFormat="1" x14ac:dyDescent="0.2">
      <c r="A324" s="974"/>
      <c r="B324" s="974"/>
      <c r="C324" s="974"/>
      <c r="D324" s="974"/>
      <c r="E324" s="974"/>
      <c r="F324" s="974"/>
      <c r="G324" s="975"/>
      <c r="H324" s="975"/>
      <c r="I324" s="975"/>
      <c r="J324" s="975"/>
      <c r="K324" s="975"/>
      <c r="L324" s="976"/>
      <c r="M324" s="3" t="s">
        <v>603</v>
      </c>
      <c r="N324" s="4" t="s">
        <v>494</v>
      </c>
      <c r="O324" s="4" t="s">
        <v>665</v>
      </c>
      <c r="P324" s="4"/>
      <c r="Q324" s="352"/>
      <c r="R324" s="352"/>
      <c r="S324" s="352"/>
      <c r="T324" s="352"/>
      <c r="U324" s="352"/>
    </row>
    <row r="325" spans="1:21" s="979" customFormat="1" x14ac:dyDescent="0.2">
      <c r="A325" s="974">
        <f>A47</f>
        <v>104007.87419855274</v>
      </c>
      <c r="B325" s="974">
        <f>B47</f>
        <v>489266.63797032344</v>
      </c>
      <c r="C325" s="974"/>
      <c r="D325" s="974"/>
      <c r="E325" s="974"/>
      <c r="F325" s="974"/>
      <c r="G325" s="975"/>
      <c r="H325" s="975"/>
      <c r="I325" s="975"/>
      <c r="J325" s="975"/>
      <c r="K325" s="975"/>
      <c r="L325" s="976"/>
      <c r="M325" s="3" t="s">
        <v>581</v>
      </c>
      <c r="N325" s="4" t="s">
        <v>626</v>
      </c>
      <c r="O325" s="4" t="str">
        <f>POINT(ROUND(A325+C325,2),B325)</f>
        <v>104007.87,489266.637970323</v>
      </c>
      <c r="P325" s="4">
        <v>100</v>
      </c>
      <c r="Q325" s="352"/>
      <c r="R325" s="352"/>
      <c r="S325" s="352"/>
      <c r="T325" s="352"/>
      <c r="U325" s="352"/>
    </row>
    <row r="326" spans="1:21" s="531" customFormat="1" x14ac:dyDescent="0.2">
      <c r="A326" s="11"/>
      <c r="B326" s="11"/>
      <c r="C326" s="11"/>
      <c r="D326" s="11"/>
      <c r="E326" s="11"/>
      <c r="F326" s="11"/>
      <c r="G326" s="10"/>
      <c r="H326" s="10"/>
      <c r="I326" s="10"/>
      <c r="J326" s="10"/>
      <c r="K326" s="10"/>
      <c r="L326" s="12"/>
      <c r="M326" s="530" t="s">
        <v>679</v>
      </c>
      <c r="N326" s="528"/>
      <c r="O326" s="528"/>
      <c r="P326" s="528"/>
      <c r="Q326" s="528"/>
      <c r="R326" s="528"/>
      <c r="S326" s="528"/>
      <c r="T326" s="528"/>
      <c r="U326" s="528"/>
    </row>
  </sheetData>
  <mergeCells count="2">
    <mergeCell ref="G309:H309"/>
    <mergeCell ref="E301:F304"/>
  </mergeCells>
  <conditionalFormatting sqref="L1 L131:L140 L232:L249 L254:L256 L327:L1048576">
    <cfRule type="cellIs" dxfId="146" priority="27" stopIfTrue="1" operator="equal">
      <formula>FALSE</formula>
    </cfRule>
  </conditionalFormatting>
  <conditionalFormatting sqref="L231">
    <cfRule type="cellIs" dxfId="145" priority="4" stopIfTrue="1" operator="equal">
      <formula>FALSE</formula>
    </cfRule>
  </conditionalFormatting>
  <conditionalFormatting sqref="L3:L4 L11:L16 L25:L31 L33:L57 L63:L89 L112:L122 L124:L129 L154:L188 L190:L212 L217:L221 L223:L230 L259:L262 L268:L272 L276:L277 L279:L305 L313:L314 L318:L326 L307:L308">
    <cfRule type="cellIs" dxfId="144" priority="25" stopIfTrue="1" operator="equal">
      <formula>FALSE</formula>
    </cfRule>
  </conditionalFormatting>
  <conditionalFormatting sqref="L112:L122">
    <cfRule type="cellIs" dxfId="143" priority="24" stopIfTrue="1" operator="equal">
      <formula>FALSE</formula>
    </cfRule>
  </conditionalFormatting>
  <conditionalFormatting sqref="L135:L138">
    <cfRule type="cellIs" dxfId="142" priority="23" stopIfTrue="1" operator="equal">
      <formula>FALSE</formula>
    </cfRule>
  </conditionalFormatting>
  <conditionalFormatting sqref="L257:L258 L266:L267 L273:L276">
    <cfRule type="cellIs" dxfId="141" priority="22" stopIfTrue="1" operator="equal">
      <formula>FALSE</formula>
    </cfRule>
  </conditionalFormatting>
  <conditionalFormatting sqref="L213">
    <cfRule type="cellIs" dxfId="140" priority="21" stopIfTrue="1" operator="equal">
      <formula>FALSE</formula>
    </cfRule>
  </conditionalFormatting>
  <conditionalFormatting sqref="L214:L216">
    <cfRule type="cellIs" dxfId="139" priority="20" stopIfTrue="1" operator="equal">
      <formula>FALSE</formula>
    </cfRule>
  </conditionalFormatting>
  <conditionalFormatting sqref="L263:L264">
    <cfRule type="cellIs" dxfId="138" priority="19" stopIfTrue="1" operator="equal">
      <formula>FALSE</formula>
    </cfRule>
  </conditionalFormatting>
  <conditionalFormatting sqref="L58:L61">
    <cfRule type="cellIs" dxfId="137" priority="18" stopIfTrue="1" operator="equal">
      <formula>FALSE</formula>
    </cfRule>
  </conditionalFormatting>
  <conditionalFormatting sqref="L62">
    <cfRule type="cellIs" dxfId="136" priority="17" stopIfTrue="1" operator="equal">
      <formula>FALSE</formula>
    </cfRule>
  </conditionalFormatting>
  <conditionalFormatting sqref="L222">
    <cfRule type="cellIs" dxfId="135" priority="16" stopIfTrue="1" operator="equal">
      <formula>FALSE</formula>
    </cfRule>
  </conditionalFormatting>
  <conditionalFormatting sqref="L309:L312">
    <cfRule type="cellIs" dxfId="134" priority="15" stopIfTrue="1" operator="equal">
      <formula>FALSE</formula>
    </cfRule>
  </conditionalFormatting>
  <conditionalFormatting sqref="L17:L19">
    <cfRule type="cellIs" dxfId="133" priority="14" stopIfTrue="1" operator="equal">
      <formula>FALSE</formula>
    </cfRule>
  </conditionalFormatting>
  <conditionalFormatting sqref="L32">
    <cfRule type="cellIs" dxfId="132" priority="13" stopIfTrue="1" operator="equal">
      <formula>FALSE</formula>
    </cfRule>
  </conditionalFormatting>
  <conditionalFormatting sqref="L317">
    <cfRule type="cellIs" dxfId="131" priority="12" stopIfTrue="1" operator="equal">
      <formula>FALSE</formula>
    </cfRule>
  </conditionalFormatting>
  <conditionalFormatting sqref="L316">
    <cfRule type="cellIs" dxfId="130" priority="11" stopIfTrue="1" operator="equal">
      <formula>FALSE</formula>
    </cfRule>
  </conditionalFormatting>
  <conditionalFormatting sqref="L265">
    <cfRule type="cellIs" dxfId="129" priority="9" stopIfTrue="1" operator="equal">
      <formula>FALSE</formula>
    </cfRule>
  </conditionalFormatting>
  <conditionalFormatting sqref="L255">
    <cfRule type="cellIs" dxfId="128" priority="8" stopIfTrue="1" operator="equal">
      <formula>FALSE</formula>
    </cfRule>
  </conditionalFormatting>
  <conditionalFormatting sqref="L141:L143 L153">
    <cfRule type="cellIs" dxfId="127" priority="7" stopIfTrue="1" operator="equal">
      <formula>FALSE</formula>
    </cfRule>
  </conditionalFormatting>
  <conditionalFormatting sqref="L144:L152">
    <cfRule type="cellIs" dxfId="126" priority="6" stopIfTrue="1" operator="equal">
      <formula>FALSE</formula>
    </cfRule>
  </conditionalFormatting>
  <conditionalFormatting sqref="L189">
    <cfRule type="cellIs" dxfId="125" priority="5" stopIfTrue="1" operator="equal">
      <formula>FALSE</formula>
    </cfRule>
  </conditionalFormatting>
  <conditionalFormatting sqref="L2">
    <cfRule type="cellIs" dxfId="124" priority="3" stopIfTrue="1" operator="equal">
      <formula>FALSE</formula>
    </cfRule>
  </conditionalFormatting>
  <conditionalFormatting sqref="L5:L10">
    <cfRule type="cellIs" dxfId="123" priority="2" stopIfTrue="1" operator="equal">
      <formula>FALSE</formula>
    </cfRule>
  </conditionalFormatting>
  <conditionalFormatting sqref="L306">
    <cfRule type="cellIs" dxfId="122" priority="1" stopIfTrue="1" operator="equal">
      <formula>FALSE</formula>
    </cfRule>
  </conditionalFormatting>
  <hyperlinks>
    <hyperlink ref="A8" r:id="rId1" xr:uid="{CDD1E0BF-AB57-47E3-A4DF-7B966C9B1748}"/>
  </hyperlinks>
  <pageMargins left="0.75" right="0.75" top="1" bottom="1" header="0.5" footer="0.5"/>
  <pageSetup paperSize="9"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/>
  <dimension ref="A1:BD60"/>
  <sheetViews>
    <sheetView zoomScale="70" zoomScaleNormal="70" workbookViewId="0">
      <selection activeCell="T2" sqref="T2:U12"/>
    </sheetView>
  </sheetViews>
  <sheetFormatPr defaultColWidth="9.140625" defaultRowHeight="15" x14ac:dyDescent="0.25"/>
  <cols>
    <col min="1" max="2" width="9.140625" style="394" customWidth="1"/>
    <col min="3" max="3" width="13.28515625" style="394" customWidth="1"/>
    <col min="4" max="16" width="9.140625" style="394" customWidth="1"/>
    <col min="17" max="17" width="13.140625" style="394" bestFit="1" customWidth="1"/>
    <col min="18" max="24" width="9.140625" style="394" customWidth="1"/>
    <col min="25" max="16384" width="9.140625" style="394"/>
  </cols>
  <sheetData>
    <row r="1" spans="1:56" s="393" customFormat="1" ht="74.25" customHeight="1" x14ac:dyDescent="0.25">
      <c r="A1" s="393" t="s">
        <v>1039</v>
      </c>
      <c r="B1" s="393" t="s">
        <v>1019</v>
      </c>
      <c r="C1" s="393" t="s">
        <v>1035</v>
      </c>
      <c r="M1" s="748">
        <f>E1</f>
        <v>0</v>
      </c>
      <c r="N1" s="748">
        <f>F1</f>
        <v>0</v>
      </c>
      <c r="O1" s="748">
        <f>IF(AND(H1="Z",H2&lt;&gt;"Z"),C2,I1)</f>
        <v>0</v>
      </c>
      <c r="Y1" s="393" t="s">
        <v>680</v>
      </c>
    </row>
    <row r="2" spans="1:56" x14ac:dyDescent="0.25">
      <c r="A2" s="766"/>
      <c r="B2" s="395" t="s">
        <v>681</v>
      </c>
      <c r="C2" s="395" t="s">
        <v>682</v>
      </c>
      <c r="D2" s="395" t="s">
        <v>393</v>
      </c>
      <c r="E2" s="395">
        <v>162157.5968</v>
      </c>
      <c r="F2" s="394">
        <v>384674.05949999997</v>
      </c>
      <c r="H2" s="395" t="s">
        <v>397</v>
      </c>
      <c r="I2" s="395">
        <v>0</v>
      </c>
      <c r="J2" s="395"/>
      <c r="M2" s="395">
        <f t="shared" ref="M2:M19" si="0">E2</f>
        <v>162157.5968</v>
      </c>
      <c r="N2" s="748">
        <f t="shared" ref="N2:N60" si="1">F2</f>
        <v>384674.05949999997</v>
      </c>
      <c r="O2" s="395">
        <f t="shared" ref="O2:O32" si="2">IF(AND(H2="Z",H3&lt;&gt;"Z"),C3,I2)</f>
        <v>0</v>
      </c>
      <c r="Q2" s="395" cm="1">
        <f t="array" ref="Q2:Q42">_xlfn._xlws.FILTER(M2:M60,ISNUMBER(M2:M60))</f>
        <v>162157.5968</v>
      </c>
      <c r="R2" s="395" cm="1">
        <f t="array" ref="R2:R60">_xlfn._xlws.FILTER(N2:N60,ISNUMBER(N2:N60))</f>
        <v>384674.05949999997</v>
      </c>
      <c r="T2" s="493" cm="1">
        <f t="array" ref="T2:T3">_xlfn._xlws.FILTER(Q2:Q60,Q2:Q60&gt;1000)</f>
        <v>162157.5968</v>
      </c>
      <c r="U2" s="493" cm="1">
        <f t="array" ref="U2:U3">_xlfn._xlws.FILTER(R2:R60,R2:R60&gt;1000)</f>
        <v>384674.05949999997</v>
      </c>
      <c r="Y2" s="395" t="str">
        <f t="shared" ref="Y2:Y33" si="3">IF(B2="Radius",C2,"")</f>
        <v/>
      </c>
      <c r="AE2" s="493">
        <v>111968.7585</v>
      </c>
      <c r="AF2" s="493">
        <v>471198.1974</v>
      </c>
      <c r="AM2" s="394" t="s">
        <v>681</v>
      </c>
      <c r="AN2" s="394" t="s">
        <v>682</v>
      </c>
      <c r="AO2" s="394" t="s">
        <v>393</v>
      </c>
      <c r="AP2" s="394">
        <v>104471.53449999999</v>
      </c>
      <c r="AQ2" s="394" t="s">
        <v>394</v>
      </c>
      <c r="AR2" s="394">
        <v>491970.87119999999</v>
      </c>
      <c r="AS2" s="394" t="s">
        <v>397</v>
      </c>
      <c r="AT2" s="394">
        <v>0</v>
      </c>
      <c r="AZ2" s="394" t="s">
        <v>1036</v>
      </c>
      <c r="BD2" s="394" t="s">
        <v>1037</v>
      </c>
    </row>
    <row r="3" spans="1:56" x14ac:dyDescent="0.25">
      <c r="A3" s="542"/>
      <c r="B3" s="395" t="s">
        <v>683</v>
      </c>
      <c r="C3" s="395" t="s">
        <v>682</v>
      </c>
      <c r="D3" s="395" t="s">
        <v>393</v>
      </c>
      <c r="E3" s="395">
        <v>162132.20600000001</v>
      </c>
      <c r="F3" s="394">
        <v>384720.25429999997</v>
      </c>
      <c r="H3" s="395" t="s">
        <v>397</v>
      </c>
      <c r="I3" s="395">
        <v>0</v>
      </c>
      <c r="J3" s="395"/>
      <c r="M3" s="395">
        <f t="shared" si="0"/>
        <v>162132.20600000001</v>
      </c>
      <c r="N3" s="748">
        <f t="shared" si="1"/>
        <v>384720.25429999997</v>
      </c>
      <c r="O3" s="395">
        <f t="shared" si="2"/>
        <v>0</v>
      </c>
      <c r="Q3" s="395">
        <v>162132.20600000001</v>
      </c>
      <c r="R3" s="395">
        <v>384720.25429999997</v>
      </c>
      <c r="T3" s="493">
        <v>162132.20600000001</v>
      </c>
      <c r="U3" s="493">
        <v>384720.25429999997</v>
      </c>
      <c r="Y3" s="395" t="str">
        <f t="shared" si="3"/>
        <v/>
      </c>
      <c r="AE3" s="493">
        <v>111963.7355</v>
      </c>
      <c r="AF3" s="493">
        <v>471204.35519999999</v>
      </c>
      <c r="AN3" s="394" t="s">
        <v>683</v>
      </c>
      <c r="AO3" s="394" t="s">
        <v>682</v>
      </c>
      <c r="AP3" s="394" t="s">
        <v>393</v>
      </c>
      <c r="AQ3" s="394">
        <v>104505.1234</v>
      </c>
      <c r="AR3" s="394" t="s">
        <v>394</v>
      </c>
      <c r="AS3" s="394">
        <v>491962.54729999998</v>
      </c>
      <c r="AT3" s="394" t="s">
        <v>397</v>
      </c>
      <c r="AU3" s="394">
        <v>0</v>
      </c>
    </row>
    <row r="4" spans="1:56" x14ac:dyDescent="0.25">
      <c r="A4" s="395"/>
      <c r="B4" s="395"/>
      <c r="C4" s="395"/>
      <c r="D4" s="395"/>
      <c r="E4" s="395"/>
      <c r="H4" s="395"/>
      <c r="I4" s="395"/>
      <c r="J4" s="395"/>
      <c r="M4" s="395">
        <f t="shared" si="0"/>
        <v>0</v>
      </c>
      <c r="N4" s="748">
        <f t="shared" si="1"/>
        <v>0</v>
      </c>
      <c r="O4" s="395">
        <f t="shared" si="2"/>
        <v>0</v>
      </c>
      <c r="Q4" s="395">
        <v>0</v>
      </c>
      <c r="R4" s="395">
        <v>0</v>
      </c>
      <c r="T4" s="512"/>
      <c r="U4" s="512"/>
      <c r="Y4" s="395" t="str">
        <f t="shared" si="3"/>
        <v/>
      </c>
      <c r="AE4" s="512">
        <v>111924.9911</v>
      </c>
      <c r="AF4" s="512">
        <v>471172.7501</v>
      </c>
      <c r="AN4" s="394" t="s">
        <v>684</v>
      </c>
      <c r="AO4" s="394" t="s">
        <v>1008</v>
      </c>
      <c r="AP4" s="394" t="s">
        <v>479</v>
      </c>
      <c r="AQ4" s="394" t="s">
        <v>1009</v>
      </c>
      <c r="AR4" s="394" t="s">
        <v>1010</v>
      </c>
      <c r="AS4" s="394" t="s">
        <v>1011</v>
      </c>
      <c r="AT4" s="394">
        <v>346.08</v>
      </c>
    </row>
    <row r="5" spans="1:56" x14ac:dyDescent="0.25">
      <c r="A5" s="395"/>
      <c r="B5" s="395"/>
      <c r="C5" s="395"/>
      <c r="D5" s="395"/>
      <c r="E5" s="395"/>
      <c r="H5" s="395"/>
      <c r="I5" s="395"/>
      <c r="J5" s="395"/>
      <c r="M5" s="395">
        <f t="shared" si="0"/>
        <v>0</v>
      </c>
      <c r="N5" s="748">
        <f t="shared" si="1"/>
        <v>0</v>
      </c>
      <c r="O5" s="395">
        <f t="shared" si="2"/>
        <v>0</v>
      </c>
      <c r="Q5" s="395">
        <v>0</v>
      </c>
      <c r="R5" s="395">
        <v>0</v>
      </c>
      <c r="T5" s="493"/>
      <c r="U5" s="493"/>
      <c r="Y5" s="395" t="str">
        <f t="shared" si="3"/>
        <v/>
      </c>
      <c r="AE5" s="493">
        <v>111945.20849999999</v>
      </c>
      <c r="AF5" s="493">
        <v>471218.4804</v>
      </c>
      <c r="AN5" s="394" t="s">
        <v>1012</v>
      </c>
      <c r="AO5" s="394" t="s">
        <v>393</v>
      </c>
      <c r="AP5" s="394" t="s">
        <v>1013</v>
      </c>
      <c r="AQ5" s="394" t="s">
        <v>1012</v>
      </c>
      <c r="AR5" s="394" t="s">
        <v>394</v>
      </c>
      <c r="AS5" s="394" t="s">
        <v>1014</v>
      </c>
      <c r="AT5" s="394" t="s">
        <v>1012</v>
      </c>
      <c r="AU5" s="394" t="s">
        <v>397</v>
      </c>
      <c r="AV5" s="394">
        <v>0</v>
      </c>
    </row>
    <row r="6" spans="1:56" x14ac:dyDescent="0.25">
      <c r="A6" s="395"/>
      <c r="B6" s="395"/>
      <c r="C6" s="395"/>
      <c r="D6" s="395"/>
      <c r="E6" s="395"/>
      <c r="H6" s="395"/>
      <c r="I6" s="395"/>
      <c r="J6" s="395"/>
      <c r="M6" s="395">
        <f t="shared" si="0"/>
        <v>0</v>
      </c>
      <c r="N6" s="748">
        <f t="shared" si="1"/>
        <v>0</v>
      </c>
      <c r="O6" s="395">
        <f t="shared" si="2"/>
        <v>0</v>
      </c>
      <c r="Q6" s="395">
        <v>0</v>
      </c>
      <c r="R6" s="395">
        <v>0</v>
      </c>
      <c r="T6" s="493"/>
      <c r="U6" s="493"/>
      <c r="Y6" s="395" t="str">
        <f t="shared" si="3"/>
        <v/>
      </c>
      <c r="AE6" s="493">
        <v>111945.0741</v>
      </c>
      <c r="AF6" s="493">
        <v>471218.53980000003</v>
      </c>
      <c r="AN6" s="394" t="s">
        <v>1015</v>
      </c>
      <c r="AO6" s="394" t="s">
        <v>1016</v>
      </c>
      <c r="AP6" s="394">
        <v>0</v>
      </c>
    </row>
    <row r="7" spans="1:56" x14ac:dyDescent="0.25">
      <c r="A7" s="395"/>
      <c r="B7" s="395"/>
      <c r="C7" s="455"/>
      <c r="D7" s="395"/>
      <c r="E7" s="395"/>
      <c r="H7" s="395"/>
      <c r="I7" s="395"/>
      <c r="J7" s="395"/>
      <c r="M7" s="395">
        <f t="shared" si="0"/>
        <v>0</v>
      </c>
      <c r="N7" s="748">
        <f t="shared" si="1"/>
        <v>0</v>
      </c>
      <c r="O7" s="395">
        <f t="shared" si="2"/>
        <v>0</v>
      </c>
      <c r="Q7" s="395">
        <v>0</v>
      </c>
      <c r="R7" s="395">
        <v>0</v>
      </c>
      <c r="T7" s="512"/>
      <c r="U7" s="512"/>
      <c r="Y7" s="395" t="str">
        <f t="shared" si="3"/>
        <v/>
      </c>
      <c r="AE7" s="512">
        <v>111965.29150000001</v>
      </c>
      <c r="AF7" s="512">
        <v>471264.27010000002</v>
      </c>
      <c r="AN7" s="394" t="s">
        <v>1017</v>
      </c>
      <c r="AO7" s="394" t="s">
        <v>665</v>
      </c>
      <c r="AP7" s="394" t="s">
        <v>1018</v>
      </c>
    </row>
    <row r="8" spans="1:56" x14ac:dyDescent="0.25">
      <c r="A8" s="395"/>
      <c r="B8" s="395"/>
      <c r="C8" s="395"/>
      <c r="D8" s="395"/>
      <c r="E8" s="395"/>
      <c r="H8" s="395"/>
      <c r="I8" s="395"/>
      <c r="J8" s="395"/>
      <c r="M8" s="395">
        <f t="shared" si="0"/>
        <v>0</v>
      </c>
      <c r="N8" s="748">
        <f t="shared" si="1"/>
        <v>0</v>
      </c>
      <c r="O8" s="395">
        <f t="shared" si="2"/>
        <v>0</v>
      </c>
      <c r="Q8" s="395">
        <v>0</v>
      </c>
      <c r="R8" s="395">
        <v>0</v>
      </c>
      <c r="T8" s="493"/>
      <c r="U8" s="493"/>
      <c r="Y8" s="395" t="str">
        <f t="shared" si="3"/>
        <v/>
      </c>
      <c r="AE8" s="493">
        <v>111925.8939</v>
      </c>
      <c r="AF8" s="493">
        <v>471233.48330000002</v>
      </c>
      <c r="AN8" s="394" t="s">
        <v>1019</v>
      </c>
      <c r="AO8" s="394" t="s">
        <v>1020</v>
      </c>
    </row>
    <row r="9" spans="1:56" x14ac:dyDescent="0.25">
      <c r="A9" s="395"/>
      <c r="B9" s="395"/>
      <c r="C9" s="395"/>
      <c r="D9" s="395"/>
      <c r="E9" s="395"/>
      <c r="H9" s="395"/>
      <c r="I9" s="395"/>
      <c r="J9" s="395"/>
      <c r="M9" s="395">
        <f t="shared" si="0"/>
        <v>0</v>
      </c>
      <c r="N9" s="748">
        <f t="shared" si="1"/>
        <v>0</v>
      </c>
      <c r="O9" s="395">
        <f t="shared" si="2"/>
        <v>0</v>
      </c>
      <c r="Q9" s="395">
        <v>0</v>
      </c>
      <c r="R9" s="395">
        <v>0</v>
      </c>
      <c r="T9" s="493"/>
      <c r="U9" s="493"/>
      <c r="Y9" s="395" t="str">
        <f t="shared" si="3"/>
        <v/>
      </c>
      <c r="AE9" s="493">
        <v>111924.9703</v>
      </c>
      <c r="AF9" s="493">
        <v>471234.66529999999</v>
      </c>
      <c r="AN9" s="394" t="s">
        <v>1021</v>
      </c>
      <c r="AO9" s="394" t="s">
        <v>682</v>
      </c>
      <c r="AP9" s="394" t="s">
        <v>393</v>
      </c>
      <c r="AQ9" s="394">
        <v>104490.6909</v>
      </c>
      <c r="AR9" s="394" t="s">
        <v>394</v>
      </c>
      <c r="AS9" s="394">
        <v>491904.3089</v>
      </c>
      <c r="AT9" s="394" t="s">
        <v>397</v>
      </c>
      <c r="AU9" s="394">
        <v>0</v>
      </c>
    </row>
    <row r="10" spans="1:56" x14ac:dyDescent="0.25">
      <c r="A10" s="395"/>
      <c r="B10" s="395"/>
      <c r="C10" s="395"/>
      <c r="D10" s="395"/>
      <c r="E10" s="395"/>
      <c r="H10" s="395"/>
      <c r="I10" s="395"/>
      <c r="J10" s="395"/>
      <c r="M10" s="395">
        <f t="shared" si="0"/>
        <v>0</v>
      </c>
      <c r="N10" s="748">
        <f t="shared" si="1"/>
        <v>0</v>
      </c>
      <c r="O10" s="395">
        <f t="shared" si="2"/>
        <v>0</v>
      </c>
      <c r="Q10" s="395">
        <v>0</v>
      </c>
      <c r="R10" s="395">
        <v>0</v>
      </c>
      <c r="T10" s="512"/>
      <c r="U10" s="512"/>
      <c r="X10" s="612">
        <f>C10</f>
        <v>0</v>
      </c>
      <c r="Y10" s="395" t="str">
        <f t="shared" si="3"/>
        <v/>
      </c>
      <c r="AE10" s="512"/>
      <c r="AF10" s="512"/>
      <c r="AN10" s="394" t="s">
        <v>1022</v>
      </c>
      <c r="AO10" s="394">
        <v>60</v>
      </c>
    </row>
    <row r="11" spans="1:56" x14ac:dyDescent="0.25">
      <c r="A11" s="395"/>
      <c r="B11" s="395"/>
      <c r="C11" s="395"/>
      <c r="D11" s="395"/>
      <c r="E11" s="395"/>
      <c r="H11" s="395"/>
      <c r="I11" s="395"/>
      <c r="J11" s="395"/>
      <c r="M11" s="395">
        <f t="shared" si="0"/>
        <v>0</v>
      </c>
      <c r="N11" s="748">
        <f t="shared" si="1"/>
        <v>0</v>
      </c>
      <c r="O11" s="395">
        <f t="shared" si="2"/>
        <v>0</v>
      </c>
      <c r="Q11" s="395">
        <v>0</v>
      </c>
      <c r="R11" s="395">
        <v>0</v>
      </c>
      <c r="T11" s="493"/>
      <c r="U11" s="493"/>
      <c r="X11" s="395"/>
      <c r="Y11" s="395" t="str">
        <f t="shared" si="3"/>
        <v/>
      </c>
      <c r="AE11" s="493"/>
      <c r="AF11" s="493"/>
      <c r="AN11" s="394" t="s">
        <v>1023</v>
      </c>
      <c r="AO11" s="394" t="s">
        <v>1024</v>
      </c>
      <c r="AP11" s="394">
        <v>40.9</v>
      </c>
    </row>
    <row r="12" spans="1:56" x14ac:dyDescent="0.25">
      <c r="A12" s="395"/>
      <c r="B12" s="395"/>
      <c r="C12" s="395"/>
      <c r="D12" s="395"/>
      <c r="E12" s="395"/>
      <c r="H12" s="395"/>
      <c r="I12" s="395"/>
      <c r="J12" s="395"/>
      <c r="M12" s="395">
        <f t="shared" si="0"/>
        <v>0</v>
      </c>
      <c r="N12" s="748">
        <f t="shared" si="1"/>
        <v>0</v>
      </c>
      <c r="O12" s="395">
        <f t="shared" si="2"/>
        <v>0</v>
      </c>
      <c r="Q12" s="395">
        <v>0</v>
      </c>
      <c r="R12" s="395">
        <v>0</v>
      </c>
      <c r="T12" s="493"/>
      <c r="U12" s="493"/>
      <c r="X12" s="395"/>
      <c r="Y12" s="395" t="str">
        <f t="shared" si="3"/>
        <v/>
      </c>
      <c r="AE12" s="493"/>
      <c r="AF12" s="493"/>
      <c r="AN12" s="394" t="s">
        <v>1025</v>
      </c>
      <c r="AO12" s="394" t="s">
        <v>1024</v>
      </c>
      <c r="AP12" s="394">
        <v>76.08</v>
      </c>
    </row>
    <row r="13" spans="1:56" x14ac:dyDescent="0.25">
      <c r="A13" s="395"/>
      <c r="B13" s="395"/>
      <c r="C13" s="395"/>
      <c r="D13" s="395"/>
      <c r="E13" s="395"/>
      <c r="H13" s="395"/>
      <c r="I13" s="395"/>
      <c r="J13" s="395"/>
      <c r="M13" s="395">
        <f t="shared" si="0"/>
        <v>0</v>
      </c>
      <c r="N13" s="748">
        <f t="shared" si="1"/>
        <v>0</v>
      </c>
      <c r="O13" s="395">
        <f t="shared" si="2"/>
        <v>0</v>
      </c>
      <c r="Q13" s="395">
        <v>0</v>
      </c>
      <c r="R13" s="395">
        <v>0</v>
      </c>
      <c r="X13" s="395"/>
      <c r="Y13" s="395" t="str">
        <f t="shared" si="3"/>
        <v/>
      </c>
      <c r="AN13" s="394" t="s">
        <v>1026</v>
      </c>
      <c r="AO13" s="394">
        <v>36.842799999999997</v>
      </c>
    </row>
    <row r="14" spans="1:56" x14ac:dyDescent="0.25">
      <c r="A14" s="395"/>
      <c r="B14" s="395"/>
      <c r="C14" s="395"/>
      <c r="D14" s="395"/>
      <c r="E14" s="395"/>
      <c r="H14" s="395"/>
      <c r="I14" s="395"/>
      <c r="J14" s="395"/>
      <c r="M14" s="395">
        <f t="shared" si="0"/>
        <v>0</v>
      </c>
      <c r="N14" s="748">
        <f t="shared" si="1"/>
        <v>0</v>
      </c>
      <c r="O14" s="395">
        <f t="shared" si="2"/>
        <v>0</v>
      </c>
      <c r="Q14" s="395">
        <v>0</v>
      </c>
      <c r="R14" s="395">
        <v>0</v>
      </c>
      <c r="X14" s="395"/>
      <c r="Y14" s="395" t="str">
        <f t="shared" si="3"/>
        <v/>
      </c>
      <c r="AN14" s="394" t="s">
        <v>457</v>
      </c>
      <c r="AO14" s="394" t="s">
        <v>1016</v>
      </c>
      <c r="AP14" s="394">
        <v>0</v>
      </c>
    </row>
    <row r="15" spans="1:56" x14ac:dyDescent="0.25">
      <c r="A15" s="395"/>
      <c r="B15" s="395"/>
      <c r="C15" s="395"/>
      <c r="D15" s="395"/>
      <c r="E15" s="395"/>
      <c r="H15" s="395"/>
      <c r="I15" s="395"/>
      <c r="J15" s="395"/>
      <c r="M15" s="395">
        <f t="shared" si="0"/>
        <v>0</v>
      </c>
      <c r="N15" s="748">
        <f t="shared" si="1"/>
        <v>0</v>
      </c>
      <c r="O15" s="395">
        <f t="shared" si="2"/>
        <v>0</v>
      </c>
      <c r="Q15" s="395">
        <v>0</v>
      </c>
      <c r="R15" s="395">
        <v>0</v>
      </c>
      <c r="X15" s="395"/>
      <c r="Y15" s="395" t="str">
        <f t="shared" si="3"/>
        <v/>
      </c>
      <c r="AN15" s="394" t="s">
        <v>1017</v>
      </c>
      <c r="AO15" s="394" t="s">
        <v>665</v>
      </c>
      <c r="AP15" s="394" t="s">
        <v>1018</v>
      </c>
    </row>
    <row r="16" spans="1:56" x14ac:dyDescent="0.25">
      <c r="A16" s="395"/>
      <c r="B16" s="395"/>
      <c r="C16" s="455"/>
      <c r="D16" s="395"/>
      <c r="E16" s="395"/>
      <c r="H16" s="395"/>
      <c r="I16" s="395"/>
      <c r="J16" s="395"/>
      <c r="M16" s="395">
        <f t="shared" si="0"/>
        <v>0</v>
      </c>
      <c r="N16" s="748">
        <f t="shared" si="1"/>
        <v>0</v>
      </c>
      <c r="O16" s="395">
        <f t="shared" si="2"/>
        <v>0</v>
      </c>
      <c r="Q16" s="395">
        <v>0</v>
      </c>
      <c r="R16" s="395">
        <v>0</v>
      </c>
      <c r="X16" s="455"/>
      <c r="Y16" s="395" t="str">
        <f t="shared" si="3"/>
        <v/>
      </c>
      <c r="AN16" s="394" t="s">
        <v>1019</v>
      </c>
      <c r="AO16" s="394" t="s">
        <v>1027</v>
      </c>
    </row>
    <row r="17" spans="1:48" x14ac:dyDescent="0.25">
      <c r="A17" s="395"/>
      <c r="B17" s="395"/>
      <c r="C17" s="395"/>
      <c r="D17" s="395"/>
      <c r="E17" s="395"/>
      <c r="H17" s="395"/>
      <c r="I17" s="395"/>
      <c r="J17" s="395"/>
      <c r="M17" s="395">
        <f t="shared" si="0"/>
        <v>0</v>
      </c>
      <c r="N17" s="748">
        <f t="shared" si="1"/>
        <v>0</v>
      </c>
      <c r="O17" s="395">
        <f t="shared" si="2"/>
        <v>0</v>
      </c>
      <c r="Q17" s="395">
        <v>0</v>
      </c>
      <c r="R17" s="395">
        <v>0</v>
      </c>
      <c r="X17" s="395"/>
      <c r="Y17" s="395" t="str">
        <f t="shared" si="3"/>
        <v/>
      </c>
      <c r="AN17" s="394" t="s">
        <v>681</v>
      </c>
      <c r="AO17" s="394" t="s">
        <v>682</v>
      </c>
      <c r="AP17" s="394" t="s">
        <v>393</v>
      </c>
      <c r="AQ17" s="394">
        <v>104536.04270000001</v>
      </c>
      <c r="AR17" s="394" t="s">
        <v>394</v>
      </c>
      <c r="AS17" s="394">
        <v>491943.59269999998</v>
      </c>
      <c r="AT17" s="394" t="s">
        <v>397</v>
      </c>
      <c r="AU17" s="394">
        <v>0</v>
      </c>
    </row>
    <row r="18" spans="1:48" x14ac:dyDescent="0.25">
      <c r="A18" s="395"/>
      <c r="B18" s="395"/>
      <c r="C18" s="455"/>
      <c r="D18" s="395"/>
      <c r="E18" s="395"/>
      <c r="H18" s="395"/>
      <c r="I18" s="395"/>
      <c r="J18" s="395"/>
      <c r="M18" s="395">
        <f t="shared" si="0"/>
        <v>0</v>
      </c>
      <c r="N18" s="748">
        <f t="shared" si="1"/>
        <v>0</v>
      </c>
      <c r="O18" s="395">
        <f t="shared" si="2"/>
        <v>0</v>
      </c>
      <c r="Q18" s="395">
        <v>0</v>
      </c>
      <c r="R18" s="395">
        <v>0</v>
      </c>
      <c r="X18" s="455"/>
      <c r="Y18" s="395" t="str">
        <f t="shared" si="3"/>
        <v/>
      </c>
      <c r="AN18" s="394" t="s">
        <v>683</v>
      </c>
      <c r="AO18" s="394" t="s">
        <v>682</v>
      </c>
      <c r="AP18" s="394" t="s">
        <v>393</v>
      </c>
      <c r="AQ18" s="394">
        <v>104540.92019999999</v>
      </c>
      <c r="AR18" s="394" t="s">
        <v>394</v>
      </c>
      <c r="AS18" s="394">
        <v>491937.96189999999</v>
      </c>
      <c r="AT18" s="394" t="s">
        <v>397</v>
      </c>
      <c r="AU18" s="394">
        <v>0</v>
      </c>
    </row>
    <row r="19" spans="1:48" x14ac:dyDescent="0.25">
      <c r="A19" s="395"/>
      <c r="B19" s="395"/>
      <c r="C19" s="395"/>
      <c r="D19" s="395"/>
      <c r="E19" s="395"/>
      <c r="H19" s="395"/>
      <c r="I19" s="395"/>
      <c r="J19" s="395"/>
      <c r="M19" s="395">
        <f t="shared" si="0"/>
        <v>0</v>
      </c>
      <c r="N19" s="748">
        <f t="shared" si="1"/>
        <v>0</v>
      </c>
      <c r="O19" s="395">
        <f t="shared" si="2"/>
        <v>0</v>
      </c>
      <c r="Q19" s="395">
        <v>0</v>
      </c>
      <c r="R19" s="395">
        <v>0</v>
      </c>
      <c r="X19" s="395"/>
      <c r="Y19" s="395" t="str">
        <f t="shared" si="3"/>
        <v/>
      </c>
      <c r="AN19" s="394" t="s">
        <v>684</v>
      </c>
      <c r="AO19" s="394" t="s">
        <v>1028</v>
      </c>
      <c r="AP19" s="394" t="s">
        <v>479</v>
      </c>
      <c r="AQ19" s="394" t="s">
        <v>1009</v>
      </c>
      <c r="AR19" s="394" t="s">
        <v>1010</v>
      </c>
      <c r="AS19" s="394" t="s">
        <v>1011</v>
      </c>
      <c r="AT19" s="394">
        <v>310.89999999999998</v>
      </c>
    </row>
    <row r="20" spans="1:48" x14ac:dyDescent="0.25">
      <c r="A20" s="395"/>
      <c r="B20" s="395"/>
      <c r="C20" s="395"/>
      <c r="D20" s="395"/>
      <c r="E20" s="395"/>
      <c r="H20" s="395"/>
      <c r="I20" s="395"/>
      <c r="J20" s="395"/>
      <c r="M20" s="395"/>
      <c r="N20" s="748">
        <f t="shared" si="1"/>
        <v>0</v>
      </c>
      <c r="O20" s="395">
        <f t="shared" si="2"/>
        <v>0</v>
      </c>
      <c r="Q20" s="395">
        <v>0</v>
      </c>
      <c r="R20" s="395">
        <v>0</v>
      </c>
      <c r="X20" s="395"/>
      <c r="Y20" s="395" t="str">
        <f t="shared" si="3"/>
        <v/>
      </c>
      <c r="AN20" s="394" t="s">
        <v>1012</v>
      </c>
      <c r="AO20" s="394" t="s">
        <v>393</v>
      </c>
      <c r="AP20" s="394" t="s">
        <v>1029</v>
      </c>
      <c r="AQ20" s="394" t="s">
        <v>1012</v>
      </c>
      <c r="AR20" s="394" t="s">
        <v>394</v>
      </c>
      <c r="AS20" s="394" t="s">
        <v>1030</v>
      </c>
      <c r="AT20" s="394" t="s">
        <v>1012</v>
      </c>
      <c r="AU20" s="394" t="s">
        <v>397</v>
      </c>
      <c r="AV20" s="394">
        <v>0</v>
      </c>
    </row>
    <row r="21" spans="1:48" x14ac:dyDescent="0.25">
      <c r="A21" s="395"/>
      <c r="B21" s="395"/>
      <c r="C21" s="395"/>
      <c r="D21" s="395"/>
      <c r="E21" s="395"/>
      <c r="H21" s="395"/>
      <c r="I21" s="395"/>
      <c r="J21" s="395"/>
      <c r="M21" s="395"/>
      <c r="N21" s="748">
        <f t="shared" si="1"/>
        <v>0</v>
      </c>
      <c r="O21" s="395">
        <f t="shared" si="2"/>
        <v>0</v>
      </c>
      <c r="Q21" s="395">
        <v>0</v>
      </c>
      <c r="R21" s="395">
        <v>0</v>
      </c>
      <c r="X21" s="395"/>
      <c r="Y21" s="395" t="str">
        <f t="shared" si="3"/>
        <v/>
      </c>
      <c r="AN21" s="394" t="s">
        <v>1015</v>
      </c>
      <c r="AO21" s="394" t="s">
        <v>1016</v>
      </c>
      <c r="AP21" s="394">
        <v>0</v>
      </c>
    </row>
    <row r="22" spans="1:48" x14ac:dyDescent="0.25">
      <c r="A22" s="395"/>
      <c r="B22" s="395"/>
      <c r="C22" s="395"/>
      <c r="D22" s="395"/>
      <c r="E22" s="395"/>
      <c r="H22" s="395"/>
      <c r="I22" s="395"/>
      <c r="J22" s="395"/>
      <c r="M22" s="395"/>
      <c r="N22" s="748">
        <f t="shared" si="1"/>
        <v>0</v>
      </c>
      <c r="O22" s="395">
        <f t="shared" si="2"/>
        <v>0</v>
      </c>
      <c r="Q22" s="395">
        <v>0</v>
      </c>
      <c r="R22" s="395">
        <v>0</v>
      </c>
      <c r="X22" s="395"/>
      <c r="Y22" s="395" t="str">
        <f t="shared" si="3"/>
        <v/>
      </c>
      <c r="AN22" s="394" t="s">
        <v>1017</v>
      </c>
      <c r="AO22" s="394" t="s">
        <v>665</v>
      </c>
      <c r="AP22" s="394" t="s">
        <v>1018</v>
      </c>
    </row>
    <row r="23" spans="1:48" x14ac:dyDescent="0.25">
      <c r="A23" s="395"/>
      <c r="B23" s="395"/>
      <c r="C23" s="395"/>
      <c r="D23" s="395"/>
      <c r="E23" s="395"/>
      <c r="H23" s="395"/>
      <c r="I23" s="395"/>
      <c r="J23" s="395"/>
      <c r="M23" s="395"/>
      <c r="N23" s="748">
        <f t="shared" si="1"/>
        <v>0</v>
      </c>
      <c r="O23" s="395">
        <f t="shared" si="2"/>
        <v>0</v>
      </c>
      <c r="Q23" s="395">
        <v>0</v>
      </c>
      <c r="R23" s="395">
        <v>0</v>
      </c>
      <c r="X23" s="395"/>
      <c r="Y23" s="395" t="str">
        <f t="shared" si="3"/>
        <v/>
      </c>
      <c r="AN23" s="394" t="s">
        <v>1019</v>
      </c>
      <c r="AO23" s="394" t="s">
        <v>1031</v>
      </c>
    </row>
    <row r="24" spans="1:48" x14ac:dyDescent="0.25">
      <c r="A24" s="395"/>
      <c r="B24" s="395"/>
      <c r="C24" s="455"/>
      <c r="D24" s="395"/>
      <c r="E24" s="395"/>
      <c r="H24" s="395"/>
      <c r="I24" s="395"/>
      <c r="J24" s="395"/>
      <c r="M24" s="395"/>
      <c r="N24" s="748">
        <f t="shared" si="1"/>
        <v>0</v>
      </c>
      <c r="O24" s="395">
        <f t="shared" si="2"/>
        <v>0</v>
      </c>
      <c r="Q24" s="395">
        <v>0</v>
      </c>
      <c r="R24" s="395">
        <v>0</v>
      </c>
      <c r="X24" s="455"/>
      <c r="Y24" s="395" t="str">
        <f t="shared" si="3"/>
        <v/>
      </c>
      <c r="AN24" s="394" t="s">
        <v>1021</v>
      </c>
      <c r="AO24" s="394" t="s">
        <v>682</v>
      </c>
      <c r="AP24" s="394" t="s">
        <v>393</v>
      </c>
      <c r="AQ24" s="394">
        <v>104571.1547</v>
      </c>
      <c r="AR24" s="394" t="s">
        <v>394</v>
      </c>
      <c r="AS24" s="394">
        <v>491964.15110000002</v>
      </c>
      <c r="AT24" s="394" t="s">
        <v>397</v>
      </c>
      <c r="AU24" s="394">
        <v>0</v>
      </c>
    </row>
    <row r="25" spans="1:48" x14ac:dyDescent="0.25">
      <c r="A25" s="395"/>
      <c r="B25" s="395"/>
      <c r="C25" s="395"/>
      <c r="D25" s="395"/>
      <c r="E25" s="395"/>
      <c r="H25" s="395"/>
      <c r="I25" s="395"/>
      <c r="J25" s="395"/>
      <c r="M25" s="395"/>
      <c r="N25" s="748">
        <f t="shared" si="1"/>
        <v>0</v>
      </c>
      <c r="O25" s="395">
        <f t="shared" si="2"/>
        <v>0</v>
      </c>
      <c r="Q25" s="395">
        <v>0</v>
      </c>
      <c r="R25" s="395">
        <v>0</v>
      </c>
      <c r="X25" s="612">
        <f>C25</f>
        <v>0</v>
      </c>
      <c r="Y25" s="395" t="str">
        <f t="shared" si="3"/>
        <v/>
      </c>
      <c r="AN25" s="394" t="s">
        <v>1022</v>
      </c>
      <c r="AO25" s="394">
        <v>40</v>
      </c>
    </row>
    <row r="26" spans="1:48" x14ac:dyDescent="0.25">
      <c r="A26" s="395"/>
      <c r="B26" s="395"/>
      <c r="C26" s="395"/>
      <c r="D26" s="395"/>
      <c r="E26" s="395"/>
      <c r="H26" s="395"/>
      <c r="I26" s="395"/>
      <c r="J26" s="395"/>
      <c r="M26" s="395"/>
      <c r="N26" s="748">
        <f t="shared" si="1"/>
        <v>0</v>
      </c>
      <c r="O26" s="395">
        <f t="shared" si="2"/>
        <v>0</v>
      </c>
      <c r="Q26" s="395">
        <v>0</v>
      </c>
      <c r="R26" s="395">
        <v>0</v>
      </c>
      <c r="Y26" s="395" t="str">
        <f t="shared" si="3"/>
        <v/>
      </c>
      <c r="AM26" s="394" t="s">
        <v>1032</v>
      </c>
      <c r="AN26" s="394" t="s">
        <v>446</v>
      </c>
      <c r="AO26" s="394" t="s">
        <v>683</v>
      </c>
      <c r="AP26" s="394" t="s">
        <v>1033</v>
      </c>
    </row>
    <row r="27" spans="1:48" x14ac:dyDescent="0.25">
      <c r="A27" s="395"/>
      <c r="B27" s="395"/>
      <c r="C27" s="395"/>
      <c r="D27" s="395"/>
      <c r="E27" s="395"/>
      <c r="H27" s="395"/>
      <c r="I27" s="395"/>
      <c r="J27" s="395"/>
      <c r="M27" s="395"/>
      <c r="N27" s="748">
        <f t="shared" si="1"/>
        <v>0</v>
      </c>
      <c r="O27" s="395">
        <f t="shared" si="2"/>
        <v>0</v>
      </c>
      <c r="Q27" s="395">
        <v>0</v>
      </c>
      <c r="R27" s="395">
        <v>0</v>
      </c>
      <c r="Y27" s="395" t="str">
        <f t="shared" si="3"/>
        <v/>
      </c>
      <c r="AN27" s="394" t="s">
        <v>1023</v>
      </c>
      <c r="AO27" s="394" t="s">
        <v>1024</v>
      </c>
      <c r="AP27" s="394">
        <v>220.9</v>
      </c>
    </row>
    <row r="28" spans="1:48" x14ac:dyDescent="0.25">
      <c r="A28" s="395"/>
      <c r="B28" s="395"/>
      <c r="C28" s="395"/>
      <c r="D28" s="395"/>
      <c r="E28" s="395"/>
      <c r="H28" s="395"/>
      <c r="I28" s="395"/>
      <c r="J28" s="395"/>
      <c r="M28" s="395"/>
      <c r="N28" s="748">
        <f t="shared" si="1"/>
        <v>0</v>
      </c>
      <c r="O28" s="395">
        <f t="shared" si="2"/>
        <v>0</v>
      </c>
      <c r="Q28" s="395">
        <v>0</v>
      </c>
      <c r="R28" s="395">
        <v>0</v>
      </c>
      <c r="Y28" s="395" t="str">
        <f t="shared" si="3"/>
        <v/>
      </c>
      <c r="AN28" s="394" t="s">
        <v>1025</v>
      </c>
      <c r="AO28" s="394" t="s">
        <v>1024</v>
      </c>
      <c r="AP28" s="394">
        <v>268.74</v>
      </c>
    </row>
    <row r="29" spans="1:48" x14ac:dyDescent="0.25">
      <c r="A29" s="395"/>
      <c r="B29" s="395"/>
      <c r="C29" s="395"/>
      <c r="D29" s="395"/>
      <c r="E29" s="395"/>
      <c r="H29" s="395"/>
      <c r="I29" s="395"/>
      <c r="J29" s="395"/>
      <c r="M29" s="395"/>
      <c r="N29" s="748">
        <f t="shared" si="1"/>
        <v>0</v>
      </c>
      <c r="O29" s="395">
        <f t="shared" si="2"/>
        <v>0</v>
      </c>
      <c r="Q29" s="395">
        <v>0</v>
      </c>
      <c r="R29" s="395">
        <v>0</v>
      </c>
      <c r="Y29" s="395" t="str">
        <f t="shared" si="3"/>
        <v/>
      </c>
      <c r="AN29" s="394" t="s">
        <v>1026</v>
      </c>
      <c r="AO29" s="394">
        <v>33.399799999999999</v>
      </c>
    </row>
    <row r="30" spans="1:48" x14ac:dyDescent="0.25">
      <c r="A30" s="395"/>
      <c r="B30" s="395"/>
      <c r="C30" s="395"/>
      <c r="D30" s="395"/>
      <c r="E30" s="395"/>
      <c r="H30" s="395"/>
      <c r="I30" s="395"/>
      <c r="J30" s="395"/>
      <c r="M30" s="395"/>
      <c r="N30" s="748">
        <f t="shared" si="1"/>
        <v>0</v>
      </c>
      <c r="O30" s="395">
        <f t="shared" si="2"/>
        <v>0</v>
      </c>
      <c r="Q30" s="395">
        <v>0</v>
      </c>
      <c r="R30" s="395">
        <v>0</v>
      </c>
      <c r="Y30" s="395" t="str">
        <f t="shared" si="3"/>
        <v/>
      </c>
      <c r="AN30" s="394" t="s">
        <v>457</v>
      </c>
      <c r="AO30" s="394" t="s">
        <v>1016</v>
      </c>
      <c r="AP30" s="394">
        <v>0</v>
      </c>
    </row>
    <row r="31" spans="1:48" x14ac:dyDescent="0.25">
      <c r="A31" s="395"/>
      <c r="B31" s="395"/>
      <c r="C31" s="395"/>
      <c r="D31" s="395"/>
      <c r="E31" s="395"/>
      <c r="H31" s="395"/>
      <c r="I31" s="395"/>
      <c r="J31" s="395"/>
      <c r="M31" s="395"/>
      <c r="N31" s="748">
        <f t="shared" si="1"/>
        <v>0</v>
      </c>
      <c r="O31" s="395">
        <f t="shared" si="2"/>
        <v>0</v>
      </c>
      <c r="Q31" s="395">
        <v>0</v>
      </c>
      <c r="R31" s="395">
        <v>0</v>
      </c>
      <c r="Y31" s="395" t="str">
        <f t="shared" si="3"/>
        <v/>
      </c>
      <c r="AN31" s="394" t="s">
        <v>1017</v>
      </c>
      <c r="AO31" s="394" t="s">
        <v>665</v>
      </c>
      <c r="AP31" s="394" t="s">
        <v>1018</v>
      </c>
    </row>
    <row r="32" spans="1:48" x14ac:dyDescent="0.25">
      <c r="A32" s="395"/>
      <c r="B32" s="395"/>
      <c r="C32" s="455"/>
      <c r="D32" s="395"/>
      <c r="E32" s="395"/>
      <c r="H32" s="395"/>
      <c r="I32" s="395"/>
      <c r="J32" s="395"/>
      <c r="M32" s="395"/>
      <c r="N32" s="748">
        <f t="shared" si="1"/>
        <v>0</v>
      </c>
      <c r="O32" s="395">
        <f t="shared" si="2"/>
        <v>0</v>
      </c>
      <c r="Q32" s="395">
        <v>0</v>
      </c>
      <c r="R32" s="395">
        <v>0</v>
      </c>
      <c r="Y32" s="395" t="str">
        <f t="shared" si="3"/>
        <v/>
      </c>
      <c r="AN32" s="394" t="s">
        <v>1019</v>
      </c>
      <c r="AO32" s="394" t="s">
        <v>1034</v>
      </c>
    </row>
    <row r="33" spans="1:47" x14ac:dyDescent="0.25">
      <c r="A33" s="395"/>
      <c r="B33" s="395"/>
      <c r="C33" s="395"/>
      <c r="D33" s="395"/>
      <c r="E33" s="395"/>
      <c r="H33" s="395"/>
      <c r="I33" s="395"/>
      <c r="J33" s="395"/>
      <c r="M33" s="395"/>
      <c r="N33" s="748">
        <f t="shared" si="1"/>
        <v>0</v>
      </c>
      <c r="O33" s="395">
        <f t="shared" ref="O33:O60" si="4">IF(AND(H33="Z",H34&lt;&gt;"Z"),C34,I33)</f>
        <v>0</v>
      </c>
      <c r="Q33" s="395">
        <v>0</v>
      </c>
      <c r="R33" s="395">
        <v>0</v>
      </c>
      <c r="Y33" s="395" t="str">
        <f t="shared" si="3"/>
        <v/>
      </c>
      <c r="AN33" s="394" t="s">
        <v>681</v>
      </c>
      <c r="AO33" s="394" t="s">
        <v>682</v>
      </c>
      <c r="AP33" s="394" t="s">
        <v>393</v>
      </c>
      <c r="AQ33" s="394">
        <v>104570.2758</v>
      </c>
      <c r="AR33" s="394" t="s">
        <v>394</v>
      </c>
      <c r="AS33" s="394">
        <v>491924.16070000001</v>
      </c>
      <c r="AT33" s="394" t="s">
        <v>397</v>
      </c>
      <c r="AU33" s="394">
        <v>0</v>
      </c>
    </row>
    <row r="34" spans="1:47" x14ac:dyDescent="0.25">
      <c r="A34" s="395"/>
      <c r="B34" s="395"/>
      <c r="C34" s="395"/>
      <c r="D34" s="395"/>
      <c r="E34" s="395"/>
      <c r="H34" s="395"/>
      <c r="I34" s="395"/>
      <c r="J34" s="395"/>
      <c r="M34" s="395"/>
      <c r="N34" s="748">
        <f t="shared" si="1"/>
        <v>0</v>
      </c>
      <c r="O34" s="395">
        <f t="shared" si="4"/>
        <v>0</v>
      </c>
      <c r="Q34" s="395">
        <v>0</v>
      </c>
      <c r="R34" s="395">
        <v>0</v>
      </c>
      <c r="Y34" s="395" t="str">
        <f t="shared" ref="Y34:Y60" si="5">IF(B34="Radius",C34,"")</f>
        <v/>
      </c>
      <c r="AN34" s="394" t="s">
        <v>683</v>
      </c>
      <c r="AO34" s="394" t="s">
        <v>682</v>
      </c>
      <c r="AP34" s="394" t="s">
        <v>393</v>
      </c>
      <c r="AQ34" s="394">
        <v>104593.51330000001</v>
      </c>
      <c r="AR34" s="394" t="s">
        <v>394</v>
      </c>
      <c r="AS34" s="394">
        <v>491923.65</v>
      </c>
      <c r="AT34" s="394" t="s">
        <v>397</v>
      </c>
      <c r="AU34" s="394">
        <v>0</v>
      </c>
    </row>
    <row r="35" spans="1:47" x14ac:dyDescent="0.25">
      <c r="A35" s="395"/>
      <c r="B35" s="395"/>
      <c r="C35" s="395"/>
      <c r="D35" s="395"/>
      <c r="E35" s="395"/>
      <c r="H35" s="395"/>
      <c r="I35" s="395"/>
      <c r="J35" s="395"/>
      <c r="M35" s="395"/>
      <c r="N35" s="748">
        <f t="shared" si="1"/>
        <v>0</v>
      </c>
      <c r="O35" s="395">
        <f t="shared" si="4"/>
        <v>0</v>
      </c>
      <c r="Q35" s="395">
        <v>0</v>
      </c>
      <c r="R35" s="395">
        <v>0</v>
      </c>
      <c r="Y35" s="395" t="str">
        <f t="shared" si="5"/>
        <v/>
      </c>
    </row>
    <row r="36" spans="1:47" x14ac:dyDescent="0.25">
      <c r="A36" s="395"/>
      <c r="B36" s="395"/>
      <c r="C36" s="395"/>
      <c r="D36" s="395"/>
      <c r="E36" s="395"/>
      <c r="H36" s="395"/>
      <c r="I36" s="395"/>
      <c r="J36" s="395"/>
      <c r="M36" s="395"/>
      <c r="N36" s="748">
        <f t="shared" si="1"/>
        <v>0</v>
      </c>
      <c r="O36" s="395">
        <f t="shared" si="4"/>
        <v>0</v>
      </c>
      <c r="Q36" s="395">
        <v>0</v>
      </c>
      <c r="R36" s="395">
        <v>0</v>
      </c>
      <c r="Y36" s="395" t="str">
        <f t="shared" si="5"/>
        <v/>
      </c>
    </row>
    <row r="37" spans="1:47" x14ac:dyDescent="0.25">
      <c r="A37" s="395"/>
      <c r="B37" s="395"/>
      <c r="C37" s="395"/>
      <c r="D37" s="395"/>
      <c r="E37" s="395"/>
      <c r="H37" s="395"/>
      <c r="I37" s="395"/>
      <c r="J37" s="395"/>
      <c r="M37" s="395"/>
      <c r="N37" s="748">
        <f t="shared" si="1"/>
        <v>0</v>
      </c>
      <c r="O37" s="395">
        <f t="shared" si="4"/>
        <v>0</v>
      </c>
      <c r="Q37" s="395">
        <v>0</v>
      </c>
      <c r="R37" s="395">
        <v>0</v>
      </c>
      <c r="Y37" s="395" t="str">
        <f t="shared" si="5"/>
        <v/>
      </c>
    </row>
    <row r="38" spans="1:47" x14ac:dyDescent="0.25">
      <c r="A38" s="395"/>
      <c r="B38" s="395"/>
      <c r="C38" s="395"/>
      <c r="D38" s="395"/>
      <c r="E38" s="395"/>
      <c r="H38" s="395"/>
      <c r="I38" s="395"/>
      <c r="J38" s="395"/>
      <c r="M38" s="395">
        <f t="shared" ref="M38:M60" si="6">E38</f>
        <v>0</v>
      </c>
      <c r="N38" s="748">
        <f t="shared" si="1"/>
        <v>0</v>
      </c>
      <c r="O38" s="395">
        <f t="shared" si="4"/>
        <v>0</v>
      </c>
      <c r="Q38" s="395">
        <v>0</v>
      </c>
      <c r="R38" s="395">
        <v>0</v>
      </c>
      <c r="Y38" s="395" t="str">
        <f t="shared" si="5"/>
        <v/>
      </c>
    </row>
    <row r="39" spans="1:47" x14ac:dyDescent="0.25">
      <c r="A39" s="395"/>
      <c r="B39" s="395"/>
      <c r="C39" s="395"/>
      <c r="D39" s="395"/>
      <c r="E39" s="395"/>
      <c r="H39" s="395"/>
      <c r="I39" s="395"/>
      <c r="J39" s="395"/>
      <c r="M39" s="395">
        <f t="shared" si="6"/>
        <v>0</v>
      </c>
      <c r="N39" s="748">
        <f t="shared" si="1"/>
        <v>0</v>
      </c>
      <c r="O39" s="395">
        <f t="shared" si="4"/>
        <v>0</v>
      </c>
      <c r="Q39" s="395">
        <v>0</v>
      </c>
      <c r="R39" s="395">
        <v>0</v>
      </c>
      <c r="Y39" s="395" t="str">
        <f t="shared" si="5"/>
        <v/>
      </c>
    </row>
    <row r="40" spans="1:47" x14ac:dyDescent="0.25">
      <c r="A40" s="395"/>
      <c r="B40" s="395"/>
      <c r="C40" s="455"/>
      <c r="D40" s="395"/>
      <c r="E40" s="395"/>
      <c r="H40" s="395"/>
      <c r="I40" s="395"/>
      <c r="J40" s="395"/>
      <c r="M40" s="395">
        <f t="shared" si="6"/>
        <v>0</v>
      </c>
      <c r="N40" s="748">
        <f t="shared" si="1"/>
        <v>0</v>
      </c>
      <c r="O40" s="395">
        <f t="shared" si="4"/>
        <v>0</v>
      </c>
      <c r="Q40" s="395">
        <v>0</v>
      </c>
      <c r="R40" s="395">
        <v>0</v>
      </c>
      <c r="Y40" s="395" t="str">
        <f t="shared" si="5"/>
        <v/>
      </c>
    </row>
    <row r="41" spans="1:47" x14ac:dyDescent="0.25">
      <c r="A41" s="395"/>
      <c r="B41" s="395"/>
      <c r="C41" s="395"/>
      <c r="D41" s="395"/>
      <c r="E41" s="395"/>
      <c r="H41" s="395"/>
      <c r="I41" s="395"/>
      <c r="J41" s="395"/>
      <c r="M41" s="395">
        <f t="shared" si="6"/>
        <v>0</v>
      </c>
      <c r="N41" s="748">
        <f t="shared" si="1"/>
        <v>0</v>
      </c>
      <c r="O41" s="395">
        <f t="shared" si="4"/>
        <v>0</v>
      </c>
      <c r="Q41" s="395">
        <v>0</v>
      </c>
      <c r="R41" s="395">
        <v>0</v>
      </c>
      <c r="X41" s="612">
        <f>C41</f>
        <v>0</v>
      </c>
      <c r="Y41" s="395" t="str">
        <f t="shared" si="5"/>
        <v/>
      </c>
    </row>
    <row r="42" spans="1:47" x14ac:dyDescent="0.25">
      <c r="A42" s="395"/>
      <c r="B42" s="395"/>
      <c r="C42" s="395"/>
      <c r="D42" s="395"/>
      <c r="E42" s="395"/>
      <c r="H42" s="395"/>
      <c r="I42" s="395"/>
      <c r="J42" s="395"/>
      <c r="M42" s="395">
        <f t="shared" si="6"/>
        <v>0</v>
      </c>
      <c r="N42" s="748">
        <f t="shared" si="1"/>
        <v>0</v>
      </c>
      <c r="O42" s="395">
        <f t="shared" si="4"/>
        <v>0</v>
      </c>
      <c r="Q42" s="395">
        <v>0</v>
      </c>
      <c r="R42" s="395">
        <v>0</v>
      </c>
      <c r="Y42" s="395" t="str">
        <f t="shared" si="5"/>
        <v/>
      </c>
    </row>
    <row r="43" spans="1:47" x14ac:dyDescent="0.25">
      <c r="A43" s="395"/>
      <c r="B43" s="395"/>
      <c r="C43" s="395"/>
      <c r="D43" s="395"/>
      <c r="E43" s="395"/>
      <c r="H43" s="395"/>
      <c r="I43" s="395"/>
      <c r="J43" s="395"/>
      <c r="M43" s="395">
        <f t="shared" si="6"/>
        <v>0</v>
      </c>
      <c r="N43" s="748">
        <f t="shared" si="1"/>
        <v>0</v>
      </c>
      <c r="O43" s="395">
        <f t="shared" si="4"/>
        <v>0</v>
      </c>
      <c r="Q43" s="395"/>
      <c r="R43" s="395">
        <v>0</v>
      </c>
      <c r="Y43" s="395" t="str">
        <f t="shared" si="5"/>
        <v/>
      </c>
    </row>
    <row r="44" spans="1:47" x14ac:dyDescent="0.25">
      <c r="A44" s="395"/>
      <c r="B44" s="395"/>
      <c r="C44" s="395"/>
      <c r="D44" s="395"/>
      <c r="E44" s="395"/>
      <c r="H44" s="395"/>
      <c r="I44" s="395"/>
      <c r="J44" s="395"/>
      <c r="M44" s="395">
        <f t="shared" si="6"/>
        <v>0</v>
      </c>
      <c r="N44" s="748">
        <f t="shared" si="1"/>
        <v>0</v>
      </c>
      <c r="O44" s="395">
        <f t="shared" si="4"/>
        <v>0</v>
      </c>
      <c r="Q44" s="395"/>
      <c r="R44" s="395">
        <v>0</v>
      </c>
      <c r="Y44" s="395" t="str">
        <f t="shared" si="5"/>
        <v/>
      </c>
    </row>
    <row r="45" spans="1:47" x14ac:dyDescent="0.25">
      <c r="A45" s="395"/>
      <c r="B45" s="395"/>
      <c r="C45" s="395"/>
      <c r="D45" s="395"/>
      <c r="E45" s="395"/>
      <c r="H45" s="395"/>
      <c r="I45" s="395"/>
      <c r="J45" s="395"/>
      <c r="M45" s="395">
        <f t="shared" si="6"/>
        <v>0</v>
      </c>
      <c r="N45" s="748">
        <f t="shared" si="1"/>
        <v>0</v>
      </c>
      <c r="O45" s="395">
        <f t="shared" si="4"/>
        <v>0</v>
      </c>
      <c r="Q45" s="395"/>
      <c r="R45" s="395">
        <v>0</v>
      </c>
      <c r="Y45" s="395" t="str">
        <f t="shared" si="5"/>
        <v/>
      </c>
    </row>
    <row r="46" spans="1:47" x14ac:dyDescent="0.25">
      <c r="A46" s="395"/>
      <c r="B46" s="395"/>
      <c r="C46" s="395"/>
      <c r="D46" s="395"/>
      <c r="E46" s="395"/>
      <c r="H46" s="395"/>
      <c r="I46" s="395"/>
      <c r="J46" s="395"/>
      <c r="M46" s="395">
        <f t="shared" si="6"/>
        <v>0</v>
      </c>
      <c r="N46" s="748">
        <f t="shared" si="1"/>
        <v>0</v>
      </c>
      <c r="O46" s="395">
        <f t="shared" si="4"/>
        <v>0</v>
      </c>
      <c r="Q46" s="395"/>
      <c r="R46" s="395">
        <v>0</v>
      </c>
      <c r="Y46" s="395" t="str">
        <f t="shared" si="5"/>
        <v/>
      </c>
    </row>
    <row r="47" spans="1:47" x14ac:dyDescent="0.25">
      <c r="A47" s="395"/>
      <c r="B47" s="395"/>
      <c r="C47" s="395"/>
      <c r="D47" s="395"/>
      <c r="E47" s="395"/>
      <c r="H47" s="395"/>
      <c r="I47" s="395"/>
      <c r="J47" s="395"/>
      <c r="M47" s="395">
        <f t="shared" si="6"/>
        <v>0</v>
      </c>
      <c r="N47" s="748">
        <f t="shared" si="1"/>
        <v>0</v>
      </c>
      <c r="O47" s="395">
        <f t="shared" si="4"/>
        <v>0</v>
      </c>
      <c r="Q47" s="395"/>
      <c r="R47" s="395">
        <v>0</v>
      </c>
      <c r="Y47" s="395" t="str">
        <f t="shared" si="5"/>
        <v/>
      </c>
    </row>
    <row r="48" spans="1:47" x14ac:dyDescent="0.25">
      <c r="A48" s="395"/>
      <c r="B48" s="395"/>
      <c r="C48" s="395"/>
      <c r="D48" s="395"/>
      <c r="E48" s="395"/>
      <c r="H48" s="395"/>
      <c r="I48" s="395"/>
      <c r="J48" s="395"/>
      <c r="M48" s="395">
        <f t="shared" si="6"/>
        <v>0</v>
      </c>
      <c r="N48" s="748">
        <f t="shared" si="1"/>
        <v>0</v>
      </c>
      <c r="O48" s="395">
        <f t="shared" si="4"/>
        <v>0</v>
      </c>
      <c r="Q48" s="395"/>
      <c r="R48" s="395">
        <v>0</v>
      </c>
      <c r="Y48" s="395" t="str">
        <f t="shared" si="5"/>
        <v/>
      </c>
    </row>
    <row r="49" spans="1:25" x14ac:dyDescent="0.25">
      <c r="A49" s="395"/>
      <c r="B49" s="395"/>
      <c r="C49" s="395"/>
      <c r="D49" s="395"/>
      <c r="E49" s="395"/>
      <c r="H49" s="395"/>
      <c r="I49" s="395"/>
      <c r="J49" s="395"/>
      <c r="M49" s="395">
        <f t="shared" si="6"/>
        <v>0</v>
      </c>
      <c r="N49" s="748">
        <f t="shared" si="1"/>
        <v>0</v>
      </c>
      <c r="O49" s="395">
        <f t="shared" si="4"/>
        <v>0</v>
      </c>
      <c r="Q49" s="395"/>
      <c r="R49" s="395">
        <v>0</v>
      </c>
      <c r="Y49" s="395" t="str">
        <f t="shared" si="5"/>
        <v/>
      </c>
    </row>
    <row r="50" spans="1:25" x14ac:dyDescent="0.25">
      <c r="A50" s="395"/>
      <c r="B50" s="395"/>
      <c r="C50" s="395"/>
      <c r="D50" s="395"/>
      <c r="E50" s="395"/>
      <c r="H50" s="395"/>
      <c r="I50" s="395"/>
      <c r="J50" s="395"/>
      <c r="M50" s="395">
        <f t="shared" si="6"/>
        <v>0</v>
      </c>
      <c r="N50" s="748">
        <f t="shared" si="1"/>
        <v>0</v>
      </c>
      <c r="O50" s="395">
        <f t="shared" si="4"/>
        <v>0</v>
      </c>
      <c r="Q50" s="395"/>
      <c r="R50" s="395">
        <v>0</v>
      </c>
      <c r="Y50" s="395" t="str">
        <f t="shared" si="5"/>
        <v/>
      </c>
    </row>
    <row r="51" spans="1:25" x14ac:dyDescent="0.25">
      <c r="A51" s="395"/>
      <c r="B51" s="395"/>
      <c r="C51" s="395"/>
      <c r="D51" s="395"/>
      <c r="E51" s="395"/>
      <c r="H51" s="395"/>
      <c r="I51" s="395"/>
      <c r="J51" s="395"/>
      <c r="M51" s="395">
        <f t="shared" si="6"/>
        <v>0</v>
      </c>
      <c r="N51" s="748">
        <f t="shared" si="1"/>
        <v>0</v>
      </c>
      <c r="O51" s="395">
        <f t="shared" si="4"/>
        <v>0</v>
      </c>
      <c r="Q51" s="395"/>
      <c r="R51" s="395">
        <v>0</v>
      </c>
      <c r="Y51" s="395" t="str">
        <f t="shared" si="5"/>
        <v/>
      </c>
    </row>
    <row r="52" spans="1:25" x14ac:dyDescent="0.25">
      <c r="A52" s="395"/>
      <c r="B52" s="395"/>
      <c r="C52" s="395"/>
      <c r="D52" s="395"/>
      <c r="E52" s="395"/>
      <c r="H52" s="395"/>
      <c r="I52" s="395"/>
      <c r="J52" s="395"/>
      <c r="M52" s="395">
        <f t="shared" si="6"/>
        <v>0</v>
      </c>
      <c r="N52" s="748">
        <f t="shared" si="1"/>
        <v>0</v>
      </c>
      <c r="O52" s="395">
        <f t="shared" si="4"/>
        <v>0</v>
      </c>
      <c r="Q52" s="395"/>
      <c r="R52" s="395">
        <v>0</v>
      </c>
      <c r="Y52" s="395" t="str">
        <f t="shared" si="5"/>
        <v/>
      </c>
    </row>
    <row r="53" spans="1:25" x14ac:dyDescent="0.25">
      <c r="A53" s="395"/>
      <c r="B53" s="395"/>
      <c r="C53" s="395"/>
      <c r="D53" s="395"/>
      <c r="E53" s="395"/>
      <c r="H53" s="395"/>
      <c r="I53" s="395"/>
      <c r="J53" s="395"/>
      <c r="M53" s="395">
        <f t="shared" si="6"/>
        <v>0</v>
      </c>
      <c r="N53" s="748">
        <f t="shared" si="1"/>
        <v>0</v>
      </c>
      <c r="O53" s="395">
        <f t="shared" si="4"/>
        <v>0</v>
      </c>
      <c r="Q53" s="395"/>
      <c r="R53" s="395">
        <v>0</v>
      </c>
      <c r="Y53" s="395" t="str">
        <f t="shared" si="5"/>
        <v/>
      </c>
    </row>
    <row r="54" spans="1:25" x14ac:dyDescent="0.25">
      <c r="A54" s="395"/>
      <c r="B54" s="395"/>
      <c r="C54" s="395"/>
      <c r="D54" s="395"/>
      <c r="E54" s="395"/>
      <c r="H54" s="395"/>
      <c r="I54" s="395"/>
      <c r="J54" s="395"/>
      <c r="M54" s="395">
        <f t="shared" si="6"/>
        <v>0</v>
      </c>
      <c r="N54" s="748">
        <f t="shared" si="1"/>
        <v>0</v>
      </c>
      <c r="O54" s="395">
        <f t="shared" si="4"/>
        <v>0</v>
      </c>
      <c r="Q54" s="395"/>
      <c r="R54" s="395">
        <v>0</v>
      </c>
      <c r="Y54" s="395" t="str">
        <f t="shared" si="5"/>
        <v/>
      </c>
    </row>
    <row r="55" spans="1:25" x14ac:dyDescent="0.25">
      <c r="A55" s="395"/>
      <c r="B55" s="395"/>
      <c r="C55" s="395"/>
      <c r="D55" s="395"/>
      <c r="E55" s="395"/>
      <c r="H55" s="395"/>
      <c r="I55" s="395"/>
      <c r="J55" s="395"/>
      <c r="M55" s="395">
        <f t="shared" si="6"/>
        <v>0</v>
      </c>
      <c r="N55" s="748">
        <f t="shared" si="1"/>
        <v>0</v>
      </c>
      <c r="O55" s="395">
        <f t="shared" si="4"/>
        <v>0</v>
      </c>
      <c r="Q55" s="395"/>
      <c r="R55" s="395">
        <v>0</v>
      </c>
      <c r="Y55" s="395" t="str">
        <f t="shared" si="5"/>
        <v/>
      </c>
    </row>
    <row r="56" spans="1:25" x14ac:dyDescent="0.25">
      <c r="A56" s="395"/>
      <c r="B56" s="395"/>
      <c r="C56" s="395"/>
      <c r="D56" s="395"/>
      <c r="E56" s="395"/>
      <c r="H56" s="395"/>
      <c r="I56" s="395"/>
      <c r="J56" s="395"/>
      <c r="M56" s="395">
        <f t="shared" si="6"/>
        <v>0</v>
      </c>
      <c r="N56" s="748">
        <f t="shared" si="1"/>
        <v>0</v>
      </c>
      <c r="O56" s="395">
        <f t="shared" si="4"/>
        <v>0</v>
      </c>
      <c r="Q56" s="395"/>
      <c r="R56" s="395">
        <v>0</v>
      </c>
      <c r="Y56" s="395" t="str">
        <f t="shared" si="5"/>
        <v/>
      </c>
    </row>
    <row r="57" spans="1:25" x14ac:dyDescent="0.25">
      <c r="A57" s="395"/>
      <c r="B57" s="395"/>
      <c r="C57" s="395"/>
      <c r="D57" s="395"/>
      <c r="E57" s="395"/>
      <c r="H57" s="395"/>
      <c r="I57" s="395"/>
      <c r="J57" s="395"/>
      <c r="M57" s="395">
        <f t="shared" si="6"/>
        <v>0</v>
      </c>
      <c r="N57" s="748">
        <f t="shared" si="1"/>
        <v>0</v>
      </c>
      <c r="O57" s="395">
        <f t="shared" si="4"/>
        <v>0</v>
      </c>
      <c r="Q57" s="395"/>
      <c r="R57" s="395">
        <v>0</v>
      </c>
      <c r="Y57" s="395" t="str">
        <f t="shared" si="5"/>
        <v/>
      </c>
    </row>
    <row r="58" spans="1:25" x14ac:dyDescent="0.25">
      <c r="A58" s="395"/>
      <c r="B58" s="395"/>
      <c r="C58" s="395"/>
      <c r="D58" s="395"/>
      <c r="E58" s="395"/>
      <c r="H58" s="395"/>
      <c r="I58" s="395"/>
      <c r="J58" s="395"/>
      <c r="M58" s="395">
        <f t="shared" si="6"/>
        <v>0</v>
      </c>
      <c r="N58" s="748">
        <f t="shared" si="1"/>
        <v>0</v>
      </c>
      <c r="O58" s="395">
        <f t="shared" si="4"/>
        <v>0</v>
      </c>
      <c r="Q58" s="395"/>
      <c r="R58" s="395">
        <v>0</v>
      </c>
      <c r="Y58" s="395" t="str">
        <f t="shared" si="5"/>
        <v/>
      </c>
    </row>
    <row r="59" spans="1:25" x14ac:dyDescent="0.25">
      <c r="A59" s="395"/>
      <c r="B59" s="395"/>
      <c r="C59" s="395"/>
      <c r="D59" s="395"/>
      <c r="E59" s="395"/>
      <c r="H59" s="395"/>
      <c r="I59" s="395"/>
      <c r="J59" s="395"/>
      <c r="M59" s="395">
        <f t="shared" si="6"/>
        <v>0</v>
      </c>
      <c r="N59" s="748">
        <f t="shared" si="1"/>
        <v>0</v>
      </c>
      <c r="O59" s="395">
        <f t="shared" si="4"/>
        <v>0</v>
      </c>
      <c r="Q59" s="395"/>
      <c r="R59" s="395">
        <v>0</v>
      </c>
      <c r="Y59" s="395" t="str">
        <f t="shared" si="5"/>
        <v/>
      </c>
    </row>
    <row r="60" spans="1:25" x14ac:dyDescent="0.25">
      <c r="A60" s="395"/>
      <c r="B60" s="395"/>
      <c r="C60" s="446"/>
      <c r="D60" s="395"/>
      <c r="E60" s="395"/>
      <c r="H60" s="395"/>
      <c r="I60" s="395"/>
      <c r="J60" s="395"/>
      <c r="M60" s="395">
        <f t="shared" si="6"/>
        <v>0</v>
      </c>
      <c r="N60" s="748">
        <f t="shared" si="1"/>
        <v>0</v>
      </c>
      <c r="O60" s="395">
        <f t="shared" si="4"/>
        <v>0</v>
      </c>
      <c r="Q60" s="395"/>
      <c r="R60" s="395">
        <v>0</v>
      </c>
      <c r="Y60" s="395" t="str">
        <f t="shared" si="5"/>
        <v/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Kladblok_leegmaken">
                <anchor moveWithCells="1" sizeWithCells="1">
                  <from>
                    <xdr:col>12</xdr:col>
                    <xdr:colOff>238125</xdr:colOff>
                    <xdr:row>0</xdr:row>
                    <xdr:rowOff>38100</xdr:rowOff>
                  </from>
                  <to>
                    <xdr:col>16</xdr:col>
                    <xdr:colOff>485775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ule15.AutoCAD_XY_kolommenscheiden">
                <anchor moveWithCells="1" sizeWithCells="1">
                  <from>
                    <xdr:col>0</xdr:col>
                    <xdr:colOff>95250</xdr:colOff>
                    <xdr:row>0</xdr:row>
                    <xdr:rowOff>38100</xdr:rowOff>
                  </from>
                  <to>
                    <xdr:col>3</xdr:col>
                    <xdr:colOff>38100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KolommenInstellenPlakkenXYZ">
                <anchor moveWithCells="1" sizeWithCells="1">
                  <from>
                    <xdr:col>10</xdr:col>
                    <xdr:colOff>95250</xdr:colOff>
                    <xdr:row>0</xdr:row>
                    <xdr:rowOff>76200</xdr:rowOff>
                  </from>
                  <to>
                    <xdr:col>12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2]!XYdata_naar_Ontwerp">
                <anchor moveWithCells="1" sizeWithCells="1">
                  <from>
                    <xdr:col>5</xdr:col>
                    <xdr:colOff>333375</xdr:colOff>
                    <xdr:row>0</xdr:row>
                    <xdr:rowOff>47625</xdr:rowOff>
                  </from>
                  <to>
                    <xdr:col>8</xdr:col>
                    <xdr:colOff>485775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2]!YeenCelnaarLinks">
                <anchor moveWithCells="1" sizeWithCells="1">
                  <from>
                    <xdr:col>3</xdr:col>
                    <xdr:colOff>219075</xdr:colOff>
                    <xdr:row>0</xdr:row>
                    <xdr:rowOff>76200</xdr:rowOff>
                  </from>
                  <to>
                    <xdr:col>5</xdr:col>
                    <xdr:colOff>190500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/>
  <dimension ref="A1:Y250"/>
  <sheetViews>
    <sheetView topLeftCell="A102" zoomScaleNormal="100" workbookViewId="0">
      <selection activeCell="B142" sqref="B142"/>
    </sheetView>
  </sheetViews>
  <sheetFormatPr defaultColWidth="9.140625" defaultRowHeight="12.75" x14ac:dyDescent="0.2"/>
  <cols>
    <col min="1" max="1" width="51.7109375" style="98" customWidth="1"/>
    <col min="2" max="2" width="14.85546875" style="98" customWidth="1"/>
    <col min="3" max="3" width="18.42578125" style="98" customWidth="1"/>
    <col min="4" max="4" width="10.140625" style="98" customWidth="1"/>
    <col min="5" max="5" width="9.140625" style="98" customWidth="1"/>
    <col min="6" max="6" width="13.7109375" style="98" customWidth="1"/>
    <col min="7" max="7" width="13.140625" style="98" customWidth="1"/>
    <col min="8" max="8" width="9.140625" style="98" customWidth="1"/>
    <col min="9" max="9" width="9.85546875" style="98" customWidth="1"/>
    <col min="10" max="10" width="8.140625" style="98" customWidth="1"/>
    <col min="11" max="11" width="9.140625" style="98" customWidth="1"/>
    <col min="12" max="13" width="5.42578125" style="98" customWidth="1"/>
    <col min="14" max="14" width="6.7109375" style="98" customWidth="1"/>
    <col min="15" max="15" width="3.7109375" style="98" customWidth="1"/>
    <col min="16" max="16" width="4.28515625" style="98" customWidth="1"/>
    <col min="17" max="17" width="7.5703125" style="98" customWidth="1"/>
    <col min="18" max="18" width="3" style="98" customWidth="1"/>
    <col min="19" max="20" width="5.85546875" style="98" customWidth="1"/>
    <col min="21" max="22" width="9.140625" style="98" customWidth="1"/>
    <col min="23" max="23" width="9.140625" style="98"/>
    <col min="24" max="24" width="14.5703125" style="98" customWidth="1"/>
    <col min="25" max="25" width="48.140625" style="98" customWidth="1"/>
    <col min="26" max="16384" width="9.140625" style="98"/>
  </cols>
  <sheetData>
    <row r="1" spans="1:15" x14ac:dyDescent="0.2">
      <c r="A1" s="98" t="s">
        <v>993</v>
      </c>
      <c r="B1" s="98" t="s">
        <v>393</v>
      </c>
      <c r="C1" s="98" t="s">
        <v>394</v>
      </c>
      <c r="D1" s="98" t="s">
        <v>684</v>
      </c>
      <c r="E1" s="98" t="s">
        <v>1189</v>
      </c>
    </row>
    <row r="2" spans="1:15" x14ac:dyDescent="0.2">
      <c r="A2" s="98" t="s">
        <v>685</v>
      </c>
      <c r="B2" s="693">
        <v>103894.05119423172</v>
      </c>
      <c r="C2" s="693">
        <v>489290.34768824879</v>
      </c>
    </row>
    <row r="3" spans="1:15" x14ac:dyDescent="0.2">
      <c r="A3" s="98" t="s">
        <v>1190</v>
      </c>
      <c r="B3" s="693">
        <v>103947.3396053074</v>
      </c>
      <c r="C3" s="693">
        <v>489275.49443353066</v>
      </c>
      <c r="D3" s="736">
        <v>55.31974268460764</v>
      </c>
      <c r="F3" s="98">
        <f>Ontwerp!I274</f>
        <v>52.319742684608748</v>
      </c>
    </row>
    <row r="4" spans="1:15" x14ac:dyDescent="0.2">
      <c r="A4" s="98" t="s">
        <v>1313</v>
      </c>
      <c r="B4" s="512">
        <v>103987.61434448001</v>
      </c>
      <c r="C4" s="512">
        <v>489419.98645886278</v>
      </c>
      <c r="D4" s="737"/>
      <c r="E4" s="737">
        <v>149.99999999999866</v>
      </c>
      <c r="F4" s="98">
        <f>Ontwerp!I275</f>
        <v>13.851939727512205</v>
      </c>
    </row>
    <row r="5" spans="1:15" x14ac:dyDescent="0.2">
      <c r="A5" s="98" t="s">
        <v>1314</v>
      </c>
      <c r="B5" s="693">
        <v>103960.83555344217</v>
      </c>
      <c r="C5" s="693">
        <v>489272.3961598911</v>
      </c>
      <c r="D5" s="98">
        <v>13.851939727511983</v>
      </c>
      <c r="F5" s="98">
        <f>Ontwerp!I276</f>
        <v>0</v>
      </c>
    </row>
    <row r="6" spans="1:15" x14ac:dyDescent="0.2">
      <c r="A6" s="98" t="s">
        <v>1190</v>
      </c>
      <c r="B6" s="693">
        <v>104146.08204961708</v>
      </c>
      <c r="C6" s="693">
        <v>489238.78502659773</v>
      </c>
      <c r="D6" s="736">
        <v>188.27100845946515</v>
      </c>
      <c r="F6" s="98">
        <f>Ontwerp!I277</f>
        <v>160.55100845947021</v>
      </c>
    </row>
    <row r="7" spans="1:15" x14ac:dyDescent="0.2">
      <c r="A7" s="98" t="s">
        <v>993</v>
      </c>
      <c r="B7" s="512" t="s">
        <v>993</v>
      </c>
      <c r="C7" s="512"/>
      <c r="D7" s="737"/>
      <c r="E7" s="737"/>
      <c r="F7" s="98" t="str">
        <f>Ontwerp!I278</f>
        <v/>
      </c>
    </row>
    <row r="8" spans="1:15" x14ac:dyDescent="0.2">
      <c r="A8" s="98" t="s">
        <v>993</v>
      </c>
      <c r="B8" s="693" t="s">
        <v>993</v>
      </c>
      <c r="C8" s="693"/>
      <c r="F8" s="98">
        <f>Ontwerp!I279</f>
        <v>0</v>
      </c>
    </row>
    <row r="9" spans="1:15" x14ac:dyDescent="0.2">
      <c r="A9" s="98" t="s">
        <v>993</v>
      </c>
      <c r="B9" s="693" t="s">
        <v>993</v>
      </c>
      <c r="C9" s="693"/>
      <c r="D9" s="736"/>
      <c r="F9" s="98" t="str">
        <f>Ontwerp!I280</f>
        <v/>
      </c>
    </row>
    <row r="10" spans="1:15" x14ac:dyDescent="0.2">
      <c r="A10" s="98" t="s">
        <v>993</v>
      </c>
      <c r="B10" s="512" t="s">
        <v>993</v>
      </c>
      <c r="C10" s="512"/>
      <c r="D10" s="737"/>
      <c r="E10" s="737"/>
      <c r="F10" s="98" t="str">
        <f>Ontwerp!I281</f>
        <v/>
      </c>
    </row>
    <row r="11" spans="1:15" x14ac:dyDescent="0.2">
      <c r="A11" s="98" t="s">
        <v>993</v>
      </c>
      <c r="B11" s="693" t="s">
        <v>993</v>
      </c>
      <c r="C11" s="693"/>
      <c r="F11" s="98">
        <f>Ontwerp!I282</f>
        <v>0</v>
      </c>
      <c r="H11" s="98" t="s">
        <v>1073</v>
      </c>
    </row>
    <row r="12" spans="1:15" x14ac:dyDescent="0.2">
      <c r="A12" s="98" t="s">
        <v>993</v>
      </c>
      <c r="B12" s="693" t="s">
        <v>993</v>
      </c>
      <c r="C12" s="693"/>
      <c r="D12" s="692"/>
      <c r="F12" s="98" t="str">
        <f>Ontwerp!I283</f>
        <v/>
      </c>
    </row>
    <row r="13" spans="1:15" x14ac:dyDescent="0.2">
      <c r="A13" s="98" t="s">
        <v>993</v>
      </c>
      <c r="B13" s="98" t="s">
        <v>993</v>
      </c>
      <c r="F13" s="98">
        <f>SUM(F3:F12)</f>
        <v>226.72269087159117</v>
      </c>
    </row>
    <row r="14" spans="1:15" x14ac:dyDescent="0.2">
      <c r="A14" s="98" t="s">
        <v>993</v>
      </c>
      <c r="B14" s="98" t="s">
        <v>993</v>
      </c>
      <c r="F14" s="98">
        <f>SUM(D2:D12)</f>
        <v>257.44269087158477</v>
      </c>
    </row>
    <row r="15" spans="1:15" x14ac:dyDescent="0.2">
      <c r="A15" s="98" t="s">
        <v>993</v>
      </c>
      <c r="B15" s="98" t="s">
        <v>993</v>
      </c>
      <c r="F15" s="98" t="s">
        <v>686</v>
      </c>
      <c r="K15" s="98">
        <f>COUNTBLANK(K18:K199)</f>
        <v>83</v>
      </c>
    </row>
    <row r="16" spans="1:15" x14ac:dyDescent="0.2">
      <c r="A16" s="98" t="s">
        <v>993</v>
      </c>
      <c r="B16" s="98" t="s">
        <v>993</v>
      </c>
      <c r="K16" s="98" t="str">
        <f>IF(199-17-COUNTBLANK(K18:K199)&gt;31,"TEVEEL K&amp;L voor Ontwerp sheet",199-17-COUNTBLANK(K18:K199))</f>
        <v>TEVEEL K&amp;L voor Ontwerp sheet</v>
      </c>
      <c r="N16" s="692"/>
      <c r="O16" s="98" t="s">
        <v>687</v>
      </c>
    </row>
    <row r="17" spans="1:25" ht="13.5" customHeight="1" x14ac:dyDescent="0.2">
      <c r="A17" s="98" t="s">
        <v>1074</v>
      </c>
      <c r="B17" s="98" t="s">
        <v>1191</v>
      </c>
      <c r="F17" s="741"/>
      <c r="G17" s="742"/>
      <c r="X17" s="98" t="s">
        <v>1001</v>
      </c>
    </row>
    <row r="18" spans="1:25" x14ac:dyDescent="0.2">
      <c r="A18" s="98" t="s">
        <v>1074</v>
      </c>
      <c r="B18" s="98" t="s">
        <v>1191</v>
      </c>
      <c r="F18" s="741"/>
      <c r="G18" s="742"/>
      <c r="X18" s="747" t="str" cm="1">
        <f t="array" ref="X18:X27">_xlfn.UNIQUE(Y18:Y65)</f>
        <v>B-OI-OG-TERREIN_CULTUURSCHEIDING-GV</v>
      </c>
      <c r="Y18" s="744" t="s">
        <v>997</v>
      </c>
    </row>
    <row r="19" spans="1:25" x14ac:dyDescent="0.2">
      <c r="A19" s="98" t="s">
        <v>1316</v>
      </c>
      <c r="C19" s="692"/>
      <c r="F19" s="741" t="str" cm="1">
        <f t="array" ref="F19:G117">_xlfn._xlws.FILTER(A19:B199,NOT(ISBLANK(B19:B199)))</f>
        <v>B-OI-KL-DATA_KABELBED_ZIGGO BV-G</v>
      </c>
      <c r="G19" s="742">
        <v>7.2268600000000003</v>
      </c>
      <c r="H19" s="698">
        <f t="shared" ref="H19:H82" si="0">LEN(F19)</f>
        <v>32</v>
      </c>
      <c r="I19" s="98" t="str">
        <f t="shared" ref="I19:I49" si="1">RIGHT(F19,H19-8)</f>
        <v>DATA_KABELBED_ZIGGO BV-G</v>
      </c>
      <c r="J19" s="698" t="str">
        <f t="shared" ref="J19:J49" si="2">LEFT(I19,5)</f>
        <v>DATA_</v>
      </c>
      <c r="K19" s="738" t="str">
        <f t="shared" ref="K19:K81" si="3">IF(F19="","",VLOOKUP(J19,$A$202:$B$250,2,FALSE))</f>
        <v>d</v>
      </c>
      <c r="L19" s="692">
        <v>2</v>
      </c>
      <c r="M19" s="105" t="str">
        <f t="shared" ref="M19:M49" si="4">IF(F19="","",IF(F19="RV","BOB","BVK"))</f>
        <v>BVK</v>
      </c>
      <c r="N19" s="738">
        <f t="shared" ref="N19:N49" si="5">G19-N$16</f>
        <v>7.2268600000000003</v>
      </c>
      <c r="P19" s="105">
        <v>1</v>
      </c>
      <c r="Q19" s="692">
        <v>40.051184544972322</v>
      </c>
      <c r="R19" s="98">
        <v>9.3272570491982947</v>
      </c>
      <c r="S19" s="105">
        <f>IF(Q19=0,"",Q19)</f>
        <v>40.051184544972322</v>
      </c>
      <c r="T19" s="105">
        <f>IF(Q20=0,"",Q20)</f>
        <v>58.551844192899111</v>
      </c>
      <c r="X19" s="747" t="str">
        <v>B-OI-VH-VERHARDING_BETONSTRAATSTEEN-GV</v>
      </c>
      <c r="Y19" s="744" t="s">
        <v>998</v>
      </c>
    </row>
    <row r="20" spans="1:25" x14ac:dyDescent="0.2">
      <c r="A20" s="98" t="s">
        <v>1317</v>
      </c>
      <c r="B20" s="98">
        <v>7.2268600000000003</v>
      </c>
      <c r="C20" s="692"/>
      <c r="D20" s="693"/>
      <c r="F20" s="741" t="str">
        <v>B-OI-KL-ET_LS_LIANDER NV PAC 2AI68G2-G</v>
      </c>
      <c r="G20" s="742">
        <v>8.5377500000000008</v>
      </c>
      <c r="H20" s="698">
        <f t="shared" si="0"/>
        <v>38</v>
      </c>
      <c r="I20" s="98" t="str">
        <f t="shared" si="1"/>
        <v>ET_LS_LIANDER NV PAC 2AI68G2-G</v>
      </c>
      <c r="J20" s="698" t="str">
        <f t="shared" si="2"/>
        <v>ET_LS</v>
      </c>
      <c r="K20" s="738" t="str">
        <f t="shared" si="3"/>
        <v>ls</v>
      </c>
      <c r="L20" s="692">
        <v>3</v>
      </c>
      <c r="M20" s="105" t="str">
        <f t="shared" si="4"/>
        <v>BVK</v>
      </c>
      <c r="N20" s="738">
        <f t="shared" si="5"/>
        <v>8.5377500000000008</v>
      </c>
      <c r="P20" s="105">
        <f t="shared" ref="P20:P38" si="6">IF(Q20="","",P19+1)</f>
        <v>2</v>
      </c>
      <c r="Q20" s="692">
        <v>58.551844192899111</v>
      </c>
      <c r="R20" s="98">
        <v>14.290489727463694</v>
      </c>
      <c r="S20" s="105">
        <f>IF(Q21=0,"",Q21)</f>
        <v>150.32217248139148</v>
      </c>
      <c r="T20" s="105">
        <f>IF(Q22=0,"",Q22)</f>
        <v>184.34040680461101</v>
      </c>
      <c r="X20" s="747" t="str">
        <v>B-OI-VH-VERHARDING_ASFALT-GV</v>
      </c>
      <c r="Y20" s="744" t="s">
        <v>999</v>
      </c>
    </row>
    <row r="21" spans="1:25" x14ac:dyDescent="0.2">
      <c r="A21" s="692" t="s">
        <v>1318</v>
      </c>
      <c r="B21" s="692">
        <v>8.5377500000000008</v>
      </c>
      <c r="C21" s="692"/>
      <c r="F21" s="741" t="str">
        <v>B-OI-KL-DATA_KABELBED_ZIGGO BV-G</v>
      </c>
      <c r="G21" s="742">
        <v>20.519400000000001</v>
      </c>
      <c r="H21" s="698">
        <f t="shared" si="0"/>
        <v>32</v>
      </c>
      <c r="I21" s="98" t="str">
        <f t="shared" si="1"/>
        <v>DATA_KABELBED_ZIGGO BV-G</v>
      </c>
      <c r="J21" s="698" t="str">
        <f t="shared" si="2"/>
        <v>DATA_</v>
      </c>
      <c r="K21" s="738" t="str">
        <f t="shared" si="3"/>
        <v>d</v>
      </c>
      <c r="L21" s="692">
        <v>4</v>
      </c>
      <c r="M21" s="105" t="str">
        <f t="shared" si="4"/>
        <v>BVK</v>
      </c>
      <c r="N21" s="738">
        <f t="shared" si="5"/>
        <v>20.519400000000001</v>
      </c>
      <c r="P21" s="105">
        <f t="shared" si="6"/>
        <v>3</v>
      </c>
      <c r="Q21" s="692">
        <v>150.32217248139148</v>
      </c>
      <c r="R21" s="98">
        <v>46.866561856422898</v>
      </c>
      <c r="S21" s="105">
        <f>IF(Q23=0,"",Q23)</f>
        <v>192.53032513511113</v>
      </c>
      <c r="T21" s="105">
        <f>IF(Q24=0,"",Q24)</f>
        <v>197.12407369614772</v>
      </c>
      <c r="X21" s="747" t="str">
        <v>B-OI-VH-VERHARDING_TEGEL-GV</v>
      </c>
      <c r="Y21" s="744" t="s">
        <v>998</v>
      </c>
    </row>
    <row r="22" spans="1:25" x14ac:dyDescent="0.2">
      <c r="A22" s="692" t="s">
        <v>1316</v>
      </c>
      <c r="B22" s="692"/>
      <c r="C22" s="692"/>
      <c r="F22" s="741" t="str">
        <v>B-OI-KL-ET_LS_LIANDER NV PAC 2AI68G2-G</v>
      </c>
      <c r="G22" s="742">
        <v>23.715499999999999</v>
      </c>
      <c r="H22" s="698">
        <f t="shared" si="0"/>
        <v>38</v>
      </c>
      <c r="I22" s="98" t="str">
        <f t="shared" si="1"/>
        <v>ET_LS_LIANDER NV PAC 2AI68G2-G</v>
      </c>
      <c r="J22" s="698" t="str">
        <f t="shared" si="2"/>
        <v>ET_LS</v>
      </c>
      <c r="K22" s="738" t="str">
        <f t="shared" si="3"/>
        <v>ls</v>
      </c>
      <c r="L22" s="692">
        <v>5</v>
      </c>
      <c r="M22" s="105" t="str">
        <f t="shared" si="4"/>
        <v>BVK</v>
      </c>
      <c r="N22" s="738">
        <f t="shared" si="5"/>
        <v>23.715499999999999</v>
      </c>
      <c r="P22" s="105">
        <f t="shared" si="6"/>
        <v>4</v>
      </c>
      <c r="Q22" s="692">
        <v>184.34040680461101</v>
      </c>
      <c r="R22" s="98">
        <v>54.868247702382455</v>
      </c>
      <c r="S22" s="105" t="str">
        <f>IF(Q25=0,"",Q25)</f>
        <v/>
      </c>
      <c r="T22" s="105" t="str">
        <f>IF(Q26=0,"",Q26)</f>
        <v/>
      </c>
      <c r="X22" s="747" t="str">
        <v>B-OI-OG-WATER_SLOOT-GV</v>
      </c>
      <c r="Y22" s="744" t="s">
        <v>997</v>
      </c>
    </row>
    <row r="23" spans="1:25" x14ac:dyDescent="0.2">
      <c r="A23" s="692" t="s">
        <v>1317</v>
      </c>
      <c r="B23" s="692">
        <v>20.519400000000001</v>
      </c>
      <c r="C23" s="692"/>
      <c r="F23" s="741" t="str">
        <v>B-OI-KL-DATA_EUROFIBER NEDERLAND BV-G</v>
      </c>
      <c r="G23" s="742">
        <v>25.956199999999999</v>
      </c>
      <c r="H23" s="698">
        <f t="shared" si="0"/>
        <v>37</v>
      </c>
      <c r="I23" s="98" t="str">
        <f t="shared" si="1"/>
        <v>DATA_EUROFIBER NEDERLAND BV-G</v>
      </c>
      <c r="J23" s="698" t="str">
        <f t="shared" si="2"/>
        <v>DATA_</v>
      </c>
      <c r="K23" s="738" t="str">
        <f t="shared" si="3"/>
        <v>d</v>
      </c>
      <c r="L23" s="692">
        <v>6</v>
      </c>
      <c r="M23" s="105" t="str">
        <f t="shared" si="4"/>
        <v>BVK</v>
      </c>
      <c r="N23" s="738">
        <f t="shared" si="5"/>
        <v>25.956199999999999</v>
      </c>
      <c r="P23" s="105">
        <f t="shared" si="6"/>
        <v>5</v>
      </c>
      <c r="Q23" s="692">
        <v>192.53032513511113</v>
      </c>
      <c r="R23" s="98">
        <v>60.405553366049986</v>
      </c>
      <c r="S23" s="105" t="str">
        <f>IF(Q27=0,"",Q27)</f>
        <v/>
      </c>
      <c r="T23" s="105" t="str">
        <f>IF(Q28=0,"",Q28)</f>
        <v/>
      </c>
      <c r="X23" s="747" t="str">
        <v>B-OI-GR-GROENVOORZIENING-GV</v>
      </c>
      <c r="Y23" s="744" t="s">
        <v>999</v>
      </c>
    </row>
    <row r="24" spans="1:25" x14ac:dyDescent="0.2">
      <c r="A24" s="692" t="s">
        <v>1318</v>
      </c>
      <c r="B24" s="692">
        <v>23.715499999999999</v>
      </c>
      <c r="C24" s="692"/>
      <c r="F24" s="741" t="str">
        <v>B-OI-KL-DATA_EUROFIBER NEDERLAND BV-G</v>
      </c>
      <c r="G24" s="742">
        <v>25.961400000000001</v>
      </c>
      <c r="H24" s="698">
        <f t="shared" si="0"/>
        <v>37</v>
      </c>
      <c r="I24" s="98" t="str">
        <f t="shared" si="1"/>
        <v>DATA_EUROFIBER NEDERLAND BV-G</v>
      </c>
      <c r="J24" s="698" t="str">
        <f t="shared" si="2"/>
        <v>DATA_</v>
      </c>
      <c r="K24" s="738" t="str">
        <f t="shared" si="3"/>
        <v>d</v>
      </c>
      <c r="L24" s="692">
        <v>7</v>
      </c>
      <c r="M24" s="105" t="str">
        <f t="shared" si="4"/>
        <v>BVK</v>
      </c>
      <c r="N24" s="738">
        <f t="shared" si="5"/>
        <v>25.961400000000001</v>
      </c>
      <c r="P24" s="105">
        <f t="shared" si="6"/>
        <v>6</v>
      </c>
      <c r="Q24" s="692">
        <v>197.12407369614772</v>
      </c>
      <c r="R24" s="98">
        <v>65.567308877572529</v>
      </c>
      <c r="S24" s="763" t="str">
        <f>IF(Q29=0,"",Q29)</f>
        <v/>
      </c>
      <c r="T24" s="763" t="str">
        <f>IF(Q30=0,"",Q30)</f>
        <v/>
      </c>
      <c r="X24" s="747" t="str">
        <v>B-OI-GR-GRAS-GV</v>
      </c>
      <c r="Y24" s="744" t="s">
        <v>999</v>
      </c>
    </row>
    <row r="25" spans="1:25" x14ac:dyDescent="0.2">
      <c r="A25" s="692" t="s">
        <v>1271</v>
      </c>
      <c r="B25" s="692">
        <v>25.956199999999999</v>
      </c>
      <c r="F25" s="741" t="str">
        <v>B-OI-KL-DATA_EUROFIBER NEDERLAND BV-G</v>
      </c>
      <c r="G25" s="742">
        <v>26.2544</v>
      </c>
      <c r="H25" s="698">
        <f t="shared" si="0"/>
        <v>37</v>
      </c>
      <c r="I25" s="98" t="str">
        <f t="shared" si="1"/>
        <v>DATA_EUROFIBER NEDERLAND BV-G</v>
      </c>
      <c r="J25" s="698" t="str">
        <f t="shared" si="2"/>
        <v>DATA_</v>
      </c>
      <c r="K25" s="738" t="str">
        <f t="shared" si="3"/>
        <v>d</v>
      </c>
      <c r="L25" s="692">
        <v>8</v>
      </c>
      <c r="M25" s="105" t="str">
        <f t="shared" si="4"/>
        <v>BVK</v>
      </c>
      <c r="N25" s="738">
        <f t="shared" si="5"/>
        <v>26.2544</v>
      </c>
      <c r="P25" s="105">
        <f t="shared" si="6"/>
        <v>7</v>
      </c>
      <c r="Q25" s="692">
        <v>0</v>
      </c>
      <c r="R25" s="98">
        <v>71.117588257501836</v>
      </c>
      <c r="S25" s="763" t="str">
        <f>IF(Q31=0,"",Q31)</f>
        <v/>
      </c>
      <c r="T25" s="763" t="str">
        <f>IF(Q32=0,"",Q32)</f>
        <v/>
      </c>
      <c r="X25" s="747" t="str">
        <v>B-OI-OG-WATER-GV</v>
      </c>
      <c r="Y25" s="744" t="s">
        <v>997</v>
      </c>
    </row>
    <row r="26" spans="1:25" x14ac:dyDescent="0.2">
      <c r="A26" s="692" t="s">
        <v>1271</v>
      </c>
      <c r="B26" s="692">
        <v>25.961400000000001</v>
      </c>
      <c r="C26" s="692"/>
      <c r="F26" s="741" t="str">
        <v>B-OI-KL-DATA_EUROFIBER NEDERLAND BV-G</v>
      </c>
      <c r="G26" s="742">
        <v>26.2547</v>
      </c>
      <c r="H26" s="698">
        <f t="shared" si="0"/>
        <v>37</v>
      </c>
      <c r="I26" s="98" t="str">
        <f t="shared" si="1"/>
        <v>DATA_EUROFIBER NEDERLAND BV-G</v>
      </c>
      <c r="J26" s="698" t="str">
        <f t="shared" si="2"/>
        <v>DATA_</v>
      </c>
      <c r="K26" s="738" t="str">
        <f t="shared" si="3"/>
        <v>d</v>
      </c>
      <c r="L26" s="692">
        <v>9</v>
      </c>
      <c r="M26" s="105" t="str">
        <f t="shared" si="4"/>
        <v>BVK</v>
      </c>
      <c r="N26" s="738">
        <f t="shared" si="5"/>
        <v>26.2547</v>
      </c>
      <c r="P26" s="105">
        <f t="shared" si="6"/>
        <v>8</v>
      </c>
      <c r="Q26" s="692">
        <v>0</v>
      </c>
      <c r="R26" s="98">
        <v>0</v>
      </c>
      <c r="S26" s="763" t="str">
        <f>IF(Q33=0,"",Q33)</f>
        <v/>
      </c>
      <c r="T26" s="763" t="str">
        <f>IF(Q34=0,"",Q34)</f>
        <v/>
      </c>
      <c r="X26" s="747" t="str">
        <v>B-OI-VH-VERHARDING_BEDRIJFSVLOERPLAAT-GV</v>
      </c>
      <c r="Y26" s="744" t="s">
        <v>1000</v>
      </c>
    </row>
    <row r="27" spans="1:25" x14ac:dyDescent="0.2">
      <c r="A27" s="692" t="s">
        <v>1271</v>
      </c>
      <c r="B27" s="692">
        <v>26.2544</v>
      </c>
      <c r="C27" s="692"/>
      <c r="F27" s="741" t="str">
        <v>B-OI-KL-DATA_EUROFIBER NEDERLAND BV-G</v>
      </c>
      <c r="G27" s="742">
        <v>26.5259</v>
      </c>
      <c r="H27" s="698">
        <f t="shared" si="0"/>
        <v>37</v>
      </c>
      <c r="I27" s="98" t="str">
        <f t="shared" si="1"/>
        <v>DATA_EUROFIBER NEDERLAND BV-G</v>
      </c>
      <c r="J27" s="698" t="str">
        <f t="shared" si="2"/>
        <v>DATA_</v>
      </c>
      <c r="K27" s="738" t="str">
        <f t="shared" si="3"/>
        <v>d</v>
      </c>
      <c r="L27" s="692">
        <v>10</v>
      </c>
      <c r="M27" s="105" t="str">
        <f t="shared" si="4"/>
        <v>BVK</v>
      </c>
      <c r="N27" s="738">
        <f t="shared" si="5"/>
        <v>26.5259</v>
      </c>
      <c r="P27" s="105">
        <f t="shared" si="6"/>
        <v>9</v>
      </c>
      <c r="Q27" s="692">
        <v>0</v>
      </c>
      <c r="R27" s="98">
        <v>0</v>
      </c>
      <c r="S27" s="763" t="str">
        <f>IF(Q35=0,"",Q35)</f>
        <v/>
      </c>
      <c r="T27" s="763" t="str">
        <f>IF(Q36=0,"",Q36)</f>
        <v/>
      </c>
      <c r="X27" s="747" t="str">
        <v>B-OI-OG-TERREIN_OEVER-GV</v>
      </c>
      <c r="Y27" s="744" t="s">
        <v>999</v>
      </c>
    </row>
    <row r="28" spans="1:25" x14ac:dyDescent="0.2">
      <c r="A28" s="692" t="s">
        <v>1271</v>
      </c>
      <c r="B28" s="692">
        <v>26.2547</v>
      </c>
      <c r="F28" s="741" t="str">
        <v>B-OI-KL-DATA_EUROFIBER NEDERLAND BV-G</v>
      </c>
      <c r="G28" s="742">
        <v>26.527699999999999</v>
      </c>
      <c r="H28" s="698">
        <f t="shared" si="0"/>
        <v>37</v>
      </c>
      <c r="I28" s="98" t="str">
        <f t="shared" si="1"/>
        <v>DATA_EUROFIBER NEDERLAND BV-G</v>
      </c>
      <c r="J28" s="698" t="str">
        <f t="shared" si="2"/>
        <v>DATA_</v>
      </c>
      <c r="K28" s="738" t="str">
        <f t="shared" si="3"/>
        <v>d</v>
      </c>
      <c r="L28" s="692">
        <v>11</v>
      </c>
      <c r="M28" s="105" t="str">
        <f t="shared" si="4"/>
        <v>BVK</v>
      </c>
      <c r="N28" s="738">
        <f t="shared" si="5"/>
        <v>26.527699999999999</v>
      </c>
      <c r="P28" s="105">
        <f t="shared" si="6"/>
        <v>10</v>
      </c>
      <c r="Q28" s="692">
        <v>0</v>
      </c>
      <c r="R28" s="98">
        <v>0</v>
      </c>
      <c r="X28" s="747"/>
      <c r="Y28" s="744" t="s">
        <v>1005</v>
      </c>
    </row>
    <row r="29" spans="1:25" x14ac:dyDescent="0.2">
      <c r="A29" s="692" t="s">
        <v>1271</v>
      </c>
      <c r="B29" s="692">
        <v>26.5259</v>
      </c>
      <c r="F29" s="741" t="str">
        <v>N-OI-KL-DATA_EUROFIBER NEDERLAND BV-G</v>
      </c>
      <c r="G29" s="742">
        <v>26.553699999999999</v>
      </c>
      <c r="H29" s="698">
        <f t="shared" si="0"/>
        <v>37</v>
      </c>
      <c r="I29" s="98" t="str">
        <f t="shared" si="1"/>
        <v>DATA_EUROFIBER NEDERLAND BV-G</v>
      </c>
      <c r="J29" s="698" t="str">
        <f t="shared" si="2"/>
        <v>DATA_</v>
      </c>
      <c r="K29" s="738" t="str">
        <f t="shared" si="3"/>
        <v>d</v>
      </c>
      <c r="L29" s="692">
        <v>12</v>
      </c>
      <c r="M29" s="105" t="str">
        <f t="shared" si="4"/>
        <v>BVK</v>
      </c>
      <c r="N29" s="738">
        <f t="shared" si="5"/>
        <v>26.553699999999999</v>
      </c>
      <c r="P29" s="105">
        <f t="shared" si="6"/>
        <v>11</v>
      </c>
      <c r="Q29" s="692">
        <v>0</v>
      </c>
      <c r="R29" s="98">
        <v>0</v>
      </c>
      <c r="X29" s="747"/>
      <c r="Y29" s="744" t="s">
        <v>1006</v>
      </c>
    </row>
    <row r="30" spans="1:25" x14ac:dyDescent="0.2">
      <c r="A30" s="692" t="s">
        <v>1271</v>
      </c>
      <c r="B30" s="692">
        <v>26.527699999999999</v>
      </c>
      <c r="C30" s="692"/>
      <c r="F30" s="741" t="str">
        <v>B-OI-KL-DATA_EUROFIBER NEDERLAND BV-G</v>
      </c>
      <c r="G30" s="742">
        <v>26.567699999999999</v>
      </c>
      <c r="H30" s="698">
        <f t="shared" si="0"/>
        <v>37</v>
      </c>
      <c r="I30" s="98" t="str">
        <f t="shared" si="1"/>
        <v>DATA_EUROFIBER NEDERLAND BV-G</v>
      </c>
      <c r="J30" s="698" t="str">
        <f t="shared" si="2"/>
        <v>DATA_</v>
      </c>
      <c r="K30" s="738" t="str">
        <f t="shared" si="3"/>
        <v>d</v>
      </c>
      <c r="L30" s="692">
        <v>13</v>
      </c>
      <c r="M30" s="105" t="str">
        <f t="shared" si="4"/>
        <v>BVK</v>
      </c>
      <c r="N30" s="738">
        <f t="shared" si="5"/>
        <v>26.567699999999999</v>
      </c>
      <c r="P30" s="105">
        <f t="shared" si="6"/>
        <v>12</v>
      </c>
      <c r="Q30" s="692">
        <v>0</v>
      </c>
      <c r="R30" s="98">
        <v>0</v>
      </c>
      <c r="X30" s="747"/>
      <c r="Y30" s="744" t="s">
        <v>1005</v>
      </c>
    </row>
    <row r="31" spans="1:25" x14ac:dyDescent="0.2">
      <c r="A31" s="692" t="s">
        <v>1319</v>
      </c>
      <c r="B31" s="692">
        <v>26.553699999999999</v>
      </c>
      <c r="F31" s="741" t="str">
        <v>B-OI-KL-DATA_KABELBED_KPN BV-G</v>
      </c>
      <c r="G31" s="742">
        <v>30.711600000000001</v>
      </c>
      <c r="H31" s="698">
        <f t="shared" si="0"/>
        <v>30</v>
      </c>
      <c r="I31" s="98" t="str">
        <f t="shared" si="1"/>
        <v>DATA_KABELBED_KPN BV-G</v>
      </c>
      <c r="J31" s="698" t="str">
        <f t="shared" si="2"/>
        <v>DATA_</v>
      </c>
      <c r="K31" s="738" t="str">
        <f t="shared" si="3"/>
        <v>d</v>
      </c>
      <c r="L31" s="692">
        <v>14</v>
      </c>
      <c r="M31" s="105" t="str">
        <f t="shared" si="4"/>
        <v>BVK</v>
      </c>
      <c r="N31" s="738">
        <f t="shared" si="5"/>
        <v>30.711600000000001</v>
      </c>
      <c r="P31" s="105">
        <f t="shared" si="6"/>
        <v>13</v>
      </c>
      <c r="Q31" s="692">
        <v>0</v>
      </c>
      <c r="X31" s="747"/>
      <c r="Y31" s="744" t="s">
        <v>1005</v>
      </c>
    </row>
    <row r="32" spans="1:25" x14ac:dyDescent="0.2">
      <c r="A32" s="692" t="s">
        <v>1271</v>
      </c>
      <c r="B32" s="692">
        <v>26.567699999999999</v>
      </c>
      <c r="C32" s="692"/>
      <c r="F32" s="741" t="str">
        <v>B-OI-KL-WATER_PWN AFD KLICBEHEER-G</v>
      </c>
      <c r="G32" s="742">
        <v>33.9009</v>
      </c>
      <c r="H32" s="698">
        <f t="shared" si="0"/>
        <v>34</v>
      </c>
      <c r="I32" s="98" t="str">
        <f t="shared" si="1"/>
        <v>WATER_PWN AFD KLICBEHEER-G</v>
      </c>
      <c r="J32" s="698" t="str">
        <f t="shared" si="2"/>
        <v>WATER</v>
      </c>
      <c r="K32" s="738" t="str">
        <f t="shared" si="3"/>
        <v>w</v>
      </c>
      <c r="L32" s="692">
        <v>15</v>
      </c>
      <c r="M32" s="105" t="str">
        <f t="shared" si="4"/>
        <v>BVK</v>
      </c>
      <c r="N32" s="738">
        <f t="shared" si="5"/>
        <v>33.9009</v>
      </c>
      <c r="P32" s="105">
        <f t="shared" si="6"/>
        <v>14</v>
      </c>
      <c r="Q32" s="692">
        <v>0</v>
      </c>
      <c r="X32" s="747"/>
      <c r="Y32" s="744" t="s">
        <v>1005</v>
      </c>
    </row>
    <row r="33" spans="1:25" x14ac:dyDescent="0.2">
      <c r="A33" s="692" t="s">
        <v>1320</v>
      </c>
      <c r="B33" s="692">
        <v>30.711600000000001</v>
      </c>
      <c r="F33" s="741" t="str">
        <v>B-OI-KL-ET_LS_GEMEENTE HAARLEM-G</v>
      </c>
      <c r="G33" s="742">
        <v>33.927500000000002</v>
      </c>
      <c r="H33" s="698">
        <f t="shared" si="0"/>
        <v>32</v>
      </c>
      <c r="I33" s="98" t="str">
        <f t="shared" si="1"/>
        <v>ET_LS_GEMEENTE HAARLEM-G</v>
      </c>
      <c r="J33" s="698" t="str">
        <f t="shared" si="2"/>
        <v>ET_LS</v>
      </c>
      <c r="K33" s="738" t="str">
        <f t="shared" si="3"/>
        <v>ls</v>
      </c>
      <c r="L33" s="692">
        <v>16</v>
      </c>
      <c r="M33" s="105" t="str">
        <f t="shared" si="4"/>
        <v>BVK</v>
      </c>
      <c r="N33" s="738">
        <f t="shared" si="5"/>
        <v>33.927500000000002</v>
      </c>
      <c r="P33" s="105">
        <f t="shared" si="6"/>
        <v>15</v>
      </c>
      <c r="Q33" s="692">
        <v>0</v>
      </c>
      <c r="X33" s="747"/>
      <c r="Y33" s="744" t="s">
        <v>1005</v>
      </c>
    </row>
    <row r="34" spans="1:25" x14ac:dyDescent="0.2">
      <c r="A34" s="692" t="s">
        <v>1321</v>
      </c>
      <c r="B34" s="692">
        <v>33.9009</v>
      </c>
      <c r="C34" s="692"/>
      <c r="F34" s="741" t="str">
        <v>B-OI-KL-ET_LS_LIANDER NV PAC 2AI68G2-G</v>
      </c>
      <c r="G34" s="742">
        <v>34.096400000000003</v>
      </c>
      <c r="H34" s="698">
        <f t="shared" si="0"/>
        <v>38</v>
      </c>
      <c r="I34" s="98" t="str">
        <f t="shared" si="1"/>
        <v>ET_LS_LIANDER NV PAC 2AI68G2-G</v>
      </c>
      <c r="J34" s="698" t="str">
        <f t="shared" si="2"/>
        <v>ET_LS</v>
      </c>
      <c r="K34" s="738" t="str">
        <f t="shared" si="3"/>
        <v>ls</v>
      </c>
      <c r="L34" s="692">
        <v>17</v>
      </c>
      <c r="M34" s="105" t="str">
        <f t="shared" si="4"/>
        <v>BVK</v>
      </c>
      <c r="N34" s="738">
        <f t="shared" si="5"/>
        <v>34.096400000000003</v>
      </c>
      <c r="P34" s="105">
        <f t="shared" si="6"/>
        <v>16</v>
      </c>
      <c r="Q34" s="692">
        <v>0</v>
      </c>
      <c r="X34" s="747"/>
      <c r="Y34" s="744" t="s">
        <v>1007</v>
      </c>
    </row>
    <row r="35" spans="1:25" x14ac:dyDescent="0.2">
      <c r="A35" s="692" t="s">
        <v>1322</v>
      </c>
      <c r="B35" s="692">
        <v>33.927500000000002</v>
      </c>
      <c r="F35" s="741" t="str">
        <v>B-OI-KL-WATER_PWN AFD KLICBEHEER-G</v>
      </c>
      <c r="G35" s="742">
        <v>35.8035</v>
      </c>
      <c r="H35" s="698">
        <f t="shared" si="0"/>
        <v>34</v>
      </c>
      <c r="I35" s="98" t="str">
        <f t="shared" si="1"/>
        <v>WATER_PWN AFD KLICBEHEER-G</v>
      </c>
      <c r="J35" s="698" t="str">
        <f t="shared" si="2"/>
        <v>WATER</v>
      </c>
      <c r="K35" s="738" t="str">
        <f t="shared" si="3"/>
        <v>w</v>
      </c>
      <c r="L35" s="692">
        <v>18</v>
      </c>
      <c r="M35" s="105" t="str">
        <f t="shared" si="4"/>
        <v>BVK</v>
      </c>
      <c r="N35" s="738">
        <f t="shared" si="5"/>
        <v>35.8035</v>
      </c>
      <c r="P35" s="105">
        <f t="shared" si="6"/>
        <v>17</v>
      </c>
      <c r="Q35" s="692">
        <v>0</v>
      </c>
      <c r="X35" s="747"/>
      <c r="Y35" s="744" t="s">
        <v>1005</v>
      </c>
    </row>
    <row r="36" spans="1:25" x14ac:dyDescent="0.2">
      <c r="A36" s="692" t="s">
        <v>1318</v>
      </c>
      <c r="B36" s="692">
        <v>34.096400000000003</v>
      </c>
      <c r="C36" s="692"/>
      <c r="F36" s="741" t="str">
        <v>B-OI-KL-ET_LS_GEMEENTE HAARLEM-G</v>
      </c>
      <c r="G36" s="742">
        <v>38.4041</v>
      </c>
      <c r="H36" s="698">
        <f t="shared" si="0"/>
        <v>32</v>
      </c>
      <c r="I36" s="98" t="str">
        <f t="shared" si="1"/>
        <v>ET_LS_GEMEENTE HAARLEM-G</v>
      </c>
      <c r="J36" s="698" t="str">
        <f t="shared" si="2"/>
        <v>ET_LS</v>
      </c>
      <c r="K36" s="738" t="str">
        <f t="shared" si="3"/>
        <v>ls</v>
      </c>
      <c r="L36" s="692">
        <v>19</v>
      </c>
      <c r="M36" s="105" t="str">
        <f t="shared" si="4"/>
        <v>BVK</v>
      </c>
      <c r="N36" s="738">
        <f t="shared" si="5"/>
        <v>38.4041</v>
      </c>
      <c r="P36" s="105">
        <f t="shared" si="6"/>
        <v>18</v>
      </c>
      <c r="Q36" s="692">
        <v>0</v>
      </c>
      <c r="X36" s="747"/>
      <c r="Y36" s="744" t="s">
        <v>1000</v>
      </c>
    </row>
    <row r="37" spans="1:25" x14ac:dyDescent="0.2">
      <c r="A37" s="692" t="s">
        <v>1321</v>
      </c>
      <c r="B37" s="692">
        <v>35.8035</v>
      </c>
      <c r="F37" s="741" t="str">
        <v>B-OI-KL-DATA_MANTELBUIS_KPN BV-G</v>
      </c>
      <c r="G37" s="742">
        <v>38.641199999999998</v>
      </c>
      <c r="H37" s="698">
        <f t="shared" si="0"/>
        <v>32</v>
      </c>
      <c r="I37" s="98" t="str">
        <f t="shared" si="1"/>
        <v>DATA_MANTELBUIS_KPN BV-G</v>
      </c>
      <c r="J37" s="698" t="str">
        <f t="shared" si="2"/>
        <v>DATA_</v>
      </c>
      <c r="K37" s="738" t="str">
        <f t="shared" si="3"/>
        <v>d</v>
      </c>
      <c r="L37" s="692">
        <v>20</v>
      </c>
      <c r="M37" s="105" t="str">
        <f t="shared" si="4"/>
        <v>BVK</v>
      </c>
      <c r="N37" s="738">
        <f t="shared" si="5"/>
        <v>38.641199999999998</v>
      </c>
      <c r="P37" s="105">
        <f t="shared" si="6"/>
        <v>19</v>
      </c>
      <c r="Q37" s="692">
        <v>0</v>
      </c>
      <c r="X37" s="747"/>
      <c r="Y37" s="744" t="s">
        <v>997</v>
      </c>
    </row>
    <row r="38" spans="1:25" x14ac:dyDescent="0.2">
      <c r="A38" s="692" t="s">
        <v>1322</v>
      </c>
      <c r="B38" s="692">
        <v>38.4041</v>
      </c>
      <c r="C38" s="692"/>
      <c r="F38" s="741" t="str">
        <v>B-OI-KL-ET_MS_LIANDER NV PAC 2AI68G2-G</v>
      </c>
      <c r="G38" s="742">
        <v>39.009399999999999</v>
      </c>
      <c r="H38" s="698">
        <f t="shared" si="0"/>
        <v>38</v>
      </c>
      <c r="I38" s="98" t="str">
        <f t="shared" si="1"/>
        <v>ET_MS_LIANDER NV PAC 2AI68G2-G</v>
      </c>
      <c r="J38" s="698" t="str">
        <f t="shared" si="2"/>
        <v>ET_MS</v>
      </c>
      <c r="K38" s="738" t="str">
        <f t="shared" si="3"/>
        <v>ms</v>
      </c>
      <c r="L38" s="692">
        <v>21</v>
      </c>
      <c r="M38" s="105" t="str">
        <f t="shared" si="4"/>
        <v>BVK</v>
      </c>
      <c r="N38" s="738">
        <f t="shared" si="5"/>
        <v>39.009399999999999</v>
      </c>
      <c r="P38" s="105">
        <f t="shared" si="6"/>
        <v>20</v>
      </c>
      <c r="Q38" s="692">
        <v>0</v>
      </c>
      <c r="X38" s="747"/>
      <c r="Y38" s="744" t="s">
        <v>1000</v>
      </c>
    </row>
    <row r="39" spans="1:25" x14ac:dyDescent="0.2">
      <c r="A39" s="692" t="s">
        <v>1320</v>
      </c>
      <c r="B39" s="692"/>
      <c r="C39" s="692"/>
      <c r="F39" s="741" t="str">
        <v>B-OI-KL-WATER_PWN AFD KLICBEHEER-G</v>
      </c>
      <c r="G39" s="742">
        <v>39.535800000000002</v>
      </c>
      <c r="H39" s="698">
        <f t="shared" si="0"/>
        <v>34</v>
      </c>
      <c r="I39" s="98" t="str">
        <f t="shared" si="1"/>
        <v>WATER_PWN AFD KLICBEHEER-G</v>
      </c>
      <c r="J39" s="698" t="str">
        <f t="shared" si="2"/>
        <v>WATER</v>
      </c>
      <c r="K39" s="738" t="str">
        <f t="shared" si="3"/>
        <v>w</v>
      </c>
      <c r="L39" s="692">
        <v>22</v>
      </c>
      <c r="M39" s="105" t="str">
        <f t="shared" si="4"/>
        <v>BVK</v>
      </c>
      <c r="N39" s="738">
        <f t="shared" si="5"/>
        <v>39.535800000000002</v>
      </c>
      <c r="Q39" s="98">
        <v>0</v>
      </c>
      <c r="X39" s="747"/>
      <c r="Y39" s="744" t="s">
        <v>999</v>
      </c>
    </row>
    <row r="40" spans="1:25" x14ac:dyDescent="0.2">
      <c r="A40" s="692" t="s">
        <v>1320</v>
      </c>
      <c r="B40" s="692"/>
      <c r="F40" s="741" t="str">
        <v>B-OI-KL-DATA_KABELBED_KPN BV-G</v>
      </c>
      <c r="G40" s="742">
        <v>40.097000000000001</v>
      </c>
      <c r="H40" s="698">
        <f t="shared" si="0"/>
        <v>30</v>
      </c>
      <c r="I40" s="98" t="str">
        <f t="shared" si="1"/>
        <v>DATA_KABELBED_KPN BV-G</v>
      </c>
      <c r="J40" s="698" t="str">
        <f t="shared" si="2"/>
        <v>DATA_</v>
      </c>
      <c r="K40" s="738" t="str">
        <f t="shared" si="3"/>
        <v>d</v>
      </c>
      <c r="L40" s="692">
        <v>23</v>
      </c>
      <c r="M40" s="105" t="str">
        <f t="shared" si="4"/>
        <v>BVK</v>
      </c>
      <c r="N40" s="738">
        <f t="shared" si="5"/>
        <v>40.097000000000001</v>
      </c>
      <c r="Q40" s="98">
        <v>0</v>
      </c>
      <c r="X40" s="747"/>
      <c r="Y40" s="744" t="s">
        <v>997</v>
      </c>
    </row>
    <row r="41" spans="1:25" x14ac:dyDescent="0.2">
      <c r="A41" s="692" t="s">
        <v>1323</v>
      </c>
      <c r="B41" s="692">
        <v>38.641199999999998</v>
      </c>
      <c r="C41" s="692"/>
      <c r="F41" s="741" t="str">
        <v>B-OI-KL-DATA_KABELBED_KPN BV-G</v>
      </c>
      <c r="G41" s="742">
        <v>40.097999999999999</v>
      </c>
      <c r="H41" s="698">
        <f t="shared" si="0"/>
        <v>30</v>
      </c>
      <c r="I41" s="98" t="str">
        <f t="shared" si="1"/>
        <v>DATA_KABELBED_KPN BV-G</v>
      </c>
      <c r="J41" s="698" t="str">
        <f t="shared" si="2"/>
        <v>DATA_</v>
      </c>
      <c r="K41" s="738" t="str">
        <f t="shared" si="3"/>
        <v>d</v>
      </c>
      <c r="L41" s="692">
        <v>24</v>
      </c>
      <c r="M41" s="105" t="str">
        <f t="shared" si="4"/>
        <v>BVK</v>
      </c>
      <c r="N41" s="738">
        <f t="shared" si="5"/>
        <v>40.097999999999999</v>
      </c>
      <c r="Q41" s="692">
        <v>0</v>
      </c>
      <c r="X41" s="747"/>
      <c r="Y41" s="744" t="s">
        <v>997</v>
      </c>
    </row>
    <row r="42" spans="1:25" x14ac:dyDescent="0.2">
      <c r="A42" s="692" t="s">
        <v>1324</v>
      </c>
      <c r="B42" s="692">
        <v>39.009399999999999</v>
      </c>
      <c r="C42" s="692"/>
      <c r="F42" s="741" t="str">
        <v>B-OI-KL-DATA_MANTELBUIS_KPN BV-G</v>
      </c>
      <c r="G42" s="742">
        <v>40.503399999999999</v>
      </c>
      <c r="H42" s="698">
        <f t="shared" si="0"/>
        <v>32</v>
      </c>
      <c r="I42" s="98" t="str">
        <f t="shared" si="1"/>
        <v>DATA_MANTELBUIS_KPN BV-G</v>
      </c>
      <c r="J42" s="698" t="str">
        <f t="shared" si="2"/>
        <v>DATA_</v>
      </c>
      <c r="K42" s="738" t="str">
        <f t="shared" si="3"/>
        <v>d</v>
      </c>
      <c r="L42" s="692">
        <v>25</v>
      </c>
      <c r="M42" s="105" t="str">
        <f t="shared" si="4"/>
        <v>BVK</v>
      </c>
      <c r="N42" s="738">
        <f t="shared" si="5"/>
        <v>40.503399999999999</v>
      </c>
      <c r="Q42" s="98">
        <v>0</v>
      </c>
      <c r="X42" s="747"/>
      <c r="Y42" s="744" t="s">
        <v>999</v>
      </c>
    </row>
    <row r="43" spans="1:25" x14ac:dyDescent="0.2">
      <c r="A43" s="692" t="s">
        <v>1321</v>
      </c>
      <c r="B43" s="692">
        <v>39.535800000000002</v>
      </c>
      <c r="F43" s="741" t="str">
        <v>B-OI-KL-DATA_KABELBED_KPN BV-G</v>
      </c>
      <c r="G43" s="742">
        <v>40.503999999999998</v>
      </c>
      <c r="H43" s="698">
        <f t="shared" si="0"/>
        <v>30</v>
      </c>
      <c r="I43" s="98" t="str">
        <f t="shared" si="1"/>
        <v>DATA_KABELBED_KPN BV-G</v>
      </c>
      <c r="J43" s="698" t="str">
        <f t="shared" si="2"/>
        <v>DATA_</v>
      </c>
      <c r="K43" s="738" t="str">
        <f t="shared" si="3"/>
        <v>d</v>
      </c>
      <c r="L43" s="692">
        <v>26</v>
      </c>
      <c r="M43" s="105" t="str">
        <f t="shared" si="4"/>
        <v>BVK</v>
      </c>
      <c r="N43" s="738">
        <f t="shared" si="5"/>
        <v>40.503999999999998</v>
      </c>
      <c r="X43" s="747"/>
      <c r="Y43" s="744" t="s">
        <v>1005</v>
      </c>
    </row>
    <row r="44" spans="1:25" x14ac:dyDescent="0.2">
      <c r="A44" s="692" t="s">
        <v>1323</v>
      </c>
      <c r="B44" s="692"/>
      <c r="C44" s="692"/>
      <c r="F44" s="741" t="str">
        <v>B-OI-KL-DATA_LIANDER NV PAC 2AI68G2-G</v>
      </c>
      <c r="G44" s="742">
        <v>40.945599999999999</v>
      </c>
      <c r="H44" s="698">
        <f t="shared" si="0"/>
        <v>37</v>
      </c>
      <c r="I44" s="98" t="str">
        <f t="shared" si="1"/>
        <v>DATA_LIANDER NV PAC 2AI68G2-G</v>
      </c>
      <c r="J44" s="698" t="str">
        <f t="shared" si="2"/>
        <v>DATA_</v>
      </c>
      <c r="K44" s="738" t="str">
        <f t="shared" si="3"/>
        <v>d</v>
      </c>
      <c r="L44" s="692">
        <v>27</v>
      </c>
      <c r="M44" s="105" t="str">
        <f t="shared" si="4"/>
        <v>BVK</v>
      </c>
      <c r="N44" s="738">
        <f t="shared" si="5"/>
        <v>40.945599999999999</v>
      </c>
      <c r="X44" s="747"/>
      <c r="Y44" s="744" t="s">
        <v>1046</v>
      </c>
    </row>
    <row r="45" spans="1:25" x14ac:dyDescent="0.2">
      <c r="A45" s="692" t="s">
        <v>1320</v>
      </c>
      <c r="B45" s="692">
        <v>40.097000000000001</v>
      </c>
      <c r="F45" s="741" t="str">
        <v>B-OI-KL-ET_LS_GEMEENTE HAARLEM-G</v>
      </c>
      <c r="G45" s="742">
        <v>47.8611</v>
      </c>
      <c r="H45" s="698">
        <f t="shared" si="0"/>
        <v>32</v>
      </c>
      <c r="I45" s="98" t="str">
        <f t="shared" si="1"/>
        <v>ET_LS_GEMEENTE HAARLEM-G</v>
      </c>
      <c r="J45" s="698" t="str">
        <f t="shared" si="2"/>
        <v>ET_LS</v>
      </c>
      <c r="K45" s="738" t="str">
        <f t="shared" si="3"/>
        <v>ls</v>
      </c>
      <c r="L45" s="692">
        <v>28</v>
      </c>
      <c r="M45" s="105" t="str">
        <f t="shared" si="4"/>
        <v>BVK</v>
      </c>
      <c r="N45" s="738">
        <f t="shared" si="5"/>
        <v>47.8611</v>
      </c>
      <c r="X45" s="747"/>
      <c r="Y45" s="744" t="s">
        <v>1005</v>
      </c>
    </row>
    <row r="46" spans="1:25" x14ac:dyDescent="0.2">
      <c r="A46" s="692" t="s">
        <v>1320</v>
      </c>
      <c r="B46" s="692">
        <v>40.097999999999999</v>
      </c>
      <c r="C46" s="692"/>
      <c r="F46" s="741" t="str">
        <v>B-OI-KL-GAS_LD_LIANDER NV PAC 2AI68G2-G</v>
      </c>
      <c r="G46" s="742">
        <v>49.354799999999997</v>
      </c>
      <c r="H46" s="698">
        <f t="shared" si="0"/>
        <v>39</v>
      </c>
      <c r="I46" s="98" t="str">
        <f t="shared" si="1"/>
        <v>GAS_LD_LIANDER NV PAC 2AI68G2-G</v>
      </c>
      <c r="J46" s="698" t="str">
        <f t="shared" si="2"/>
        <v>GAS_L</v>
      </c>
      <c r="K46" s="738" t="str">
        <f t="shared" si="3"/>
        <v>ld</v>
      </c>
      <c r="L46" s="692">
        <v>29</v>
      </c>
      <c r="M46" s="105" t="str">
        <f t="shared" si="4"/>
        <v>BVK</v>
      </c>
      <c r="N46" s="738">
        <f t="shared" si="5"/>
        <v>49.354799999999997</v>
      </c>
      <c r="X46" s="747"/>
      <c r="Y46" s="744" t="s">
        <v>1046</v>
      </c>
    </row>
    <row r="47" spans="1:25" x14ac:dyDescent="0.2">
      <c r="A47" s="692" t="s">
        <v>1320</v>
      </c>
      <c r="B47" s="692"/>
      <c r="F47" s="741" t="str">
        <v>B-OI-KL-ET_LS_GEMEENTE HAARLEM-G</v>
      </c>
      <c r="G47" s="742">
        <v>52.855899999999998</v>
      </c>
      <c r="H47" s="698">
        <f t="shared" si="0"/>
        <v>32</v>
      </c>
      <c r="I47" s="98" t="str">
        <f t="shared" si="1"/>
        <v>ET_LS_GEMEENTE HAARLEM-G</v>
      </c>
      <c r="J47" s="698" t="str">
        <f t="shared" si="2"/>
        <v>ET_LS</v>
      </c>
      <c r="K47" s="738" t="str">
        <f t="shared" si="3"/>
        <v>ls</v>
      </c>
      <c r="L47" s="692">
        <v>30</v>
      </c>
      <c r="M47" s="105" t="str">
        <f t="shared" si="4"/>
        <v>BVK</v>
      </c>
      <c r="N47" s="738">
        <f t="shared" si="5"/>
        <v>52.855899999999998</v>
      </c>
      <c r="X47" s="747"/>
      <c r="Y47" s="744" t="s">
        <v>999</v>
      </c>
    </row>
    <row r="48" spans="1:25" x14ac:dyDescent="0.2">
      <c r="A48" s="692" t="s">
        <v>1323</v>
      </c>
      <c r="B48" s="692">
        <v>40.503399999999999</v>
      </c>
      <c r="C48" s="692"/>
      <c r="F48" s="741" t="str">
        <v>B-OI-KL-ET_LS_GEMEENTE HAARLEM-G</v>
      </c>
      <c r="G48" s="742">
        <v>54.481999999999999</v>
      </c>
      <c r="H48" s="698">
        <f t="shared" si="0"/>
        <v>32</v>
      </c>
      <c r="I48" s="98" t="str">
        <f t="shared" si="1"/>
        <v>ET_LS_GEMEENTE HAARLEM-G</v>
      </c>
      <c r="J48" s="698" t="str">
        <f t="shared" si="2"/>
        <v>ET_LS</v>
      </c>
      <c r="K48" s="738" t="str">
        <f t="shared" si="3"/>
        <v>ls</v>
      </c>
      <c r="L48" s="692">
        <v>31</v>
      </c>
      <c r="M48" s="105" t="str">
        <f t="shared" si="4"/>
        <v>BVK</v>
      </c>
      <c r="N48" s="738">
        <f t="shared" si="5"/>
        <v>54.481999999999999</v>
      </c>
      <c r="X48" s="747"/>
      <c r="Y48" s="744" t="s">
        <v>998</v>
      </c>
    </row>
    <row r="49" spans="1:25" x14ac:dyDescent="0.2">
      <c r="A49" s="692" t="s">
        <v>1320</v>
      </c>
      <c r="B49" s="692">
        <v>40.503999999999998</v>
      </c>
      <c r="C49" s="692"/>
      <c r="F49" s="741" t="str">
        <v>B-OI-RI-VRIJVERVAL_GEMEENTE HAARLEM-G</v>
      </c>
      <c r="G49" s="742">
        <v>57.064500000000002</v>
      </c>
      <c r="H49" s="698">
        <f t="shared" si="0"/>
        <v>37</v>
      </c>
      <c r="I49" s="98" t="str">
        <f t="shared" si="1"/>
        <v>VRIJVERVAL_GEMEENTE HAARLEM-G</v>
      </c>
      <c r="J49" s="698" t="str">
        <f t="shared" si="2"/>
        <v>VRIJV</v>
      </c>
      <c r="K49" s="738" t="str">
        <f t="shared" si="3"/>
        <v>rv</v>
      </c>
      <c r="L49" s="692">
        <v>32</v>
      </c>
      <c r="M49" s="105" t="str">
        <f t="shared" si="4"/>
        <v>BVK</v>
      </c>
      <c r="N49" s="738">
        <f t="shared" si="5"/>
        <v>57.064500000000002</v>
      </c>
      <c r="X49" s="747"/>
      <c r="Y49" s="744" t="s">
        <v>999</v>
      </c>
    </row>
    <row r="50" spans="1:25" x14ac:dyDescent="0.2">
      <c r="A50" s="692" t="s">
        <v>1325</v>
      </c>
      <c r="B50" s="692">
        <v>40.945599999999999</v>
      </c>
      <c r="F50" s="741" t="str">
        <v>B-OI-KL-DATA_KABELBED_KPN BV-G</v>
      </c>
      <c r="G50" s="742">
        <v>57.855699999999999</v>
      </c>
      <c r="H50" s="698">
        <f t="shared" si="0"/>
        <v>30</v>
      </c>
      <c r="I50" s="98" t="str">
        <f t="shared" ref="I50:I81" si="7">RIGHT(F50,H50-8)</f>
        <v>DATA_KABELBED_KPN BV-G</v>
      </c>
      <c r="J50" s="698" t="str">
        <f t="shared" ref="J50:J81" si="8">LEFT(I50,5)</f>
        <v>DATA_</v>
      </c>
      <c r="K50" s="738" t="str">
        <f t="shared" si="3"/>
        <v>d</v>
      </c>
      <c r="L50" s="692">
        <v>33</v>
      </c>
      <c r="M50" s="105" t="str">
        <f t="shared" ref="M50:M81" si="9">IF(F50="","",IF(F50="RV","BOB","BVK"))</f>
        <v>BVK</v>
      </c>
      <c r="N50" s="738">
        <f t="shared" ref="N50:N81" si="10">G50-N$16</f>
        <v>57.855699999999999</v>
      </c>
      <c r="X50" s="747"/>
      <c r="Y50" s="744" t="s">
        <v>998</v>
      </c>
    </row>
    <row r="51" spans="1:25" x14ac:dyDescent="0.2">
      <c r="A51" s="692" t="s">
        <v>1322</v>
      </c>
      <c r="B51" s="692">
        <v>47.8611</v>
      </c>
      <c r="C51" s="692"/>
      <c r="F51" s="741" t="str">
        <v>B-OI-KL-DATA_KABELBED_KPN BV-G</v>
      </c>
      <c r="G51" s="742">
        <v>57.967700000000001</v>
      </c>
      <c r="H51" s="698">
        <f t="shared" si="0"/>
        <v>30</v>
      </c>
      <c r="I51" s="98" t="str">
        <f t="shared" si="7"/>
        <v>DATA_KABELBED_KPN BV-G</v>
      </c>
      <c r="J51" s="698" t="str">
        <f t="shared" si="8"/>
        <v>DATA_</v>
      </c>
      <c r="K51" s="738" t="str">
        <f t="shared" si="3"/>
        <v>d</v>
      </c>
      <c r="L51" s="692">
        <v>34</v>
      </c>
      <c r="M51" s="105" t="str">
        <f t="shared" si="9"/>
        <v>BVK</v>
      </c>
      <c r="N51" s="738">
        <f t="shared" si="10"/>
        <v>57.967700000000001</v>
      </c>
      <c r="X51" s="747"/>
      <c r="Y51" s="744" t="s">
        <v>998</v>
      </c>
    </row>
    <row r="52" spans="1:25" x14ac:dyDescent="0.2">
      <c r="A52" s="692" t="s">
        <v>1269</v>
      </c>
      <c r="B52" s="692">
        <v>49.354799999999997</v>
      </c>
      <c r="F52" s="741" t="str">
        <v>B-OI-KL-WATER_PWN AFD KLICBEHEER-G</v>
      </c>
      <c r="G52" s="742">
        <v>59.6663</v>
      </c>
      <c r="H52" s="698">
        <f t="shared" si="0"/>
        <v>34</v>
      </c>
      <c r="I52" s="98" t="str">
        <f t="shared" si="7"/>
        <v>WATER_PWN AFD KLICBEHEER-G</v>
      </c>
      <c r="J52" s="698" t="str">
        <f t="shared" si="8"/>
        <v>WATER</v>
      </c>
      <c r="K52" s="738" t="str">
        <f t="shared" si="3"/>
        <v>w</v>
      </c>
      <c r="L52" s="692">
        <v>35</v>
      </c>
      <c r="M52" s="105" t="str">
        <f t="shared" si="9"/>
        <v>BVK</v>
      </c>
      <c r="N52" s="738">
        <f t="shared" si="10"/>
        <v>59.6663</v>
      </c>
      <c r="X52" s="747"/>
      <c r="Y52" s="744" t="s">
        <v>1000</v>
      </c>
    </row>
    <row r="53" spans="1:25" x14ac:dyDescent="0.2">
      <c r="A53" s="692" t="s">
        <v>1322</v>
      </c>
      <c r="B53" s="692">
        <v>52.855899999999998</v>
      </c>
      <c r="C53" s="692"/>
      <c r="F53" s="741" t="str">
        <v>B-OI-KL-DATA_KABELBED_KPN BV-G</v>
      </c>
      <c r="G53" s="742">
        <v>59.729399999999998</v>
      </c>
      <c r="H53" s="698">
        <f t="shared" si="0"/>
        <v>30</v>
      </c>
      <c r="I53" s="98" t="str">
        <f t="shared" si="7"/>
        <v>DATA_KABELBED_KPN BV-G</v>
      </c>
      <c r="J53" s="698" t="str">
        <f t="shared" si="8"/>
        <v>DATA_</v>
      </c>
      <c r="K53" s="738" t="str">
        <f t="shared" si="3"/>
        <v>d</v>
      </c>
      <c r="L53" s="692">
        <v>36</v>
      </c>
      <c r="M53" s="105" t="str">
        <f t="shared" si="9"/>
        <v>BVK</v>
      </c>
      <c r="N53" s="738">
        <f t="shared" si="10"/>
        <v>59.729399999999998</v>
      </c>
      <c r="X53" s="747"/>
      <c r="Y53" s="744" t="s">
        <v>998</v>
      </c>
    </row>
    <row r="54" spans="1:25" x14ac:dyDescent="0.2">
      <c r="A54" s="692" t="s">
        <v>1322</v>
      </c>
      <c r="B54" s="692">
        <v>54.481999999999999</v>
      </c>
      <c r="C54" s="692"/>
      <c r="F54" s="741" t="str">
        <v>B-OI-KL-DATA_KABELBED_KPN BV-G</v>
      </c>
      <c r="G54" s="742">
        <v>59.729500000000002</v>
      </c>
      <c r="H54" s="698">
        <f t="shared" si="0"/>
        <v>30</v>
      </c>
      <c r="I54" s="98" t="str">
        <f t="shared" si="7"/>
        <v>DATA_KABELBED_KPN BV-G</v>
      </c>
      <c r="J54" s="698" t="str">
        <f t="shared" si="8"/>
        <v>DATA_</v>
      </c>
      <c r="K54" s="738" t="str">
        <f t="shared" si="3"/>
        <v>d</v>
      </c>
      <c r="L54" s="692">
        <v>37</v>
      </c>
      <c r="M54" s="105" t="str">
        <f t="shared" si="9"/>
        <v>BVK</v>
      </c>
      <c r="N54" s="738">
        <f t="shared" si="10"/>
        <v>59.729500000000002</v>
      </c>
      <c r="X54" s="747"/>
      <c r="Y54" s="744" t="s">
        <v>1000</v>
      </c>
    </row>
    <row r="55" spans="1:25" x14ac:dyDescent="0.2">
      <c r="A55" s="692" t="s">
        <v>1326</v>
      </c>
      <c r="B55" s="692">
        <v>57.064500000000002</v>
      </c>
      <c r="C55" s="692"/>
      <c r="F55" s="741" t="str">
        <v>B-OI-KL-ET_LS_LIANDER NV PAC 2AI68G2-G</v>
      </c>
      <c r="G55" s="742">
        <v>60.012300000000003</v>
      </c>
      <c r="H55" s="698">
        <f t="shared" si="0"/>
        <v>38</v>
      </c>
      <c r="I55" s="98" t="str">
        <f t="shared" si="7"/>
        <v>ET_LS_LIANDER NV PAC 2AI68G2-G</v>
      </c>
      <c r="J55" s="698" t="str">
        <f t="shared" si="8"/>
        <v>ET_LS</v>
      </c>
      <c r="K55" s="738" t="str">
        <f t="shared" si="3"/>
        <v>ls</v>
      </c>
      <c r="L55" s="692">
        <v>38</v>
      </c>
      <c r="M55" s="105" t="str">
        <f t="shared" si="9"/>
        <v>BVK</v>
      </c>
      <c r="N55" s="738">
        <f t="shared" si="10"/>
        <v>60.012300000000003</v>
      </c>
      <c r="X55" s="747"/>
      <c r="Y55" s="744" t="s">
        <v>997</v>
      </c>
    </row>
    <row r="56" spans="1:25" x14ac:dyDescent="0.2">
      <c r="A56" s="692" t="s">
        <v>1323</v>
      </c>
      <c r="B56" s="692"/>
      <c r="F56" s="741" t="str">
        <v>B-OI-KL-ET_LS_LIANDER NV PAC 2AI68G2-G</v>
      </c>
      <c r="G56" s="742">
        <v>60.654499999999999</v>
      </c>
      <c r="H56" s="698">
        <f t="shared" si="0"/>
        <v>38</v>
      </c>
      <c r="I56" s="98" t="str">
        <f t="shared" si="7"/>
        <v>ET_LS_LIANDER NV PAC 2AI68G2-G</v>
      </c>
      <c r="J56" s="698" t="str">
        <f t="shared" si="8"/>
        <v>ET_LS</v>
      </c>
      <c r="K56" s="738" t="str">
        <f t="shared" si="3"/>
        <v>ls</v>
      </c>
      <c r="L56" s="692">
        <v>39</v>
      </c>
      <c r="M56" s="105" t="str">
        <f t="shared" si="9"/>
        <v>BVK</v>
      </c>
      <c r="N56" s="738">
        <f t="shared" si="10"/>
        <v>60.654499999999999</v>
      </c>
      <c r="X56" s="747"/>
      <c r="Y56" s="744" t="s">
        <v>1047</v>
      </c>
    </row>
    <row r="57" spans="1:25" x14ac:dyDescent="0.2">
      <c r="A57" s="692" t="s">
        <v>1320</v>
      </c>
      <c r="B57" s="692">
        <v>57.855699999999999</v>
      </c>
      <c r="C57" s="692"/>
      <c r="F57" s="741" t="str">
        <v>B-OI-KL-DATA_GEMEENTE HAARLEM-G</v>
      </c>
      <c r="G57" s="742">
        <v>66.779600000000002</v>
      </c>
      <c r="H57" s="698">
        <f t="shared" si="0"/>
        <v>31</v>
      </c>
      <c r="I57" s="98" t="str">
        <f t="shared" si="7"/>
        <v>DATA_GEMEENTE HAARLEM-G</v>
      </c>
      <c r="J57" s="698" t="str">
        <f t="shared" si="8"/>
        <v>DATA_</v>
      </c>
      <c r="K57" s="738" t="str">
        <f t="shared" si="3"/>
        <v>d</v>
      </c>
      <c r="L57" s="692">
        <v>40</v>
      </c>
      <c r="M57" s="105" t="str">
        <f t="shared" si="9"/>
        <v>BVK</v>
      </c>
      <c r="N57" s="738">
        <f t="shared" si="10"/>
        <v>66.779600000000002</v>
      </c>
      <c r="X57" s="747"/>
      <c r="Y57" s="744" t="s">
        <v>999</v>
      </c>
    </row>
    <row r="58" spans="1:25" x14ac:dyDescent="0.2">
      <c r="A58" s="692" t="s">
        <v>1320</v>
      </c>
      <c r="B58" s="692">
        <v>57.967700000000001</v>
      </c>
      <c r="F58" s="741" t="str">
        <v>B-OI-KL-DATA_GEMEENTE HAARLEM-G</v>
      </c>
      <c r="G58" s="742">
        <v>67.326099999999997</v>
      </c>
      <c r="H58" s="698">
        <f t="shared" si="0"/>
        <v>31</v>
      </c>
      <c r="I58" s="98" t="str">
        <f t="shared" si="7"/>
        <v>DATA_GEMEENTE HAARLEM-G</v>
      </c>
      <c r="J58" s="698" t="str">
        <f t="shared" si="8"/>
        <v>DATA_</v>
      </c>
      <c r="K58" s="738" t="str">
        <f t="shared" si="3"/>
        <v>d</v>
      </c>
      <c r="L58" s="692">
        <v>41</v>
      </c>
      <c r="M58" s="105" t="str">
        <f t="shared" si="9"/>
        <v>BVK</v>
      </c>
      <c r="N58" s="738">
        <f t="shared" si="10"/>
        <v>67.326099999999997</v>
      </c>
      <c r="X58" s="747"/>
      <c r="Y58" s="744" t="s">
        <v>999</v>
      </c>
    </row>
    <row r="59" spans="1:25" x14ac:dyDescent="0.2">
      <c r="A59" s="692" t="s">
        <v>1321</v>
      </c>
      <c r="B59" s="692">
        <v>59.6663</v>
      </c>
      <c r="F59" s="741" t="str">
        <v>B-OI-KL-DATA_GEMEENTE HAARLEM-G</v>
      </c>
      <c r="G59" s="742">
        <v>67.440100000000001</v>
      </c>
      <c r="H59" s="698">
        <f t="shared" si="0"/>
        <v>31</v>
      </c>
      <c r="I59" s="98" t="str">
        <f t="shared" si="7"/>
        <v>DATA_GEMEENTE HAARLEM-G</v>
      </c>
      <c r="J59" s="698" t="str">
        <f t="shared" si="8"/>
        <v>DATA_</v>
      </c>
      <c r="K59" s="738" t="str">
        <f t="shared" si="3"/>
        <v>d</v>
      </c>
      <c r="L59" s="692">
        <v>42</v>
      </c>
      <c r="M59" s="105" t="str">
        <f t="shared" si="9"/>
        <v>BVK</v>
      </c>
      <c r="N59" s="738">
        <f t="shared" si="10"/>
        <v>67.440100000000001</v>
      </c>
      <c r="X59" s="747"/>
      <c r="Y59" s="744" t="s">
        <v>999</v>
      </c>
    </row>
    <row r="60" spans="1:25" x14ac:dyDescent="0.2">
      <c r="A60" s="692" t="s">
        <v>1320</v>
      </c>
      <c r="B60" s="832">
        <v>59.729399999999998</v>
      </c>
      <c r="C60" s="692"/>
      <c r="F60" s="741" t="str">
        <v>B-OI-KL-DATA_GEMEENTE HAARLEM-G</v>
      </c>
      <c r="G60" s="742">
        <v>67.544300000000007</v>
      </c>
      <c r="H60" s="698">
        <f t="shared" si="0"/>
        <v>31</v>
      </c>
      <c r="I60" s="98" t="str">
        <f t="shared" si="7"/>
        <v>DATA_GEMEENTE HAARLEM-G</v>
      </c>
      <c r="J60" s="698" t="str">
        <f t="shared" si="8"/>
        <v>DATA_</v>
      </c>
      <c r="K60" s="738" t="str">
        <f t="shared" si="3"/>
        <v>d</v>
      </c>
      <c r="L60" s="692">
        <v>43</v>
      </c>
      <c r="M60" s="105" t="str">
        <f t="shared" si="9"/>
        <v>BVK</v>
      </c>
      <c r="N60" s="738">
        <f t="shared" si="10"/>
        <v>67.544300000000007</v>
      </c>
      <c r="X60" s="747"/>
      <c r="Y60" s="744" t="s">
        <v>997</v>
      </c>
    </row>
    <row r="61" spans="1:25" x14ac:dyDescent="0.2">
      <c r="A61" s="692" t="s">
        <v>1323</v>
      </c>
      <c r="B61" s="692"/>
      <c r="F61" s="741" t="str">
        <v>B-OI-KL-ET_LS_MANTELBUIS_LIANDER NV PAC 2AI68G2-G</v>
      </c>
      <c r="G61" s="742">
        <v>67.676100000000005</v>
      </c>
      <c r="H61" s="698">
        <f t="shared" si="0"/>
        <v>49</v>
      </c>
      <c r="I61" s="98" t="str">
        <f t="shared" si="7"/>
        <v>ET_LS_MANTELBUIS_LIANDER NV PAC 2AI68G2-G</v>
      </c>
      <c r="J61" s="698" t="str">
        <f t="shared" si="8"/>
        <v>ET_LS</v>
      </c>
      <c r="K61" s="738" t="str">
        <f t="shared" si="3"/>
        <v>ls</v>
      </c>
      <c r="L61" s="692">
        <v>44</v>
      </c>
      <c r="M61" s="105" t="str">
        <f t="shared" si="9"/>
        <v>BVK</v>
      </c>
      <c r="N61" s="738">
        <f t="shared" si="10"/>
        <v>67.676100000000005</v>
      </c>
      <c r="X61" s="747"/>
      <c r="Y61" s="744" t="s">
        <v>997</v>
      </c>
    </row>
    <row r="62" spans="1:25" x14ac:dyDescent="0.2">
      <c r="A62" s="692" t="s">
        <v>1320</v>
      </c>
      <c r="B62" s="692">
        <v>59.729500000000002</v>
      </c>
      <c r="C62" s="692"/>
      <c r="F62" s="741" t="str">
        <v>B-OI-KL-ET_LS_GEMEENTE HAARLEM-G</v>
      </c>
      <c r="G62" s="742">
        <v>67.753</v>
      </c>
      <c r="H62" s="698">
        <f t="shared" si="0"/>
        <v>32</v>
      </c>
      <c r="I62" s="98" t="str">
        <f t="shared" si="7"/>
        <v>ET_LS_GEMEENTE HAARLEM-G</v>
      </c>
      <c r="J62" s="698" t="str">
        <f t="shared" si="8"/>
        <v>ET_LS</v>
      </c>
      <c r="K62" s="738" t="str">
        <f t="shared" si="3"/>
        <v>ls</v>
      </c>
      <c r="L62" s="692">
        <v>45</v>
      </c>
      <c r="M62" s="105" t="str">
        <f t="shared" si="9"/>
        <v>BVK</v>
      </c>
      <c r="N62" s="738">
        <f t="shared" si="10"/>
        <v>67.753</v>
      </c>
      <c r="X62" s="747"/>
      <c r="Y62" s="744" t="s">
        <v>1057</v>
      </c>
    </row>
    <row r="63" spans="1:25" x14ac:dyDescent="0.2">
      <c r="A63" s="692" t="s">
        <v>1327</v>
      </c>
      <c r="B63" s="692"/>
      <c r="C63" s="692"/>
      <c r="F63" s="741" t="str">
        <v>B-OI-KL-ET_LS_MANTELBUIS_LIANDER NV PAC 2AI68G2-G</v>
      </c>
      <c r="G63" s="742">
        <v>69.505899999999997</v>
      </c>
      <c r="H63" s="698">
        <f t="shared" si="0"/>
        <v>49</v>
      </c>
      <c r="I63" s="98" t="str">
        <f t="shared" si="7"/>
        <v>ET_LS_MANTELBUIS_LIANDER NV PAC 2AI68G2-G</v>
      </c>
      <c r="J63" s="698" t="str">
        <f t="shared" si="8"/>
        <v>ET_LS</v>
      </c>
      <c r="K63" s="738" t="str">
        <f t="shared" si="3"/>
        <v>ls</v>
      </c>
      <c r="L63" s="692">
        <v>46</v>
      </c>
      <c r="M63" s="105" t="str">
        <f t="shared" si="9"/>
        <v>BVK</v>
      </c>
      <c r="N63" s="738">
        <f t="shared" si="10"/>
        <v>69.505899999999997</v>
      </c>
      <c r="X63" s="747"/>
      <c r="Y63" s="744" t="s">
        <v>1005</v>
      </c>
    </row>
    <row r="64" spans="1:25" x14ac:dyDescent="0.2">
      <c r="A64" s="692" t="s">
        <v>1318</v>
      </c>
      <c r="B64" s="692">
        <v>60.012300000000003</v>
      </c>
      <c r="F64" s="741" t="str">
        <v>B-OI-KL-ET_LS_LIANDER NV PAC 2AI68G2-G</v>
      </c>
      <c r="G64" s="742">
        <v>69.506</v>
      </c>
      <c r="H64" s="698">
        <f t="shared" si="0"/>
        <v>38</v>
      </c>
      <c r="I64" s="98" t="str">
        <f t="shared" si="7"/>
        <v>ET_LS_LIANDER NV PAC 2AI68G2-G</v>
      </c>
      <c r="J64" s="698" t="str">
        <f t="shared" si="8"/>
        <v>ET_LS</v>
      </c>
      <c r="K64" s="738" t="str">
        <f t="shared" si="3"/>
        <v>ls</v>
      </c>
      <c r="L64" s="692">
        <v>47</v>
      </c>
      <c r="M64" s="105" t="str">
        <f t="shared" si="9"/>
        <v>BVK</v>
      </c>
      <c r="N64" s="738">
        <f t="shared" si="10"/>
        <v>69.506</v>
      </c>
      <c r="X64" s="747"/>
      <c r="Y64" s="744" t="s">
        <v>1057</v>
      </c>
    </row>
    <row r="65" spans="1:25" x14ac:dyDescent="0.2">
      <c r="A65" s="692" t="s">
        <v>1318</v>
      </c>
      <c r="B65" s="692">
        <v>60.654499999999999</v>
      </c>
      <c r="F65" s="741" t="str">
        <v>B-OI-KL-GAS_LD_LIANDER NV PAC 2AI68G2-G</v>
      </c>
      <c r="G65" s="742">
        <v>70.883300000000006</v>
      </c>
      <c r="H65" s="698">
        <f t="shared" si="0"/>
        <v>39</v>
      </c>
      <c r="I65" s="98" t="str">
        <f t="shared" si="7"/>
        <v>GAS_LD_LIANDER NV PAC 2AI68G2-G</v>
      </c>
      <c r="J65" s="698" t="str">
        <f t="shared" si="8"/>
        <v>GAS_L</v>
      </c>
      <c r="K65" s="738" t="str">
        <f t="shared" si="3"/>
        <v>ld</v>
      </c>
      <c r="L65" s="692">
        <v>48</v>
      </c>
      <c r="M65" s="105" t="str">
        <f t="shared" si="9"/>
        <v>BVK</v>
      </c>
      <c r="N65" s="738">
        <f t="shared" si="10"/>
        <v>70.883300000000006</v>
      </c>
      <c r="X65" s="747"/>
      <c r="Y65" s="744" t="s">
        <v>1005</v>
      </c>
    </row>
    <row r="66" spans="1:25" x14ac:dyDescent="0.2">
      <c r="A66" s="692" t="s">
        <v>1328</v>
      </c>
      <c r="B66" s="692">
        <v>66.779600000000002</v>
      </c>
      <c r="F66" s="741" t="str">
        <v>B-OI-KL-ET_LS_LIANDER NV PAC 2AI68G2-G</v>
      </c>
      <c r="G66" s="742">
        <v>70.897400000000005</v>
      </c>
      <c r="H66" s="698">
        <f t="shared" si="0"/>
        <v>38</v>
      </c>
      <c r="I66" s="98" t="str">
        <f t="shared" si="7"/>
        <v>ET_LS_LIANDER NV PAC 2AI68G2-G</v>
      </c>
      <c r="J66" s="698" t="str">
        <f t="shared" si="8"/>
        <v>ET_LS</v>
      </c>
      <c r="K66" s="738" t="str">
        <f t="shared" si="3"/>
        <v>ls</v>
      </c>
      <c r="L66" s="692">
        <v>49</v>
      </c>
      <c r="M66" s="105" t="str">
        <f t="shared" si="9"/>
        <v>BVK</v>
      </c>
      <c r="N66" s="738">
        <f t="shared" si="10"/>
        <v>70.897400000000005</v>
      </c>
      <c r="X66" s="747"/>
      <c r="Y66" s="744" t="s">
        <v>1058</v>
      </c>
    </row>
    <row r="67" spans="1:25" x14ac:dyDescent="0.2">
      <c r="A67" s="692" t="s">
        <v>1328</v>
      </c>
      <c r="B67" s="692">
        <v>67.326099999999997</v>
      </c>
      <c r="F67" s="741" t="str">
        <v>B-OI-KL-DATA_MANTELBUIS_REGGEFIBER OPERATOR BV-G</v>
      </c>
      <c r="G67" s="742">
        <v>71.194400000000002</v>
      </c>
      <c r="H67" s="698">
        <f t="shared" si="0"/>
        <v>48</v>
      </c>
      <c r="I67" s="98" t="str">
        <f t="shared" si="7"/>
        <v>DATA_MANTELBUIS_REGGEFIBER OPERATOR BV-G</v>
      </c>
      <c r="J67" s="698" t="str">
        <f t="shared" si="8"/>
        <v>DATA_</v>
      </c>
      <c r="K67" s="738" t="str">
        <f t="shared" si="3"/>
        <v>d</v>
      </c>
      <c r="L67" s="692">
        <v>50</v>
      </c>
      <c r="M67" s="105" t="str">
        <f t="shared" si="9"/>
        <v>BVK</v>
      </c>
      <c r="N67" s="738">
        <f t="shared" si="10"/>
        <v>71.194400000000002</v>
      </c>
      <c r="X67" s="747"/>
      <c r="Y67" s="744" t="s">
        <v>1059</v>
      </c>
    </row>
    <row r="68" spans="1:25" x14ac:dyDescent="0.2">
      <c r="A68" s="692" t="s">
        <v>1328</v>
      </c>
      <c r="B68" s="692">
        <v>67.440100000000001</v>
      </c>
      <c r="C68" s="692"/>
      <c r="F68" s="741" t="str">
        <v>B-OI-KL-GAS_LD_LIANDER NV PAC 2AI68G2-G</v>
      </c>
      <c r="G68" s="742">
        <v>72.688100000000006</v>
      </c>
      <c r="H68" s="698">
        <f t="shared" si="0"/>
        <v>39</v>
      </c>
      <c r="I68" s="98" t="str">
        <f t="shared" si="7"/>
        <v>GAS_LD_LIANDER NV PAC 2AI68G2-G</v>
      </c>
      <c r="J68" s="698" t="str">
        <f t="shared" si="8"/>
        <v>GAS_L</v>
      </c>
      <c r="K68" s="738" t="str">
        <f t="shared" si="3"/>
        <v>ld</v>
      </c>
      <c r="L68" s="692">
        <v>51</v>
      </c>
      <c r="M68" s="105" t="str">
        <f t="shared" si="9"/>
        <v>BVK</v>
      </c>
      <c r="N68" s="738">
        <f t="shared" si="10"/>
        <v>72.688100000000006</v>
      </c>
      <c r="X68" s="747"/>
      <c r="Y68" s="744" t="s">
        <v>1058</v>
      </c>
    </row>
    <row r="69" spans="1:25" x14ac:dyDescent="0.2">
      <c r="A69" s="692" t="s">
        <v>1328</v>
      </c>
      <c r="B69" s="692">
        <v>67.544300000000007</v>
      </c>
      <c r="F69" s="741" t="str">
        <v>B-OI-KL-DATA_KABELBED_KPN BV-G</v>
      </c>
      <c r="G69" s="742">
        <v>73.340199999999996</v>
      </c>
      <c r="H69" s="698">
        <f t="shared" si="0"/>
        <v>30</v>
      </c>
      <c r="I69" s="98" t="str">
        <f t="shared" si="7"/>
        <v>DATA_KABELBED_KPN BV-G</v>
      </c>
      <c r="J69" s="698" t="str">
        <f t="shared" si="8"/>
        <v>DATA_</v>
      </c>
      <c r="K69" s="738" t="str">
        <f t="shared" si="3"/>
        <v>d</v>
      </c>
      <c r="L69" s="692">
        <v>52</v>
      </c>
      <c r="M69" s="105" t="str">
        <f t="shared" si="9"/>
        <v>BVK</v>
      </c>
      <c r="N69" s="738">
        <f t="shared" si="10"/>
        <v>73.340199999999996</v>
      </c>
      <c r="X69" s="747"/>
      <c r="Y69" s="744" t="s">
        <v>1060</v>
      </c>
    </row>
    <row r="70" spans="1:25" x14ac:dyDescent="0.2">
      <c r="A70" s="692" t="s">
        <v>1318</v>
      </c>
      <c r="B70" s="692"/>
      <c r="F70" s="741" t="str">
        <v>B-OI-KL-ET_LS_GEMEENTE HAARLEM-G</v>
      </c>
      <c r="G70" s="742">
        <v>74.879400000000004</v>
      </c>
      <c r="H70" s="698">
        <f t="shared" si="0"/>
        <v>32</v>
      </c>
      <c r="I70" s="98" t="str">
        <f t="shared" si="7"/>
        <v>ET_LS_GEMEENTE HAARLEM-G</v>
      </c>
      <c r="J70" s="698" t="str">
        <f t="shared" si="8"/>
        <v>ET_LS</v>
      </c>
      <c r="K70" s="738" t="str">
        <f t="shared" si="3"/>
        <v>ls</v>
      </c>
      <c r="L70" s="692">
        <v>53</v>
      </c>
      <c r="M70" s="105" t="str">
        <f t="shared" si="9"/>
        <v>BVK</v>
      </c>
      <c r="N70" s="738">
        <f t="shared" si="10"/>
        <v>74.879400000000004</v>
      </c>
      <c r="X70" s="747"/>
      <c r="Y70" s="744" t="s">
        <v>1059</v>
      </c>
    </row>
    <row r="71" spans="1:25" x14ac:dyDescent="0.2">
      <c r="A71" s="692" t="s">
        <v>1327</v>
      </c>
      <c r="B71" s="692">
        <v>67.676100000000005</v>
      </c>
      <c r="F71" s="741" t="str">
        <v>B-OI-KL-ET_LS_MANTELBUIS_LIANDER NV PAC 2AI68G2-G</v>
      </c>
      <c r="G71" s="742">
        <v>76.015000000000001</v>
      </c>
      <c r="H71" s="698">
        <f t="shared" si="0"/>
        <v>49</v>
      </c>
      <c r="I71" s="98" t="str">
        <f t="shared" si="7"/>
        <v>ET_LS_MANTELBUIS_LIANDER NV PAC 2AI68G2-G</v>
      </c>
      <c r="J71" s="698" t="str">
        <f t="shared" si="8"/>
        <v>ET_LS</v>
      </c>
      <c r="K71" s="738" t="str">
        <f t="shared" si="3"/>
        <v>ls</v>
      </c>
      <c r="L71" s="692">
        <v>54</v>
      </c>
      <c r="M71" s="105" t="str">
        <f t="shared" si="9"/>
        <v>BVK</v>
      </c>
      <c r="N71" s="738">
        <f t="shared" si="10"/>
        <v>76.015000000000001</v>
      </c>
      <c r="X71" s="747"/>
      <c r="Y71" s="744"/>
    </row>
    <row r="72" spans="1:25" x14ac:dyDescent="0.2">
      <c r="A72" s="692" t="s">
        <v>1328</v>
      </c>
      <c r="B72" s="692"/>
      <c r="C72" s="692"/>
      <c r="F72" s="741" t="str">
        <v>B-OI-KL-ET_LS_LIANDER NV PAC 2AI68G2-G</v>
      </c>
      <c r="G72" s="742">
        <v>76.015299999999996</v>
      </c>
      <c r="H72" s="698">
        <f t="shared" si="0"/>
        <v>38</v>
      </c>
      <c r="I72" s="98" t="str">
        <f t="shared" si="7"/>
        <v>ET_LS_LIANDER NV PAC 2AI68G2-G</v>
      </c>
      <c r="J72" s="698" t="str">
        <f t="shared" si="8"/>
        <v>ET_LS</v>
      </c>
      <c r="K72" s="738" t="str">
        <f t="shared" si="3"/>
        <v>ls</v>
      </c>
      <c r="L72" s="692">
        <v>55</v>
      </c>
      <c r="M72" s="105" t="str">
        <f t="shared" si="9"/>
        <v>BVK</v>
      </c>
      <c r="N72" s="738">
        <f t="shared" si="10"/>
        <v>76.015299999999996</v>
      </c>
      <c r="X72" s="747"/>
      <c r="Y72" s="744"/>
    </row>
    <row r="73" spans="1:25" x14ac:dyDescent="0.2">
      <c r="A73" s="692" t="s">
        <v>1322</v>
      </c>
      <c r="B73" s="692">
        <v>67.753</v>
      </c>
      <c r="F73" s="741" t="str">
        <v>B-OI-KL-DATA_KABELBED_KPN BV-G</v>
      </c>
      <c r="G73" s="742">
        <v>79.388900000000007</v>
      </c>
      <c r="H73" s="698">
        <f t="shared" si="0"/>
        <v>30</v>
      </c>
      <c r="I73" s="98" t="str">
        <f t="shared" si="7"/>
        <v>DATA_KABELBED_KPN BV-G</v>
      </c>
      <c r="J73" s="698" t="str">
        <f t="shared" si="8"/>
        <v>DATA_</v>
      </c>
      <c r="K73" s="738" t="str">
        <f t="shared" si="3"/>
        <v>d</v>
      </c>
      <c r="L73" s="692">
        <v>56</v>
      </c>
      <c r="M73" s="105" t="str">
        <f t="shared" si="9"/>
        <v>BVK</v>
      </c>
      <c r="N73" s="738">
        <f t="shared" si="10"/>
        <v>79.388900000000007</v>
      </c>
      <c r="X73" s="747"/>
      <c r="Y73" s="744"/>
    </row>
    <row r="74" spans="1:25" x14ac:dyDescent="0.2">
      <c r="A74" s="692" t="s">
        <v>1327</v>
      </c>
      <c r="B74" s="692">
        <v>69.505899999999997</v>
      </c>
      <c r="F74" s="741" t="str">
        <v>B-OI-KL-ET_LS_LIANDER NV PAC 2AI68G2-G</v>
      </c>
      <c r="G74" s="742">
        <v>81.504499999999993</v>
      </c>
      <c r="H74" s="698">
        <f t="shared" si="0"/>
        <v>38</v>
      </c>
      <c r="I74" s="98" t="str">
        <f t="shared" si="7"/>
        <v>ET_LS_LIANDER NV PAC 2AI68G2-G</v>
      </c>
      <c r="J74" s="698" t="str">
        <f t="shared" si="8"/>
        <v>ET_LS</v>
      </c>
      <c r="K74" s="738" t="str">
        <f t="shared" si="3"/>
        <v>ls</v>
      </c>
      <c r="L74" s="692">
        <v>57</v>
      </c>
      <c r="M74" s="105" t="str">
        <f t="shared" si="9"/>
        <v>BVK</v>
      </c>
      <c r="N74" s="738">
        <f t="shared" si="10"/>
        <v>81.504499999999993</v>
      </c>
      <c r="X74" s="747"/>
      <c r="Y74" s="744"/>
    </row>
    <row r="75" spans="1:25" x14ac:dyDescent="0.2">
      <c r="A75" s="692" t="s">
        <v>1318</v>
      </c>
      <c r="B75" s="692">
        <v>69.506</v>
      </c>
      <c r="C75" s="692"/>
      <c r="F75" s="741" t="str">
        <v>B-OI-KL-ET_LS_GEMEENTE HAARLEM-G</v>
      </c>
      <c r="G75" s="742">
        <v>84.184799999999996</v>
      </c>
      <c r="H75" s="698">
        <f t="shared" si="0"/>
        <v>32</v>
      </c>
      <c r="I75" s="98" t="str">
        <f t="shared" si="7"/>
        <v>ET_LS_GEMEENTE HAARLEM-G</v>
      </c>
      <c r="J75" s="698" t="str">
        <f t="shared" si="8"/>
        <v>ET_LS</v>
      </c>
      <c r="K75" s="738" t="str">
        <f t="shared" si="3"/>
        <v>ls</v>
      </c>
      <c r="L75" s="692">
        <v>58</v>
      </c>
      <c r="M75" s="105" t="str">
        <f t="shared" si="9"/>
        <v>BVK</v>
      </c>
      <c r="N75" s="738">
        <f t="shared" si="10"/>
        <v>84.184799999999996</v>
      </c>
      <c r="X75" s="747"/>
      <c r="Y75" s="744"/>
    </row>
    <row r="76" spans="1:25" x14ac:dyDescent="0.2">
      <c r="A76" s="692" t="s">
        <v>1269</v>
      </c>
      <c r="B76" s="692">
        <v>70.883300000000006</v>
      </c>
      <c r="F76" s="741" t="str">
        <v>B-OI-KL-DATA_KABELBED_KPN BV-G</v>
      </c>
      <c r="G76" s="742">
        <v>88.903999999999996</v>
      </c>
      <c r="H76" s="698">
        <f t="shared" si="0"/>
        <v>30</v>
      </c>
      <c r="I76" s="98" t="str">
        <f t="shared" si="7"/>
        <v>DATA_KABELBED_KPN BV-G</v>
      </c>
      <c r="J76" s="698" t="str">
        <f t="shared" si="8"/>
        <v>DATA_</v>
      </c>
      <c r="K76" s="738" t="str">
        <f t="shared" si="3"/>
        <v>d</v>
      </c>
      <c r="L76" s="692">
        <v>59</v>
      </c>
      <c r="M76" s="105" t="str">
        <f t="shared" si="9"/>
        <v>BVK</v>
      </c>
      <c r="N76" s="738">
        <f t="shared" si="10"/>
        <v>88.903999999999996</v>
      </c>
      <c r="X76" s="747"/>
      <c r="Y76" s="744"/>
    </row>
    <row r="77" spans="1:25" x14ac:dyDescent="0.2">
      <c r="A77" s="692" t="s">
        <v>1318</v>
      </c>
      <c r="B77" s="692">
        <v>70.897400000000005</v>
      </c>
      <c r="F77" s="741" t="str">
        <v>B-OI-KL-DATA_KABELBED_KPN BV-G</v>
      </c>
      <c r="G77" s="742">
        <v>88.904499999999999</v>
      </c>
      <c r="H77" s="698">
        <f t="shared" si="0"/>
        <v>30</v>
      </c>
      <c r="I77" s="98" t="str">
        <f t="shared" si="7"/>
        <v>DATA_KABELBED_KPN BV-G</v>
      </c>
      <c r="J77" s="698" t="str">
        <f t="shared" si="8"/>
        <v>DATA_</v>
      </c>
      <c r="K77" s="738" t="str">
        <f t="shared" si="3"/>
        <v>d</v>
      </c>
      <c r="L77" s="692">
        <v>60</v>
      </c>
      <c r="M77" s="105" t="str">
        <f t="shared" si="9"/>
        <v>BVK</v>
      </c>
      <c r="N77" s="738">
        <f t="shared" si="10"/>
        <v>88.904499999999999</v>
      </c>
      <c r="X77" s="747"/>
      <c r="Y77" s="744"/>
    </row>
    <row r="78" spans="1:25" x14ac:dyDescent="0.2">
      <c r="A78" s="692" t="s">
        <v>1329</v>
      </c>
      <c r="B78" s="692"/>
      <c r="F78" s="741" t="str">
        <v>B-OI-KL-DATA_ZIGGO BV-G</v>
      </c>
      <c r="G78" s="742">
        <v>89.075999999999993</v>
      </c>
      <c r="H78" s="698">
        <f t="shared" si="0"/>
        <v>23</v>
      </c>
      <c r="I78" s="98" t="str">
        <f t="shared" si="7"/>
        <v>DATA_ZIGGO BV-G</v>
      </c>
      <c r="J78" s="698" t="str">
        <f t="shared" si="8"/>
        <v>DATA_</v>
      </c>
      <c r="K78" s="738" t="str">
        <f t="shared" si="3"/>
        <v>d</v>
      </c>
      <c r="L78" s="692">
        <v>61</v>
      </c>
      <c r="M78" s="105" t="str">
        <f t="shared" si="9"/>
        <v>BVK</v>
      </c>
      <c r="N78" s="738">
        <f t="shared" si="10"/>
        <v>89.075999999999993</v>
      </c>
      <c r="Y78" s="744"/>
    </row>
    <row r="79" spans="1:25" x14ac:dyDescent="0.2">
      <c r="A79" s="692" t="s">
        <v>1330</v>
      </c>
      <c r="B79" s="692"/>
      <c r="F79" s="741" t="str">
        <v>B-OI-KL-DATA_DUCT_ZIGGO BV-G</v>
      </c>
      <c r="G79" s="742">
        <v>89.076099999999997</v>
      </c>
      <c r="H79" s="698">
        <f t="shared" si="0"/>
        <v>28</v>
      </c>
      <c r="I79" s="98" t="str">
        <f t="shared" si="7"/>
        <v>DATA_DUCT_ZIGGO BV-G</v>
      </c>
      <c r="J79" s="698" t="str">
        <f t="shared" si="8"/>
        <v>DATA_</v>
      </c>
      <c r="K79" s="738" t="str">
        <f t="shared" si="3"/>
        <v>d</v>
      </c>
      <c r="L79" s="692">
        <v>62</v>
      </c>
      <c r="M79" s="105" t="str">
        <f t="shared" si="9"/>
        <v>BVK</v>
      </c>
      <c r="N79" s="738">
        <f t="shared" si="10"/>
        <v>89.076099999999997</v>
      </c>
      <c r="Y79" s="744"/>
    </row>
    <row r="80" spans="1:25" x14ac:dyDescent="0.2">
      <c r="A80" s="692" t="s">
        <v>1331</v>
      </c>
      <c r="B80" s="692">
        <v>71.194400000000002</v>
      </c>
      <c r="F80" s="741" t="str">
        <v>B-OI-KL-GAS_LD_MANTELBUIS_LIANDER NV PAC 2AI68G2-G</v>
      </c>
      <c r="G80" s="742">
        <v>90.4846</v>
      </c>
      <c r="H80" s="698">
        <f t="shared" si="0"/>
        <v>50</v>
      </c>
      <c r="I80" s="98" t="str">
        <f t="shared" si="7"/>
        <v>GAS_LD_MANTELBUIS_LIANDER NV PAC 2AI68G2-G</v>
      </c>
      <c r="J80" s="698" t="str">
        <f t="shared" si="8"/>
        <v>GAS_L</v>
      </c>
      <c r="K80" s="738" t="str">
        <f t="shared" si="3"/>
        <v>ld</v>
      </c>
      <c r="L80" s="692">
        <v>63</v>
      </c>
      <c r="M80" s="105" t="str">
        <f t="shared" si="9"/>
        <v>BVK</v>
      </c>
      <c r="N80" s="738">
        <f t="shared" si="10"/>
        <v>90.4846</v>
      </c>
      <c r="Y80" s="744"/>
    </row>
    <row r="81" spans="1:25" x14ac:dyDescent="0.2">
      <c r="A81" s="692" t="s">
        <v>1269</v>
      </c>
      <c r="B81" s="692">
        <v>72.688100000000006</v>
      </c>
      <c r="C81" s="692"/>
      <c r="F81" s="741" t="str">
        <v>B-OI-KL-ET_LS_GEMEENTE HAARLEM-G</v>
      </c>
      <c r="G81" s="742">
        <v>92.155799999999999</v>
      </c>
      <c r="H81" s="698">
        <f t="shared" si="0"/>
        <v>32</v>
      </c>
      <c r="I81" s="98" t="str">
        <f t="shared" si="7"/>
        <v>ET_LS_GEMEENTE HAARLEM-G</v>
      </c>
      <c r="J81" s="698" t="str">
        <f t="shared" si="8"/>
        <v>ET_LS</v>
      </c>
      <c r="K81" s="738" t="str">
        <f t="shared" si="3"/>
        <v>ls</v>
      </c>
      <c r="L81" s="692">
        <v>64</v>
      </c>
      <c r="M81" s="105" t="str">
        <f t="shared" si="9"/>
        <v>BVK</v>
      </c>
      <c r="N81" s="738">
        <f t="shared" si="10"/>
        <v>92.155799999999999</v>
      </c>
      <c r="Y81" s="744"/>
    </row>
    <row r="82" spans="1:25" x14ac:dyDescent="0.2">
      <c r="A82" s="692" t="s">
        <v>1320</v>
      </c>
      <c r="B82" s="692">
        <v>73.340199999999996</v>
      </c>
      <c r="F82" s="741" t="str">
        <v>B-OI-KL-ET_LS_LIANDER NV PAC 2AI68G2-G</v>
      </c>
      <c r="G82" s="742">
        <v>114.28</v>
      </c>
      <c r="H82" s="698">
        <f t="shared" si="0"/>
        <v>38</v>
      </c>
      <c r="I82" s="98" t="str">
        <f t="shared" ref="I82:I113" si="11">RIGHT(F82,H82-8)</f>
        <v>ET_LS_LIANDER NV PAC 2AI68G2-G</v>
      </c>
      <c r="J82" s="698" t="str">
        <f t="shared" ref="J82:J113" si="12">LEFT(I82,5)</f>
        <v>ET_LS</v>
      </c>
      <c r="K82" s="738" t="str">
        <f t="shared" ref="K82:K145" si="13">IF(F82="","",VLOOKUP(J82,$A$202:$B$250,2,FALSE))</f>
        <v>ls</v>
      </c>
      <c r="L82" s="692">
        <v>65</v>
      </c>
      <c r="M82" s="105" t="str">
        <f t="shared" ref="M82:M113" si="14">IF(F82="","",IF(F82="RV","BOB","BVK"))</f>
        <v>BVK</v>
      </c>
      <c r="N82" s="738">
        <f t="shared" ref="N82:N113" si="15">G82-N$16</f>
        <v>114.28</v>
      </c>
      <c r="Y82" s="744"/>
    </row>
    <row r="83" spans="1:25" x14ac:dyDescent="0.2">
      <c r="A83" s="692" t="s">
        <v>1322</v>
      </c>
      <c r="B83" s="692">
        <v>74.879400000000004</v>
      </c>
      <c r="F83" s="741" t="str">
        <v>B-OI-KL-WATER_PWN AFD KLICBEHEER-G</v>
      </c>
      <c r="G83" s="742">
        <v>127.57899999999999</v>
      </c>
      <c r="H83" s="698">
        <f t="shared" ref="H83:H146" si="16">LEN(F83)</f>
        <v>34</v>
      </c>
      <c r="I83" s="98" t="str">
        <f t="shared" si="11"/>
        <v>WATER_PWN AFD KLICBEHEER-G</v>
      </c>
      <c r="J83" s="698" t="str">
        <f t="shared" si="12"/>
        <v>WATER</v>
      </c>
      <c r="K83" s="738" t="str">
        <f t="shared" si="13"/>
        <v>w</v>
      </c>
      <c r="L83" s="692">
        <v>66</v>
      </c>
      <c r="M83" s="105" t="str">
        <f t="shared" si="14"/>
        <v>BVK</v>
      </c>
      <c r="N83" s="738">
        <f t="shared" si="15"/>
        <v>127.57899999999999</v>
      </c>
      <c r="Y83" s="744"/>
    </row>
    <row r="84" spans="1:25" x14ac:dyDescent="0.2">
      <c r="A84" s="692" t="s">
        <v>1327</v>
      </c>
      <c r="B84" s="692">
        <v>76.015000000000001</v>
      </c>
      <c r="C84" s="692"/>
      <c r="F84" s="741" t="str">
        <v>B-OI-KL-ET_LS_GEMEENTE HAARLEM-G</v>
      </c>
      <c r="G84" s="742">
        <v>133.357</v>
      </c>
      <c r="H84" s="698">
        <f t="shared" si="16"/>
        <v>32</v>
      </c>
      <c r="I84" s="98" t="str">
        <f t="shared" si="11"/>
        <v>ET_LS_GEMEENTE HAARLEM-G</v>
      </c>
      <c r="J84" s="698" t="str">
        <f t="shared" si="12"/>
        <v>ET_LS</v>
      </c>
      <c r="K84" s="738" t="str">
        <f t="shared" si="13"/>
        <v>ls</v>
      </c>
      <c r="L84" s="692">
        <v>67</v>
      </c>
      <c r="M84" s="105" t="str">
        <f t="shared" si="14"/>
        <v>BVK</v>
      </c>
      <c r="N84" s="738">
        <f t="shared" si="15"/>
        <v>133.357</v>
      </c>
      <c r="Y84" s="744"/>
    </row>
    <row r="85" spans="1:25" x14ac:dyDescent="0.2">
      <c r="A85" s="692" t="s">
        <v>1318</v>
      </c>
      <c r="B85" s="692">
        <v>76.015299999999996</v>
      </c>
      <c r="F85" s="741" t="str">
        <v>B-OI-KL-DATA_KABELBED_KPN BV-G</v>
      </c>
      <c r="G85" s="742">
        <v>136.374</v>
      </c>
      <c r="H85" s="698">
        <f t="shared" si="16"/>
        <v>30</v>
      </c>
      <c r="I85" s="98" t="str">
        <f t="shared" si="11"/>
        <v>DATA_KABELBED_KPN BV-G</v>
      </c>
      <c r="J85" s="698" t="str">
        <f t="shared" si="12"/>
        <v>DATA_</v>
      </c>
      <c r="K85" s="738" t="str">
        <f t="shared" si="13"/>
        <v>d</v>
      </c>
      <c r="L85" s="692">
        <v>68</v>
      </c>
      <c r="M85" s="105" t="str">
        <f t="shared" si="14"/>
        <v>BVK</v>
      </c>
      <c r="N85" s="738">
        <f t="shared" si="15"/>
        <v>136.374</v>
      </c>
      <c r="Y85" s="744"/>
    </row>
    <row r="86" spans="1:25" x14ac:dyDescent="0.2">
      <c r="A86" s="692" t="s">
        <v>1320</v>
      </c>
      <c r="B86" s="692">
        <v>79.388900000000007</v>
      </c>
      <c r="F86" s="741" t="str">
        <v>B-OI-KL-DATA_KABELBED_KPN BV-G</v>
      </c>
      <c r="G86" s="742">
        <v>136.43899999999999</v>
      </c>
      <c r="H86" s="698">
        <f t="shared" si="16"/>
        <v>30</v>
      </c>
      <c r="I86" s="98" t="str">
        <f t="shared" si="11"/>
        <v>DATA_KABELBED_KPN BV-G</v>
      </c>
      <c r="J86" s="698" t="str">
        <f t="shared" si="12"/>
        <v>DATA_</v>
      </c>
      <c r="K86" s="738" t="str">
        <f t="shared" si="13"/>
        <v>d</v>
      </c>
      <c r="L86" s="692">
        <v>69</v>
      </c>
      <c r="M86" s="105" t="str">
        <f t="shared" si="14"/>
        <v>BVK</v>
      </c>
      <c r="N86" s="738">
        <f t="shared" si="15"/>
        <v>136.43899999999999</v>
      </c>
      <c r="Y86" s="744"/>
    </row>
    <row r="87" spans="1:25" x14ac:dyDescent="0.2">
      <c r="A87" s="692" t="s">
        <v>1318</v>
      </c>
      <c r="B87" s="692">
        <v>81.504499999999993</v>
      </c>
      <c r="C87" s="692"/>
      <c r="F87" s="741" t="str">
        <v>B-OI-KL-ET_LS_LIANDER NV PAC 2AI68G2-G</v>
      </c>
      <c r="G87" s="742">
        <v>142.05600000000001</v>
      </c>
      <c r="H87" s="698">
        <f t="shared" si="16"/>
        <v>38</v>
      </c>
      <c r="I87" s="98" t="str">
        <f t="shared" si="11"/>
        <v>ET_LS_LIANDER NV PAC 2AI68G2-G</v>
      </c>
      <c r="J87" s="698" t="str">
        <f t="shared" si="12"/>
        <v>ET_LS</v>
      </c>
      <c r="K87" s="738" t="str">
        <f t="shared" si="13"/>
        <v>ls</v>
      </c>
      <c r="L87" s="692">
        <v>70</v>
      </c>
      <c r="M87" s="105" t="str">
        <f t="shared" si="14"/>
        <v>BVK</v>
      </c>
      <c r="N87" s="738">
        <f t="shared" si="15"/>
        <v>142.05600000000001</v>
      </c>
      <c r="Y87" s="744"/>
    </row>
    <row r="88" spans="1:25" x14ac:dyDescent="0.2">
      <c r="A88" s="692" t="s">
        <v>1322</v>
      </c>
      <c r="B88" s="692">
        <v>84.184799999999996</v>
      </c>
      <c r="F88" s="741" t="str">
        <v>B-OI-KL-ET_LS_MANTELBUIS_LIANDER NV PAC 2AI68G2-G</v>
      </c>
      <c r="G88" s="742">
        <v>142.05699999999999</v>
      </c>
      <c r="H88" s="698">
        <f t="shared" si="16"/>
        <v>49</v>
      </c>
      <c r="I88" s="98" t="str">
        <f t="shared" si="11"/>
        <v>ET_LS_MANTELBUIS_LIANDER NV PAC 2AI68G2-G</v>
      </c>
      <c r="J88" s="698" t="str">
        <f t="shared" si="12"/>
        <v>ET_LS</v>
      </c>
      <c r="K88" s="738" t="str">
        <f t="shared" si="13"/>
        <v>ls</v>
      </c>
      <c r="L88" s="692">
        <v>71</v>
      </c>
      <c r="M88" s="105" t="str">
        <f t="shared" si="14"/>
        <v>BVK</v>
      </c>
      <c r="N88" s="738">
        <f t="shared" si="15"/>
        <v>142.05699999999999</v>
      </c>
      <c r="Y88" s="744"/>
    </row>
    <row r="89" spans="1:25" x14ac:dyDescent="0.2">
      <c r="A89" s="692" t="s">
        <v>1323</v>
      </c>
      <c r="B89" s="692"/>
      <c r="F89" s="741" t="str">
        <v>B-OI-KL-ET_MS_LIANDER NV PAC 2AI68G2-G</v>
      </c>
      <c r="G89" s="742">
        <v>142.56299999999999</v>
      </c>
      <c r="H89" s="698">
        <f t="shared" si="16"/>
        <v>38</v>
      </c>
      <c r="I89" s="98" t="str">
        <f t="shared" si="11"/>
        <v>ET_MS_LIANDER NV PAC 2AI68G2-G</v>
      </c>
      <c r="J89" s="698" t="str">
        <f t="shared" si="12"/>
        <v>ET_MS</v>
      </c>
      <c r="K89" s="738" t="str">
        <f t="shared" si="13"/>
        <v>ms</v>
      </c>
      <c r="L89" s="692">
        <v>72</v>
      </c>
      <c r="M89" s="105" t="str">
        <f t="shared" si="14"/>
        <v>BVK</v>
      </c>
      <c r="N89" s="738">
        <f t="shared" si="15"/>
        <v>142.56299999999999</v>
      </c>
      <c r="Y89" s="744"/>
    </row>
    <row r="90" spans="1:25" x14ac:dyDescent="0.2">
      <c r="A90" s="692" t="s">
        <v>1320</v>
      </c>
      <c r="B90" s="692">
        <v>88.903999999999996</v>
      </c>
      <c r="F90" s="741" t="str">
        <v>B-OI-KL-DATA_GEMEENTE HAARLEM-G</v>
      </c>
      <c r="G90" s="742">
        <v>144.55000000000001</v>
      </c>
      <c r="H90" s="698">
        <f t="shared" si="16"/>
        <v>31</v>
      </c>
      <c r="I90" s="98" t="str">
        <f t="shared" si="11"/>
        <v>DATA_GEMEENTE HAARLEM-G</v>
      </c>
      <c r="J90" s="698" t="str">
        <f t="shared" si="12"/>
        <v>DATA_</v>
      </c>
      <c r="K90" s="738" t="str">
        <f t="shared" si="13"/>
        <v>d</v>
      </c>
      <c r="L90" s="692">
        <v>73</v>
      </c>
      <c r="M90" s="105" t="str">
        <f t="shared" si="14"/>
        <v>BVK</v>
      </c>
      <c r="N90" s="738">
        <f t="shared" si="15"/>
        <v>144.55000000000001</v>
      </c>
      <c r="Y90" s="744"/>
    </row>
    <row r="91" spans="1:25" x14ac:dyDescent="0.2">
      <c r="A91" s="692" t="s">
        <v>1320</v>
      </c>
      <c r="B91" s="692">
        <v>88.904499999999999</v>
      </c>
      <c r="F91" s="741" t="str">
        <v>B-OI-KL-DATA_GEMEENTE HAARLEM-G</v>
      </c>
      <c r="G91" s="742">
        <v>144.65899999999999</v>
      </c>
      <c r="H91" s="698">
        <f t="shared" si="16"/>
        <v>31</v>
      </c>
      <c r="I91" s="98" t="str">
        <f t="shared" si="11"/>
        <v>DATA_GEMEENTE HAARLEM-G</v>
      </c>
      <c r="J91" s="698" t="str">
        <f t="shared" si="12"/>
        <v>DATA_</v>
      </c>
      <c r="K91" s="738" t="str">
        <f t="shared" si="13"/>
        <v>d</v>
      </c>
      <c r="L91" s="692">
        <v>74</v>
      </c>
      <c r="M91" s="105" t="str">
        <f t="shared" si="14"/>
        <v>BVK</v>
      </c>
      <c r="N91" s="738">
        <f t="shared" si="15"/>
        <v>144.65899999999999</v>
      </c>
      <c r="Y91" s="744"/>
    </row>
    <row r="92" spans="1:25" x14ac:dyDescent="0.2">
      <c r="A92" s="692" t="s">
        <v>1332</v>
      </c>
      <c r="B92" s="692">
        <v>89.075999999999993</v>
      </c>
      <c r="F92" s="741" t="str">
        <v>B-OI-KL-ET_LS_LIANDER NV PAC 2AI68G2-G</v>
      </c>
      <c r="G92" s="742">
        <v>144.721</v>
      </c>
      <c r="H92" s="698">
        <f t="shared" si="16"/>
        <v>38</v>
      </c>
      <c r="I92" s="98" t="str">
        <f t="shared" si="11"/>
        <v>ET_LS_LIANDER NV PAC 2AI68G2-G</v>
      </c>
      <c r="J92" s="698" t="str">
        <f t="shared" si="12"/>
        <v>ET_LS</v>
      </c>
      <c r="K92" s="738" t="str">
        <f t="shared" si="13"/>
        <v>ls</v>
      </c>
      <c r="L92" s="692">
        <v>75</v>
      </c>
      <c r="M92" s="105" t="str">
        <f t="shared" si="14"/>
        <v>BVK</v>
      </c>
      <c r="N92" s="738">
        <f t="shared" si="15"/>
        <v>144.721</v>
      </c>
      <c r="Y92" s="744"/>
    </row>
    <row r="93" spans="1:25" x14ac:dyDescent="0.2">
      <c r="A93" s="692" t="s">
        <v>1317</v>
      </c>
      <c r="B93" s="692"/>
      <c r="F93" s="741" t="str">
        <v>B-OI-KL-ET_LS_GEMEENTE HAARLEM-G</v>
      </c>
      <c r="G93" s="742">
        <v>144.79300000000001</v>
      </c>
      <c r="H93" s="698">
        <f t="shared" si="16"/>
        <v>32</v>
      </c>
      <c r="I93" s="98" t="str">
        <f t="shared" si="11"/>
        <v>ET_LS_GEMEENTE HAARLEM-G</v>
      </c>
      <c r="J93" s="698" t="str">
        <f t="shared" si="12"/>
        <v>ET_LS</v>
      </c>
      <c r="K93" s="738" t="str">
        <f t="shared" si="13"/>
        <v>ls</v>
      </c>
      <c r="L93" s="692">
        <v>76</v>
      </c>
      <c r="M93" s="105" t="str">
        <f t="shared" si="14"/>
        <v>BVK</v>
      </c>
      <c r="N93" s="738">
        <f t="shared" si="15"/>
        <v>144.79300000000001</v>
      </c>
      <c r="Y93" s="744"/>
    </row>
    <row r="94" spans="1:25" x14ac:dyDescent="0.2">
      <c r="A94" s="692" t="s">
        <v>1316</v>
      </c>
      <c r="B94" s="692">
        <v>89.076099999999997</v>
      </c>
      <c r="F94" s="741" t="str">
        <v>B-OI-KL-GAS_LD_MANTELBUIS_LIANDER NV PAC 2AI68G2-G</v>
      </c>
      <c r="G94" s="742">
        <v>145.07900000000001</v>
      </c>
      <c r="H94" s="698">
        <f t="shared" si="16"/>
        <v>50</v>
      </c>
      <c r="I94" s="98" t="str">
        <f t="shared" si="11"/>
        <v>GAS_LD_MANTELBUIS_LIANDER NV PAC 2AI68G2-G</v>
      </c>
      <c r="J94" s="698" t="str">
        <f t="shared" si="12"/>
        <v>GAS_L</v>
      </c>
      <c r="K94" s="738" t="str">
        <f t="shared" si="13"/>
        <v>ld</v>
      </c>
      <c r="L94" s="692">
        <v>77</v>
      </c>
      <c r="M94" s="105" t="str">
        <f t="shared" si="14"/>
        <v>BVK</v>
      </c>
      <c r="N94" s="738">
        <f t="shared" si="15"/>
        <v>145.07900000000001</v>
      </c>
      <c r="Y94" s="744"/>
    </row>
    <row r="95" spans="1:25" x14ac:dyDescent="0.2">
      <c r="A95" s="692" t="s">
        <v>1269</v>
      </c>
      <c r="B95" s="692"/>
      <c r="F95" s="741" t="str">
        <v>B-OI-KL-ET_LS_GEMEENTE HAARLEM-G</v>
      </c>
      <c r="G95" s="742">
        <v>145.43799999999999</v>
      </c>
      <c r="H95" s="698">
        <f t="shared" si="16"/>
        <v>32</v>
      </c>
      <c r="I95" s="98" t="str">
        <f t="shared" si="11"/>
        <v>ET_LS_GEMEENTE HAARLEM-G</v>
      </c>
      <c r="J95" s="698" t="str">
        <f t="shared" si="12"/>
        <v>ET_LS</v>
      </c>
      <c r="K95" s="738" t="str">
        <f t="shared" si="13"/>
        <v>ls</v>
      </c>
      <c r="L95" s="692">
        <v>78</v>
      </c>
      <c r="M95" s="105" t="str">
        <f t="shared" si="14"/>
        <v>BVK</v>
      </c>
      <c r="N95" s="738">
        <f t="shared" si="15"/>
        <v>145.43799999999999</v>
      </c>
      <c r="Y95" s="744"/>
    </row>
    <row r="96" spans="1:25" x14ac:dyDescent="0.2">
      <c r="A96" s="692" t="s">
        <v>1270</v>
      </c>
      <c r="B96" s="692">
        <v>90.4846</v>
      </c>
      <c r="F96" s="741" t="str">
        <v>B-OI-KL-DATA_GEMEENTE HAARLEM-G</v>
      </c>
      <c r="G96" s="742">
        <v>145.64400000000001</v>
      </c>
      <c r="H96" s="698">
        <f t="shared" si="16"/>
        <v>31</v>
      </c>
      <c r="I96" s="98" t="str">
        <f t="shared" si="11"/>
        <v>DATA_GEMEENTE HAARLEM-G</v>
      </c>
      <c r="J96" s="698" t="str">
        <f t="shared" si="12"/>
        <v>DATA_</v>
      </c>
      <c r="K96" s="738" t="str">
        <f t="shared" si="13"/>
        <v>d</v>
      </c>
      <c r="L96" s="692">
        <v>79</v>
      </c>
      <c r="M96" s="105" t="str">
        <f t="shared" si="14"/>
        <v>BVK</v>
      </c>
      <c r="N96" s="738">
        <f t="shared" si="15"/>
        <v>145.64400000000001</v>
      </c>
      <c r="Y96" s="744"/>
    </row>
    <row r="97" spans="1:25" x14ac:dyDescent="0.2">
      <c r="A97" s="692" t="s">
        <v>1322</v>
      </c>
      <c r="B97" s="692">
        <v>92.155799999999999</v>
      </c>
      <c r="F97" s="741" t="str">
        <v>B-OI-KL-ET_LS_GEMEENTE HAARLEM-G</v>
      </c>
      <c r="G97" s="742">
        <v>146.952</v>
      </c>
      <c r="H97" s="698">
        <f t="shared" si="16"/>
        <v>32</v>
      </c>
      <c r="I97" s="98" t="str">
        <f t="shared" si="11"/>
        <v>ET_LS_GEMEENTE HAARLEM-G</v>
      </c>
      <c r="J97" s="698" t="str">
        <f t="shared" si="12"/>
        <v>ET_LS</v>
      </c>
      <c r="K97" s="738" t="str">
        <f t="shared" si="13"/>
        <v>ls</v>
      </c>
      <c r="L97" s="692">
        <v>80</v>
      </c>
      <c r="M97" s="105" t="str">
        <f t="shared" si="14"/>
        <v>BVK</v>
      </c>
      <c r="N97" s="738">
        <f t="shared" si="15"/>
        <v>146.952</v>
      </c>
      <c r="Y97" s="744"/>
    </row>
    <row r="98" spans="1:25" x14ac:dyDescent="0.2">
      <c r="A98" s="692" t="s">
        <v>1318</v>
      </c>
      <c r="B98" s="692">
        <v>114.28</v>
      </c>
      <c r="F98" s="741" t="str">
        <v>B-OI-RI-VRIJVERVAL_GEMEENTE HAARLEM-G</v>
      </c>
      <c r="G98" s="742">
        <v>150.47</v>
      </c>
      <c r="H98" s="698">
        <f t="shared" si="16"/>
        <v>37</v>
      </c>
      <c r="I98" s="98" t="str">
        <f t="shared" si="11"/>
        <v>VRIJVERVAL_GEMEENTE HAARLEM-G</v>
      </c>
      <c r="J98" s="698" t="str">
        <f t="shared" si="12"/>
        <v>VRIJV</v>
      </c>
      <c r="K98" s="738" t="str">
        <f t="shared" si="13"/>
        <v>rv</v>
      </c>
      <c r="L98" s="692">
        <v>81</v>
      </c>
      <c r="M98" s="105" t="str">
        <f t="shared" si="14"/>
        <v>BVK</v>
      </c>
      <c r="N98" s="738">
        <f t="shared" si="15"/>
        <v>150.47</v>
      </c>
      <c r="Y98" s="744"/>
    </row>
    <row r="99" spans="1:25" x14ac:dyDescent="0.2">
      <c r="A99" s="692" t="s">
        <v>1321</v>
      </c>
      <c r="B99" s="692">
        <v>127.57899999999999</v>
      </c>
      <c r="F99" s="741" t="str">
        <v>B-OI-KL-ET_LS_LIANDER NV PAC 2AI68G2-G</v>
      </c>
      <c r="G99" s="742">
        <v>154.73500000000001</v>
      </c>
      <c r="H99" s="698">
        <f t="shared" si="16"/>
        <v>38</v>
      </c>
      <c r="I99" s="98" t="str">
        <f t="shared" si="11"/>
        <v>ET_LS_LIANDER NV PAC 2AI68G2-G</v>
      </c>
      <c r="J99" s="698" t="str">
        <f t="shared" si="12"/>
        <v>ET_LS</v>
      </c>
      <c r="K99" s="738" t="str">
        <f t="shared" si="13"/>
        <v>ls</v>
      </c>
      <c r="L99" s="692">
        <v>82</v>
      </c>
      <c r="M99" s="105" t="str">
        <f t="shared" si="14"/>
        <v>BVK</v>
      </c>
      <c r="N99" s="738">
        <f t="shared" si="15"/>
        <v>154.73500000000001</v>
      </c>
      <c r="Y99" s="744"/>
    </row>
    <row r="100" spans="1:25" x14ac:dyDescent="0.2">
      <c r="A100" s="692" t="s">
        <v>1322</v>
      </c>
      <c r="B100" s="692">
        <v>133.357</v>
      </c>
      <c r="F100" s="741" t="str">
        <v>B-OI-KL-ET_LS_GEMEENTE HAARLEM-G</v>
      </c>
      <c r="G100" s="742">
        <v>186.352</v>
      </c>
      <c r="H100" s="698">
        <f t="shared" si="16"/>
        <v>32</v>
      </c>
      <c r="I100" s="98" t="str">
        <f t="shared" si="11"/>
        <v>ET_LS_GEMEENTE HAARLEM-G</v>
      </c>
      <c r="J100" s="698" t="str">
        <f t="shared" si="12"/>
        <v>ET_LS</v>
      </c>
      <c r="K100" s="738" t="str">
        <f t="shared" si="13"/>
        <v>ls</v>
      </c>
      <c r="L100" s="692">
        <v>83</v>
      </c>
      <c r="M100" s="105" t="str">
        <f t="shared" si="14"/>
        <v>BVK</v>
      </c>
      <c r="N100" s="738">
        <f t="shared" si="15"/>
        <v>186.352</v>
      </c>
      <c r="Y100" s="744"/>
    </row>
    <row r="101" spans="1:25" x14ac:dyDescent="0.2">
      <c r="A101" s="692" t="s">
        <v>1323</v>
      </c>
      <c r="B101" s="692"/>
      <c r="F101" s="741" t="str">
        <v>B-OI-KL-DATA_GEMEENTE HAARLEM-G</v>
      </c>
      <c r="G101" s="742">
        <v>186.874</v>
      </c>
      <c r="H101" s="698">
        <f t="shared" si="16"/>
        <v>31</v>
      </c>
      <c r="I101" s="98" t="str">
        <f t="shared" si="11"/>
        <v>DATA_GEMEENTE HAARLEM-G</v>
      </c>
      <c r="J101" s="698" t="str">
        <f t="shared" si="12"/>
        <v>DATA_</v>
      </c>
      <c r="K101" s="738" t="str">
        <f t="shared" si="13"/>
        <v>d</v>
      </c>
      <c r="L101" s="692">
        <v>84</v>
      </c>
      <c r="M101" s="105" t="str">
        <f t="shared" si="14"/>
        <v>BVK</v>
      </c>
      <c r="N101" s="738">
        <f t="shared" si="15"/>
        <v>186.874</v>
      </c>
      <c r="Y101" s="744"/>
    </row>
    <row r="102" spans="1:25" x14ac:dyDescent="0.2">
      <c r="A102" s="692" t="s">
        <v>1320</v>
      </c>
      <c r="B102" s="692">
        <v>136.374</v>
      </c>
      <c r="F102" s="741" t="str">
        <v>B-OI-KL-DATA_GEMEENTE HAARLEM-G</v>
      </c>
      <c r="G102" s="742">
        <v>186.96</v>
      </c>
      <c r="H102" s="698">
        <f t="shared" si="16"/>
        <v>31</v>
      </c>
      <c r="I102" s="98" t="str">
        <f t="shared" si="11"/>
        <v>DATA_GEMEENTE HAARLEM-G</v>
      </c>
      <c r="J102" s="698" t="str">
        <f t="shared" si="12"/>
        <v>DATA_</v>
      </c>
      <c r="K102" s="738" t="str">
        <f t="shared" si="13"/>
        <v>d</v>
      </c>
      <c r="L102" s="692">
        <v>85</v>
      </c>
      <c r="M102" s="105" t="str">
        <f t="shared" si="14"/>
        <v>BVK</v>
      </c>
      <c r="N102" s="738">
        <f t="shared" si="15"/>
        <v>186.96</v>
      </c>
      <c r="Y102" s="744"/>
    </row>
    <row r="103" spans="1:25" x14ac:dyDescent="0.2">
      <c r="A103" s="692" t="s">
        <v>1320</v>
      </c>
      <c r="B103" s="692">
        <v>136.43899999999999</v>
      </c>
      <c r="F103" s="741" t="str">
        <v>B-OI-RI-VRIJVERVAL_GEMEENTE HAARLEM-G</v>
      </c>
      <c r="G103" s="742">
        <v>191.80500000000001</v>
      </c>
      <c r="H103" s="698">
        <f t="shared" si="16"/>
        <v>37</v>
      </c>
      <c r="I103" s="98" t="str">
        <f t="shared" si="11"/>
        <v>VRIJVERVAL_GEMEENTE HAARLEM-G</v>
      </c>
      <c r="J103" s="698" t="str">
        <f t="shared" si="12"/>
        <v>VRIJV</v>
      </c>
      <c r="K103" s="738" t="str">
        <f t="shared" si="13"/>
        <v>rv</v>
      </c>
      <c r="L103" s="692">
        <v>86</v>
      </c>
      <c r="M103" s="105" t="str">
        <f t="shared" si="14"/>
        <v>BVK</v>
      </c>
      <c r="N103" s="738">
        <f t="shared" si="15"/>
        <v>191.80500000000001</v>
      </c>
      <c r="Y103" s="744"/>
    </row>
    <row r="104" spans="1:25" x14ac:dyDescent="0.2">
      <c r="A104" s="692" t="s">
        <v>1324</v>
      </c>
      <c r="B104" s="692"/>
      <c r="F104" s="741" t="str">
        <v>B-OI-KL-ET_LS_GEMEENTE HAARLEM-G</v>
      </c>
      <c r="G104" s="742">
        <v>196.12700000000001</v>
      </c>
      <c r="H104" s="698">
        <f t="shared" si="16"/>
        <v>32</v>
      </c>
      <c r="I104" s="98" t="str">
        <f t="shared" si="11"/>
        <v>ET_LS_GEMEENTE HAARLEM-G</v>
      </c>
      <c r="J104" s="698" t="str">
        <f t="shared" si="12"/>
        <v>ET_LS</v>
      </c>
      <c r="K104" s="738" t="str">
        <f t="shared" si="13"/>
        <v>ls</v>
      </c>
      <c r="L104" s="692">
        <v>87</v>
      </c>
      <c r="M104" s="105" t="str">
        <f t="shared" si="14"/>
        <v>BVK</v>
      </c>
      <c r="N104" s="738">
        <f t="shared" si="15"/>
        <v>196.12700000000001</v>
      </c>
      <c r="Y104" s="744"/>
    </row>
    <row r="105" spans="1:25" x14ac:dyDescent="0.2">
      <c r="A105" s="692" t="s">
        <v>1318</v>
      </c>
      <c r="B105" s="692">
        <v>142.05600000000001</v>
      </c>
      <c r="F105" s="741" t="str">
        <v>B-OI-KL-ET_LS_LIANDER NV PAC 2AI68G2-G</v>
      </c>
      <c r="G105" s="742">
        <v>198.87899999999999</v>
      </c>
      <c r="H105" s="698">
        <f t="shared" si="16"/>
        <v>38</v>
      </c>
      <c r="I105" s="98" t="str">
        <f t="shared" si="11"/>
        <v>ET_LS_LIANDER NV PAC 2AI68G2-G</v>
      </c>
      <c r="J105" s="698" t="str">
        <f t="shared" si="12"/>
        <v>ET_LS</v>
      </c>
      <c r="K105" s="738" t="str">
        <f t="shared" si="13"/>
        <v>ls</v>
      </c>
      <c r="L105" s="692">
        <v>88</v>
      </c>
      <c r="M105" s="105" t="str">
        <f t="shared" si="14"/>
        <v>BVK</v>
      </c>
      <c r="N105" s="738">
        <f t="shared" si="15"/>
        <v>198.87899999999999</v>
      </c>
      <c r="Y105" s="744"/>
    </row>
    <row r="106" spans="1:25" x14ac:dyDescent="0.2">
      <c r="A106" s="692" t="s">
        <v>1327</v>
      </c>
      <c r="B106" s="692">
        <v>142.05699999999999</v>
      </c>
      <c r="F106" s="741" t="str">
        <v>B-OI-KL-ET_LS_LIANDER NV PAC 2AI68G2-G</v>
      </c>
      <c r="G106" s="742">
        <v>198.881</v>
      </c>
      <c r="H106" s="698">
        <f t="shared" si="16"/>
        <v>38</v>
      </c>
      <c r="I106" s="98" t="str">
        <f t="shared" si="11"/>
        <v>ET_LS_LIANDER NV PAC 2AI68G2-G</v>
      </c>
      <c r="J106" s="698" t="str">
        <f t="shared" si="12"/>
        <v>ET_LS</v>
      </c>
      <c r="K106" s="738" t="str">
        <f t="shared" si="13"/>
        <v>ls</v>
      </c>
      <c r="L106" s="692">
        <v>89</v>
      </c>
      <c r="M106" s="105" t="str">
        <f t="shared" si="14"/>
        <v>BVK</v>
      </c>
      <c r="N106" s="738">
        <f t="shared" si="15"/>
        <v>198.881</v>
      </c>
      <c r="Y106" s="744"/>
    </row>
    <row r="107" spans="1:25" x14ac:dyDescent="0.2">
      <c r="A107" s="692" t="s">
        <v>1333</v>
      </c>
      <c r="B107" s="692"/>
      <c r="F107" s="741" t="str">
        <v>B-OI-KL-ET_LS_MANTELBUIS_LIANDER NV PAC 2AI68G2-G</v>
      </c>
      <c r="G107" s="742">
        <v>198.88300000000001</v>
      </c>
      <c r="H107" s="698">
        <f t="shared" si="16"/>
        <v>49</v>
      </c>
      <c r="I107" s="98" t="str">
        <f t="shared" si="11"/>
        <v>ET_LS_MANTELBUIS_LIANDER NV PAC 2AI68G2-G</v>
      </c>
      <c r="J107" s="698" t="str">
        <f t="shared" si="12"/>
        <v>ET_LS</v>
      </c>
      <c r="K107" s="738" t="str">
        <f t="shared" si="13"/>
        <v>ls</v>
      </c>
      <c r="L107" s="692">
        <v>90</v>
      </c>
      <c r="M107" s="105" t="str">
        <f t="shared" si="14"/>
        <v>BVK</v>
      </c>
      <c r="N107" s="738">
        <f t="shared" si="15"/>
        <v>198.88300000000001</v>
      </c>
      <c r="Y107" s="744"/>
    </row>
    <row r="108" spans="1:25" x14ac:dyDescent="0.2">
      <c r="A108" s="692" t="s">
        <v>1324</v>
      </c>
      <c r="B108" s="692">
        <v>142.56299999999999</v>
      </c>
      <c r="F108" s="741" t="str">
        <v>B-OI-KL-ET_LS_LIANDER NV PAC 2AI68G2-G</v>
      </c>
      <c r="G108" s="742">
        <v>201.50399999999999</v>
      </c>
      <c r="H108" s="698">
        <f t="shared" si="16"/>
        <v>38</v>
      </c>
      <c r="I108" s="98" t="str">
        <f t="shared" si="11"/>
        <v>ET_LS_LIANDER NV PAC 2AI68G2-G</v>
      </c>
      <c r="J108" s="698" t="str">
        <f t="shared" si="12"/>
        <v>ET_LS</v>
      </c>
      <c r="K108" s="738" t="str">
        <f t="shared" si="13"/>
        <v>ls</v>
      </c>
      <c r="L108" s="692">
        <v>91</v>
      </c>
      <c r="M108" s="105" t="str">
        <f t="shared" si="14"/>
        <v>BVK</v>
      </c>
      <c r="N108" s="738">
        <f t="shared" si="15"/>
        <v>201.50399999999999</v>
      </c>
      <c r="Y108" s="744"/>
    </row>
    <row r="109" spans="1:25" x14ac:dyDescent="0.2">
      <c r="A109" s="692" t="s">
        <v>1328</v>
      </c>
      <c r="B109" s="692">
        <v>144.55000000000001</v>
      </c>
      <c r="F109" s="741" t="str">
        <v>B-OI-KL-ET_LS_GEMEENTE HAARLEM-G</v>
      </c>
      <c r="G109" s="742">
        <v>204.619</v>
      </c>
      <c r="H109" s="698">
        <f t="shared" si="16"/>
        <v>32</v>
      </c>
      <c r="I109" s="98" t="str">
        <f t="shared" si="11"/>
        <v>ET_LS_GEMEENTE HAARLEM-G</v>
      </c>
      <c r="J109" s="698" t="str">
        <f t="shared" si="12"/>
        <v>ET_LS</v>
      </c>
      <c r="K109" s="738" t="str">
        <f t="shared" si="13"/>
        <v>ls</v>
      </c>
      <c r="L109" s="692">
        <v>92</v>
      </c>
      <c r="M109" s="105" t="str">
        <f t="shared" si="14"/>
        <v>BVK</v>
      </c>
      <c r="N109" s="738">
        <f t="shared" si="15"/>
        <v>204.619</v>
      </c>
    </row>
    <row r="110" spans="1:25" x14ac:dyDescent="0.2">
      <c r="A110" s="692" t="s">
        <v>1328</v>
      </c>
      <c r="B110" s="692">
        <v>144.65899999999999</v>
      </c>
      <c r="F110" s="741" t="str">
        <v>B-OI-KL-ET_LS_LIANDER NV PAC 2AI68G2-G</v>
      </c>
      <c r="G110" s="742">
        <v>208.398</v>
      </c>
      <c r="H110" s="698">
        <f t="shared" si="16"/>
        <v>38</v>
      </c>
      <c r="I110" s="98" t="str">
        <f t="shared" si="11"/>
        <v>ET_LS_LIANDER NV PAC 2AI68G2-G</v>
      </c>
      <c r="J110" s="698" t="str">
        <f t="shared" si="12"/>
        <v>ET_LS</v>
      </c>
      <c r="K110" s="738" t="str">
        <f t="shared" si="13"/>
        <v>ls</v>
      </c>
      <c r="L110" s="692">
        <v>93</v>
      </c>
      <c r="M110" s="105" t="str">
        <f t="shared" si="14"/>
        <v>BVK</v>
      </c>
      <c r="N110" s="738">
        <f t="shared" si="15"/>
        <v>208.398</v>
      </c>
    </row>
    <row r="111" spans="1:25" x14ac:dyDescent="0.2">
      <c r="A111" s="692" t="s">
        <v>1327</v>
      </c>
      <c r="B111" s="692"/>
      <c r="F111" s="741" t="str">
        <v>B-OI-KL-ET_LS_GEMEENTE HAARLEM-G</v>
      </c>
      <c r="G111" s="742">
        <v>218.65</v>
      </c>
      <c r="H111" s="698">
        <f t="shared" si="16"/>
        <v>32</v>
      </c>
      <c r="I111" s="98" t="str">
        <f t="shared" si="11"/>
        <v>ET_LS_GEMEENTE HAARLEM-G</v>
      </c>
      <c r="J111" s="698" t="str">
        <f t="shared" si="12"/>
        <v>ET_LS</v>
      </c>
      <c r="K111" s="738" t="str">
        <f t="shared" si="13"/>
        <v>ls</v>
      </c>
      <c r="L111" s="692">
        <v>94</v>
      </c>
      <c r="M111" s="105" t="str">
        <f t="shared" si="14"/>
        <v>BVK</v>
      </c>
      <c r="N111" s="738">
        <f t="shared" si="15"/>
        <v>218.65</v>
      </c>
    </row>
    <row r="112" spans="1:25" x14ac:dyDescent="0.2">
      <c r="A112" s="692" t="s">
        <v>1318</v>
      </c>
      <c r="B112" s="692">
        <v>144.721</v>
      </c>
      <c r="F112" s="741" t="str">
        <v>B-OI-KL-DATA_KABELBED_ZIGGO BV-G</v>
      </c>
      <c r="G112" s="742">
        <v>233.18899999999999</v>
      </c>
      <c r="H112" s="698">
        <f t="shared" si="16"/>
        <v>32</v>
      </c>
      <c r="I112" s="98" t="str">
        <f t="shared" si="11"/>
        <v>DATA_KABELBED_ZIGGO BV-G</v>
      </c>
      <c r="J112" s="698" t="str">
        <f t="shared" si="12"/>
        <v>DATA_</v>
      </c>
      <c r="K112" s="738" t="str">
        <f t="shared" si="13"/>
        <v>d</v>
      </c>
      <c r="L112" s="692">
        <v>95</v>
      </c>
      <c r="M112" s="105" t="str">
        <f t="shared" si="14"/>
        <v>BVK</v>
      </c>
      <c r="N112" s="738">
        <f t="shared" si="15"/>
        <v>233.18899999999999</v>
      </c>
    </row>
    <row r="113" spans="1:14" x14ac:dyDescent="0.2">
      <c r="A113" s="692" t="s">
        <v>1322</v>
      </c>
      <c r="B113" s="692">
        <v>144.79300000000001</v>
      </c>
      <c r="F113" s="741" t="str">
        <v>B-OI-KL-ET_LS_LIANDER NV PAC 2AI68G2-G</v>
      </c>
      <c r="G113" s="742">
        <v>234.41399999999999</v>
      </c>
      <c r="H113" s="698">
        <f t="shared" si="16"/>
        <v>38</v>
      </c>
      <c r="I113" s="98" t="str">
        <f t="shared" si="11"/>
        <v>ET_LS_LIANDER NV PAC 2AI68G2-G</v>
      </c>
      <c r="J113" s="698" t="str">
        <f t="shared" si="12"/>
        <v>ET_LS</v>
      </c>
      <c r="K113" s="738" t="str">
        <f t="shared" si="13"/>
        <v>ls</v>
      </c>
      <c r="L113" s="692">
        <v>96</v>
      </c>
      <c r="M113" s="105" t="str">
        <f t="shared" si="14"/>
        <v>BVK</v>
      </c>
      <c r="N113" s="738">
        <f t="shared" si="15"/>
        <v>234.41399999999999</v>
      </c>
    </row>
    <row r="114" spans="1:14" x14ac:dyDescent="0.2">
      <c r="A114" s="692" t="s">
        <v>1269</v>
      </c>
      <c r="B114" s="692"/>
      <c r="F114" s="741" t="str">
        <v>B-OI-KL-ET_LS_GEMEENTE HAARLEM-G</v>
      </c>
      <c r="G114" s="742">
        <v>239.44900000000001</v>
      </c>
      <c r="H114" s="698">
        <f t="shared" si="16"/>
        <v>32</v>
      </c>
      <c r="I114" s="98" t="str">
        <f t="shared" ref="I114:I145" si="17">RIGHT(F114,H114-8)</f>
        <v>ET_LS_GEMEENTE HAARLEM-G</v>
      </c>
      <c r="J114" s="698" t="str">
        <f t="shared" ref="J114:J145" si="18">LEFT(I114,5)</f>
        <v>ET_LS</v>
      </c>
      <c r="K114" s="738" t="str">
        <f t="shared" si="13"/>
        <v>ls</v>
      </c>
      <c r="L114" s="692">
        <v>97</v>
      </c>
      <c r="M114" s="105" t="str">
        <f t="shared" ref="M114:M145" si="19">IF(F114="","",IF(F114="RV","BOB","BVK"))</f>
        <v>BVK</v>
      </c>
      <c r="N114" s="738">
        <f t="shared" ref="N114:N145" si="20">G114-N$16</f>
        <v>239.44900000000001</v>
      </c>
    </row>
    <row r="115" spans="1:14" x14ac:dyDescent="0.2">
      <c r="A115" s="692" t="s">
        <v>1270</v>
      </c>
      <c r="B115" s="692">
        <v>145.07900000000001</v>
      </c>
      <c r="F115" s="741" t="str">
        <v>B-OI-KL-DATA_KABELBED_KPN BV-G</v>
      </c>
      <c r="G115" s="742">
        <v>245.48599999999999</v>
      </c>
      <c r="H115" s="698">
        <f t="shared" si="16"/>
        <v>30</v>
      </c>
      <c r="I115" s="98" t="str">
        <f t="shared" si="17"/>
        <v>DATA_KABELBED_KPN BV-G</v>
      </c>
      <c r="J115" s="698" t="str">
        <f t="shared" si="18"/>
        <v>DATA_</v>
      </c>
      <c r="K115" s="738" t="str">
        <f t="shared" si="13"/>
        <v>d</v>
      </c>
      <c r="L115" s="692">
        <v>98</v>
      </c>
      <c r="M115" s="105" t="str">
        <f t="shared" si="19"/>
        <v>BVK</v>
      </c>
      <c r="N115" s="738">
        <f t="shared" si="20"/>
        <v>245.48599999999999</v>
      </c>
    </row>
    <row r="116" spans="1:14" x14ac:dyDescent="0.2">
      <c r="A116" s="692" t="s">
        <v>1322</v>
      </c>
      <c r="B116" s="692">
        <v>145.43799999999999</v>
      </c>
      <c r="F116" s="741" t="str">
        <v>B-OI-KL-ET_LS_GEMEENTE HAARLEM-G</v>
      </c>
      <c r="G116" s="742">
        <v>245.767</v>
      </c>
      <c r="H116" s="698">
        <f t="shared" si="16"/>
        <v>32</v>
      </c>
      <c r="I116" s="98" t="str">
        <f t="shared" si="17"/>
        <v>ET_LS_GEMEENTE HAARLEM-G</v>
      </c>
      <c r="J116" s="698" t="str">
        <f t="shared" si="18"/>
        <v>ET_LS</v>
      </c>
      <c r="K116" s="738" t="str">
        <f t="shared" si="13"/>
        <v>ls</v>
      </c>
      <c r="L116" s="692">
        <v>99</v>
      </c>
      <c r="M116" s="105" t="str">
        <f t="shared" si="19"/>
        <v>BVK</v>
      </c>
      <c r="N116" s="738">
        <f t="shared" si="20"/>
        <v>245.767</v>
      </c>
    </row>
    <row r="117" spans="1:14" x14ac:dyDescent="0.2">
      <c r="A117" s="692" t="s">
        <v>1334</v>
      </c>
      <c r="B117" s="692"/>
      <c r="C117" s="692"/>
      <c r="F117" s="741" t="str">
        <v>B-OI-KL-DATA_KABELBED_ODIDO NETHERLANDS BV-G</v>
      </c>
      <c r="G117" s="742">
        <v>262.25</v>
      </c>
      <c r="H117" s="698">
        <f t="shared" si="16"/>
        <v>44</v>
      </c>
      <c r="I117" s="98" t="str">
        <f t="shared" si="17"/>
        <v>DATA_KABELBED_ODIDO NETHERLANDS BV-G</v>
      </c>
      <c r="J117" s="698" t="str">
        <f t="shared" si="18"/>
        <v>DATA_</v>
      </c>
      <c r="K117" s="738" t="str">
        <f t="shared" si="13"/>
        <v>d</v>
      </c>
      <c r="L117" s="692">
        <v>100</v>
      </c>
      <c r="M117" s="105" t="str">
        <f t="shared" si="19"/>
        <v>BVK</v>
      </c>
      <c r="N117" s="738">
        <f t="shared" si="20"/>
        <v>262.25</v>
      </c>
    </row>
    <row r="118" spans="1:14" x14ac:dyDescent="0.2">
      <c r="A118" s="692" t="s">
        <v>1334</v>
      </c>
      <c r="B118" s="692"/>
      <c r="F118" s="741"/>
      <c r="G118" s="742"/>
      <c r="H118" s="698">
        <f t="shared" si="16"/>
        <v>0</v>
      </c>
      <c r="I118" s="98" t="e">
        <f t="shared" si="17"/>
        <v>#VALUE!</v>
      </c>
      <c r="J118" s="698" t="e">
        <f t="shared" si="18"/>
        <v>#VALUE!</v>
      </c>
      <c r="K118" s="738" t="str">
        <f t="shared" si="13"/>
        <v/>
      </c>
      <c r="L118" s="692">
        <v>101</v>
      </c>
      <c r="M118" s="105" t="str">
        <f t="shared" si="19"/>
        <v/>
      </c>
      <c r="N118" s="738">
        <f t="shared" si="20"/>
        <v>0</v>
      </c>
    </row>
    <row r="119" spans="1:14" x14ac:dyDescent="0.2">
      <c r="A119" s="692" t="s">
        <v>1328</v>
      </c>
      <c r="B119" s="692">
        <v>145.64400000000001</v>
      </c>
      <c r="F119" s="741"/>
      <c r="G119" s="742"/>
      <c r="H119" s="698">
        <f t="shared" si="16"/>
        <v>0</v>
      </c>
      <c r="I119" s="98" t="e">
        <f t="shared" si="17"/>
        <v>#VALUE!</v>
      </c>
      <c r="J119" s="698" t="e">
        <f t="shared" si="18"/>
        <v>#VALUE!</v>
      </c>
      <c r="K119" s="738" t="str">
        <f t="shared" si="13"/>
        <v/>
      </c>
      <c r="L119" s="692">
        <v>102</v>
      </c>
      <c r="M119" s="105" t="str">
        <f t="shared" si="19"/>
        <v/>
      </c>
      <c r="N119" s="738">
        <f t="shared" si="20"/>
        <v>0</v>
      </c>
    </row>
    <row r="120" spans="1:14" x14ac:dyDescent="0.2">
      <c r="A120" s="692" t="s">
        <v>1334</v>
      </c>
      <c r="B120" s="692"/>
      <c r="F120" s="741"/>
      <c r="G120" s="742"/>
      <c r="H120" s="698">
        <f t="shared" si="16"/>
        <v>0</v>
      </c>
      <c r="I120" s="98" t="e">
        <f t="shared" si="17"/>
        <v>#VALUE!</v>
      </c>
      <c r="J120" s="698" t="e">
        <f t="shared" si="18"/>
        <v>#VALUE!</v>
      </c>
      <c r="K120" s="738" t="str">
        <f t="shared" si="13"/>
        <v/>
      </c>
      <c r="L120" s="692">
        <v>103</v>
      </c>
      <c r="M120" s="105" t="str">
        <f t="shared" si="19"/>
        <v/>
      </c>
      <c r="N120" s="738">
        <f t="shared" si="20"/>
        <v>0</v>
      </c>
    </row>
    <row r="121" spans="1:14" x14ac:dyDescent="0.2">
      <c r="A121" s="692" t="s">
        <v>1322</v>
      </c>
      <c r="B121" s="692">
        <v>146.952</v>
      </c>
      <c r="F121" s="741"/>
      <c r="G121" s="742"/>
      <c r="H121" s="698">
        <f t="shared" si="16"/>
        <v>0</v>
      </c>
      <c r="I121" s="98" t="e">
        <f t="shared" si="17"/>
        <v>#VALUE!</v>
      </c>
      <c r="J121" s="698" t="e">
        <f t="shared" si="18"/>
        <v>#VALUE!</v>
      </c>
      <c r="K121" s="738" t="str">
        <f t="shared" si="13"/>
        <v/>
      </c>
      <c r="L121" s="692">
        <v>104</v>
      </c>
      <c r="M121" s="105" t="str">
        <f t="shared" si="19"/>
        <v/>
      </c>
      <c r="N121" s="738">
        <f t="shared" si="20"/>
        <v>0</v>
      </c>
    </row>
    <row r="122" spans="1:14" x14ac:dyDescent="0.2">
      <c r="A122" s="692" t="s">
        <v>1326</v>
      </c>
      <c r="B122" s="692">
        <v>150.47</v>
      </c>
      <c r="F122" s="741"/>
      <c r="G122" s="742"/>
      <c r="H122" s="698">
        <f t="shared" si="16"/>
        <v>0</v>
      </c>
      <c r="I122" s="98" t="e">
        <f t="shared" si="17"/>
        <v>#VALUE!</v>
      </c>
      <c r="J122" s="698" t="e">
        <f t="shared" si="18"/>
        <v>#VALUE!</v>
      </c>
      <c r="K122" s="738" t="str">
        <f t="shared" si="13"/>
        <v/>
      </c>
      <c r="L122" s="692">
        <v>105</v>
      </c>
      <c r="M122" s="105" t="str">
        <f t="shared" si="19"/>
        <v/>
      </c>
      <c r="N122" s="738">
        <f t="shared" si="20"/>
        <v>0</v>
      </c>
    </row>
    <row r="123" spans="1:14" x14ac:dyDescent="0.2">
      <c r="A123" s="692" t="s">
        <v>1318</v>
      </c>
      <c r="B123" s="692">
        <v>154.73500000000001</v>
      </c>
      <c r="F123" s="741"/>
      <c r="G123" s="742"/>
      <c r="H123" s="698">
        <f t="shared" si="16"/>
        <v>0</v>
      </c>
      <c r="I123" s="98" t="e">
        <f t="shared" si="17"/>
        <v>#VALUE!</v>
      </c>
      <c r="J123" s="698" t="e">
        <f t="shared" si="18"/>
        <v>#VALUE!</v>
      </c>
      <c r="K123" s="738" t="str">
        <f t="shared" si="13"/>
        <v/>
      </c>
      <c r="L123" s="692">
        <v>106</v>
      </c>
      <c r="M123" s="105" t="str">
        <f t="shared" si="19"/>
        <v/>
      </c>
      <c r="N123" s="738">
        <f t="shared" si="20"/>
        <v>0</v>
      </c>
    </row>
    <row r="124" spans="1:14" x14ac:dyDescent="0.2">
      <c r="A124" s="692" t="s">
        <v>1322</v>
      </c>
      <c r="B124" s="692">
        <v>186.352</v>
      </c>
      <c r="F124" s="741"/>
      <c r="G124" s="742"/>
      <c r="H124" s="698">
        <f t="shared" si="16"/>
        <v>0</v>
      </c>
      <c r="I124" s="98" t="e">
        <f t="shared" si="17"/>
        <v>#VALUE!</v>
      </c>
      <c r="J124" s="698" t="e">
        <f t="shared" si="18"/>
        <v>#VALUE!</v>
      </c>
      <c r="K124" s="738" t="str">
        <f t="shared" si="13"/>
        <v/>
      </c>
      <c r="L124" s="692">
        <v>107</v>
      </c>
      <c r="M124" s="105" t="str">
        <f t="shared" si="19"/>
        <v/>
      </c>
      <c r="N124" s="738">
        <f t="shared" si="20"/>
        <v>0</v>
      </c>
    </row>
    <row r="125" spans="1:14" x14ac:dyDescent="0.2">
      <c r="A125" s="692" t="s">
        <v>1328</v>
      </c>
      <c r="B125" s="692">
        <v>186.874</v>
      </c>
      <c r="F125" s="741"/>
      <c r="G125" s="742"/>
      <c r="H125" s="698">
        <f t="shared" si="16"/>
        <v>0</v>
      </c>
      <c r="I125" s="98" t="e">
        <f t="shared" si="17"/>
        <v>#VALUE!</v>
      </c>
      <c r="J125" s="698" t="e">
        <f t="shared" si="18"/>
        <v>#VALUE!</v>
      </c>
      <c r="K125" s="738" t="str">
        <f t="shared" si="13"/>
        <v/>
      </c>
      <c r="L125" s="692">
        <v>108</v>
      </c>
      <c r="M125" s="105" t="str">
        <f t="shared" si="19"/>
        <v/>
      </c>
      <c r="N125" s="738">
        <f t="shared" si="20"/>
        <v>0</v>
      </c>
    </row>
    <row r="126" spans="1:14" x14ac:dyDescent="0.2">
      <c r="A126" s="692" t="s">
        <v>1328</v>
      </c>
      <c r="B126" s="692">
        <v>186.96</v>
      </c>
      <c r="C126" s="98">
        <v>1</v>
      </c>
      <c r="F126" s="741"/>
      <c r="G126" s="742"/>
      <c r="H126" s="698">
        <f t="shared" si="16"/>
        <v>0</v>
      </c>
      <c r="I126" s="98" t="e">
        <f t="shared" si="17"/>
        <v>#VALUE!</v>
      </c>
      <c r="J126" s="698" t="e">
        <f t="shared" si="18"/>
        <v>#VALUE!</v>
      </c>
      <c r="K126" s="738" t="str">
        <f t="shared" si="13"/>
        <v/>
      </c>
      <c r="L126" s="692">
        <v>109</v>
      </c>
      <c r="M126" s="105" t="str">
        <f t="shared" si="19"/>
        <v/>
      </c>
      <c r="N126" s="738">
        <f t="shared" si="20"/>
        <v>0</v>
      </c>
    </row>
    <row r="127" spans="1:14" x14ac:dyDescent="0.2">
      <c r="A127" s="692" t="s">
        <v>1326</v>
      </c>
      <c r="B127" s="692">
        <v>191.80500000000001</v>
      </c>
      <c r="C127" s="98">
        <v>1</v>
      </c>
      <c r="F127" s="741"/>
      <c r="G127" s="742"/>
      <c r="H127" s="698">
        <f t="shared" si="16"/>
        <v>0</v>
      </c>
      <c r="I127" s="98" t="e">
        <f t="shared" si="17"/>
        <v>#VALUE!</v>
      </c>
      <c r="J127" s="698" t="e">
        <f t="shared" si="18"/>
        <v>#VALUE!</v>
      </c>
      <c r="K127" s="738" t="str">
        <f t="shared" si="13"/>
        <v/>
      </c>
      <c r="L127" s="692">
        <v>110</v>
      </c>
      <c r="M127" s="105" t="str">
        <f t="shared" si="19"/>
        <v/>
      </c>
      <c r="N127" s="738">
        <f t="shared" si="20"/>
        <v>0</v>
      </c>
    </row>
    <row r="128" spans="1:14" x14ac:dyDescent="0.2">
      <c r="A128" s="692" t="s">
        <v>1322</v>
      </c>
      <c r="B128" s="692">
        <v>196.12700000000001</v>
      </c>
      <c r="C128" s="98">
        <v>1</v>
      </c>
      <c r="F128" s="741"/>
      <c r="G128" s="742"/>
      <c r="H128" s="698">
        <f t="shared" si="16"/>
        <v>0</v>
      </c>
      <c r="I128" s="98" t="e">
        <f t="shared" si="17"/>
        <v>#VALUE!</v>
      </c>
      <c r="J128" s="698" t="e">
        <f t="shared" si="18"/>
        <v>#VALUE!</v>
      </c>
      <c r="K128" s="738" t="str">
        <f t="shared" si="13"/>
        <v/>
      </c>
      <c r="L128" s="692">
        <v>111</v>
      </c>
      <c r="M128" s="105" t="str">
        <f t="shared" si="19"/>
        <v/>
      </c>
      <c r="N128" s="738">
        <f t="shared" si="20"/>
        <v>0</v>
      </c>
    </row>
    <row r="129" spans="1:14" x14ac:dyDescent="0.2">
      <c r="A129" s="692" t="s">
        <v>1318</v>
      </c>
      <c r="B129" s="692">
        <v>198.87899999999999</v>
      </c>
      <c r="C129" s="98">
        <v>1</v>
      </c>
      <c r="F129" s="741"/>
      <c r="G129" s="742"/>
      <c r="H129" s="698">
        <f t="shared" si="16"/>
        <v>0</v>
      </c>
      <c r="I129" s="98" t="e">
        <f t="shared" si="17"/>
        <v>#VALUE!</v>
      </c>
      <c r="J129" s="698" t="e">
        <f t="shared" si="18"/>
        <v>#VALUE!</v>
      </c>
      <c r="K129" s="738" t="str">
        <f t="shared" si="13"/>
        <v/>
      </c>
      <c r="L129" s="692">
        <v>112</v>
      </c>
      <c r="M129" s="105" t="str">
        <f t="shared" si="19"/>
        <v/>
      </c>
      <c r="N129" s="738">
        <f t="shared" si="20"/>
        <v>0</v>
      </c>
    </row>
    <row r="130" spans="1:14" x14ac:dyDescent="0.2">
      <c r="A130" s="692" t="s">
        <v>1318</v>
      </c>
      <c r="B130" s="692">
        <v>198.881</v>
      </c>
      <c r="C130" s="98">
        <v>1</v>
      </c>
      <c r="F130" s="741"/>
      <c r="G130" s="742"/>
      <c r="H130" s="698">
        <f t="shared" si="16"/>
        <v>0</v>
      </c>
      <c r="I130" s="98" t="e">
        <f t="shared" si="17"/>
        <v>#VALUE!</v>
      </c>
      <c r="J130" s="698" t="e">
        <f t="shared" si="18"/>
        <v>#VALUE!</v>
      </c>
      <c r="K130" s="738" t="str">
        <f t="shared" si="13"/>
        <v/>
      </c>
      <c r="L130" s="692">
        <v>113</v>
      </c>
      <c r="M130" s="105" t="str">
        <f t="shared" si="19"/>
        <v/>
      </c>
      <c r="N130" s="738">
        <f t="shared" si="20"/>
        <v>0</v>
      </c>
    </row>
    <row r="131" spans="1:14" x14ac:dyDescent="0.2">
      <c r="A131" s="692" t="s">
        <v>1327</v>
      </c>
      <c r="B131" s="692">
        <v>198.88300000000001</v>
      </c>
      <c r="C131" s="98">
        <v>1</v>
      </c>
      <c r="F131" s="741"/>
      <c r="G131" s="742"/>
      <c r="H131" s="698">
        <f t="shared" si="16"/>
        <v>0</v>
      </c>
      <c r="I131" s="98" t="e">
        <f t="shared" si="17"/>
        <v>#VALUE!</v>
      </c>
      <c r="J131" s="698" t="e">
        <f t="shared" si="18"/>
        <v>#VALUE!</v>
      </c>
      <c r="K131" s="738" t="str">
        <f t="shared" si="13"/>
        <v/>
      </c>
      <c r="L131" s="692">
        <v>114</v>
      </c>
      <c r="M131" s="105" t="str">
        <f t="shared" si="19"/>
        <v/>
      </c>
      <c r="N131" s="738">
        <f t="shared" si="20"/>
        <v>0</v>
      </c>
    </row>
    <row r="132" spans="1:14" x14ac:dyDescent="0.2">
      <c r="A132" s="692" t="s">
        <v>1318</v>
      </c>
      <c r="B132" s="692">
        <v>201.50399999999999</v>
      </c>
      <c r="C132" s="98">
        <v>1</v>
      </c>
      <c r="F132" s="741"/>
      <c r="G132" s="742"/>
      <c r="H132" s="698">
        <f t="shared" si="16"/>
        <v>0</v>
      </c>
      <c r="I132" s="98" t="e">
        <f t="shared" si="17"/>
        <v>#VALUE!</v>
      </c>
      <c r="J132" s="698" t="e">
        <f t="shared" si="18"/>
        <v>#VALUE!</v>
      </c>
      <c r="K132" s="738" t="str">
        <f t="shared" si="13"/>
        <v/>
      </c>
      <c r="L132" s="692">
        <v>115</v>
      </c>
      <c r="M132" s="105" t="str">
        <f t="shared" si="19"/>
        <v/>
      </c>
      <c r="N132" s="738">
        <f t="shared" si="20"/>
        <v>0</v>
      </c>
    </row>
    <row r="133" spans="1:14" x14ac:dyDescent="0.2">
      <c r="A133" s="692" t="s">
        <v>1322</v>
      </c>
      <c r="B133" s="692">
        <v>204.619</v>
      </c>
      <c r="C133" s="98">
        <v>1</v>
      </c>
      <c r="F133" s="741"/>
      <c r="G133" s="742"/>
      <c r="H133" s="698">
        <f t="shared" si="16"/>
        <v>0</v>
      </c>
      <c r="I133" s="98" t="e">
        <f t="shared" si="17"/>
        <v>#VALUE!</v>
      </c>
      <c r="J133" s="698" t="e">
        <f t="shared" si="18"/>
        <v>#VALUE!</v>
      </c>
      <c r="K133" s="738" t="str">
        <f t="shared" si="13"/>
        <v/>
      </c>
      <c r="L133" s="692">
        <v>116</v>
      </c>
      <c r="M133" s="105" t="str">
        <f t="shared" si="19"/>
        <v/>
      </c>
      <c r="N133" s="738">
        <f t="shared" si="20"/>
        <v>0</v>
      </c>
    </row>
    <row r="134" spans="1:14" x14ac:dyDescent="0.2">
      <c r="A134" s="692" t="s">
        <v>1318</v>
      </c>
      <c r="B134" s="692">
        <v>208.398</v>
      </c>
      <c r="C134" s="98">
        <v>1</v>
      </c>
      <c r="F134" s="741"/>
      <c r="G134" s="742"/>
      <c r="H134" s="698">
        <f t="shared" si="16"/>
        <v>0</v>
      </c>
      <c r="I134" s="98" t="e">
        <f t="shared" si="17"/>
        <v>#VALUE!</v>
      </c>
      <c r="J134" s="698" t="e">
        <f t="shared" si="18"/>
        <v>#VALUE!</v>
      </c>
      <c r="K134" s="738" t="str">
        <f t="shared" si="13"/>
        <v/>
      </c>
      <c r="L134" s="692">
        <v>117</v>
      </c>
      <c r="M134" s="105" t="str">
        <f t="shared" si="19"/>
        <v/>
      </c>
      <c r="N134" s="738">
        <f t="shared" si="20"/>
        <v>0</v>
      </c>
    </row>
    <row r="135" spans="1:14" x14ac:dyDescent="0.2">
      <c r="A135" s="692" t="s">
        <v>1322</v>
      </c>
      <c r="B135" s="692">
        <v>218.65</v>
      </c>
      <c r="C135" s="98">
        <v>1</v>
      </c>
      <c r="F135" s="741"/>
      <c r="G135" s="742"/>
      <c r="H135" s="698">
        <f t="shared" si="16"/>
        <v>0</v>
      </c>
      <c r="I135" s="98" t="e">
        <f t="shared" si="17"/>
        <v>#VALUE!</v>
      </c>
      <c r="J135" s="698" t="e">
        <f t="shared" si="18"/>
        <v>#VALUE!</v>
      </c>
      <c r="K135" s="738" t="str">
        <f t="shared" si="13"/>
        <v/>
      </c>
      <c r="L135" s="692">
        <v>118</v>
      </c>
      <c r="M135" s="105" t="str">
        <f t="shared" si="19"/>
        <v/>
      </c>
      <c r="N135" s="738">
        <f t="shared" si="20"/>
        <v>0</v>
      </c>
    </row>
    <row r="136" spans="1:14" x14ac:dyDescent="0.2">
      <c r="A136" s="692" t="s">
        <v>1332</v>
      </c>
      <c r="B136" s="692"/>
      <c r="C136" s="98">
        <v>1</v>
      </c>
      <c r="F136" s="741"/>
      <c r="G136" s="742"/>
      <c r="H136" s="698">
        <f t="shared" si="16"/>
        <v>0</v>
      </c>
      <c r="I136" s="98" t="e">
        <f t="shared" si="17"/>
        <v>#VALUE!</v>
      </c>
      <c r="J136" s="698" t="e">
        <f t="shared" si="18"/>
        <v>#VALUE!</v>
      </c>
      <c r="K136" s="738" t="str">
        <f t="shared" si="13"/>
        <v/>
      </c>
      <c r="L136" s="692">
        <v>119</v>
      </c>
      <c r="M136" s="105" t="str">
        <f t="shared" si="19"/>
        <v/>
      </c>
      <c r="N136" s="738">
        <f t="shared" si="20"/>
        <v>0</v>
      </c>
    </row>
    <row r="137" spans="1:14" x14ac:dyDescent="0.2">
      <c r="A137" s="692" t="s">
        <v>1316</v>
      </c>
      <c r="B137" s="692"/>
      <c r="C137" s="98">
        <v>1</v>
      </c>
      <c r="F137" s="741"/>
      <c r="G137" s="742"/>
      <c r="H137" s="698">
        <f t="shared" si="16"/>
        <v>0</v>
      </c>
      <c r="I137" s="98" t="e">
        <f t="shared" si="17"/>
        <v>#VALUE!</v>
      </c>
      <c r="J137" s="698" t="e">
        <f t="shared" si="18"/>
        <v>#VALUE!</v>
      </c>
      <c r="K137" s="738" t="str">
        <f t="shared" si="13"/>
        <v/>
      </c>
      <c r="L137" s="692">
        <v>120</v>
      </c>
      <c r="M137" s="105" t="str">
        <f t="shared" si="19"/>
        <v/>
      </c>
      <c r="N137" s="738">
        <f t="shared" si="20"/>
        <v>0</v>
      </c>
    </row>
    <row r="138" spans="1:14" x14ac:dyDescent="0.2">
      <c r="A138" s="692" t="s">
        <v>1317</v>
      </c>
      <c r="B138" s="692">
        <v>233.18899999999999</v>
      </c>
      <c r="C138" s="98">
        <v>1</v>
      </c>
      <c r="F138" s="741"/>
      <c r="G138" s="742"/>
      <c r="H138" s="698">
        <f t="shared" si="16"/>
        <v>0</v>
      </c>
      <c r="I138" s="98" t="e">
        <f t="shared" si="17"/>
        <v>#VALUE!</v>
      </c>
      <c r="J138" s="698" t="e">
        <f t="shared" si="18"/>
        <v>#VALUE!</v>
      </c>
      <c r="K138" s="738" t="str">
        <f t="shared" si="13"/>
        <v/>
      </c>
      <c r="L138" s="692">
        <v>121</v>
      </c>
      <c r="M138" s="105" t="str">
        <f t="shared" si="19"/>
        <v/>
      </c>
      <c r="N138" s="738">
        <f t="shared" si="20"/>
        <v>0</v>
      </c>
    </row>
    <row r="139" spans="1:14" x14ac:dyDescent="0.2">
      <c r="A139" s="692" t="s">
        <v>1318</v>
      </c>
      <c r="B139" s="692">
        <v>234.41399999999999</v>
      </c>
      <c r="C139" s="98">
        <v>1</v>
      </c>
      <c r="F139" s="741"/>
      <c r="G139" s="742"/>
      <c r="H139" s="698">
        <f t="shared" si="16"/>
        <v>0</v>
      </c>
      <c r="I139" s="98" t="e">
        <f t="shared" si="17"/>
        <v>#VALUE!</v>
      </c>
      <c r="J139" s="698" t="e">
        <f t="shared" si="18"/>
        <v>#VALUE!</v>
      </c>
      <c r="K139" s="738" t="str">
        <f t="shared" si="13"/>
        <v/>
      </c>
      <c r="L139" s="692">
        <v>122</v>
      </c>
      <c r="M139" s="105" t="str">
        <f t="shared" si="19"/>
        <v/>
      </c>
      <c r="N139" s="738">
        <f t="shared" si="20"/>
        <v>0</v>
      </c>
    </row>
    <row r="140" spans="1:14" x14ac:dyDescent="0.2">
      <c r="A140" s="692" t="s">
        <v>1322</v>
      </c>
      <c r="B140" s="692">
        <v>239.44900000000001</v>
      </c>
      <c r="C140" s="98">
        <v>1</v>
      </c>
      <c r="F140" s="741"/>
      <c r="G140" s="742"/>
      <c r="H140" s="698">
        <f t="shared" si="16"/>
        <v>0</v>
      </c>
      <c r="I140" s="98" t="e">
        <f t="shared" si="17"/>
        <v>#VALUE!</v>
      </c>
      <c r="J140" s="698" t="e">
        <f t="shared" si="18"/>
        <v>#VALUE!</v>
      </c>
      <c r="K140" s="738" t="str">
        <f t="shared" si="13"/>
        <v/>
      </c>
      <c r="L140" s="692">
        <v>123</v>
      </c>
      <c r="M140" s="105" t="str">
        <f t="shared" si="19"/>
        <v/>
      </c>
      <c r="N140" s="738">
        <f t="shared" si="20"/>
        <v>0</v>
      </c>
    </row>
    <row r="141" spans="1:14" x14ac:dyDescent="0.2">
      <c r="A141" s="692" t="s">
        <v>1320</v>
      </c>
      <c r="B141" s="692"/>
      <c r="C141" s="98">
        <v>1</v>
      </c>
      <c r="F141" s="741"/>
      <c r="G141" s="742"/>
      <c r="H141" s="698">
        <f t="shared" si="16"/>
        <v>0</v>
      </c>
      <c r="I141" s="98" t="e">
        <f t="shared" si="17"/>
        <v>#VALUE!</v>
      </c>
      <c r="J141" s="698" t="e">
        <f t="shared" si="18"/>
        <v>#VALUE!</v>
      </c>
      <c r="K141" s="738" t="str">
        <f t="shared" si="13"/>
        <v/>
      </c>
      <c r="L141" s="692">
        <v>124</v>
      </c>
      <c r="M141" s="105" t="str">
        <f t="shared" si="19"/>
        <v/>
      </c>
      <c r="N141" s="738">
        <f t="shared" si="20"/>
        <v>0</v>
      </c>
    </row>
    <row r="142" spans="1:14" x14ac:dyDescent="0.2">
      <c r="A142" s="692" t="s">
        <v>1323</v>
      </c>
      <c r="B142" s="692"/>
      <c r="C142" s="98">
        <v>1</v>
      </c>
      <c r="F142" s="741"/>
      <c r="G142" s="742"/>
      <c r="H142" s="698">
        <f t="shared" si="16"/>
        <v>0</v>
      </c>
      <c r="I142" s="98" t="e">
        <f t="shared" si="17"/>
        <v>#VALUE!</v>
      </c>
      <c r="J142" s="698" t="e">
        <f t="shared" si="18"/>
        <v>#VALUE!</v>
      </c>
      <c r="K142" s="738" t="str">
        <f t="shared" si="13"/>
        <v/>
      </c>
      <c r="L142" s="692">
        <v>125</v>
      </c>
      <c r="M142" s="105" t="str">
        <f t="shared" si="19"/>
        <v/>
      </c>
      <c r="N142" s="738">
        <f t="shared" si="20"/>
        <v>0</v>
      </c>
    </row>
    <row r="143" spans="1:14" x14ac:dyDescent="0.2">
      <c r="A143" s="692" t="s">
        <v>1320</v>
      </c>
      <c r="B143" s="692">
        <v>245.48599999999999</v>
      </c>
      <c r="C143" s="98">
        <v>1</v>
      </c>
      <c r="F143" s="741"/>
      <c r="G143" s="742"/>
      <c r="H143" s="698">
        <f t="shared" si="16"/>
        <v>0</v>
      </c>
      <c r="I143" s="98" t="e">
        <f t="shared" si="17"/>
        <v>#VALUE!</v>
      </c>
      <c r="J143" s="698" t="e">
        <f t="shared" si="18"/>
        <v>#VALUE!</v>
      </c>
      <c r="K143" s="738" t="str">
        <f t="shared" si="13"/>
        <v/>
      </c>
      <c r="L143" s="692">
        <v>126</v>
      </c>
      <c r="M143" s="105" t="str">
        <f t="shared" si="19"/>
        <v/>
      </c>
      <c r="N143" s="738">
        <f t="shared" si="20"/>
        <v>0</v>
      </c>
    </row>
    <row r="144" spans="1:14" x14ac:dyDescent="0.2">
      <c r="A144" s="692" t="s">
        <v>1322</v>
      </c>
      <c r="B144" s="692">
        <v>245.767</v>
      </c>
      <c r="C144" s="98">
        <v>1</v>
      </c>
      <c r="F144" s="741"/>
      <c r="G144" s="742"/>
      <c r="H144" s="698">
        <f t="shared" si="16"/>
        <v>0</v>
      </c>
      <c r="I144" s="98" t="e">
        <f t="shared" si="17"/>
        <v>#VALUE!</v>
      </c>
      <c r="J144" s="698" t="e">
        <f t="shared" si="18"/>
        <v>#VALUE!</v>
      </c>
      <c r="K144" s="738" t="str">
        <f t="shared" si="13"/>
        <v/>
      </c>
      <c r="L144" s="692">
        <v>127</v>
      </c>
      <c r="M144" s="105" t="str">
        <f t="shared" si="19"/>
        <v/>
      </c>
      <c r="N144" s="738">
        <f t="shared" si="20"/>
        <v>0</v>
      </c>
    </row>
    <row r="145" spans="1:14" x14ac:dyDescent="0.2">
      <c r="A145" s="692" t="s">
        <v>1335</v>
      </c>
      <c r="B145" s="692">
        <v>262.25</v>
      </c>
      <c r="C145" s="98">
        <v>1</v>
      </c>
      <c r="F145" s="741"/>
      <c r="G145" s="742"/>
      <c r="H145" s="698">
        <f t="shared" si="16"/>
        <v>0</v>
      </c>
      <c r="I145" s="98" t="e">
        <f t="shared" si="17"/>
        <v>#VALUE!</v>
      </c>
      <c r="J145" s="698" t="e">
        <f t="shared" si="18"/>
        <v>#VALUE!</v>
      </c>
      <c r="K145" s="738" t="str">
        <f t="shared" si="13"/>
        <v/>
      </c>
      <c r="L145" s="692">
        <v>128</v>
      </c>
      <c r="M145" s="105" t="str">
        <f t="shared" si="19"/>
        <v/>
      </c>
      <c r="N145" s="738">
        <f t="shared" si="20"/>
        <v>0</v>
      </c>
    </row>
    <row r="146" spans="1:14" x14ac:dyDescent="0.2">
      <c r="A146" s="692"/>
      <c r="B146" s="692"/>
      <c r="C146" s="98">
        <v>1</v>
      </c>
      <c r="F146" s="741"/>
      <c r="G146" s="742"/>
      <c r="H146" s="698">
        <f t="shared" si="16"/>
        <v>0</v>
      </c>
      <c r="I146" s="98" t="e">
        <f t="shared" ref="I146:I177" si="21">RIGHT(F146,H146-8)</f>
        <v>#VALUE!</v>
      </c>
      <c r="J146" s="698" t="e">
        <f t="shared" ref="J146:J177" si="22">LEFT(I146,5)</f>
        <v>#VALUE!</v>
      </c>
      <c r="K146" s="738" t="str">
        <f t="shared" ref="K146:K199" si="23">IF(F146="","",VLOOKUP(J146,$A$202:$B$250,2,FALSE))</f>
        <v/>
      </c>
      <c r="L146" s="692">
        <v>129</v>
      </c>
      <c r="M146" s="105" t="str">
        <f t="shared" ref="M146:M177" si="24">IF(F146="","",IF(F146="RV","BOB","BVK"))</f>
        <v/>
      </c>
      <c r="N146" s="738">
        <f t="shared" ref="N146:N177" si="25">G146-N$16</f>
        <v>0</v>
      </c>
    </row>
    <row r="147" spans="1:14" x14ac:dyDescent="0.2">
      <c r="A147" s="692"/>
      <c r="B147" s="692"/>
      <c r="C147" s="98">
        <v>1</v>
      </c>
      <c r="F147" s="741"/>
      <c r="G147" s="742"/>
      <c r="H147" s="698">
        <f t="shared" ref="H147:H199" si="26">LEN(F147)</f>
        <v>0</v>
      </c>
      <c r="I147" s="98" t="e">
        <f t="shared" si="21"/>
        <v>#VALUE!</v>
      </c>
      <c r="J147" s="698" t="e">
        <f t="shared" si="22"/>
        <v>#VALUE!</v>
      </c>
      <c r="K147" s="738" t="str">
        <f t="shared" si="23"/>
        <v/>
      </c>
      <c r="L147" s="692">
        <v>130</v>
      </c>
      <c r="M147" s="105" t="str">
        <f t="shared" si="24"/>
        <v/>
      </c>
      <c r="N147" s="738">
        <f t="shared" si="25"/>
        <v>0</v>
      </c>
    </row>
    <row r="148" spans="1:14" x14ac:dyDescent="0.2">
      <c r="A148" s="692"/>
      <c r="B148" s="692"/>
      <c r="C148" s="98">
        <v>1</v>
      </c>
      <c r="F148" s="741"/>
      <c r="G148" s="742"/>
      <c r="H148" s="698">
        <f t="shared" si="26"/>
        <v>0</v>
      </c>
      <c r="I148" s="98" t="e">
        <f t="shared" si="21"/>
        <v>#VALUE!</v>
      </c>
      <c r="J148" s="698" t="e">
        <f t="shared" si="22"/>
        <v>#VALUE!</v>
      </c>
      <c r="K148" s="738" t="str">
        <f t="shared" si="23"/>
        <v/>
      </c>
      <c r="L148" s="692">
        <v>131</v>
      </c>
      <c r="M148" s="105" t="str">
        <f t="shared" si="24"/>
        <v/>
      </c>
      <c r="N148" s="738">
        <f t="shared" si="25"/>
        <v>0</v>
      </c>
    </row>
    <row r="149" spans="1:14" x14ac:dyDescent="0.2">
      <c r="A149" s="692"/>
      <c r="B149" s="692"/>
      <c r="C149" s="98">
        <v>1</v>
      </c>
      <c r="F149" s="741"/>
      <c r="G149" s="742"/>
      <c r="H149" s="698">
        <f t="shared" si="26"/>
        <v>0</v>
      </c>
      <c r="I149" s="98" t="e">
        <f t="shared" si="21"/>
        <v>#VALUE!</v>
      </c>
      <c r="J149" s="698" t="e">
        <f t="shared" si="22"/>
        <v>#VALUE!</v>
      </c>
      <c r="K149" s="738" t="str">
        <f t="shared" si="23"/>
        <v/>
      </c>
      <c r="L149" s="692">
        <v>132</v>
      </c>
      <c r="M149" s="105" t="str">
        <f t="shared" si="24"/>
        <v/>
      </c>
      <c r="N149" s="738">
        <f t="shared" si="25"/>
        <v>0</v>
      </c>
    </row>
    <row r="150" spans="1:14" x14ac:dyDescent="0.2">
      <c r="A150" s="692"/>
      <c r="B150" s="692"/>
      <c r="C150" s="98">
        <v>1</v>
      </c>
      <c r="F150" s="741"/>
      <c r="G150" s="742"/>
      <c r="H150" s="698">
        <f t="shared" si="26"/>
        <v>0</v>
      </c>
      <c r="I150" s="98" t="e">
        <f t="shared" si="21"/>
        <v>#VALUE!</v>
      </c>
      <c r="J150" s="698" t="e">
        <f t="shared" si="22"/>
        <v>#VALUE!</v>
      </c>
      <c r="K150" s="738" t="str">
        <f t="shared" si="23"/>
        <v/>
      </c>
      <c r="L150" s="692">
        <v>133</v>
      </c>
      <c r="M150" s="105" t="str">
        <f t="shared" si="24"/>
        <v/>
      </c>
      <c r="N150" s="738">
        <f t="shared" si="25"/>
        <v>0</v>
      </c>
    </row>
    <row r="151" spans="1:14" x14ac:dyDescent="0.2">
      <c r="A151" s="692"/>
      <c r="B151" s="692"/>
      <c r="C151" s="98">
        <v>1</v>
      </c>
      <c r="F151" s="741"/>
      <c r="G151" s="742"/>
      <c r="H151" s="698">
        <f t="shared" si="26"/>
        <v>0</v>
      </c>
      <c r="I151" s="98" t="e">
        <f t="shared" si="21"/>
        <v>#VALUE!</v>
      </c>
      <c r="J151" s="698" t="e">
        <f t="shared" si="22"/>
        <v>#VALUE!</v>
      </c>
      <c r="K151" s="738" t="str">
        <f t="shared" si="23"/>
        <v/>
      </c>
      <c r="L151" s="692">
        <v>134</v>
      </c>
      <c r="M151" s="105" t="str">
        <f t="shared" si="24"/>
        <v/>
      </c>
      <c r="N151" s="738">
        <f t="shared" si="25"/>
        <v>0</v>
      </c>
    </row>
    <row r="152" spans="1:14" x14ac:dyDescent="0.2">
      <c r="A152" s="692"/>
      <c r="B152" s="692"/>
      <c r="C152" s="98">
        <v>1</v>
      </c>
      <c r="F152" s="741"/>
      <c r="G152" s="742"/>
      <c r="H152" s="698">
        <f t="shared" si="26"/>
        <v>0</v>
      </c>
      <c r="I152" s="98" t="e">
        <f t="shared" si="21"/>
        <v>#VALUE!</v>
      </c>
      <c r="J152" s="698" t="e">
        <f t="shared" si="22"/>
        <v>#VALUE!</v>
      </c>
      <c r="K152" s="738" t="str">
        <f t="shared" si="23"/>
        <v/>
      </c>
      <c r="L152" s="692">
        <v>135</v>
      </c>
      <c r="M152" s="105" t="str">
        <f t="shared" si="24"/>
        <v/>
      </c>
      <c r="N152" s="738">
        <f t="shared" si="25"/>
        <v>0</v>
      </c>
    </row>
    <row r="153" spans="1:14" x14ac:dyDescent="0.2">
      <c r="A153" s="692"/>
      <c r="B153" s="692"/>
      <c r="C153" s="98">
        <v>1</v>
      </c>
      <c r="F153" s="741"/>
      <c r="G153" s="742"/>
      <c r="H153" s="698">
        <f t="shared" si="26"/>
        <v>0</v>
      </c>
      <c r="I153" s="98" t="e">
        <f t="shared" si="21"/>
        <v>#VALUE!</v>
      </c>
      <c r="J153" s="698" t="e">
        <f t="shared" si="22"/>
        <v>#VALUE!</v>
      </c>
      <c r="K153" s="738" t="str">
        <f t="shared" si="23"/>
        <v/>
      </c>
      <c r="L153" s="692">
        <v>136</v>
      </c>
      <c r="M153" s="105" t="str">
        <f t="shared" si="24"/>
        <v/>
      </c>
      <c r="N153" s="738">
        <f t="shared" si="25"/>
        <v>0</v>
      </c>
    </row>
    <row r="154" spans="1:14" x14ac:dyDescent="0.2">
      <c r="A154" s="692"/>
      <c r="B154" s="692"/>
      <c r="C154" s="98">
        <v>1</v>
      </c>
      <c r="F154" s="741"/>
      <c r="G154" s="742"/>
      <c r="H154" s="698">
        <f t="shared" si="26"/>
        <v>0</v>
      </c>
      <c r="I154" s="98" t="e">
        <f t="shared" si="21"/>
        <v>#VALUE!</v>
      </c>
      <c r="J154" s="698" t="e">
        <f t="shared" si="22"/>
        <v>#VALUE!</v>
      </c>
      <c r="K154" s="738" t="str">
        <f t="shared" si="23"/>
        <v/>
      </c>
      <c r="L154" s="692">
        <v>137</v>
      </c>
      <c r="M154" s="105" t="str">
        <f t="shared" si="24"/>
        <v/>
      </c>
      <c r="N154" s="738">
        <f t="shared" si="25"/>
        <v>0</v>
      </c>
    </row>
    <row r="155" spans="1:14" x14ac:dyDescent="0.2">
      <c r="A155" s="692"/>
      <c r="B155" s="692"/>
      <c r="C155" s="98">
        <v>1</v>
      </c>
      <c r="F155" s="741"/>
      <c r="G155" s="742"/>
      <c r="H155" s="698">
        <f t="shared" si="26"/>
        <v>0</v>
      </c>
      <c r="I155" s="98" t="e">
        <f t="shared" si="21"/>
        <v>#VALUE!</v>
      </c>
      <c r="J155" s="698" t="e">
        <f t="shared" si="22"/>
        <v>#VALUE!</v>
      </c>
      <c r="K155" s="738" t="str">
        <f t="shared" si="23"/>
        <v/>
      </c>
      <c r="L155" s="692">
        <v>138</v>
      </c>
      <c r="M155" s="105" t="str">
        <f t="shared" si="24"/>
        <v/>
      </c>
      <c r="N155" s="738">
        <f t="shared" si="25"/>
        <v>0</v>
      </c>
    </row>
    <row r="156" spans="1:14" x14ac:dyDescent="0.2">
      <c r="A156" s="692"/>
      <c r="B156" s="692"/>
      <c r="C156" s="98">
        <v>1</v>
      </c>
      <c r="F156" s="741"/>
      <c r="G156" s="742"/>
      <c r="H156" s="698">
        <f t="shared" si="26"/>
        <v>0</v>
      </c>
      <c r="I156" s="98" t="e">
        <f t="shared" si="21"/>
        <v>#VALUE!</v>
      </c>
      <c r="J156" s="698" t="e">
        <f t="shared" si="22"/>
        <v>#VALUE!</v>
      </c>
      <c r="K156" s="738" t="str">
        <f t="shared" si="23"/>
        <v/>
      </c>
      <c r="L156" s="692">
        <v>139</v>
      </c>
      <c r="M156" s="105" t="str">
        <f t="shared" si="24"/>
        <v/>
      </c>
      <c r="N156" s="738">
        <f t="shared" si="25"/>
        <v>0</v>
      </c>
    </row>
    <row r="157" spans="1:14" x14ac:dyDescent="0.2">
      <c r="A157" s="692"/>
      <c r="B157" s="692"/>
      <c r="C157" s="98">
        <v>1</v>
      </c>
      <c r="F157" s="741"/>
      <c r="G157" s="742"/>
      <c r="H157" s="698">
        <f t="shared" si="26"/>
        <v>0</v>
      </c>
      <c r="I157" s="98" t="e">
        <f t="shared" si="21"/>
        <v>#VALUE!</v>
      </c>
      <c r="J157" s="698" t="e">
        <f t="shared" si="22"/>
        <v>#VALUE!</v>
      </c>
      <c r="K157" s="738" t="str">
        <f t="shared" si="23"/>
        <v/>
      </c>
      <c r="L157" s="692">
        <v>140</v>
      </c>
      <c r="M157" s="105" t="str">
        <f t="shared" si="24"/>
        <v/>
      </c>
      <c r="N157" s="738">
        <f t="shared" si="25"/>
        <v>0</v>
      </c>
    </row>
    <row r="158" spans="1:14" x14ac:dyDescent="0.2">
      <c r="A158" s="692"/>
      <c r="B158" s="692"/>
      <c r="C158" s="98">
        <v>1</v>
      </c>
      <c r="F158" s="741"/>
      <c r="G158" s="742"/>
      <c r="H158" s="698">
        <f t="shared" si="26"/>
        <v>0</v>
      </c>
      <c r="I158" s="98" t="e">
        <f t="shared" si="21"/>
        <v>#VALUE!</v>
      </c>
      <c r="J158" s="698" t="e">
        <f t="shared" si="22"/>
        <v>#VALUE!</v>
      </c>
      <c r="K158" s="738" t="str">
        <f t="shared" si="23"/>
        <v/>
      </c>
      <c r="L158" s="692">
        <v>141</v>
      </c>
      <c r="M158" s="105" t="str">
        <f t="shared" si="24"/>
        <v/>
      </c>
      <c r="N158" s="738">
        <f t="shared" si="25"/>
        <v>0</v>
      </c>
    </row>
    <row r="159" spans="1:14" x14ac:dyDescent="0.2">
      <c r="A159" s="692"/>
      <c r="B159" s="692"/>
      <c r="C159" s="98">
        <v>1</v>
      </c>
      <c r="F159" s="741"/>
      <c r="G159" s="742"/>
      <c r="H159" s="698">
        <f t="shared" si="26"/>
        <v>0</v>
      </c>
      <c r="I159" s="98" t="e">
        <f t="shared" si="21"/>
        <v>#VALUE!</v>
      </c>
      <c r="J159" s="698" t="e">
        <f t="shared" si="22"/>
        <v>#VALUE!</v>
      </c>
      <c r="K159" s="738" t="str">
        <f t="shared" si="23"/>
        <v/>
      </c>
      <c r="L159" s="692">
        <v>142</v>
      </c>
      <c r="M159" s="105" t="str">
        <f t="shared" si="24"/>
        <v/>
      </c>
      <c r="N159" s="738">
        <f t="shared" si="25"/>
        <v>0</v>
      </c>
    </row>
    <row r="160" spans="1:14" x14ac:dyDescent="0.2">
      <c r="A160" s="692"/>
      <c r="B160" s="692"/>
      <c r="C160" s="98">
        <v>1</v>
      </c>
      <c r="F160" s="741"/>
      <c r="G160" s="742"/>
      <c r="H160" s="698">
        <f t="shared" si="26"/>
        <v>0</v>
      </c>
      <c r="I160" s="98" t="e">
        <f t="shared" si="21"/>
        <v>#VALUE!</v>
      </c>
      <c r="J160" s="698" t="e">
        <f t="shared" si="22"/>
        <v>#VALUE!</v>
      </c>
      <c r="K160" s="738" t="str">
        <f t="shared" si="23"/>
        <v/>
      </c>
      <c r="L160" s="692">
        <v>143</v>
      </c>
      <c r="M160" s="105" t="str">
        <f t="shared" si="24"/>
        <v/>
      </c>
      <c r="N160" s="738">
        <f t="shared" si="25"/>
        <v>0</v>
      </c>
    </row>
    <row r="161" spans="1:14" x14ac:dyDescent="0.2">
      <c r="A161" s="692"/>
      <c r="B161" s="692"/>
      <c r="C161" s="98">
        <v>1</v>
      </c>
      <c r="F161" s="741"/>
      <c r="G161" s="742"/>
      <c r="H161" s="698">
        <f t="shared" si="26"/>
        <v>0</v>
      </c>
      <c r="I161" s="98" t="e">
        <f t="shared" si="21"/>
        <v>#VALUE!</v>
      </c>
      <c r="J161" s="698" t="e">
        <f t="shared" si="22"/>
        <v>#VALUE!</v>
      </c>
      <c r="K161" s="738" t="str">
        <f t="shared" si="23"/>
        <v/>
      </c>
      <c r="L161" s="692">
        <v>144</v>
      </c>
      <c r="M161" s="105" t="str">
        <f t="shared" si="24"/>
        <v/>
      </c>
      <c r="N161" s="738">
        <f t="shared" si="25"/>
        <v>0</v>
      </c>
    </row>
    <row r="162" spans="1:14" x14ac:dyDescent="0.2">
      <c r="A162" s="692"/>
      <c r="B162" s="692"/>
      <c r="C162" s="98">
        <v>1</v>
      </c>
      <c r="F162" s="741"/>
      <c r="G162" s="742"/>
      <c r="H162" s="698">
        <f t="shared" si="26"/>
        <v>0</v>
      </c>
      <c r="I162" s="98" t="e">
        <f t="shared" si="21"/>
        <v>#VALUE!</v>
      </c>
      <c r="J162" s="698" t="e">
        <f t="shared" si="22"/>
        <v>#VALUE!</v>
      </c>
      <c r="K162" s="738" t="str">
        <f t="shared" si="23"/>
        <v/>
      </c>
      <c r="L162" s="692">
        <v>145</v>
      </c>
      <c r="M162" s="105" t="str">
        <f t="shared" si="24"/>
        <v/>
      </c>
      <c r="N162" s="738">
        <f t="shared" si="25"/>
        <v>0</v>
      </c>
    </row>
    <row r="163" spans="1:14" x14ac:dyDescent="0.2">
      <c r="A163" s="692"/>
      <c r="B163" s="692"/>
      <c r="C163" s="98">
        <v>1</v>
      </c>
      <c r="F163" s="741"/>
      <c r="G163" s="742"/>
      <c r="H163" s="698">
        <f t="shared" si="26"/>
        <v>0</v>
      </c>
      <c r="I163" s="98" t="e">
        <f t="shared" si="21"/>
        <v>#VALUE!</v>
      </c>
      <c r="J163" s="698" t="e">
        <f t="shared" si="22"/>
        <v>#VALUE!</v>
      </c>
      <c r="K163" s="738" t="str">
        <f t="shared" si="23"/>
        <v/>
      </c>
      <c r="L163" s="692">
        <v>146</v>
      </c>
      <c r="M163" s="105" t="str">
        <f t="shared" si="24"/>
        <v/>
      </c>
      <c r="N163" s="738">
        <f t="shared" si="25"/>
        <v>0</v>
      </c>
    </row>
    <row r="164" spans="1:14" x14ac:dyDescent="0.2">
      <c r="A164" s="692"/>
      <c r="B164" s="692"/>
      <c r="C164" s="98">
        <v>1</v>
      </c>
      <c r="F164" s="741"/>
      <c r="G164" s="742"/>
      <c r="H164" s="698">
        <f t="shared" si="26"/>
        <v>0</v>
      </c>
      <c r="I164" s="98" t="e">
        <f t="shared" si="21"/>
        <v>#VALUE!</v>
      </c>
      <c r="J164" s="698" t="e">
        <f t="shared" si="22"/>
        <v>#VALUE!</v>
      </c>
      <c r="K164" s="738" t="str">
        <f t="shared" si="23"/>
        <v/>
      </c>
      <c r="L164" s="692">
        <v>147</v>
      </c>
      <c r="M164" s="105" t="str">
        <f t="shared" si="24"/>
        <v/>
      </c>
      <c r="N164" s="738">
        <f t="shared" si="25"/>
        <v>0</v>
      </c>
    </row>
    <row r="165" spans="1:14" x14ac:dyDescent="0.2">
      <c r="A165" s="692"/>
      <c r="B165" s="692"/>
      <c r="C165" s="98">
        <v>1</v>
      </c>
      <c r="F165" s="741"/>
      <c r="G165" s="742"/>
      <c r="H165" s="698">
        <f t="shared" si="26"/>
        <v>0</v>
      </c>
      <c r="I165" s="98" t="e">
        <f t="shared" si="21"/>
        <v>#VALUE!</v>
      </c>
      <c r="J165" s="698" t="e">
        <f t="shared" si="22"/>
        <v>#VALUE!</v>
      </c>
      <c r="K165" s="738" t="str">
        <f t="shared" si="23"/>
        <v/>
      </c>
      <c r="L165" s="692">
        <v>148</v>
      </c>
      <c r="M165" s="105" t="str">
        <f t="shared" si="24"/>
        <v/>
      </c>
      <c r="N165" s="738">
        <f t="shared" si="25"/>
        <v>0</v>
      </c>
    </row>
    <row r="166" spans="1:14" x14ac:dyDescent="0.2">
      <c r="A166" s="692"/>
      <c r="B166" s="692"/>
      <c r="C166" s="98">
        <v>1</v>
      </c>
      <c r="F166" s="741"/>
      <c r="G166" s="742"/>
      <c r="H166" s="698">
        <f t="shared" si="26"/>
        <v>0</v>
      </c>
      <c r="I166" s="98" t="e">
        <f t="shared" si="21"/>
        <v>#VALUE!</v>
      </c>
      <c r="J166" s="698" t="e">
        <f t="shared" si="22"/>
        <v>#VALUE!</v>
      </c>
      <c r="K166" s="738" t="str">
        <f t="shared" si="23"/>
        <v/>
      </c>
      <c r="L166" s="692">
        <v>149</v>
      </c>
      <c r="M166" s="105" t="str">
        <f t="shared" si="24"/>
        <v/>
      </c>
      <c r="N166" s="738">
        <f t="shared" si="25"/>
        <v>0</v>
      </c>
    </row>
    <row r="167" spans="1:14" x14ac:dyDescent="0.2">
      <c r="A167" s="692"/>
      <c r="B167" s="692"/>
      <c r="C167" s="98">
        <v>1</v>
      </c>
      <c r="F167" s="741"/>
      <c r="G167" s="742"/>
      <c r="H167" s="698">
        <f t="shared" si="26"/>
        <v>0</v>
      </c>
      <c r="I167" s="98" t="e">
        <f t="shared" si="21"/>
        <v>#VALUE!</v>
      </c>
      <c r="J167" s="698" t="e">
        <f t="shared" si="22"/>
        <v>#VALUE!</v>
      </c>
      <c r="K167" s="738" t="str">
        <f t="shared" si="23"/>
        <v/>
      </c>
      <c r="L167" s="692">
        <v>150</v>
      </c>
      <c r="M167" s="105" t="str">
        <f t="shared" si="24"/>
        <v/>
      </c>
      <c r="N167" s="738">
        <f t="shared" si="25"/>
        <v>0</v>
      </c>
    </row>
    <row r="168" spans="1:14" x14ac:dyDescent="0.2">
      <c r="A168" s="692"/>
      <c r="B168" s="692"/>
      <c r="C168" s="98">
        <v>1</v>
      </c>
      <c r="F168" s="741"/>
      <c r="G168" s="742"/>
      <c r="H168" s="698">
        <f t="shared" si="26"/>
        <v>0</v>
      </c>
      <c r="I168" s="98" t="e">
        <f t="shared" si="21"/>
        <v>#VALUE!</v>
      </c>
      <c r="J168" s="698" t="e">
        <f t="shared" si="22"/>
        <v>#VALUE!</v>
      </c>
      <c r="K168" s="738" t="str">
        <f t="shared" si="23"/>
        <v/>
      </c>
      <c r="L168" s="692">
        <v>151</v>
      </c>
      <c r="M168" s="105" t="str">
        <f t="shared" si="24"/>
        <v/>
      </c>
      <c r="N168" s="738">
        <f t="shared" si="25"/>
        <v>0</v>
      </c>
    </row>
    <row r="169" spans="1:14" x14ac:dyDescent="0.2">
      <c r="A169" s="692"/>
      <c r="B169" s="692"/>
      <c r="C169" s="98">
        <v>1</v>
      </c>
      <c r="F169" s="741"/>
      <c r="G169" s="742"/>
      <c r="H169" s="698">
        <f t="shared" si="26"/>
        <v>0</v>
      </c>
      <c r="I169" s="98" t="e">
        <f t="shared" si="21"/>
        <v>#VALUE!</v>
      </c>
      <c r="J169" s="698" t="e">
        <f t="shared" si="22"/>
        <v>#VALUE!</v>
      </c>
      <c r="K169" s="738" t="str">
        <f t="shared" si="23"/>
        <v/>
      </c>
      <c r="L169" s="692">
        <v>152</v>
      </c>
      <c r="M169" s="105" t="str">
        <f t="shared" si="24"/>
        <v/>
      </c>
      <c r="N169" s="738">
        <f t="shared" si="25"/>
        <v>0</v>
      </c>
    </row>
    <row r="170" spans="1:14" x14ac:dyDescent="0.2">
      <c r="A170" s="692"/>
      <c r="B170" s="692"/>
      <c r="C170" s="98">
        <v>1</v>
      </c>
      <c r="F170" s="741"/>
      <c r="G170" s="742"/>
      <c r="H170" s="698">
        <f t="shared" si="26"/>
        <v>0</v>
      </c>
      <c r="I170" s="98" t="e">
        <f t="shared" si="21"/>
        <v>#VALUE!</v>
      </c>
      <c r="J170" s="698" t="e">
        <f t="shared" si="22"/>
        <v>#VALUE!</v>
      </c>
      <c r="K170" s="738" t="str">
        <f t="shared" si="23"/>
        <v/>
      </c>
      <c r="L170" s="692">
        <v>153</v>
      </c>
      <c r="M170" s="105" t="str">
        <f t="shared" si="24"/>
        <v/>
      </c>
      <c r="N170" s="738">
        <f t="shared" si="25"/>
        <v>0</v>
      </c>
    </row>
    <row r="171" spans="1:14" x14ac:dyDescent="0.2">
      <c r="A171" s="692"/>
      <c r="B171" s="692"/>
      <c r="C171" s="98">
        <v>1</v>
      </c>
      <c r="F171" s="741"/>
      <c r="G171" s="742"/>
      <c r="H171" s="698">
        <f t="shared" si="26"/>
        <v>0</v>
      </c>
      <c r="I171" s="98" t="e">
        <f t="shared" si="21"/>
        <v>#VALUE!</v>
      </c>
      <c r="J171" s="698" t="e">
        <f t="shared" si="22"/>
        <v>#VALUE!</v>
      </c>
      <c r="K171" s="738" t="str">
        <f t="shared" si="23"/>
        <v/>
      </c>
      <c r="L171" s="692">
        <v>154</v>
      </c>
      <c r="M171" s="105" t="str">
        <f t="shared" si="24"/>
        <v/>
      </c>
      <c r="N171" s="738">
        <f t="shared" si="25"/>
        <v>0</v>
      </c>
    </row>
    <row r="172" spans="1:14" x14ac:dyDescent="0.2">
      <c r="A172" s="692"/>
      <c r="B172" s="692"/>
      <c r="C172" s="98">
        <v>1</v>
      </c>
      <c r="F172" s="741"/>
      <c r="G172" s="742"/>
      <c r="H172" s="698">
        <f t="shared" si="26"/>
        <v>0</v>
      </c>
      <c r="I172" s="98" t="e">
        <f t="shared" si="21"/>
        <v>#VALUE!</v>
      </c>
      <c r="J172" s="698" t="e">
        <f t="shared" si="22"/>
        <v>#VALUE!</v>
      </c>
      <c r="K172" s="738" t="str">
        <f t="shared" si="23"/>
        <v/>
      </c>
      <c r="L172" s="692">
        <v>155</v>
      </c>
      <c r="M172" s="105" t="str">
        <f t="shared" si="24"/>
        <v/>
      </c>
      <c r="N172" s="738">
        <f t="shared" si="25"/>
        <v>0</v>
      </c>
    </row>
    <row r="173" spans="1:14" x14ac:dyDescent="0.2">
      <c r="A173" s="692"/>
      <c r="B173" s="692"/>
      <c r="C173" s="98">
        <v>1</v>
      </c>
      <c r="F173" s="741"/>
      <c r="G173" s="742"/>
      <c r="H173" s="698">
        <f t="shared" si="26"/>
        <v>0</v>
      </c>
      <c r="I173" s="98" t="e">
        <f t="shared" si="21"/>
        <v>#VALUE!</v>
      </c>
      <c r="J173" s="698" t="e">
        <f t="shared" si="22"/>
        <v>#VALUE!</v>
      </c>
      <c r="K173" s="738" t="str">
        <f t="shared" si="23"/>
        <v/>
      </c>
      <c r="L173" s="692">
        <v>156</v>
      </c>
      <c r="M173" s="105" t="str">
        <f t="shared" si="24"/>
        <v/>
      </c>
      <c r="N173" s="738">
        <f t="shared" si="25"/>
        <v>0</v>
      </c>
    </row>
    <row r="174" spans="1:14" x14ac:dyDescent="0.2">
      <c r="A174" s="692"/>
      <c r="B174" s="692"/>
      <c r="C174" s="98">
        <v>1</v>
      </c>
      <c r="F174" s="741"/>
      <c r="G174" s="742"/>
      <c r="H174" s="698">
        <f t="shared" si="26"/>
        <v>0</v>
      </c>
      <c r="I174" s="98" t="e">
        <f t="shared" si="21"/>
        <v>#VALUE!</v>
      </c>
      <c r="J174" s="698" t="e">
        <f t="shared" si="22"/>
        <v>#VALUE!</v>
      </c>
      <c r="K174" s="738" t="str">
        <f t="shared" si="23"/>
        <v/>
      </c>
      <c r="L174" s="692">
        <v>157</v>
      </c>
      <c r="M174" s="105" t="str">
        <f t="shared" si="24"/>
        <v/>
      </c>
      <c r="N174" s="738">
        <f t="shared" si="25"/>
        <v>0</v>
      </c>
    </row>
    <row r="175" spans="1:14" x14ac:dyDescent="0.2">
      <c r="A175" s="692"/>
      <c r="B175" s="692"/>
      <c r="C175" s="98">
        <v>1</v>
      </c>
      <c r="F175" s="741"/>
      <c r="G175" s="742"/>
      <c r="H175" s="698">
        <f t="shared" si="26"/>
        <v>0</v>
      </c>
      <c r="I175" s="98" t="e">
        <f t="shared" si="21"/>
        <v>#VALUE!</v>
      </c>
      <c r="J175" s="698" t="e">
        <f t="shared" si="22"/>
        <v>#VALUE!</v>
      </c>
      <c r="K175" s="738" t="str">
        <f t="shared" si="23"/>
        <v/>
      </c>
      <c r="L175" s="692">
        <v>158</v>
      </c>
      <c r="M175" s="105" t="str">
        <f t="shared" si="24"/>
        <v/>
      </c>
      <c r="N175" s="738">
        <f t="shared" si="25"/>
        <v>0</v>
      </c>
    </row>
    <row r="176" spans="1:14" x14ac:dyDescent="0.2">
      <c r="A176" s="692"/>
      <c r="B176" s="692"/>
      <c r="C176" s="98">
        <v>1</v>
      </c>
      <c r="F176" s="741"/>
      <c r="G176" s="742"/>
      <c r="H176" s="698">
        <f t="shared" si="26"/>
        <v>0</v>
      </c>
      <c r="I176" s="98" t="e">
        <f t="shared" si="21"/>
        <v>#VALUE!</v>
      </c>
      <c r="J176" s="698" t="e">
        <f t="shared" si="22"/>
        <v>#VALUE!</v>
      </c>
      <c r="K176" s="738" t="str">
        <f t="shared" si="23"/>
        <v/>
      </c>
      <c r="L176" s="692">
        <v>159</v>
      </c>
      <c r="M176" s="105" t="str">
        <f t="shared" si="24"/>
        <v/>
      </c>
      <c r="N176" s="738">
        <f t="shared" si="25"/>
        <v>0</v>
      </c>
    </row>
    <row r="177" spans="1:14" x14ac:dyDescent="0.2">
      <c r="A177" s="692"/>
      <c r="B177" s="692"/>
      <c r="C177" s="98">
        <v>1</v>
      </c>
      <c r="F177" s="741"/>
      <c r="G177" s="742"/>
      <c r="H177" s="698">
        <f t="shared" si="26"/>
        <v>0</v>
      </c>
      <c r="I177" s="98" t="e">
        <f t="shared" si="21"/>
        <v>#VALUE!</v>
      </c>
      <c r="J177" s="698" t="e">
        <f t="shared" si="22"/>
        <v>#VALUE!</v>
      </c>
      <c r="K177" s="738" t="str">
        <f t="shared" si="23"/>
        <v/>
      </c>
      <c r="L177" s="692">
        <v>160</v>
      </c>
      <c r="M177" s="105" t="str">
        <f t="shared" si="24"/>
        <v/>
      </c>
      <c r="N177" s="738">
        <f t="shared" si="25"/>
        <v>0</v>
      </c>
    </row>
    <row r="178" spans="1:14" x14ac:dyDescent="0.2">
      <c r="A178" s="692"/>
      <c r="B178" s="692"/>
      <c r="C178" s="98">
        <v>1</v>
      </c>
      <c r="F178" s="741"/>
      <c r="G178" s="742"/>
      <c r="H178" s="698">
        <f t="shared" si="26"/>
        <v>0</v>
      </c>
      <c r="I178" s="98" t="e">
        <f t="shared" ref="I178:I199" si="27">RIGHT(F178,H178-8)</f>
        <v>#VALUE!</v>
      </c>
      <c r="J178" s="698" t="e">
        <f t="shared" ref="J178:J199" si="28">LEFT(I178,5)</f>
        <v>#VALUE!</v>
      </c>
      <c r="K178" s="738" t="str">
        <f t="shared" si="23"/>
        <v/>
      </c>
      <c r="L178" s="692">
        <v>161</v>
      </c>
      <c r="M178" s="105" t="str">
        <f t="shared" ref="M178:M199" si="29">IF(F178="","",IF(F178="RV","BOB","BVK"))</f>
        <v/>
      </c>
      <c r="N178" s="738">
        <f t="shared" ref="N178:N199" si="30">G178-N$16</f>
        <v>0</v>
      </c>
    </row>
    <row r="179" spans="1:14" x14ac:dyDescent="0.2">
      <c r="A179" s="692"/>
      <c r="B179" s="692"/>
      <c r="C179" s="98">
        <v>1</v>
      </c>
      <c r="F179" s="741"/>
      <c r="G179" s="742"/>
      <c r="H179" s="698">
        <f t="shared" si="26"/>
        <v>0</v>
      </c>
      <c r="I179" s="98" t="e">
        <f t="shared" si="27"/>
        <v>#VALUE!</v>
      </c>
      <c r="J179" s="698" t="e">
        <f t="shared" si="28"/>
        <v>#VALUE!</v>
      </c>
      <c r="K179" s="738" t="str">
        <f t="shared" si="23"/>
        <v/>
      </c>
      <c r="L179" s="692">
        <v>162</v>
      </c>
      <c r="M179" s="105" t="str">
        <f t="shared" si="29"/>
        <v/>
      </c>
      <c r="N179" s="738">
        <f t="shared" si="30"/>
        <v>0</v>
      </c>
    </row>
    <row r="180" spans="1:14" x14ac:dyDescent="0.2">
      <c r="A180" s="692"/>
      <c r="B180" s="692"/>
      <c r="C180" s="98">
        <v>1</v>
      </c>
      <c r="F180" s="741"/>
      <c r="G180" s="742"/>
      <c r="H180" s="698">
        <f t="shared" si="26"/>
        <v>0</v>
      </c>
      <c r="I180" s="98" t="e">
        <f t="shared" si="27"/>
        <v>#VALUE!</v>
      </c>
      <c r="J180" s="698" t="e">
        <f t="shared" si="28"/>
        <v>#VALUE!</v>
      </c>
      <c r="K180" s="738" t="str">
        <f t="shared" si="23"/>
        <v/>
      </c>
      <c r="L180" s="692">
        <v>163</v>
      </c>
      <c r="M180" s="105" t="str">
        <f t="shared" si="29"/>
        <v/>
      </c>
      <c r="N180" s="738">
        <f t="shared" si="30"/>
        <v>0</v>
      </c>
    </row>
    <row r="181" spans="1:14" x14ac:dyDescent="0.2">
      <c r="A181" s="692"/>
      <c r="B181" s="692"/>
      <c r="C181" s="98">
        <v>1</v>
      </c>
      <c r="F181" s="741"/>
      <c r="G181" s="742"/>
      <c r="H181" s="698">
        <f t="shared" si="26"/>
        <v>0</v>
      </c>
      <c r="I181" s="98" t="e">
        <f t="shared" si="27"/>
        <v>#VALUE!</v>
      </c>
      <c r="J181" s="698" t="e">
        <f t="shared" si="28"/>
        <v>#VALUE!</v>
      </c>
      <c r="K181" s="738" t="str">
        <f t="shared" si="23"/>
        <v/>
      </c>
      <c r="L181" s="692">
        <v>164</v>
      </c>
      <c r="M181" s="105" t="str">
        <f t="shared" si="29"/>
        <v/>
      </c>
      <c r="N181" s="738">
        <f t="shared" si="30"/>
        <v>0</v>
      </c>
    </row>
    <row r="182" spans="1:14" x14ac:dyDescent="0.2">
      <c r="A182" s="692"/>
      <c r="B182" s="692"/>
      <c r="C182" s="98">
        <v>1</v>
      </c>
      <c r="F182" s="741"/>
      <c r="G182" s="742"/>
      <c r="H182" s="698">
        <f t="shared" si="26"/>
        <v>0</v>
      </c>
      <c r="I182" s="98" t="e">
        <f t="shared" si="27"/>
        <v>#VALUE!</v>
      </c>
      <c r="J182" s="698" t="e">
        <f t="shared" si="28"/>
        <v>#VALUE!</v>
      </c>
      <c r="K182" s="738" t="str">
        <f t="shared" si="23"/>
        <v/>
      </c>
      <c r="L182" s="692">
        <v>165</v>
      </c>
      <c r="M182" s="105" t="str">
        <f t="shared" si="29"/>
        <v/>
      </c>
      <c r="N182" s="738">
        <f t="shared" si="30"/>
        <v>0</v>
      </c>
    </row>
    <row r="183" spans="1:14" x14ac:dyDescent="0.2">
      <c r="A183" s="692"/>
      <c r="B183" s="692"/>
      <c r="C183" s="98">
        <v>1</v>
      </c>
      <c r="F183" s="741"/>
      <c r="G183" s="742"/>
      <c r="H183" s="698">
        <f t="shared" si="26"/>
        <v>0</v>
      </c>
      <c r="I183" s="98" t="e">
        <f t="shared" si="27"/>
        <v>#VALUE!</v>
      </c>
      <c r="J183" s="698" t="e">
        <f t="shared" si="28"/>
        <v>#VALUE!</v>
      </c>
      <c r="K183" s="738" t="str">
        <f t="shared" si="23"/>
        <v/>
      </c>
      <c r="L183" s="692">
        <v>166</v>
      </c>
      <c r="M183" s="105" t="str">
        <f t="shared" si="29"/>
        <v/>
      </c>
      <c r="N183" s="738">
        <f t="shared" si="30"/>
        <v>0</v>
      </c>
    </row>
    <row r="184" spans="1:14" x14ac:dyDescent="0.2">
      <c r="A184" s="692"/>
      <c r="B184" s="692"/>
      <c r="C184" s="98">
        <v>1</v>
      </c>
      <c r="F184" s="741"/>
      <c r="G184" s="742"/>
      <c r="H184" s="698">
        <f t="shared" si="26"/>
        <v>0</v>
      </c>
      <c r="I184" s="98" t="e">
        <f t="shared" si="27"/>
        <v>#VALUE!</v>
      </c>
      <c r="J184" s="698" t="e">
        <f t="shared" si="28"/>
        <v>#VALUE!</v>
      </c>
      <c r="K184" s="738" t="str">
        <f t="shared" si="23"/>
        <v/>
      </c>
      <c r="L184" s="692">
        <v>167</v>
      </c>
      <c r="M184" s="105" t="str">
        <f t="shared" si="29"/>
        <v/>
      </c>
      <c r="N184" s="738">
        <f t="shared" si="30"/>
        <v>0</v>
      </c>
    </row>
    <row r="185" spans="1:14" x14ac:dyDescent="0.2">
      <c r="A185" s="692"/>
      <c r="B185" s="692"/>
      <c r="C185" s="98">
        <v>1</v>
      </c>
      <c r="F185" s="741"/>
      <c r="G185" s="742"/>
      <c r="H185" s="698">
        <f t="shared" si="26"/>
        <v>0</v>
      </c>
      <c r="I185" s="98" t="e">
        <f t="shared" si="27"/>
        <v>#VALUE!</v>
      </c>
      <c r="J185" s="698" t="e">
        <f t="shared" si="28"/>
        <v>#VALUE!</v>
      </c>
      <c r="K185" s="738" t="str">
        <f t="shared" si="23"/>
        <v/>
      </c>
      <c r="L185" s="692">
        <v>168</v>
      </c>
      <c r="M185" s="105" t="str">
        <f t="shared" si="29"/>
        <v/>
      </c>
      <c r="N185" s="738">
        <f t="shared" si="30"/>
        <v>0</v>
      </c>
    </row>
    <row r="186" spans="1:14" x14ac:dyDescent="0.2">
      <c r="A186" s="692"/>
      <c r="B186" s="692"/>
      <c r="C186" s="98">
        <v>1</v>
      </c>
      <c r="F186" s="741"/>
      <c r="G186" s="742"/>
      <c r="H186" s="698">
        <f t="shared" si="26"/>
        <v>0</v>
      </c>
      <c r="I186" s="98" t="e">
        <f t="shared" si="27"/>
        <v>#VALUE!</v>
      </c>
      <c r="J186" s="698" t="e">
        <f t="shared" si="28"/>
        <v>#VALUE!</v>
      </c>
      <c r="K186" s="738" t="str">
        <f t="shared" si="23"/>
        <v/>
      </c>
      <c r="L186" s="692">
        <v>169</v>
      </c>
      <c r="M186" s="105" t="str">
        <f t="shared" si="29"/>
        <v/>
      </c>
      <c r="N186" s="738">
        <f t="shared" si="30"/>
        <v>0</v>
      </c>
    </row>
    <row r="187" spans="1:14" x14ac:dyDescent="0.2">
      <c r="A187" s="692"/>
      <c r="B187" s="692"/>
      <c r="C187" s="98">
        <v>1</v>
      </c>
      <c r="F187" s="741"/>
      <c r="G187" s="742"/>
      <c r="H187" s="698">
        <f t="shared" si="26"/>
        <v>0</v>
      </c>
      <c r="I187" s="98" t="e">
        <f t="shared" si="27"/>
        <v>#VALUE!</v>
      </c>
      <c r="J187" s="698" t="e">
        <f t="shared" si="28"/>
        <v>#VALUE!</v>
      </c>
      <c r="K187" s="738" t="str">
        <f t="shared" si="23"/>
        <v/>
      </c>
      <c r="L187" s="692">
        <v>170</v>
      </c>
      <c r="M187" s="105" t="str">
        <f t="shared" si="29"/>
        <v/>
      </c>
      <c r="N187" s="738">
        <f t="shared" si="30"/>
        <v>0</v>
      </c>
    </row>
    <row r="188" spans="1:14" x14ac:dyDescent="0.2">
      <c r="A188" s="692"/>
      <c r="B188" s="692"/>
      <c r="C188" s="98">
        <v>1</v>
      </c>
      <c r="F188" s="741"/>
      <c r="G188" s="742"/>
      <c r="H188" s="698">
        <f t="shared" si="26"/>
        <v>0</v>
      </c>
      <c r="I188" s="98" t="e">
        <f t="shared" si="27"/>
        <v>#VALUE!</v>
      </c>
      <c r="J188" s="698" t="e">
        <f t="shared" si="28"/>
        <v>#VALUE!</v>
      </c>
      <c r="K188" s="738" t="str">
        <f t="shared" si="23"/>
        <v/>
      </c>
      <c r="L188" s="692">
        <v>171</v>
      </c>
      <c r="M188" s="105" t="str">
        <f t="shared" si="29"/>
        <v/>
      </c>
      <c r="N188" s="738">
        <f t="shared" si="30"/>
        <v>0</v>
      </c>
    </row>
    <row r="189" spans="1:14" x14ac:dyDescent="0.2">
      <c r="A189" s="692"/>
      <c r="B189" s="692"/>
      <c r="C189" s="98">
        <v>1</v>
      </c>
      <c r="F189" s="741"/>
      <c r="G189" s="742"/>
      <c r="H189" s="698">
        <f t="shared" si="26"/>
        <v>0</v>
      </c>
      <c r="I189" s="98" t="e">
        <f t="shared" si="27"/>
        <v>#VALUE!</v>
      </c>
      <c r="J189" s="698" t="e">
        <f t="shared" si="28"/>
        <v>#VALUE!</v>
      </c>
      <c r="K189" s="738" t="str">
        <f t="shared" si="23"/>
        <v/>
      </c>
      <c r="L189" s="692">
        <v>172</v>
      </c>
      <c r="M189" s="105" t="str">
        <f t="shared" si="29"/>
        <v/>
      </c>
      <c r="N189" s="738">
        <f t="shared" si="30"/>
        <v>0</v>
      </c>
    </row>
    <row r="190" spans="1:14" x14ac:dyDescent="0.2">
      <c r="A190" s="692"/>
      <c r="B190" s="692"/>
      <c r="C190" s="98">
        <v>1</v>
      </c>
      <c r="F190" s="741"/>
      <c r="G190" s="742"/>
      <c r="H190" s="698">
        <f t="shared" si="26"/>
        <v>0</v>
      </c>
      <c r="I190" s="98" t="e">
        <f t="shared" si="27"/>
        <v>#VALUE!</v>
      </c>
      <c r="J190" s="698" t="e">
        <f t="shared" si="28"/>
        <v>#VALUE!</v>
      </c>
      <c r="K190" s="738" t="str">
        <f t="shared" si="23"/>
        <v/>
      </c>
      <c r="L190" s="692">
        <v>173</v>
      </c>
      <c r="M190" s="105" t="str">
        <f t="shared" si="29"/>
        <v/>
      </c>
      <c r="N190" s="738">
        <f t="shared" si="30"/>
        <v>0</v>
      </c>
    </row>
    <row r="191" spans="1:14" x14ac:dyDescent="0.2">
      <c r="A191" s="692"/>
      <c r="B191" s="692"/>
      <c r="C191" s="98">
        <v>1</v>
      </c>
      <c r="F191" s="741"/>
      <c r="G191" s="742"/>
      <c r="H191" s="698">
        <f t="shared" si="26"/>
        <v>0</v>
      </c>
      <c r="I191" s="98" t="e">
        <f t="shared" si="27"/>
        <v>#VALUE!</v>
      </c>
      <c r="J191" s="698" t="e">
        <f t="shared" si="28"/>
        <v>#VALUE!</v>
      </c>
      <c r="K191" s="738" t="str">
        <f t="shared" si="23"/>
        <v/>
      </c>
      <c r="L191" s="692">
        <v>174</v>
      </c>
      <c r="M191" s="105" t="str">
        <f t="shared" si="29"/>
        <v/>
      </c>
      <c r="N191" s="738">
        <f t="shared" si="30"/>
        <v>0</v>
      </c>
    </row>
    <row r="192" spans="1:14" x14ac:dyDescent="0.2">
      <c r="A192" s="692"/>
      <c r="B192" s="692"/>
      <c r="C192" s="98">
        <v>1</v>
      </c>
      <c r="F192" s="741"/>
      <c r="G192" s="742"/>
      <c r="H192" s="698">
        <f t="shared" si="26"/>
        <v>0</v>
      </c>
      <c r="I192" s="98" t="e">
        <f t="shared" si="27"/>
        <v>#VALUE!</v>
      </c>
      <c r="J192" s="698" t="e">
        <f t="shared" si="28"/>
        <v>#VALUE!</v>
      </c>
      <c r="K192" s="738" t="str">
        <f t="shared" si="23"/>
        <v/>
      </c>
      <c r="L192" s="692">
        <v>175</v>
      </c>
      <c r="M192" s="105" t="str">
        <f t="shared" si="29"/>
        <v/>
      </c>
      <c r="N192" s="738">
        <f t="shared" si="30"/>
        <v>0</v>
      </c>
    </row>
    <row r="193" spans="1:14" x14ac:dyDescent="0.2">
      <c r="A193" s="692"/>
      <c r="B193" s="692"/>
      <c r="C193" s="98">
        <v>1</v>
      </c>
      <c r="F193" s="741"/>
      <c r="G193" s="742"/>
      <c r="H193" s="698">
        <f t="shared" si="26"/>
        <v>0</v>
      </c>
      <c r="I193" s="98" t="e">
        <f t="shared" si="27"/>
        <v>#VALUE!</v>
      </c>
      <c r="J193" s="698" t="e">
        <f t="shared" si="28"/>
        <v>#VALUE!</v>
      </c>
      <c r="K193" s="738" t="str">
        <f t="shared" si="23"/>
        <v/>
      </c>
      <c r="L193" s="692">
        <v>176</v>
      </c>
      <c r="M193" s="105" t="str">
        <f t="shared" si="29"/>
        <v/>
      </c>
      <c r="N193" s="738">
        <f t="shared" si="30"/>
        <v>0</v>
      </c>
    </row>
    <row r="194" spans="1:14" x14ac:dyDescent="0.2">
      <c r="A194" s="692"/>
      <c r="B194" s="692"/>
      <c r="C194" s="98">
        <v>1</v>
      </c>
      <c r="F194" s="741"/>
      <c r="G194" s="742"/>
      <c r="H194" s="698">
        <f t="shared" si="26"/>
        <v>0</v>
      </c>
      <c r="I194" s="98" t="e">
        <f t="shared" si="27"/>
        <v>#VALUE!</v>
      </c>
      <c r="J194" s="698" t="e">
        <f t="shared" si="28"/>
        <v>#VALUE!</v>
      </c>
      <c r="K194" s="738" t="str">
        <f t="shared" si="23"/>
        <v/>
      </c>
      <c r="L194" s="692">
        <v>177</v>
      </c>
      <c r="M194" s="105" t="str">
        <f t="shared" si="29"/>
        <v/>
      </c>
      <c r="N194" s="738">
        <f t="shared" si="30"/>
        <v>0</v>
      </c>
    </row>
    <row r="195" spans="1:14" x14ac:dyDescent="0.2">
      <c r="A195" s="692"/>
      <c r="B195" s="692"/>
      <c r="C195" s="98">
        <v>1</v>
      </c>
      <c r="F195" s="741"/>
      <c r="G195" s="742"/>
      <c r="H195" s="698">
        <f t="shared" si="26"/>
        <v>0</v>
      </c>
      <c r="I195" s="98" t="e">
        <f t="shared" si="27"/>
        <v>#VALUE!</v>
      </c>
      <c r="J195" s="698" t="e">
        <f t="shared" si="28"/>
        <v>#VALUE!</v>
      </c>
      <c r="K195" s="738" t="str">
        <f t="shared" si="23"/>
        <v/>
      </c>
      <c r="L195" s="692">
        <v>178</v>
      </c>
      <c r="M195" s="105" t="str">
        <f t="shared" si="29"/>
        <v/>
      </c>
      <c r="N195" s="738">
        <f t="shared" si="30"/>
        <v>0</v>
      </c>
    </row>
    <row r="196" spans="1:14" x14ac:dyDescent="0.2">
      <c r="A196" s="692"/>
      <c r="B196" s="692"/>
      <c r="C196" s="98">
        <v>1</v>
      </c>
      <c r="F196" s="741"/>
      <c r="G196" s="742"/>
      <c r="H196" s="698">
        <f t="shared" si="26"/>
        <v>0</v>
      </c>
      <c r="I196" s="98" t="e">
        <f t="shared" si="27"/>
        <v>#VALUE!</v>
      </c>
      <c r="J196" s="698" t="e">
        <f t="shared" si="28"/>
        <v>#VALUE!</v>
      </c>
      <c r="K196" s="738" t="str">
        <f t="shared" si="23"/>
        <v/>
      </c>
      <c r="L196" s="692">
        <v>179</v>
      </c>
      <c r="M196" s="105" t="str">
        <f t="shared" si="29"/>
        <v/>
      </c>
      <c r="N196" s="738">
        <f t="shared" si="30"/>
        <v>0</v>
      </c>
    </row>
    <row r="197" spans="1:14" x14ac:dyDescent="0.2">
      <c r="A197" s="692"/>
      <c r="B197" s="692"/>
      <c r="C197" s="98">
        <v>1</v>
      </c>
      <c r="F197" s="741"/>
      <c r="G197" s="742"/>
      <c r="H197" s="698">
        <f t="shared" si="26"/>
        <v>0</v>
      </c>
      <c r="I197" s="98" t="e">
        <f t="shared" si="27"/>
        <v>#VALUE!</v>
      </c>
      <c r="J197" s="698" t="e">
        <f t="shared" si="28"/>
        <v>#VALUE!</v>
      </c>
      <c r="K197" s="738" t="str">
        <f t="shared" si="23"/>
        <v/>
      </c>
      <c r="L197" s="692">
        <v>180</v>
      </c>
      <c r="M197" s="105" t="str">
        <f t="shared" si="29"/>
        <v/>
      </c>
      <c r="N197" s="738">
        <f t="shared" si="30"/>
        <v>0</v>
      </c>
    </row>
    <row r="198" spans="1:14" x14ac:dyDescent="0.2">
      <c r="A198" s="692"/>
      <c r="B198" s="692"/>
      <c r="C198" s="98">
        <v>1</v>
      </c>
      <c r="F198" s="741"/>
      <c r="G198" s="742"/>
      <c r="H198" s="698">
        <f t="shared" si="26"/>
        <v>0</v>
      </c>
      <c r="I198" s="98" t="e">
        <f t="shared" si="27"/>
        <v>#VALUE!</v>
      </c>
      <c r="J198" s="698" t="e">
        <f t="shared" si="28"/>
        <v>#VALUE!</v>
      </c>
      <c r="K198" s="738" t="str">
        <f t="shared" si="23"/>
        <v/>
      </c>
      <c r="L198" s="692">
        <v>181</v>
      </c>
      <c r="M198" s="105" t="str">
        <f t="shared" si="29"/>
        <v/>
      </c>
      <c r="N198" s="738">
        <f t="shared" si="30"/>
        <v>0</v>
      </c>
    </row>
    <row r="199" spans="1:14" ht="13.5" customHeight="1" x14ac:dyDescent="0.2">
      <c r="A199" s="692"/>
      <c r="B199" s="692"/>
      <c r="C199" s="98">
        <v>1</v>
      </c>
      <c r="F199" s="741"/>
      <c r="G199" s="742"/>
      <c r="H199" s="698">
        <f t="shared" si="26"/>
        <v>0</v>
      </c>
      <c r="I199" s="98" t="e">
        <f t="shared" si="27"/>
        <v>#VALUE!</v>
      </c>
      <c r="J199" s="698" t="e">
        <f t="shared" si="28"/>
        <v>#VALUE!</v>
      </c>
      <c r="K199" s="738" t="str">
        <f t="shared" si="23"/>
        <v/>
      </c>
      <c r="L199" s="692">
        <v>182</v>
      </c>
      <c r="M199" s="105" t="str">
        <f t="shared" si="29"/>
        <v/>
      </c>
      <c r="N199" s="738">
        <f t="shared" si="30"/>
        <v>0</v>
      </c>
    </row>
    <row r="200" spans="1:14" ht="13.5" customHeight="1" thickBot="1" x14ac:dyDescent="0.25"/>
    <row r="201" spans="1:14" ht="13.5" customHeight="1" thickBot="1" x14ac:dyDescent="0.25">
      <c r="A201" s="696" t="s">
        <v>688</v>
      </c>
      <c r="B201" s="697"/>
    </row>
    <row r="202" spans="1:14" x14ac:dyDescent="0.2">
      <c r="A202" s="695" t="s">
        <v>689</v>
      </c>
      <c r="B202" s="695" t="s">
        <v>342</v>
      </c>
      <c r="C202" s="695" t="s">
        <v>166</v>
      </c>
    </row>
    <row r="203" spans="1:14" x14ac:dyDescent="0.2">
      <c r="A203" s="695" t="s">
        <v>690</v>
      </c>
      <c r="B203" s="695" t="s">
        <v>370</v>
      </c>
      <c r="C203" s="695" t="s">
        <v>166</v>
      </c>
    </row>
    <row r="204" spans="1:14" x14ac:dyDescent="0.2">
      <c r="A204" s="695" t="s">
        <v>691</v>
      </c>
      <c r="B204" s="695" t="s">
        <v>692</v>
      </c>
      <c r="C204" s="695" t="s">
        <v>166</v>
      </c>
    </row>
    <row r="205" spans="1:14" x14ac:dyDescent="0.2">
      <c r="A205" s="695" t="s">
        <v>693</v>
      </c>
      <c r="B205" s="695" t="s">
        <v>347</v>
      </c>
      <c r="C205" s="695" t="s">
        <v>166</v>
      </c>
    </row>
    <row r="206" spans="1:14" x14ac:dyDescent="0.2">
      <c r="A206" s="695" t="s">
        <v>1066</v>
      </c>
      <c r="B206" s="695" t="s">
        <v>347</v>
      </c>
      <c r="C206" s="695" t="s">
        <v>166</v>
      </c>
    </row>
    <row r="207" spans="1:14" x14ac:dyDescent="0.2">
      <c r="A207" s="695" t="s">
        <v>694</v>
      </c>
      <c r="B207" s="695" t="s">
        <v>348</v>
      </c>
      <c r="C207" s="695" t="s">
        <v>166</v>
      </c>
    </row>
    <row r="208" spans="1:14" x14ac:dyDescent="0.2">
      <c r="A208" s="695" t="s">
        <v>695</v>
      </c>
      <c r="B208" s="695" t="s">
        <v>346</v>
      </c>
      <c r="C208" s="695" t="s">
        <v>166</v>
      </c>
    </row>
    <row r="209" spans="1:3" x14ac:dyDescent="0.2">
      <c r="A209" s="695" t="s">
        <v>696</v>
      </c>
      <c r="B209" s="695" t="s">
        <v>697</v>
      </c>
      <c r="C209" s="695" t="s">
        <v>166</v>
      </c>
    </row>
    <row r="210" spans="1:3" x14ac:dyDescent="0.2">
      <c r="A210" s="695" t="s">
        <v>698</v>
      </c>
      <c r="B210" s="695" t="s">
        <v>356</v>
      </c>
      <c r="C210" s="695" t="s">
        <v>166</v>
      </c>
    </row>
    <row r="211" spans="1:3" x14ac:dyDescent="0.2">
      <c r="A211" s="695" t="s">
        <v>699</v>
      </c>
      <c r="B211" s="695" t="s">
        <v>700</v>
      </c>
      <c r="C211" s="695" t="s">
        <v>166</v>
      </c>
    </row>
    <row r="212" spans="1:3" x14ac:dyDescent="0.2">
      <c r="A212" s="695" t="s">
        <v>701</v>
      </c>
      <c r="B212" s="695" t="s">
        <v>702</v>
      </c>
      <c r="C212" s="695" t="s">
        <v>166</v>
      </c>
    </row>
    <row r="213" spans="1:3" x14ac:dyDescent="0.2">
      <c r="A213" s="695" t="s">
        <v>703</v>
      </c>
      <c r="B213" s="695" t="s">
        <v>704</v>
      </c>
      <c r="C213" s="695" t="s">
        <v>166</v>
      </c>
    </row>
    <row r="214" spans="1:3" x14ac:dyDescent="0.2">
      <c r="A214" s="695" t="s">
        <v>1065</v>
      </c>
      <c r="B214" s="695" t="s">
        <v>700</v>
      </c>
      <c r="C214" s="695" t="s">
        <v>166</v>
      </c>
    </row>
    <row r="215" spans="1:3" x14ac:dyDescent="0.2">
      <c r="A215" s="695"/>
      <c r="B215" s="695"/>
      <c r="C215" s="695"/>
    </row>
    <row r="216" spans="1:3" x14ac:dyDescent="0.2">
      <c r="A216" s="695"/>
      <c r="B216" s="695"/>
      <c r="C216" s="695"/>
    </row>
    <row r="217" spans="1:3" x14ac:dyDescent="0.2">
      <c r="A217" s="695"/>
      <c r="B217" s="695"/>
      <c r="C217" s="695"/>
    </row>
    <row r="218" spans="1:3" x14ac:dyDescent="0.2">
      <c r="A218" s="695"/>
      <c r="B218" s="695"/>
      <c r="C218" s="695"/>
    </row>
    <row r="219" spans="1:3" x14ac:dyDescent="0.2">
      <c r="A219" s="695"/>
      <c r="B219" s="695"/>
      <c r="C219" s="695"/>
    </row>
    <row r="220" spans="1:3" x14ac:dyDescent="0.2">
      <c r="A220" s="695"/>
      <c r="B220" s="695"/>
      <c r="C220" s="695"/>
    </row>
    <row r="221" spans="1:3" x14ac:dyDescent="0.2">
      <c r="A221" s="695"/>
      <c r="B221" s="695"/>
      <c r="C221" s="695"/>
    </row>
    <row r="222" spans="1:3" x14ac:dyDescent="0.2">
      <c r="A222" s="695"/>
      <c r="B222" s="695"/>
      <c r="C222" s="695"/>
    </row>
    <row r="223" spans="1:3" x14ac:dyDescent="0.2">
      <c r="A223" s="695"/>
      <c r="B223" s="695"/>
      <c r="C223" s="695"/>
    </row>
    <row r="224" spans="1:3" x14ac:dyDescent="0.2">
      <c r="A224" s="695"/>
      <c r="B224" s="695"/>
      <c r="C224" s="695"/>
    </row>
    <row r="225" spans="1:3" x14ac:dyDescent="0.2">
      <c r="A225" s="695"/>
      <c r="B225" s="695"/>
      <c r="C225" s="695"/>
    </row>
    <row r="226" spans="1:3" x14ac:dyDescent="0.2">
      <c r="A226" s="695"/>
      <c r="B226" s="695"/>
      <c r="C226" s="695"/>
    </row>
    <row r="227" spans="1:3" x14ac:dyDescent="0.2">
      <c r="A227" s="695"/>
      <c r="B227" s="695"/>
      <c r="C227" s="695"/>
    </row>
    <row r="228" spans="1:3" x14ac:dyDescent="0.2">
      <c r="A228" s="695"/>
      <c r="B228" s="695"/>
      <c r="C228" s="695"/>
    </row>
    <row r="229" spans="1:3" x14ac:dyDescent="0.2">
      <c r="A229" s="695"/>
      <c r="B229" s="695"/>
      <c r="C229" s="695"/>
    </row>
    <row r="230" spans="1:3" x14ac:dyDescent="0.2">
      <c r="A230" s="695"/>
      <c r="B230" s="695"/>
      <c r="C230" s="695"/>
    </row>
    <row r="231" spans="1:3" x14ac:dyDescent="0.2">
      <c r="A231" s="695"/>
      <c r="B231" s="695"/>
      <c r="C231" s="695"/>
    </row>
    <row r="232" spans="1:3" x14ac:dyDescent="0.2">
      <c r="A232" s="695"/>
      <c r="B232" s="695"/>
      <c r="C232" s="695"/>
    </row>
    <row r="233" spans="1:3" x14ac:dyDescent="0.2">
      <c r="A233" s="695"/>
      <c r="B233" s="695"/>
      <c r="C233" s="695"/>
    </row>
    <row r="234" spans="1:3" x14ac:dyDescent="0.2">
      <c r="A234" s="695"/>
      <c r="B234" s="695"/>
      <c r="C234" s="695"/>
    </row>
    <row r="235" spans="1:3" x14ac:dyDescent="0.2">
      <c r="A235" s="695"/>
      <c r="B235" s="695"/>
      <c r="C235" s="695"/>
    </row>
    <row r="236" spans="1:3" x14ac:dyDescent="0.2">
      <c r="A236" s="695"/>
      <c r="B236" s="695"/>
      <c r="C236" s="695"/>
    </row>
    <row r="237" spans="1:3" x14ac:dyDescent="0.2">
      <c r="A237" s="695"/>
      <c r="B237" s="695"/>
      <c r="C237" s="695"/>
    </row>
    <row r="238" spans="1:3" x14ac:dyDescent="0.2">
      <c r="A238" s="695"/>
      <c r="B238" s="695"/>
      <c r="C238" s="695"/>
    </row>
    <row r="239" spans="1:3" x14ac:dyDescent="0.2">
      <c r="A239" s="695"/>
      <c r="B239" s="695"/>
      <c r="C239" s="695"/>
    </row>
    <row r="240" spans="1:3" x14ac:dyDescent="0.2">
      <c r="A240" s="695" t="s">
        <v>997</v>
      </c>
      <c r="B240" s="695"/>
      <c r="C240" s="695"/>
    </row>
    <row r="241" spans="1:3" x14ac:dyDescent="0.2">
      <c r="A241" s="695" t="s">
        <v>998</v>
      </c>
      <c r="B241" s="695"/>
      <c r="C241" s="695" t="s">
        <v>1038</v>
      </c>
    </row>
    <row r="242" spans="1:3" x14ac:dyDescent="0.2">
      <c r="A242" s="695" t="s">
        <v>999</v>
      </c>
      <c r="B242" s="695"/>
      <c r="C242" s="695"/>
    </row>
    <row r="243" spans="1:3" x14ac:dyDescent="0.2">
      <c r="A243" s="695" t="s">
        <v>1000</v>
      </c>
      <c r="B243" s="695"/>
      <c r="C243" s="695" t="s">
        <v>1038</v>
      </c>
    </row>
    <row r="244" spans="1:3" x14ac:dyDescent="0.2">
      <c r="A244" s="695" t="s">
        <v>1006</v>
      </c>
      <c r="B244" s="695"/>
      <c r="C244" s="695"/>
    </row>
    <row r="245" spans="1:3" x14ac:dyDescent="0.2">
      <c r="A245" s="695" t="s">
        <v>1007</v>
      </c>
      <c r="B245" s="695"/>
      <c r="C245" s="695"/>
    </row>
    <row r="246" spans="1:3" x14ac:dyDescent="0.2">
      <c r="A246" s="695"/>
      <c r="B246" s="695"/>
      <c r="C246" s="695"/>
    </row>
    <row r="247" spans="1:3" x14ac:dyDescent="0.2">
      <c r="A247" s="695"/>
      <c r="B247" s="695"/>
      <c r="C247" s="695"/>
    </row>
    <row r="248" spans="1:3" x14ac:dyDescent="0.2">
      <c r="A248" s="695"/>
      <c r="B248" s="695"/>
      <c r="C248" s="695"/>
    </row>
    <row r="249" spans="1:3" x14ac:dyDescent="0.2">
      <c r="A249" s="695"/>
      <c r="B249" s="695"/>
      <c r="C249" s="695"/>
    </row>
    <row r="250" spans="1:3" x14ac:dyDescent="0.2">
      <c r="A250" s="695" t="s">
        <v>1005</v>
      </c>
      <c r="B250" s="695"/>
      <c r="C250" s="695" t="s">
        <v>694</v>
      </c>
    </row>
  </sheetData>
  <conditionalFormatting sqref="B18:B85">
    <cfRule type="duplicateValues" dxfId="121" priority="164"/>
  </conditionalFormatting>
  <conditionalFormatting sqref="A18:B98">
    <cfRule type="duplicateValues" dxfId="120" priority="163"/>
  </conditionalFormatting>
  <conditionalFormatting sqref="R19:R26">
    <cfRule type="duplicateValues" dxfId="119" priority="255"/>
  </conditionalFormatting>
  <conditionalFormatting sqref="Q21:Q24">
    <cfRule type="duplicateValues" dxfId="118" priority="155"/>
    <cfRule type="duplicateValues" dxfId="117" priority="156"/>
  </conditionalFormatting>
  <conditionalFormatting sqref="A18:B199">
    <cfRule type="duplicateValues" dxfId="116" priority="154"/>
  </conditionalFormatting>
  <conditionalFormatting sqref="Q41">
    <cfRule type="duplicateValues" dxfId="115" priority="151"/>
    <cfRule type="duplicateValues" dxfId="114" priority="152"/>
    <cfRule type="duplicateValues" dxfId="113" priority="153"/>
  </conditionalFormatting>
  <conditionalFormatting sqref="Q19:Q20">
    <cfRule type="duplicateValues" dxfId="112" priority="150"/>
  </conditionalFormatting>
  <conditionalFormatting sqref="Q19:Q20">
    <cfRule type="duplicateValues" dxfId="111" priority="149"/>
  </conditionalFormatting>
  <conditionalFormatting sqref="Q19:Q20">
    <cfRule type="duplicateValues" dxfId="110" priority="148"/>
  </conditionalFormatting>
  <conditionalFormatting sqref="Q20:Q22">
    <cfRule type="duplicateValues" dxfId="109" priority="147"/>
  </conditionalFormatting>
  <conditionalFormatting sqref="Q20:Q22">
    <cfRule type="duplicateValues" dxfId="108" priority="146"/>
  </conditionalFormatting>
  <conditionalFormatting sqref="Q20:Q22">
    <cfRule type="duplicateValues" dxfId="107" priority="145"/>
  </conditionalFormatting>
  <conditionalFormatting sqref="D20">
    <cfRule type="duplicateValues" dxfId="106" priority="144"/>
  </conditionalFormatting>
  <conditionalFormatting sqref="D20">
    <cfRule type="duplicateValues" dxfId="105" priority="143"/>
  </conditionalFormatting>
  <conditionalFormatting sqref="D20">
    <cfRule type="duplicateValues" dxfId="104" priority="142"/>
  </conditionalFormatting>
  <conditionalFormatting sqref="C42">
    <cfRule type="duplicateValues" dxfId="103" priority="135"/>
  </conditionalFormatting>
  <conditionalFormatting sqref="C42">
    <cfRule type="duplicateValues" dxfId="102" priority="134"/>
  </conditionalFormatting>
  <conditionalFormatting sqref="C42">
    <cfRule type="duplicateValues" dxfId="101" priority="133"/>
  </conditionalFormatting>
  <conditionalFormatting sqref="C68">
    <cfRule type="duplicateValues" dxfId="100" priority="129"/>
  </conditionalFormatting>
  <conditionalFormatting sqref="C68">
    <cfRule type="duplicateValues" dxfId="99" priority="128"/>
  </conditionalFormatting>
  <conditionalFormatting sqref="C68">
    <cfRule type="duplicateValues" dxfId="98" priority="127"/>
  </conditionalFormatting>
  <conditionalFormatting sqref="C39">
    <cfRule type="duplicateValues" dxfId="97" priority="126"/>
  </conditionalFormatting>
  <conditionalFormatting sqref="C39">
    <cfRule type="duplicateValues" dxfId="96" priority="125"/>
  </conditionalFormatting>
  <conditionalFormatting sqref="C39">
    <cfRule type="duplicateValues" dxfId="95" priority="124"/>
  </conditionalFormatting>
  <conditionalFormatting sqref="C53">
    <cfRule type="duplicateValues" dxfId="94" priority="120"/>
  </conditionalFormatting>
  <conditionalFormatting sqref="C53">
    <cfRule type="duplicateValues" dxfId="93" priority="119"/>
  </conditionalFormatting>
  <conditionalFormatting sqref="C53">
    <cfRule type="duplicateValues" dxfId="92" priority="118"/>
  </conditionalFormatting>
  <conditionalFormatting sqref="C54">
    <cfRule type="duplicateValues" dxfId="91" priority="114"/>
  </conditionalFormatting>
  <conditionalFormatting sqref="C54">
    <cfRule type="duplicateValues" dxfId="90" priority="113"/>
  </conditionalFormatting>
  <conditionalFormatting sqref="C54">
    <cfRule type="duplicateValues" dxfId="89" priority="112"/>
  </conditionalFormatting>
  <conditionalFormatting sqref="C32">
    <cfRule type="duplicateValues" dxfId="88" priority="108"/>
  </conditionalFormatting>
  <conditionalFormatting sqref="C32">
    <cfRule type="duplicateValues" dxfId="87" priority="107"/>
  </conditionalFormatting>
  <conditionalFormatting sqref="C32">
    <cfRule type="duplicateValues" dxfId="86" priority="106"/>
  </conditionalFormatting>
  <conditionalFormatting sqref="C60">
    <cfRule type="duplicateValues" dxfId="85" priority="102"/>
  </conditionalFormatting>
  <conditionalFormatting sqref="C60">
    <cfRule type="duplicateValues" dxfId="84" priority="101"/>
  </conditionalFormatting>
  <conditionalFormatting sqref="C60">
    <cfRule type="duplicateValues" dxfId="83" priority="100"/>
  </conditionalFormatting>
  <conditionalFormatting sqref="C57">
    <cfRule type="duplicateValues" dxfId="82" priority="99"/>
  </conditionalFormatting>
  <conditionalFormatting sqref="C57">
    <cfRule type="duplicateValues" dxfId="81" priority="98"/>
  </conditionalFormatting>
  <conditionalFormatting sqref="C57">
    <cfRule type="duplicateValues" dxfId="80" priority="97"/>
  </conditionalFormatting>
  <conditionalFormatting sqref="C41">
    <cfRule type="duplicateValues" dxfId="79" priority="93"/>
  </conditionalFormatting>
  <conditionalFormatting sqref="C41">
    <cfRule type="duplicateValues" dxfId="78" priority="92"/>
  </conditionalFormatting>
  <conditionalFormatting sqref="C41">
    <cfRule type="duplicateValues" dxfId="77" priority="91"/>
  </conditionalFormatting>
  <conditionalFormatting sqref="C22">
    <cfRule type="duplicateValues" dxfId="76" priority="84"/>
  </conditionalFormatting>
  <conditionalFormatting sqref="C22">
    <cfRule type="duplicateValues" dxfId="75" priority="83"/>
  </conditionalFormatting>
  <conditionalFormatting sqref="C22">
    <cfRule type="duplicateValues" dxfId="74" priority="82"/>
  </conditionalFormatting>
  <conditionalFormatting sqref="C51">
    <cfRule type="duplicateValues" dxfId="73" priority="75"/>
  </conditionalFormatting>
  <conditionalFormatting sqref="C51">
    <cfRule type="duplicateValues" dxfId="72" priority="74"/>
  </conditionalFormatting>
  <conditionalFormatting sqref="C51">
    <cfRule type="duplicateValues" dxfId="71" priority="73"/>
  </conditionalFormatting>
  <conditionalFormatting sqref="C62:C63">
    <cfRule type="duplicateValues" dxfId="70" priority="72"/>
  </conditionalFormatting>
  <conditionalFormatting sqref="C62:C63">
    <cfRule type="duplicateValues" dxfId="69" priority="71"/>
  </conditionalFormatting>
  <conditionalFormatting sqref="C62:C63">
    <cfRule type="duplicateValues" dxfId="68" priority="70"/>
  </conditionalFormatting>
  <conditionalFormatting sqref="C72">
    <cfRule type="duplicateValues" dxfId="67" priority="69"/>
  </conditionalFormatting>
  <conditionalFormatting sqref="C72">
    <cfRule type="duplicateValues" dxfId="66" priority="68"/>
  </conditionalFormatting>
  <conditionalFormatting sqref="C72">
    <cfRule type="duplicateValues" dxfId="65" priority="67"/>
  </conditionalFormatting>
  <conditionalFormatting sqref="C75">
    <cfRule type="duplicateValues" dxfId="64" priority="66"/>
  </conditionalFormatting>
  <conditionalFormatting sqref="C75">
    <cfRule type="duplicateValues" dxfId="63" priority="65"/>
  </conditionalFormatting>
  <conditionalFormatting sqref="C75">
    <cfRule type="duplicateValues" dxfId="62" priority="64"/>
  </conditionalFormatting>
  <conditionalFormatting sqref="C81">
    <cfRule type="duplicateValues" dxfId="61" priority="63"/>
  </conditionalFormatting>
  <conditionalFormatting sqref="C81">
    <cfRule type="duplicateValues" dxfId="60" priority="62"/>
  </conditionalFormatting>
  <conditionalFormatting sqref="C81">
    <cfRule type="duplicateValues" dxfId="59" priority="61"/>
  </conditionalFormatting>
  <conditionalFormatting sqref="C30">
    <cfRule type="duplicateValues" dxfId="58" priority="54"/>
  </conditionalFormatting>
  <conditionalFormatting sqref="C30">
    <cfRule type="duplicateValues" dxfId="57" priority="53"/>
  </conditionalFormatting>
  <conditionalFormatting sqref="C30">
    <cfRule type="duplicateValues" dxfId="56" priority="52"/>
  </conditionalFormatting>
  <conditionalFormatting sqref="C23">
    <cfRule type="duplicateValues" dxfId="55" priority="51"/>
  </conditionalFormatting>
  <conditionalFormatting sqref="C23">
    <cfRule type="duplicateValues" dxfId="54" priority="50"/>
  </conditionalFormatting>
  <conditionalFormatting sqref="C23">
    <cfRule type="duplicateValues" dxfId="53" priority="49"/>
  </conditionalFormatting>
  <conditionalFormatting sqref="C38">
    <cfRule type="duplicateValues" dxfId="52" priority="48"/>
  </conditionalFormatting>
  <conditionalFormatting sqref="C38">
    <cfRule type="duplicateValues" dxfId="51" priority="47"/>
  </conditionalFormatting>
  <conditionalFormatting sqref="C38">
    <cfRule type="duplicateValues" dxfId="50" priority="46"/>
  </conditionalFormatting>
  <conditionalFormatting sqref="C48">
    <cfRule type="duplicateValues" dxfId="49" priority="45"/>
  </conditionalFormatting>
  <conditionalFormatting sqref="C48">
    <cfRule type="duplicateValues" dxfId="48" priority="44"/>
  </conditionalFormatting>
  <conditionalFormatting sqref="C48">
    <cfRule type="duplicateValues" dxfId="47" priority="43"/>
  </conditionalFormatting>
  <conditionalFormatting sqref="C55">
    <cfRule type="duplicateValues" dxfId="46" priority="39"/>
  </conditionalFormatting>
  <conditionalFormatting sqref="C55">
    <cfRule type="duplicateValues" dxfId="45" priority="38"/>
  </conditionalFormatting>
  <conditionalFormatting sqref="C55">
    <cfRule type="duplicateValues" dxfId="44" priority="37"/>
  </conditionalFormatting>
  <conditionalFormatting sqref="C46">
    <cfRule type="duplicateValues" dxfId="43" priority="36"/>
  </conditionalFormatting>
  <conditionalFormatting sqref="C46">
    <cfRule type="duplicateValues" dxfId="42" priority="35"/>
  </conditionalFormatting>
  <conditionalFormatting sqref="C46">
    <cfRule type="duplicateValues" dxfId="41" priority="34"/>
  </conditionalFormatting>
  <conditionalFormatting sqref="C21">
    <cfRule type="duplicateValues" dxfId="40" priority="33"/>
  </conditionalFormatting>
  <conditionalFormatting sqref="C21">
    <cfRule type="duplicateValues" dxfId="39" priority="32"/>
  </conditionalFormatting>
  <conditionalFormatting sqref="C21">
    <cfRule type="duplicateValues" dxfId="38" priority="31"/>
  </conditionalFormatting>
  <conditionalFormatting sqref="C34">
    <cfRule type="duplicateValues" dxfId="37" priority="30"/>
  </conditionalFormatting>
  <conditionalFormatting sqref="C34">
    <cfRule type="duplicateValues" dxfId="36" priority="29"/>
  </conditionalFormatting>
  <conditionalFormatting sqref="C34">
    <cfRule type="duplicateValues" dxfId="35" priority="28"/>
  </conditionalFormatting>
  <conditionalFormatting sqref="C36">
    <cfRule type="duplicateValues" dxfId="34" priority="27"/>
  </conditionalFormatting>
  <conditionalFormatting sqref="C36">
    <cfRule type="duplicateValues" dxfId="33" priority="26"/>
  </conditionalFormatting>
  <conditionalFormatting sqref="C36">
    <cfRule type="duplicateValues" dxfId="32" priority="25"/>
  </conditionalFormatting>
  <conditionalFormatting sqref="C44">
    <cfRule type="duplicateValues" dxfId="31" priority="24"/>
  </conditionalFormatting>
  <conditionalFormatting sqref="C44">
    <cfRule type="duplicateValues" dxfId="30" priority="23"/>
  </conditionalFormatting>
  <conditionalFormatting sqref="C44">
    <cfRule type="duplicateValues" dxfId="29" priority="22"/>
  </conditionalFormatting>
  <conditionalFormatting sqref="C84">
    <cfRule type="duplicateValues" dxfId="28" priority="21"/>
  </conditionalFormatting>
  <conditionalFormatting sqref="C84">
    <cfRule type="duplicateValues" dxfId="27" priority="20"/>
  </conditionalFormatting>
  <conditionalFormatting sqref="C84">
    <cfRule type="duplicateValues" dxfId="26" priority="19"/>
  </conditionalFormatting>
  <conditionalFormatting sqref="C26:C27">
    <cfRule type="duplicateValues" dxfId="25" priority="18"/>
  </conditionalFormatting>
  <conditionalFormatting sqref="C26:C27">
    <cfRule type="duplicateValues" dxfId="24" priority="17"/>
  </conditionalFormatting>
  <conditionalFormatting sqref="C26:C27">
    <cfRule type="duplicateValues" dxfId="23" priority="16"/>
  </conditionalFormatting>
  <conditionalFormatting sqref="C49">
    <cfRule type="duplicateValues" dxfId="22" priority="15"/>
  </conditionalFormatting>
  <conditionalFormatting sqref="C49">
    <cfRule type="duplicateValues" dxfId="21" priority="14"/>
  </conditionalFormatting>
  <conditionalFormatting sqref="C49">
    <cfRule type="duplicateValues" dxfId="20" priority="13"/>
  </conditionalFormatting>
  <conditionalFormatting sqref="C87">
    <cfRule type="duplicateValues" dxfId="19" priority="12"/>
  </conditionalFormatting>
  <conditionalFormatting sqref="C87">
    <cfRule type="duplicateValues" dxfId="18" priority="11"/>
  </conditionalFormatting>
  <conditionalFormatting sqref="C117">
    <cfRule type="duplicateValues" dxfId="17" priority="10"/>
  </conditionalFormatting>
  <conditionalFormatting sqref="C19">
    <cfRule type="duplicateValues" dxfId="16" priority="9"/>
  </conditionalFormatting>
  <conditionalFormatting sqref="C19">
    <cfRule type="duplicateValues" dxfId="15" priority="8"/>
  </conditionalFormatting>
  <conditionalFormatting sqref="C19">
    <cfRule type="duplicateValues" dxfId="14" priority="7"/>
  </conditionalFormatting>
  <conditionalFormatting sqref="C20">
    <cfRule type="duplicateValues" dxfId="13" priority="6"/>
  </conditionalFormatting>
  <conditionalFormatting sqref="C20">
    <cfRule type="duplicateValues" dxfId="12" priority="5"/>
  </conditionalFormatting>
  <conditionalFormatting sqref="C20">
    <cfRule type="duplicateValues" dxfId="11" priority="4"/>
  </conditionalFormatting>
  <conditionalFormatting sqref="C24">
    <cfRule type="duplicateValues" dxfId="10" priority="3"/>
  </conditionalFormatting>
  <conditionalFormatting sqref="C24">
    <cfRule type="duplicateValues" dxfId="9" priority="2"/>
  </conditionalFormatting>
  <conditionalFormatting sqref="C24">
    <cfRule type="duplicateValues" dxfId="8" priority="1"/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3" name="Button 3">
              <controlPr defaultSize="0" print="0" autoFill="0" autoPict="0" macro="[0]!KenLdataNaarOntwerp">
                <anchor moveWithCells="1" sizeWithCells="1">
                  <from>
                    <xdr:col>10</xdr:col>
                    <xdr:colOff>219075</xdr:colOff>
                    <xdr:row>1</xdr:row>
                    <xdr:rowOff>114300</xdr:rowOff>
                  </from>
                  <to>
                    <xdr:col>13</xdr:col>
                    <xdr:colOff>152400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KenLGPSdata">
                <anchor moveWithCells="1" sizeWithCells="1">
                  <from>
                    <xdr:col>7</xdr:col>
                    <xdr:colOff>38100</xdr:colOff>
                    <xdr:row>1</xdr:row>
                    <xdr:rowOff>95250</xdr:rowOff>
                  </from>
                  <to>
                    <xdr:col>8</xdr:col>
                    <xdr:colOff>1000125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BGTdataNaarOntwerp">
                <anchor moveWithCells="1" sizeWithCells="1">
                  <from>
                    <xdr:col>15</xdr:col>
                    <xdr:colOff>171450</xdr:colOff>
                    <xdr:row>1</xdr:row>
                    <xdr:rowOff>123825</xdr:rowOff>
                  </from>
                  <to>
                    <xdr:col>19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/>
  <dimension ref="A1:S57"/>
  <sheetViews>
    <sheetView zoomScale="85" zoomScaleNormal="85" workbookViewId="0">
      <selection activeCell="K15" sqref="K15:L15"/>
    </sheetView>
  </sheetViews>
  <sheetFormatPr defaultColWidth="9.140625" defaultRowHeight="15" x14ac:dyDescent="0.25"/>
  <cols>
    <col min="1" max="1" width="16.5703125" style="266" customWidth="1"/>
    <col min="2" max="2" width="10.85546875" style="266" customWidth="1"/>
    <col min="3" max="3" width="11.5703125" style="266" customWidth="1"/>
    <col min="4" max="4" width="19.140625" style="266" bestFit="1" customWidth="1"/>
    <col min="5" max="5" width="9.140625" style="266" customWidth="1"/>
    <col min="6" max="6" width="10.7109375" style="266" bestFit="1" customWidth="1"/>
    <col min="7" max="7" width="9.140625" style="266" customWidth="1"/>
    <col min="8" max="8" width="16.7109375" style="266" customWidth="1"/>
    <col min="9" max="10" width="9.140625" style="266" customWidth="1"/>
    <col min="11" max="12" width="14" style="266" customWidth="1"/>
    <col min="13" max="19" width="9.140625" style="266" customWidth="1"/>
    <col min="20" max="16384" width="9.140625" style="266"/>
  </cols>
  <sheetData>
    <row r="1" spans="1:19" x14ac:dyDescent="0.25">
      <c r="A1" s="325" t="s">
        <v>705</v>
      </c>
      <c r="B1" s="188">
        <v>20</v>
      </c>
    </row>
    <row r="2" spans="1:19" x14ac:dyDescent="0.25">
      <c r="A2" s="325" t="s">
        <v>706</v>
      </c>
      <c r="B2" s="331">
        <f>IF(B1=0,Ontwerp!D7,B1)</f>
        <v>20</v>
      </c>
      <c r="C2" s="325" t="s">
        <v>707</v>
      </c>
    </row>
    <row r="4" spans="1:19" x14ac:dyDescent="0.25">
      <c r="A4" s="266" t="s">
        <v>708</v>
      </c>
      <c r="B4" s="765">
        <v>6</v>
      </c>
      <c r="C4" s="266" t="s">
        <v>105</v>
      </c>
      <c r="D4" s="266" t="s">
        <v>709</v>
      </c>
      <c r="E4" s="271">
        <v>11.78</v>
      </c>
      <c r="F4" s="266" t="s">
        <v>105</v>
      </c>
    </row>
    <row r="5" spans="1:19" x14ac:dyDescent="0.25">
      <c r="A5" s="266" t="s">
        <v>710</v>
      </c>
      <c r="B5" s="733">
        <f>B4/TAN(2*PI()*B2/360)</f>
        <v>16.484864516727736</v>
      </c>
      <c r="C5" s="266" t="s">
        <v>105</v>
      </c>
      <c r="D5" s="266" t="s">
        <v>711</v>
      </c>
      <c r="E5" s="274">
        <f>E4*TAN(2*PI()*B2/360)</f>
        <v>4.2875693596558637</v>
      </c>
      <c r="F5" s="266" t="s">
        <v>105</v>
      </c>
    </row>
    <row r="9" spans="1:19" x14ac:dyDescent="0.25">
      <c r="Q9" s="704" t="s">
        <v>712</v>
      </c>
    </row>
    <row r="10" spans="1:19" ht="15.75" customHeight="1" thickBot="1" x14ac:dyDescent="0.3">
      <c r="A10" s="273"/>
      <c r="B10" s="273" t="s">
        <v>393</v>
      </c>
      <c r="C10" s="273" t="s">
        <v>394</v>
      </c>
      <c r="D10" s="273" t="s">
        <v>401</v>
      </c>
      <c r="E10" s="273" t="s">
        <v>402</v>
      </c>
      <c r="F10" s="273" t="s">
        <v>405</v>
      </c>
      <c r="G10" s="266" t="s">
        <v>713</v>
      </c>
      <c r="H10" s="273" t="s">
        <v>714</v>
      </c>
      <c r="I10" s="273" t="s">
        <v>401</v>
      </c>
      <c r="J10" s="273" t="s">
        <v>402</v>
      </c>
      <c r="K10" s="273" t="s">
        <v>393</v>
      </c>
      <c r="L10" s="273" t="s">
        <v>394</v>
      </c>
    </row>
    <row r="11" spans="1:19" ht="15.75" customHeight="1" thickBot="1" x14ac:dyDescent="0.3">
      <c r="A11" s="276">
        <f>Ontwerp!A273</f>
        <v>1</v>
      </c>
      <c r="B11" s="276">
        <f>Ontwerp!B273</f>
        <v>103896.94103473837</v>
      </c>
      <c r="C11" s="276">
        <f>Ontwerp!C273</f>
        <v>489289.54219346534</v>
      </c>
      <c r="D11" s="272"/>
      <c r="E11" s="272"/>
      <c r="F11" s="272"/>
      <c r="G11" s="271">
        <v>3</v>
      </c>
      <c r="H11" s="276">
        <f>$G11/F12</f>
        <v>5.7339731544255666E-2</v>
      </c>
      <c r="I11" s="385">
        <f>H$11*D12</f>
        <v>2.8898405066423116</v>
      </c>
      <c r="J11" s="269">
        <f>H11*E12</f>
        <v>-0.8054947834525723</v>
      </c>
      <c r="K11" s="268">
        <f>B11+I11</f>
        <v>103899.83087524501</v>
      </c>
      <c r="L11" s="268">
        <f>C11+J11</f>
        <v>489288.7366986819</v>
      </c>
      <c r="N11" s="276">
        <v>203431.66200000001</v>
      </c>
      <c r="O11" s="276">
        <v>378824.99599999998</v>
      </c>
    </row>
    <row r="12" spans="1:19" x14ac:dyDescent="0.25">
      <c r="A12" s="276">
        <f>Ontwerp!A274</f>
        <v>2</v>
      </c>
      <c r="B12" s="276">
        <f>Ontwerp!B274</f>
        <v>103947.3396053074</v>
      </c>
      <c r="C12" s="276">
        <f>Ontwerp!C274</f>
        <v>489275.49443353066</v>
      </c>
      <c r="D12" s="270">
        <f>IF(A12="","",B12-B11)</f>
        <v>50.398570569028379</v>
      </c>
      <c r="E12" s="270">
        <f>IF(A12="","",C12-C11)</f>
        <v>-14.047759934677742</v>
      </c>
      <c r="F12" s="270">
        <f>(((D12^2)+(E12^2))^0.5)</f>
        <v>52.319742684608748</v>
      </c>
      <c r="G12" s="271">
        <v>0.5</v>
      </c>
      <c r="H12" s="276">
        <f>G12/F12</f>
        <v>9.556621924042611E-3</v>
      </c>
      <c r="I12" s="385">
        <f>H$12*D12</f>
        <v>0.48164008444038531</v>
      </c>
      <c r="J12" s="269">
        <f>H12*E12</f>
        <v>-0.1342491305754287</v>
      </c>
      <c r="K12" s="268">
        <f>B12+I12</f>
        <v>103947.82124539184</v>
      </c>
      <c r="L12" s="268">
        <f>C12+J12</f>
        <v>489275.36018440011</v>
      </c>
      <c r="N12" s="276">
        <v>203461.30900000001</v>
      </c>
      <c r="O12" s="276">
        <v>378836.277</v>
      </c>
      <c r="Q12" s="266">
        <f>K12-K11</f>
        <v>47.990370146828354</v>
      </c>
      <c r="R12" s="266">
        <f>L12-L11</f>
        <v>-13.376514281786513</v>
      </c>
      <c r="S12" s="266">
        <f>(Q12^2+R12^2)^0.5</f>
        <v>49.819742684606801</v>
      </c>
    </row>
    <row r="13" spans="1:19" x14ac:dyDescent="0.25">
      <c r="A13" s="276">
        <f>Ontwerp!A275</f>
        <v>3</v>
      </c>
      <c r="B13" s="276">
        <f>Ontwerp!B275</f>
        <v>103987.61434448001</v>
      </c>
      <c r="C13" s="276">
        <f>Ontwerp!C275</f>
        <v>489419.98645886278</v>
      </c>
    </row>
    <row r="14" spans="1:19" ht="15.75" customHeight="1" thickBot="1" x14ac:dyDescent="0.3">
      <c r="A14" s="276">
        <f>Ontwerp!A276</f>
        <v>4</v>
      </c>
      <c r="B14" s="276">
        <f>Ontwerp!B276</f>
        <v>103960.83555344217</v>
      </c>
      <c r="C14" s="276">
        <f>Ontwerp!C276</f>
        <v>489272.3961598911</v>
      </c>
    </row>
    <row r="15" spans="1:19" x14ac:dyDescent="0.25">
      <c r="A15" s="276">
        <f>Ontwerp!A277</f>
        <v>5</v>
      </c>
      <c r="B15" s="276">
        <f>Ontwerp!B277</f>
        <v>104118.80736236711</v>
      </c>
      <c r="C15" s="276">
        <f>Ontwerp!C277</f>
        <v>489243.73374718148</v>
      </c>
      <c r="D15" s="270">
        <f>IF(A15="","",B15-B14)</f>
        <v>157.97180892493634</v>
      </c>
      <c r="E15" s="270">
        <f>IF(A15="","",C15-C14)</f>
        <v>-28.662412709614728</v>
      </c>
      <c r="F15" s="270">
        <f>(((D15^2)+(E15^2))^0.5)</f>
        <v>160.55100845947021</v>
      </c>
      <c r="G15" s="271">
        <v>-20.47</v>
      </c>
      <c r="H15" s="276">
        <f>G15/F15</f>
        <v>-0.12749842057309457</v>
      </c>
      <c r="I15" s="385">
        <f>H$15*D15</f>
        <v>-20.141156133004067</v>
      </c>
      <c r="J15" s="269">
        <f>H15*E15</f>
        <v>3.6544123502900696</v>
      </c>
      <c r="K15" s="268">
        <f>B15+I15</f>
        <v>104098.66620623411</v>
      </c>
      <c r="L15" s="268">
        <f>C15+J15</f>
        <v>489247.38815953175</v>
      </c>
    </row>
    <row r="16" spans="1:19" x14ac:dyDescent="0.25">
      <c r="A16" s="276" t="str">
        <f>Ontwerp!A278</f>
        <v/>
      </c>
      <c r="B16" s="276">
        <f>Ontwerp!B278</f>
        <v>0</v>
      </c>
      <c r="C16" s="276">
        <f>Ontwerp!C278</f>
        <v>0</v>
      </c>
      <c r="G16" s="266" t="s">
        <v>715</v>
      </c>
    </row>
    <row r="17" spans="1:14" ht="15.75" customHeight="1" thickBot="1" x14ac:dyDescent="0.3">
      <c r="A17" s="276" t="str">
        <f>Ontwerp!A279</f>
        <v/>
      </c>
      <c r="B17" s="276">
        <f>Ontwerp!B279</f>
        <v>0</v>
      </c>
      <c r="C17" s="276">
        <f>Ontwerp!C279</f>
        <v>0</v>
      </c>
    </row>
    <row r="18" spans="1:14" x14ac:dyDescent="0.25">
      <c r="A18" s="276" t="str">
        <f>Ontwerp!A280</f>
        <v/>
      </c>
      <c r="B18" s="276">
        <f>Ontwerp!B280</f>
        <v>0</v>
      </c>
      <c r="C18" s="276">
        <f>Ontwerp!C280</f>
        <v>0</v>
      </c>
      <c r="D18" s="498" t="str">
        <f>IF(A18="","",B18-B17)</f>
        <v/>
      </c>
      <c r="E18" s="498" t="str">
        <f>IF(A18="","",C18-C17)</f>
        <v/>
      </c>
      <c r="F18" s="498" t="e">
        <f>(((D18^2)+(E18^2))^0.5)</f>
        <v>#VALUE!</v>
      </c>
      <c r="G18" s="271">
        <v>0.5</v>
      </c>
      <c r="H18" s="276" t="e">
        <f>G18/F18</f>
        <v>#VALUE!</v>
      </c>
      <c r="I18" s="385" t="e">
        <f>H$18*D18</f>
        <v>#VALUE!</v>
      </c>
      <c r="J18" s="269" t="e">
        <f>H18*E18</f>
        <v>#VALUE!</v>
      </c>
      <c r="K18" s="268" t="e">
        <f>B18+I18</f>
        <v>#VALUE!</v>
      </c>
      <c r="L18" s="268" t="e">
        <f>C18+J18</f>
        <v>#VALUE!</v>
      </c>
    </row>
    <row r="19" spans="1:14" x14ac:dyDescent="0.25">
      <c r="A19" s="276" t="str">
        <f>Ontwerp!A281</f>
        <v/>
      </c>
      <c r="B19" s="276">
        <f>Ontwerp!B281</f>
        <v>0</v>
      </c>
      <c r="C19" s="276">
        <f>Ontwerp!C281</f>
        <v>0</v>
      </c>
      <c r="G19" s="266" t="s">
        <v>715</v>
      </c>
    </row>
    <row r="20" spans="1:14" ht="15.75" customHeight="1" thickBot="1" x14ac:dyDescent="0.3">
      <c r="A20" s="276" t="str">
        <f>Ontwerp!A282</f>
        <v/>
      </c>
      <c r="B20" s="276">
        <f>Ontwerp!B282</f>
        <v>0</v>
      </c>
      <c r="C20" s="276">
        <f>Ontwerp!C282</f>
        <v>0</v>
      </c>
    </row>
    <row r="21" spans="1:14" x14ac:dyDescent="0.25">
      <c r="A21" s="276" t="str">
        <f>Ontwerp!A283</f>
        <v/>
      </c>
      <c r="B21" s="276">
        <f>Ontwerp!B283</f>
        <v>0</v>
      </c>
      <c r="C21" s="276">
        <f>Ontwerp!C283</f>
        <v>0</v>
      </c>
      <c r="D21" s="498" t="str">
        <f>IF(A21="","",B21-B20)</f>
        <v/>
      </c>
      <c r="E21" s="498" t="str">
        <f>IF(A21="","",C21-C20)</f>
        <v/>
      </c>
      <c r="F21" s="498" t="e">
        <f>(((D21^2)+(E21^2))^0.5)</f>
        <v>#VALUE!</v>
      </c>
      <c r="G21" s="271">
        <v>1</v>
      </c>
      <c r="H21" s="276" t="e">
        <f>G21/F21</f>
        <v>#VALUE!</v>
      </c>
      <c r="I21" s="385" t="e">
        <f>H$21*D21</f>
        <v>#VALUE!</v>
      </c>
      <c r="J21" s="269" t="e">
        <f>H21*E21</f>
        <v>#VALUE!</v>
      </c>
      <c r="K21" s="268" t="e">
        <f>B21+I21</f>
        <v>#VALUE!</v>
      </c>
      <c r="L21" s="268" t="e">
        <f>C21+J21</f>
        <v>#VALUE!</v>
      </c>
    </row>
    <row r="22" spans="1:14" x14ac:dyDescent="0.25">
      <c r="G22" s="266" t="s">
        <v>715</v>
      </c>
    </row>
    <row r="23" spans="1:14" x14ac:dyDescent="0.25">
      <c r="H23" s="266">
        <f>0.17+0.39</f>
        <v>0.56000000000000005</v>
      </c>
    </row>
    <row r="24" spans="1:14" x14ac:dyDescent="0.25">
      <c r="A24" s="266" t="s">
        <v>716</v>
      </c>
      <c r="B24" s="276">
        <f>Ontwerp!C46</f>
        <v>148.26876040507608</v>
      </c>
    </row>
    <row r="25" spans="1:14" ht="15.75" customHeight="1" thickBot="1" x14ac:dyDescent="0.3">
      <c r="A25" s="266" t="s">
        <v>717</v>
      </c>
      <c r="B25" s="276">
        <f>Ontwerp!D9</f>
        <v>150</v>
      </c>
      <c r="G25" s="594" t="s">
        <v>718</v>
      </c>
    </row>
    <row r="26" spans="1:14" ht="15.75" customHeight="1" thickBot="1" x14ac:dyDescent="0.3">
      <c r="A26" s="266" t="s">
        <v>719</v>
      </c>
      <c r="B26" s="274">
        <f>360*B24/(2*B25*PI())</f>
        <v>56.634494698981797</v>
      </c>
      <c r="C26" s="266">
        <f>-B26</f>
        <v>-56.634494698981797</v>
      </c>
      <c r="K26" s="268">
        <f>B11+J27</f>
        <v>103896.8067856078</v>
      </c>
      <c r="L26" s="268">
        <f>C11-I27</f>
        <v>489289.06055338093</v>
      </c>
      <c r="M26" s="594" t="s">
        <v>296</v>
      </c>
      <c r="N26" s="267" t="str">
        <f>K26&amp;","&amp;L26</f>
        <v>103896.806785608,489289.060553381</v>
      </c>
    </row>
    <row r="27" spans="1:14" x14ac:dyDescent="0.25">
      <c r="A27" s="266" t="s">
        <v>720</v>
      </c>
      <c r="B27" s="266" t="s">
        <v>721</v>
      </c>
      <c r="G27" s="271">
        <v>0.5</v>
      </c>
      <c r="H27" s="276">
        <f>$G27/F12</f>
        <v>9.556621924042611E-3</v>
      </c>
      <c r="I27" s="385">
        <f>H$27*D12</f>
        <v>0.48164008444038531</v>
      </c>
      <c r="J27" s="269">
        <f>H27*E12</f>
        <v>-0.1342491305754287</v>
      </c>
      <c r="K27" s="268">
        <f>B12+J27</f>
        <v>103947.20535617683</v>
      </c>
      <c r="L27" s="268">
        <f>C12-I27</f>
        <v>489275.01279344625</v>
      </c>
      <c r="M27" s="594" t="s">
        <v>722</v>
      </c>
      <c r="N27" s="267" t="str">
        <f>K27&amp;","&amp;L27</f>
        <v>103947.205356177,489275.012793446</v>
      </c>
    </row>
    <row r="36" spans="1:4" x14ac:dyDescent="0.25">
      <c r="B36" s="549" t="s">
        <v>723</v>
      </c>
      <c r="D36" s="550" t="s">
        <v>507</v>
      </c>
    </row>
    <row r="37" spans="1:4" x14ac:dyDescent="0.25">
      <c r="A37" s="266">
        <v>1</v>
      </c>
      <c r="B37" s="271">
        <v>107506.702</v>
      </c>
      <c r="C37" s="271">
        <v>533544.45200000005</v>
      </c>
      <c r="D37" s="551" t="str">
        <f t="array" ref="D37">POINT(B37,C37)</f>
        <v>107506.702,533544.452</v>
      </c>
    </row>
    <row r="38" spans="1:4" x14ac:dyDescent="0.25">
      <c r="A38" s="552">
        <f t="shared" ref="A38:A54" si="0">IF(B38&lt;&gt;"",A37+1,"")</f>
        <v>2</v>
      </c>
      <c r="B38" s="271">
        <v>107577.71400000001</v>
      </c>
      <c r="C38" s="271">
        <v>533501.19700000004</v>
      </c>
      <c r="D38" s="551" t="str">
        <f t="array" ref="D38">POINT(B38,C38)</f>
        <v>107577.714,533501.197</v>
      </c>
    </row>
    <row r="39" spans="1:4" x14ac:dyDescent="0.25">
      <c r="A39" s="552">
        <f t="shared" si="0"/>
        <v>3</v>
      </c>
      <c r="B39" s="271">
        <v>107667.212</v>
      </c>
      <c r="C39" s="271">
        <v>533456.44499999995</v>
      </c>
      <c r="D39" s="551" t="str">
        <f t="array" ref="D39">POINT(B39,C39)</f>
        <v>107667.212,533456.445</v>
      </c>
    </row>
    <row r="40" spans="1:4" x14ac:dyDescent="0.25">
      <c r="A40" s="552">
        <f t="shared" si="0"/>
        <v>4</v>
      </c>
      <c r="B40" s="271">
        <v>107755.93399999999</v>
      </c>
      <c r="C40" s="271">
        <v>533412.41799999995</v>
      </c>
      <c r="D40" s="551" t="str">
        <f t="array" ref="D40">POINT(B40,C40)</f>
        <v>107755.934,533412.418</v>
      </c>
    </row>
    <row r="41" spans="1:4" x14ac:dyDescent="0.25">
      <c r="A41" s="552" t="str">
        <f t="shared" si="0"/>
        <v/>
      </c>
      <c r="B41" s="271"/>
      <c r="C41" s="271"/>
      <c r="D41" s="551" t="str">
        <f t="array" ref="D41">POINT(B41,C41)</f>
        <v>0,0</v>
      </c>
    </row>
    <row r="42" spans="1:4" x14ac:dyDescent="0.25">
      <c r="A42" s="552" t="str">
        <f t="shared" si="0"/>
        <v/>
      </c>
      <c r="B42" s="271"/>
      <c r="C42" s="271"/>
      <c r="D42" s="551" t="str">
        <f t="array" ref="D42">POINT(B42,C42)</f>
        <v>0,0</v>
      </c>
    </row>
    <row r="43" spans="1:4" x14ac:dyDescent="0.25">
      <c r="A43" s="552" t="str">
        <f t="shared" si="0"/>
        <v/>
      </c>
      <c r="B43" s="271"/>
      <c r="C43" s="271"/>
      <c r="D43" s="551" t="str">
        <f t="array" ref="D43">POINT(B43,C43)</f>
        <v>0,0</v>
      </c>
    </row>
    <row r="44" spans="1:4" x14ac:dyDescent="0.25">
      <c r="A44" s="552" t="str">
        <f t="shared" si="0"/>
        <v/>
      </c>
      <c r="B44" s="271"/>
      <c r="C44" s="271"/>
      <c r="D44" s="551" t="str">
        <f t="array" ref="D44">POINT(B44,C44)</f>
        <v>0,0</v>
      </c>
    </row>
    <row r="45" spans="1:4" x14ac:dyDescent="0.25">
      <c r="A45" s="552" t="str">
        <f t="shared" si="0"/>
        <v/>
      </c>
      <c r="B45" s="271"/>
      <c r="C45" s="271"/>
      <c r="D45" s="551" t="str">
        <f t="array" ref="D45">POINT(B45,C45)</f>
        <v>0,0</v>
      </c>
    </row>
    <row r="46" spans="1:4" x14ac:dyDescent="0.25">
      <c r="A46" s="552" t="str">
        <f t="shared" si="0"/>
        <v/>
      </c>
      <c r="B46" s="271"/>
      <c r="C46" s="271"/>
      <c r="D46" s="551" t="str">
        <f t="array" ref="D46">POINT(B46,C46)</f>
        <v>0,0</v>
      </c>
    </row>
    <row r="47" spans="1:4" x14ac:dyDescent="0.25">
      <c r="A47" s="552" t="str">
        <f t="shared" si="0"/>
        <v/>
      </c>
      <c r="B47" s="271"/>
      <c r="C47" s="271"/>
      <c r="D47" s="551" t="str">
        <f t="array" ref="D47">POINT(B47,C47)</f>
        <v>0,0</v>
      </c>
    </row>
    <row r="48" spans="1:4" x14ac:dyDescent="0.25">
      <c r="A48" s="552" t="str">
        <f t="shared" si="0"/>
        <v/>
      </c>
      <c r="B48" s="271"/>
      <c r="C48" s="271"/>
      <c r="D48" s="551" t="str">
        <f t="array" ref="D48">POINT(B48,C48)</f>
        <v>0,0</v>
      </c>
    </row>
    <row r="49" spans="1:4" x14ac:dyDescent="0.25">
      <c r="A49" s="552" t="str">
        <f t="shared" si="0"/>
        <v/>
      </c>
      <c r="B49" s="271"/>
      <c r="C49" s="271"/>
      <c r="D49" s="551" t="str">
        <f t="array" ref="D49">POINT(B49,C49)</f>
        <v>0,0</v>
      </c>
    </row>
    <row r="50" spans="1:4" x14ac:dyDescent="0.25">
      <c r="A50" s="552" t="str">
        <f t="shared" si="0"/>
        <v/>
      </c>
      <c r="B50" s="271"/>
      <c r="C50" s="271"/>
      <c r="D50" s="551" t="str">
        <f t="array" ref="D50">POINT(B50,C50)</f>
        <v>0,0</v>
      </c>
    </row>
    <row r="51" spans="1:4" x14ac:dyDescent="0.25">
      <c r="A51" s="552" t="str">
        <f t="shared" si="0"/>
        <v/>
      </c>
      <c r="B51" s="271"/>
      <c r="C51" s="271"/>
      <c r="D51" s="551" t="str">
        <f t="array" ref="D51">POINT(B51,C51)</f>
        <v>0,0</v>
      </c>
    </row>
    <row r="52" spans="1:4" x14ac:dyDescent="0.25">
      <c r="A52" s="552" t="str">
        <f t="shared" si="0"/>
        <v/>
      </c>
      <c r="B52" s="271"/>
      <c r="C52" s="271"/>
      <c r="D52" s="551" t="str">
        <f t="array" ref="D52">POINT(B52,C52)</f>
        <v>0,0</v>
      </c>
    </row>
    <row r="53" spans="1:4" x14ac:dyDescent="0.25">
      <c r="A53" s="552" t="str">
        <f t="shared" si="0"/>
        <v/>
      </c>
      <c r="B53" s="271"/>
      <c r="C53" s="271"/>
      <c r="D53" s="551" t="str">
        <f t="array" ref="D53">POINT(B53,C53)</f>
        <v>0,0</v>
      </c>
    </row>
    <row r="54" spans="1:4" x14ac:dyDescent="0.25">
      <c r="A54" s="552" t="str">
        <f t="shared" si="0"/>
        <v/>
      </c>
      <c r="B54" s="271"/>
      <c r="C54" s="271"/>
      <c r="D54" s="551" t="str">
        <f t="array" ref="D54">POINT(B54,C54)</f>
        <v>0,0</v>
      </c>
    </row>
    <row r="56" spans="1:4" x14ac:dyDescent="0.25">
      <c r="B56" s="546" t="s">
        <v>724</v>
      </c>
    </row>
    <row r="57" spans="1:4" x14ac:dyDescent="0.25">
      <c r="B57" s="546" t="s">
        <v>725</v>
      </c>
    </row>
  </sheetData>
  <conditionalFormatting sqref="B2">
    <cfRule type="expression" dxfId="7" priority="44">
      <formula>B1&gt;0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W29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G48" sqref="G48"/>
    </sheetView>
  </sheetViews>
  <sheetFormatPr defaultColWidth="9.140625" defaultRowHeight="12.75" x14ac:dyDescent="0.2"/>
  <cols>
    <col min="1" max="1" width="13.140625" style="361" customWidth="1"/>
    <col min="2" max="2" width="11.7109375" style="361" bestFit="1" customWidth="1"/>
    <col min="3" max="5" width="10.7109375" style="361" customWidth="1"/>
    <col min="6" max="6" width="7.28515625" style="361" customWidth="1"/>
    <col min="7" max="7" width="28.5703125" style="98" customWidth="1"/>
    <col min="8" max="11" width="5.7109375" style="98" customWidth="1"/>
    <col min="12" max="12" width="9.7109375" style="362" bestFit="1" customWidth="1"/>
    <col min="13" max="13" width="10.42578125" style="100" customWidth="1"/>
    <col min="14" max="14" width="18" style="99" bestFit="1" customWidth="1"/>
    <col min="15" max="15" width="18" style="99" customWidth="1"/>
    <col min="16" max="16" width="23.140625" style="99" customWidth="1"/>
    <col min="17" max="17" width="6.42578125" style="99" customWidth="1"/>
    <col min="18" max="18" width="6.85546875" style="99" customWidth="1"/>
    <col min="19" max="19" width="8.5703125" style="99" bestFit="1" customWidth="1"/>
    <col min="20" max="20" width="7.42578125" style="99" customWidth="1"/>
    <col min="21" max="21" width="35.7109375" style="99" bestFit="1" customWidth="1"/>
    <col min="22" max="22" width="9.140625" style="99" customWidth="1"/>
    <col min="23" max="29" width="9.140625" style="98" customWidth="1"/>
    <col min="30" max="16384" width="9.140625" style="98"/>
  </cols>
  <sheetData>
    <row r="1" spans="1:23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  <c r="V1" s="523"/>
    </row>
    <row r="2" spans="1:23" s="531" customFormat="1" ht="13.5" customHeight="1" x14ac:dyDescent="0.2">
      <c r="A2" s="527" t="s">
        <v>162</v>
      </c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  <c r="V2" s="528"/>
    </row>
    <row r="3" spans="1:23" x14ac:dyDescent="0.2">
      <c r="A3" s="6" t="s">
        <v>726</v>
      </c>
      <c r="M3" s="351" t="s">
        <v>483</v>
      </c>
      <c r="N3" s="352" t="s">
        <v>484</v>
      </c>
      <c r="O3" s="352"/>
      <c r="P3" s="352"/>
      <c r="Q3" s="352"/>
      <c r="R3" s="352"/>
      <c r="S3" s="352"/>
      <c r="T3" s="352"/>
      <c r="U3" s="352"/>
      <c r="V3" s="352"/>
      <c r="W3" s="355"/>
    </row>
    <row r="4" spans="1:23" x14ac:dyDescent="0.2">
      <c r="A4" s="361" t="s">
        <v>727</v>
      </c>
      <c r="M4" s="708" t="s">
        <v>487</v>
      </c>
    </row>
    <row r="5" spans="1:23" x14ac:dyDescent="0.2">
      <c r="M5" s="708"/>
    </row>
    <row r="6" spans="1:23" x14ac:dyDescent="0.2">
      <c r="A6" s="98" t="s">
        <v>728</v>
      </c>
      <c r="M6" s="708" t="s">
        <v>729</v>
      </c>
    </row>
    <row r="7" spans="1:23" ht="15" customHeight="1" x14ac:dyDescent="0.25">
      <c r="A7" s="709"/>
      <c r="M7" s="351" t="s">
        <v>493</v>
      </c>
      <c r="N7" s="352" t="s">
        <v>494</v>
      </c>
      <c r="O7" s="352" t="s">
        <v>546</v>
      </c>
      <c r="P7" s="352" t="s">
        <v>495</v>
      </c>
      <c r="Q7" s="352"/>
      <c r="R7" s="352"/>
      <c r="S7" s="352"/>
      <c r="T7" s="352"/>
      <c r="U7" s="352"/>
      <c r="V7" s="352"/>
      <c r="W7" s="355"/>
    </row>
    <row r="8" spans="1:23" ht="15" customHeight="1" x14ac:dyDescent="0.25">
      <c r="A8" s="709"/>
      <c r="M8" s="98"/>
    </row>
    <row r="9" spans="1:23" ht="15" customHeight="1" x14ac:dyDescent="0.25">
      <c r="A9" s="710"/>
      <c r="B9" s="710"/>
    </row>
    <row r="10" spans="1:23" s="99" customFormat="1" x14ac:dyDescent="0.2">
      <c r="A10" s="361"/>
      <c r="B10" s="361"/>
      <c r="C10" s="361"/>
      <c r="D10" s="361"/>
      <c r="E10" s="361"/>
      <c r="F10" s="361"/>
      <c r="G10" s="98"/>
      <c r="H10" s="98"/>
      <c r="I10" s="98"/>
      <c r="J10" s="98"/>
      <c r="K10" s="98"/>
      <c r="L10" s="362"/>
      <c r="W10" s="98"/>
    </row>
    <row r="11" spans="1:23" ht="15" customHeight="1" x14ac:dyDescent="0.25">
      <c r="A11" s="710"/>
      <c r="B11" s="710"/>
    </row>
    <row r="12" spans="1:23" ht="15" customHeight="1" x14ac:dyDescent="0.25">
      <c r="A12" s="900" t="s">
        <v>131</v>
      </c>
      <c r="B12" s="900" t="s">
        <v>132</v>
      </c>
      <c r="C12" s="361" t="s">
        <v>98</v>
      </c>
      <c r="M12" s="353" t="s">
        <v>497</v>
      </c>
      <c r="N12" s="47">
        <v>15</v>
      </c>
      <c r="O12" s="47" t="s">
        <v>498</v>
      </c>
      <c r="P12" s="47">
        <v>1</v>
      </c>
      <c r="Q12" s="47" t="s">
        <v>499</v>
      </c>
      <c r="R12" s="47">
        <f>INPUT!O41</f>
        <v>7</v>
      </c>
      <c r="S12" s="47" t="s">
        <v>500</v>
      </c>
      <c r="T12" s="47">
        <v>1</v>
      </c>
      <c r="U12" s="354"/>
      <c r="V12" s="354"/>
      <c r="W12" s="358"/>
    </row>
    <row r="13" spans="1:23" ht="15" customHeight="1" x14ac:dyDescent="0.25">
      <c r="A13" s="710"/>
      <c r="B13" s="710"/>
      <c r="C13" s="6">
        <v>60</v>
      </c>
      <c r="D13" s="6"/>
      <c r="M13" s="3" t="s">
        <v>730</v>
      </c>
      <c r="N13" s="4"/>
      <c r="O13" s="4" t="e" cm="1">
        <f t="array" ref="O13">POINT(VLOOKUP(N12,INPUT!P42:U91,5,FALSE),VLOOKUP(N12,INPUT!P42:U91,6,FALSE))</f>
        <v>#VALUE!</v>
      </c>
      <c r="P13" s="155">
        <f>C13</f>
        <v>60</v>
      </c>
      <c r="Q13" s="4"/>
      <c r="R13" s="352"/>
      <c r="S13" s="352"/>
      <c r="T13" s="352"/>
      <c r="U13" s="352"/>
      <c r="V13" s="352"/>
      <c r="W13" s="352"/>
    </row>
    <row r="14" spans="1:23" ht="15" customHeight="1" x14ac:dyDescent="0.25">
      <c r="A14" s="900" t="s">
        <v>731</v>
      </c>
      <c r="B14" s="710"/>
      <c r="C14" s="6"/>
      <c r="D14" s="6"/>
      <c r="M14" s="46" t="s">
        <v>503</v>
      </c>
      <c r="N14" s="47"/>
      <c r="O14" s="47"/>
      <c r="P14" s="716"/>
      <c r="Q14" s="47"/>
      <c r="R14" s="354"/>
      <c r="S14" s="354"/>
      <c r="T14" s="354"/>
      <c r="U14" s="354"/>
      <c r="V14" s="354"/>
      <c r="W14" s="354"/>
    </row>
    <row r="15" spans="1:23" ht="15" customHeight="1" x14ac:dyDescent="0.25">
      <c r="A15" s="900" t="s">
        <v>732</v>
      </c>
      <c r="B15" s="900" t="s">
        <v>733</v>
      </c>
      <c r="C15" s="6" t="s">
        <v>734</v>
      </c>
      <c r="D15" s="6" t="s">
        <v>735</v>
      </c>
      <c r="M15" s="899"/>
      <c r="N15" s="5"/>
      <c r="O15" s="5"/>
      <c r="P15" s="5"/>
      <c r="Q15" s="5"/>
      <c r="W15" s="99"/>
    </row>
    <row r="16" spans="1:23" ht="15" customHeight="1" x14ac:dyDescent="0.25">
      <c r="A16" s="710">
        <v>-8307.5082999999995</v>
      </c>
      <c r="B16" s="710">
        <v>279701.73580000002</v>
      </c>
      <c r="C16" s="361">
        <v>303193.10739999998</v>
      </c>
      <c r="D16" s="361">
        <v>629223.55489999999</v>
      </c>
      <c r="M16" s="351" t="s">
        <v>581</v>
      </c>
      <c r="N16" s="352" t="s">
        <v>582</v>
      </c>
      <c r="O16" s="360" t="str">
        <f t="array" ref="O16">POINT(A16,B16)</f>
        <v>-8307.5083,279701.7358</v>
      </c>
      <c r="P16" s="360" t="str">
        <f t="array" ref="P16">POINT(C16,D16)</f>
        <v>303193.1074,629223.5549</v>
      </c>
      <c r="Q16" s="352"/>
      <c r="R16" s="352"/>
      <c r="S16" s="352"/>
      <c r="T16" s="352"/>
      <c r="U16" s="352"/>
      <c r="V16" s="352"/>
      <c r="W16" s="352"/>
    </row>
    <row r="17" spans="1:23" ht="15" customHeight="1" x14ac:dyDescent="0.25">
      <c r="A17" s="710"/>
      <c r="B17" s="710"/>
      <c r="M17" s="3" t="s">
        <v>736</v>
      </c>
      <c r="N17" s="352"/>
      <c r="O17" s="360"/>
      <c r="P17" s="360"/>
      <c r="Q17" s="352"/>
      <c r="R17" s="352"/>
      <c r="S17" s="352"/>
      <c r="T17" s="352"/>
      <c r="U17" s="352"/>
      <c r="V17" s="352"/>
      <c r="W17" s="352"/>
    </row>
    <row r="18" spans="1:23" x14ac:dyDescent="0.2">
      <c r="C18" s="6">
        <v>1</v>
      </c>
      <c r="D18" s="6">
        <v>1</v>
      </c>
      <c r="M18" s="3" t="s">
        <v>737</v>
      </c>
      <c r="N18" s="4" t="s">
        <v>614</v>
      </c>
      <c r="O18" s="4" t="str">
        <f>O16</f>
        <v>-8307.5083,279701.7358</v>
      </c>
      <c r="P18" s="4" t="str">
        <f>P16</f>
        <v>303193.1074,629223.5549</v>
      </c>
      <c r="Q18" s="4" t="s">
        <v>495</v>
      </c>
      <c r="R18" s="352"/>
      <c r="S18" s="352"/>
      <c r="T18" s="352"/>
      <c r="U18" s="352"/>
      <c r="V18" s="352"/>
      <c r="W18" s="352"/>
    </row>
    <row r="19" spans="1:23" x14ac:dyDescent="0.2">
      <c r="M19" s="98"/>
      <c r="N19" s="98"/>
      <c r="O19" s="98"/>
      <c r="P19" s="98"/>
      <c r="W19" s="99"/>
    </row>
    <row r="20" spans="1:23" s="531" customFormat="1" x14ac:dyDescent="0.2">
      <c r="A20" s="532"/>
      <c r="B20" s="532"/>
      <c r="C20" s="532"/>
      <c r="D20" s="532"/>
      <c r="E20" s="532"/>
      <c r="F20" s="532"/>
      <c r="L20" s="533"/>
      <c r="M20" s="530" t="s">
        <v>679</v>
      </c>
      <c r="N20" s="528"/>
      <c r="O20" s="559"/>
      <c r="P20" s="559"/>
      <c r="Q20" s="528"/>
      <c r="R20" s="528"/>
      <c r="S20" s="528"/>
      <c r="T20" s="528"/>
      <c r="U20" s="528"/>
      <c r="V20" s="528"/>
    </row>
    <row r="21" spans="1:23" x14ac:dyDescent="0.2">
      <c r="C21" s="6">
        <v>1</v>
      </c>
      <c r="D21" s="6">
        <v>1</v>
      </c>
      <c r="M21" s="3" t="s">
        <v>737</v>
      </c>
      <c r="N21" s="4" t="s">
        <v>614</v>
      </c>
      <c r="O21" s="4" t="str">
        <f t="array" ref="O21">POINT(A13-C13-C21,B13-D13-D21)</f>
        <v>-61,-1</v>
      </c>
      <c r="P21" s="4" t="str">
        <f t="array" ref="P21">POINT(A13+C13+C21,B13+D13+D21)</f>
        <v>61,1</v>
      </c>
      <c r="Q21" s="4" t="s">
        <v>495</v>
      </c>
      <c r="R21" s="352"/>
      <c r="S21" s="352"/>
      <c r="T21" s="352"/>
      <c r="U21" s="352"/>
      <c r="V21" s="352"/>
      <c r="W21" s="355"/>
    </row>
    <row r="22" spans="1:23" s="531" customFormat="1" x14ac:dyDescent="0.2">
      <c r="A22" s="532"/>
      <c r="B22" s="532"/>
      <c r="C22" s="532"/>
      <c r="D22" s="532"/>
      <c r="E22" s="532"/>
      <c r="F22" s="532"/>
      <c r="L22" s="533"/>
      <c r="M22" s="530" t="s">
        <v>679</v>
      </c>
      <c r="N22" s="528"/>
      <c r="O22" s="528"/>
      <c r="P22" s="528"/>
      <c r="Q22" s="528"/>
      <c r="R22" s="528"/>
      <c r="S22" s="528"/>
      <c r="T22" s="528"/>
      <c r="U22" s="528"/>
      <c r="V22" s="528"/>
    </row>
    <row r="29" spans="1:23" x14ac:dyDescent="0.2">
      <c r="M29" s="351" t="s">
        <v>609</v>
      </c>
      <c r="N29" s="352"/>
      <c r="O29" s="352" t="str">
        <f t="array" ref="O29">POINT(A13-C13,B13-D13)</f>
        <v>-60,0</v>
      </c>
      <c r="P29" s="352" t="str">
        <f t="array" ref="P29">POINT(A13+C13,B13+D13)</f>
        <v>60,0</v>
      </c>
    </row>
  </sheetData>
  <conditionalFormatting sqref="L1:L9 L20:L1048576">
    <cfRule type="cellIs" dxfId="6" priority="2" stopIfTrue="1" operator="equal">
      <formula>FALSE</formula>
    </cfRule>
  </conditionalFormatting>
  <conditionalFormatting sqref="L10:L19">
    <cfRule type="cellIs" dxfId="5" priority="1" stopIfTrue="1" operator="equal">
      <formula>FALSE</formula>
    </cfRule>
  </conditionalFormatting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W30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G50" sqref="G50"/>
    </sheetView>
  </sheetViews>
  <sheetFormatPr defaultColWidth="9.140625" defaultRowHeight="12.75" x14ac:dyDescent="0.2"/>
  <cols>
    <col min="1" max="1" width="13.140625" style="361" customWidth="1"/>
    <col min="2" max="2" width="11.7109375" style="361" bestFit="1" customWidth="1"/>
    <col min="3" max="5" width="10.7109375" style="361" customWidth="1"/>
    <col min="6" max="6" width="7.28515625" style="361" customWidth="1"/>
    <col min="7" max="7" width="28.5703125" style="98" customWidth="1"/>
    <col min="8" max="11" width="5.7109375" style="98" customWidth="1"/>
    <col min="12" max="12" width="9.7109375" style="362" bestFit="1" customWidth="1"/>
    <col min="13" max="13" width="23.85546875" style="100" customWidth="1"/>
    <col min="14" max="14" width="18" style="99" bestFit="1" customWidth="1"/>
    <col min="15" max="15" width="18" style="99" customWidth="1"/>
    <col min="16" max="16" width="23.140625" style="99" customWidth="1"/>
    <col min="17" max="17" width="6.42578125" style="99" customWidth="1"/>
    <col min="18" max="18" width="6.85546875" style="99" customWidth="1"/>
    <col min="19" max="19" width="8.5703125" style="99" bestFit="1" customWidth="1"/>
    <col min="20" max="20" width="7.42578125" style="99" customWidth="1"/>
    <col min="21" max="21" width="35.7109375" style="99" bestFit="1" customWidth="1"/>
    <col min="22" max="22" width="9.140625" style="99" customWidth="1"/>
    <col min="23" max="29" width="9.140625" style="98" customWidth="1"/>
    <col min="30" max="16384" width="9.140625" style="98"/>
  </cols>
  <sheetData>
    <row r="1" spans="1:23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  <c r="V1" s="523"/>
    </row>
    <row r="2" spans="1:23" s="531" customFormat="1" ht="13.5" customHeight="1" x14ac:dyDescent="0.2">
      <c r="A2" s="527" t="s">
        <v>162</v>
      </c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  <c r="V2" s="528"/>
    </row>
    <row r="3" spans="1:23" x14ac:dyDescent="0.2">
      <c r="A3" s="6" t="s">
        <v>726</v>
      </c>
      <c r="M3" s="351" t="s">
        <v>483</v>
      </c>
      <c r="N3" s="352" t="s">
        <v>484</v>
      </c>
      <c r="O3" s="352"/>
      <c r="P3" s="352"/>
      <c r="Q3" s="352"/>
      <c r="R3" s="352"/>
      <c r="S3" s="352"/>
      <c r="T3" s="352"/>
      <c r="U3" s="352"/>
      <c r="V3" s="352"/>
      <c r="W3" s="355"/>
    </row>
    <row r="4" spans="1:23" x14ac:dyDescent="0.2">
      <c r="A4" s="361" t="s">
        <v>727</v>
      </c>
      <c r="M4" s="708" t="s">
        <v>487</v>
      </c>
    </row>
    <row r="5" spans="1:23" x14ac:dyDescent="0.2">
      <c r="M5" s="708"/>
    </row>
    <row r="6" spans="1:23" x14ac:dyDescent="0.2">
      <c r="A6" s="98" t="s">
        <v>728</v>
      </c>
      <c r="M6" s="708" t="s">
        <v>729</v>
      </c>
    </row>
    <row r="7" spans="1:23" ht="15" customHeight="1" x14ac:dyDescent="0.25">
      <c r="A7" s="709"/>
      <c r="M7" s="351" t="s">
        <v>493</v>
      </c>
      <c r="N7" s="352" t="s">
        <v>494</v>
      </c>
      <c r="O7" s="352" t="s">
        <v>546</v>
      </c>
      <c r="P7" s="352" t="s">
        <v>495</v>
      </c>
      <c r="Q7" s="352"/>
      <c r="R7" s="352"/>
      <c r="S7" s="352"/>
      <c r="T7" s="352"/>
      <c r="U7" s="352"/>
      <c r="V7" s="352"/>
      <c r="W7" s="355"/>
    </row>
    <row r="8" spans="1:23" ht="15" customHeight="1" x14ac:dyDescent="0.25">
      <c r="A8" s="709" t="s">
        <v>518</v>
      </c>
      <c r="M8" s="98"/>
    </row>
    <row r="9" spans="1:23" ht="15" customHeight="1" x14ac:dyDescent="0.25">
      <c r="A9" s="710">
        <f>Ontwerp!B273</f>
        <v>103896.94103473837</v>
      </c>
      <c r="B9" s="710">
        <f>Ontwerp!C273</f>
        <v>489289.54219346534</v>
      </c>
    </row>
    <row r="10" spans="1:23" s="99" customFormat="1" x14ac:dyDescent="0.2">
      <c r="A10" s="361" t="s">
        <v>520</v>
      </c>
      <c r="B10" s="361"/>
      <c r="C10" s="361"/>
      <c r="D10" s="361"/>
      <c r="E10" s="361"/>
      <c r="F10" s="361"/>
      <c r="G10" s="98"/>
      <c r="H10" s="98"/>
      <c r="I10" s="98"/>
      <c r="J10" s="98"/>
      <c r="K10" s="98"/>
      <c r="L10" s="362"/>
      <c r="W10" s="98"/>
    </row>
    <row r="11" spans="1:23" ht="15" customHeight="1" x14ac:dyDescent="0.25">
      <c r="A11" s="710">
        <f>Ontwerp!AI280</f>
        <v>104118.80736236711</v>
      </c>
      <c r="B11" s="710">
        <f>Ontwerp!AJ280</f>
        <v>489243.73374718148</v>
      </c>
      <c r="D11" s="361">
        <v>200</v>
      </c>
      <c r="E11" s="361" t="s">
        <v>1232</v>
      </c>
      <c r="M11" s="351" t="s">
        <v>581</v>
      </c>
      <c r="N11" s="352" t="s">
        <v>582</v>
      </c>
      <c r="O11" s="4" t="str" cm="1">
        <f t="array" ref="O11">POINT(A13-D11,B13-D11)</f>
        <v>103807.874198553,489066.637970323</v>
      </c>
      <c r="P11" s="4" t="str" cm="1">
        <f t="array" ref="P11">POINT(A13+D11,B13+D11)</f>
        <v>104207.874198553,489466.637970323</v>
      </c>
      <c r="Q11" s="352"/>
      <c r="R11" s="352"/>
      <c r="S11" s="352"/>
      <c r="T11" s="352"/>
      <c r="U11" s="352"/>
      <c r="V11" s="352"/>
      <c r="W11" s="355"/>
    </row>
    <row r="12" spans="1:23" ht="15" customHeight="1" x14ac:dyDescent="0.25">
      <c r="A12" s="710" t="s">
        <v>488</v>
      </c>
      <c r="B12" s="710"/>
      <c r="O12" s="98"/>
      <c r="P12" s="98"/>
      <c r="Q12" s="5"/>
    </row>
    <row r="13" spans="1:23" ht="15" customHeight="1" x14ac:dyDescent="0.25">
      <c r="A13" s="710">
        <f>(A9+A11)/2</f>
        <v>104007.87419855274</v>
      </c>
      <c r="B13" s="710">
        <f>(B9+B11)/2</f>
        <v>489266.63797032344</v>
      </c>
      <c r="C13" s="6">
        <f>HLOOKUP(Variabelen!B80,Variabelen!E131:L137,4,FALSE)</f>
        <v>114</v>
      </c>
      <c r="D13" s="6">
        <f ca="1">HLOOKUP(Variabelen!B80,Variabelen!E131:L137,5,FALSE)-HLOOKUP(Variabelen!B80,Variabelen!E131:L137,3,FALSE)</f>
        <v>145</v>
      </c>
      <c r="O13" s="5"/>
      <c r="P13" s="5"/>
      <c r="W13" s="99"/>
    </row>
    <row r="14" spans="1:23" ht="15" customHeight="1" x14ac:dyDescent="0.25">
      <c r="A14" s="710"/>
      <c r="B14" s="710"/>
      <c r="C14" s="6">
        <v>-20</v>
      </c>
      <c r="D14" s="6">
        <v>-10</v>
      </c>
      <c r="M14" s="98"/>
      <c r="N14" s="98"/>
      <c r="O14" s="98"/>
      <c r="P14" s="98"/>
      <c r="W14" s="99"/>
    </row>
    <row r="15" spans="1:23" ht="15" customHeight="1" x14ac:dyDescent="0.25">
      <c r="A15" s="710"/>
      <c r="B15" s="710"/>
      <c r="C15" s="6"/>
      <c r="D15" s="6"/>
      <c r="M15" s="3" t="s">
        <v>738</v>
      </c>
      <c r="N15" s="355" t="s">
        <v>530</v>
      </c>
      <c r="O15" s="352" t="s">
        <v>1233</v>
      </c>
      <c r="P15" s="360" t="str" cm="1">
        <f t="array" aca="1" ref="P15" ca="1">POINT(A13+C13+C14,B13+D13+D14)</f>
        <v>104101.874198553,489401.637970323</v>
      </c>
      <c r="Q15" s="360" t="str" cm="1">
        <f t="array" aca="1" ref="Q15" ca="1">POINT(A13-C13-C14,B13-D13-D14)</f>
        <v>103913.874198553,489131.637970323</v>
      </c>
      <c r="R15" s="352"/>
      <c r="S15" s="352" t="s">
        <v>495</v>
      </c>
      <c r="T15" s="352"/>
      <c r="U15" s="352"/>
      <c r="V15" s="352"/>
      <c r="W15" s="352"/>
    </row>
    <row r="16" spans="1:23" s="531" customFormat="1" ht="15" customHeight="1" x14ac:dyDescent="0.25">
      <c r="A16" s="717"/>
      <c r="B16" s="717"/>
      <c r="C16" s="11"/>
      <c r="D16" s="11"/>
      <c r="E16" s="532"/>
      <c r="F16" s="532"/>
      <c r="L16" s="533"/>
      <c r="M16" s="530" t="s">
        <v>679</v>
      </c>
      <c r="N16" s="528"/>
      <c r="O16" s="528"/>
      <c r="P16" s="528"/>
      <c r="Q16" s="528"/>
      <c r="R16" s="528"/>
      <c r="S16" s="528"/>
      <c r="T16" s="528"/>
      <c r="U16" s="528"/>
      <c r="V16" s="528"/>
      <c r="W16" s="528"/>
    </row>
    <row r="17" spans="1:23" ht="15" customHeight="1" x14ac:dyDescent="0.25">
      <c r="A17" s="710"/>
      <c r="B17" s="710"/>
      <c r="C17" s="6"/>
      <c r="D17" s="6"/>
      <c r="M17" s="351" t="s">
        <v>581</v>
      </c>
      <c r="N17" s="352" t="s">
        <v>582</v>
      </c>
      <c r="O17" s="360">
        <f>O13</f>
        <v>0</v>
      </c>
      <c r="P17" s="360">
        <f>P13</f>
        <v>0</v>
      </c>
      <c r="Q17" s="352"/>
      <c r="R17" s="352"/>
      <c r="S17" s="352"/>
      <c r="T17" s="352"/>
      <c r="U17" s="352"/>
      <c r="V17" s="352"/>
      <c r="W17" s="352"/>
    </row>
    <row r="18" spans="1:23" ht="15" customHeight="1" x14ac:dyDescent="0.25">
      <c r="A18" s="710"/>
      <c r="B18" s="710"/>
      <c r="M18" s="3" t="s">
        <v>736</v>
      </c>
      <c r="N18" s="352"/>
      <c r="O18" s="360"/>
      <c r="P18" s="360"/>
      <c r="Q18" s="352"/>
      <c r="R18" s="352"/>
      <c r="S18" s="352"/>
      <c r="T18" s="352"/>
      <c r="U18" s="352"/>
      <c r="V18" s="352"/>
      <c r="W18" s="352"/>
    </row>
    <row r="19" spans="1:23" x14ac:dyDescent="0.2">
      <c r="C19" s="6">
        <v>1</v>
      </c>
      <c r="D19" s="6">
        <v>1</v>
      </c>
      <c r="M19" s="3" t="s">
        <v>737</v>
      </c>
      <c r="N19" s="4" t="s">
        <v>614</v>
      </c>
      <c r="O19" s="4" t="str">
        <f t="array" aca="1" ref="O19" ca="1">POINT(A13-C13-C19,B13-D13-D19)</f>
        <v>103892.874198553,489120.637970323</v>
      </c>
      <c r="P19" s="4" t="str">
        <f t="array" aca="1" ref="P19" ca="1">POINT(A13+C13+C19,B13+D13+D19)</f>
        <v>104122.874198553,489412.637970323</v>
      </c>
      <c r="Q19" s="4" t="s">
        <v>495</v>
      </c>
      <c r="R19" s="352"/>
      <c r="S19" s="352"/>
      <c r="T19" s="352"/>
      <c r="U19" s="352"/>
      <c r="V19" s="352"/>
      <c r="W19" s="352"/>
    </row>
    <row r="20" spans="1:23" x14ac:dyDescent="0.2">
      <c r="M20" s="98"/>
      <c r="N20" s="98"/>
      <c r="O20" s="98"/>
      <c r="P20" s="98"/>
      <c r="W20" s="99"/>
    </row>
    <row r="21" spans="1:23" s="531" customFormat="1" x14ac:dyDescent="0.2">
      <c r="A21" s="532"/>
      <c r="B21" s="532"/>
      <c r="C21" s="532"/>
      <c r="D21" s="532"/>
      <c r="E21" s="532"/>
      <c r="F21" s="532"/>
      <c r="L21" s="533"/>
      <c r="M21" s="530" t="s">
        <v>679</v>
      </c>
      <c r="N21" s="528"/>
      <c r="O21" s="559"/>
      <c r="P21" s="559"/>
      <c r="Q21" s="528"/>
      <c r="R21" s="528"/>
      <c r="S21" s="528"/>
      <c r="T21" s="528"/>
      <c r="U21" s="528"/>
      <c r="V21" s="528"/>
    </row>
    <row r="22" spans="1:23" x14ac:dyDescent="0.2">
      <c r="C22" s="6">
        <v>1</v>
      </c>
      <c r="D22" s="6">
        <v>1</v>
      </c>
      <c r="M22" s="3" t="s">
        <v>737</v>
      </c>
      <c r="N22" s="4" t="s">
        <v>614</v>
      </c>
      <c r="O22" s="4" t="str">
        <f t="array" aca="1" ref="O22" ca="1">POINT(A13-C13-C22,B13-D13-D22)</f>
        <v>103892.874198553,489120.637970323</v>
      </c>
      <c r="P22" s="4" t="str">
        <f t="array" aca="1" ref="P22" ca="1">POINT(A13+C13+C22,B13+D13+D22)</f>
        <v>104122.874198553,489412.637970323</v>
      </c>
      <c r="Q22" s="4" t="s">
        <v>495</v>
      </c>
      <c r="R22" s="352"/>
      <c r="S22" s="352"/>
      <c r="T22" s="352"/>
      <c r="U22" s="352"/>
      <c r="V22" s="352"/>
      <c r="W22" s="355"/>
    </row>
    <row r="23" spans="1:23" s="531" customFormat="1" x14ac:dyDescent="0.2">
      <c r="A23" s="532"/>
      <c r="B23" s="532"/>
      <c r="C23" s="532"/>
      <c r="D23" s="532"/>
      <c r="E23" s="532"/>
      <c r="F23" s="532"/>
      <c r="L23" s="533"/>
      <c r="M23" s="530" t="s">
        <v>679</v>
      </c>
      <c r="N23" s="528"/>
      <c r="O23" s="528"/>
      <c r="P23" s="528"/>
      <c r="Q23" s="528"/>
      <c r="R23" s="528"/>
      <c r="S23" s="528"/>
      <c r="T23" s="528"/>
      <c r="U23" s="528"/>
      <c r="V23" s="528"/>
    </row>
    <row r="30" spans="1:23" x14ac:dyDescent="0.2">
      <c r="M30" s="351" t="s">
        <v>609</v>
      </c>
      <c r="N30" s="352"/>
      <c r="O30" s="352" t="str">
        <f t="array" aca="1" ref="O30" ca="1">POINT(A13-C13,B13-D13)</f>
        <v>103893.874198553,489121.637970323</v>
      </c>
      <c r="P30" s="352" t="str">
        <f t="array" aca="1" ref="P30" ca="1">POINT(A13+C13,B13+D13)</f>
        <v>104121.874198553,489411.637970323</v>
      </c>
    </row>
  </sheetData>
  <conditionalFormatting sqref="L1:L1048576">
    <cfRule type="cellIs" dxfId="4" priority="1" stopIfTrue="1" operator="equal">
      <formula>FALSE</formula>
    </cfRule>
  </conditionalFormatting>
  <pageMargins left="0.75" right="0.75" top="1" bottom="1" header="0.5" footer="0.5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W27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G34" sqref="G34"/>
    </sheetView>
  </sheetViews>
  <sheetFormatPr defaultColWidth="9.140625" defaultRowHeight="12.75" x14ac:dyDescent="0.2"/>
  <cols>
    <col min="1" max="1" width="13.140625" style="361" customWidth="1"/>
    <col min="2" max="2" width="11.7109375" style="361" bestFit="1" customWidth="1"/>
    <col min="3" max="5" width="10.7109375" style="361" customWidth="1"/>
    <col min="6" max="6" width="7.28515625" style="361" customWidth="1"/>
    <col min="7" max="7" width="28.5703125" style="98" customWidth="1"/>
    <col min="8" max="11" width="5.7109375" style="98" customWidth="1"/>
    <col min="12" max="12" width="9.7109375" style="362" bestFit="1" customWidth="1"/>
    <col min="13" max="13" width="10.42578125" style="100" customWidth="1"/>
    <col min="14" max="14" width="18" style="99" bestFit="1" customWidth="1"/>
    <col min="15" max="15" width="18" style="99" customWidth="1"/>
    <col min="16" max="16" width="23.140625" style="99" customWidth="1"/>
    <col min="17" max="17" width="6.42578125" style="99" customWidth="1"/>
    <col min="18" max="18" width="6.85546875" style="99" customWidth="1"/>
    <col min="19" max="19" width="8.5703125" style="99" bestFit="1" customWidth="1"/>
    <col min="20" max="20" width="7.42578125" style="99" customWidth="1"/>
    <col min="21" max="21" width="35.7109375" style="99" bestFit="1" customWidth="1"/>
    <col min="22" max="22" width="9.140625" style="99" customWidth="1"/>
    <col min="23" max="29" width="9.140625" style="98" customWidth="1"/>
    <col min="30" max="16384" width="9.140625" style="98"/>
  </cols>
  <sheetData>
    <row r="1" spans="1:23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  <c r="V1" s="523"/>
    </row>
    <row r="2" spans="1:23" s="531" customFormat="1" ht="13.5" customHeight="1" x14ac:dyDescent="0.2">
      <c r="A2" s="527" t="s">
        <v>162</v>
      </c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  <c r="V2" s="528"/>
    </row>
    <row r="3" spans="1:23" x14ac:dyDescent="0.2">
      <c r="A3" s="6" t="s">
        <v>726</v>
      </c>
      <c r="M3" s="351" t="s">
        <v>483</v>
      </c>
      <c r="N3" s="352" t="s">
        <v>484</v>
      </c>
      <c r="O3" s="352"/>
      <c r="P3" s="352"/>
      <c r="Q3" s="352"/>
      <c r="R3" s="352"/>
      <c r="S3" s="352"/>
      <c r="T3" s="352"/>
      <c r="U3" s="352"/>
      <c r="V3" s="352"/>
      <c r="W3" s="355"/>
    </row>
    <row r="4" spans="1:23" x14ac:dyDescent="0.2">
      <c r="A4" s="361" t="s">
        <v>727</v>
      </c>
      <c r="M4" s="708" t="s">
        <v>487</v>
      </c>
    </row>
    <row r="5" spans="1:23" x14ac:dyDescent="0.2">
      <c r="M5" s="708"/>
    </row>
    <row r="6" spans="1:23" x14ac:dyDescent="0.2">
      <c r="A6" s="98" t="s">
        <v>728</v>
      </c>
      <c r="M6" s="708" t="s">
        <v>729</v>
      </c>
    </row>
    <row r="7" spans="1:23" ht="15" customHeight="1" x14ac:dyDescent="0.25">
      <c r="A7" s="709"/>
      <c r="M7" s="351" t="s">
        <v>493</v>
      </c>
      <c r="N7" s="352" t="s">
        <v>494</v>
      </c>
      <c r="O7" s="352" t="s">
        <v>546</v>
      </c>
      <c r="P7" s="352" t="s">
        <v>495</v>
      </c>
      <c r="Q7" s="352"/>
      <c r="R7" s="352"/>
      <c r="S7" s="352"/>
      <c r="T7" s="352"/>
      <c r="U7" s="352"/>
      <c r="V7" s="352"/>
      <c r="W7" s="355"/>
    </row>
    <row r="8" spans="1:23" ht="15" customHeight="1" x14ac:dyDescent="0.25">
      <c r="A8" s="709" t="s">
        <v>518</v>
      </c>
      <c r="M8" s="98"/>
    </row>
    <row r="9" spans="1:23" ht="15" customHeight="1" x14ac:dyDescent="0.25">
      <c r="A9" s="710">
        <f>Ontwerp!B273</f>
        <v>103896.94103473837</v>
      </c>
      <c r="B9" s="710">
        <f>Ontwerp!C273</f>
        <v>489289.54219346534</v>
      </c>
    </row>
    <row r="10" spans="1:23" s="99" customFormat="1" x14ac:dyDescent="0.2">
      <c r="A10" s="361" t="s">
        <v>520</v>
      </c>
      <c r="B10" s="361"/>
      <c r="C10" s="361"/>
      <c r="D10" s="361"/>
      <c r="E10" s="361"/>
      <c r="F10" s="361"/>
      <c r="G10" s="98"/>
      <c r="H10" s="98"/>
      <c r="I10" s="98"/>
      <c r="J10" s="98"/>
      <c r="K10" s="98"/>
      <c r="L10" s="362"/>
      <c r="W10" s="98"/>
    </row>
    <row r="11" spans="1:23" ht="15" customHeight="1" x14ac:dyDescent="0.25">
      <c r="A11" s="710">
        <f>Ontwerp!AI280</f>
        <v>104118.80736236711</v>
      </c>
      <c r="B11" s="710">
        <f>Ontwerp!AJ280</f>
        <v>489243.73374718148</v>
      </c>
    </row>
    <row r="12" spans="1:23" ht="15" customHeight="1" x14ac:dyDescent="0.25">
      <c r="A12" s="710" t="s">
        <v>488</v>
      </c>
      <c r="B12" s="710"/>
    </row>
    <row r="13" spans="1:23" ht="15" customHeight="1" x14ac:dyDescent="0.25">
      <c r="A13" s="710">
        <f>(A9+A11)/2</f>
        <v>104007.87419855274</v>
      </c>
      <c r="B13" s="710">
        <f>(B9+B11)/2</f>
        <v>489266.63797032344</v>
      </c>
      <c r="C13" s="6">
        <f>HLOOKUP(Variabelen!B80,Variabelen!E131:L137,4,FALSE)</f>
        <v>114</v>
      </c>
      <c r="D13" s="6">
        <f ca="1">HLOOKUP(Variabelen!B80,Variabelen!E131:L137,5,FALSE)-HLOOKUP(Variabelen!B80,Variabelen!E131:L137,3,FALSE)</f>
        <v>145</v>
      </c>
      <c r="M13" s="351" t="s">
        <v>581</v>
      </c>
      <c r="N13" s="352" t="s">
        <v>582</v>
      </c>
      <c r="O13" s="4" t="str">
        <f t="array" aca="1" ref="O13" ca="1">POINT(A13-C13,B13-D13)</f>
        <v>103893.874198553,489121.637970323</v>
      </c>
      <c r="P13" s="4" t="str">
        <f t="array" aca="1" ref="P13" ca="1">POINT(A13+C13,B13+D13)</f>
        <v>104121.874198553,489411.637970323</v>
      </c>
      <c r="Q13" s="4"/>
      <c r="R13" s="352"/>
      <c r="S13" s="352"/>
      <c r="T13" s="352"/>
      <c r="U13" s="352"/>
      <c r="V13" s="352"/>
      <c r="W13" s="352"/>
    </row>
    <row r="14" spans="1:23" ht="15" customHeight="1" x14ac:dyDescent="0.25">
      <c r="A14" s="710"/>
      <c r="B14" s="710"/>
      <c r="O14" s="739"/>
      <c r="P14" s="739"/>
      <c r="W14" s="99"/>
    </row>
    <row r="15" spans="1:23" ht="15" customHeight="1" x14ac:dyDescent="0.25">
      <c r="A15" s="710"/>
      <c r="B15" s="710"/>
      <c r="M15" s="3" t="s">
        <v>739</v>
      </c>
      <c r="N15" s="352"/>
      <c r="O15" s="360"/>
      <c r="P15" s="360"/>
      <c r="Q15" s="352"/>
      <c r="R15" s="352"/>
      <c r="S15" s="352"/>
      <c r="T15" s="352"/>
      <c r="U15" s="352"/>
      <c r="V15" s="352"/>
      <c r="W15" s="352"/>
    </row>
    <row r="16" spans="1:23" x14ac:dyDescent="0.2">
      <c r="C16" s="6">
        <v>1</v>
      </c>
      <c r="D16" s="6">
        <v>1</v>
      </c>
      <c r="M16" s="3" t="s">
        <v>740</v>
      </c>
      <c r="N16" s="4"/>
      <c r="O16" s="4"/>
      <c r="P16" s="4"/>
      <c r="Q16" s="4"/>
      <c r="R16" s="352"/>
      <c r="S16" s="352"/>
      <c r="T16" s="352"/>
      <c r="U16" s="352"/>
      <c r="V16" s="352"/>
      <c r="W16" s="352"/>
    </row>
    <row r="17" spans="1:23" x14ac:dyDescent="0.2">
      <c r="M17" s="98"/>
      <c r="N17" s="98"/>
      <c r="O17" s="98"/>
      <c r="P17" s="98"/>
      <c r="W17" s="99"/>
    </row>
    <row r="18" spans="1:23" s="531" customFormat="1" x14ac:dyDescent="0.2">
      <c r="A18" s="532"/>
      <c r="B18" s="532"/>
      <c r="C18" s="532"/>
      <c r="D18" s="532"/>
      <c r="E18" s="532"/>
      <c r="F18" s="532"/>
      <c r="L18" s="533"/>
      <c r="M18" s="530" t="s">
        <v>679</v>
      </c>
      <c r="N18" s="528"/>
      <c r="O18" s="559"/>
      <c r="P18" s="559"/>
      <c r="Q18" s="528"/>
      <c r="R18" s="528"/>
      <c r="S18" s="528"/>
      <c r="T18" s="528"/>
      <c r="U18" s="528"/>
      <c r="V18" s="528"/>
    </row>
    <row r="19" spans="1:23" x14ac:dyDescent="0.2">
      <c r="C19" s="6">
        <v>1</v>
      </c>
      <c r="D19" s="6">
        <v>1</v>
      </c>
      <c r="M19" s="3" t="s">
        <v>737</v>
      </c>
      <c r="N19" s="4" t="s">
        <v>614</v>
      </c>
      <c r="O19" s="4" t="str">
        <f t="array" aca="1" ref="O19" ca="1">POINT(A13-C13-C19,B13-D13-D19)</f>
        <v>103892.874198553,489120.637970323</v>
      </c>
      <c r="P19" s="4" t="str">
        <f t="array" aca="1" ref="P19" ca="1">POINT(A13+C13+C19,B13+D13+D19)</f>
        <v>104122.874198553,489412.637970323</v>
      </c>
      <c r="Q19" s="4" t="s">
        <v>495</v>
      </c>
      <c r="R19" s="352"/>
      <c r="S19" s="352"/>
      <c r="T19" s="352"/>
      <c r="U19" s="352"/>
      <c r="V19" s="352"/>
      <c r="W19" s="355"/>
    </row>
    <row r="20" spans="1:23" s="531" customFormat="1" x14ac:dyDescent="0.2">
      <c r="A20" s="532"/>
      <c r="B20" s="532"/>
      <c r="C20" s="532"/>
      <c r="D20" s="532"/>
      <c r="E20" s="532"/>
      <c r="F20" s="532"/>
      <c r="L20" s="533"/>
      <c r="M20" s="530" t="s">
        <v>679</v>
      </c>
      <c r="N20" s="528"/>
      <c r="O20" s="528"/>
      <c r="P20" s="528"/>
      <c r="Q20" s="528"/>
      <c r="R20" s="528"/>
      <c r="S20" s="528"/>
      <c r="T20" s="528"/>
      <c r="U20" s="528"/>
      <c r="V20" s="528"/>
    </row>
    <row r="27" spans="1:23" x14ac:dyDescent="0.2">
      <c r="M27" s="351" t="s">
        <v>609</v>
      </c>
      <c r="N27" s="352"/>
      <c r="O27" s="352" t="str">
        <f t="array" aca="1" ref="O27" ca="1">POINT(A13-C13,B13-D13)</f>
        <v>103893.874198553,489121.637970323</v>
      </c>
      <c r="P27" s="352" t="str">
        <f t="array" aca="1" ref="P27" ca="1">POINT(A13+C13,B13+D13)</f>
        <v>104121.874198553,489411.637970323</v>
      </c>
    </row>
  </sheetData>
  <conditionalFormatting sqref="L1:L1048576">
    <cfRule type="cellIs" dxfId="3" priority="1" stopIfTrue="1" operator="equal">
      <formula>FALSE</formula>
    </cfRule>
  </conditionalFormatting>
  <pageMargins left="0.75" right="0.75" top="1" bottom="1" header="0.5" footer="0.5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W27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P16" sqref="P16"/>
    </sheetView>
  </sheetViews>
  <sheetFormatPr defaultColWidth="9.140625" defaultRowHeight="12.75" x14ac:dyDescent="0.2"/>
  <cols>
    <col min="1" max="1" width="13.140625" style="361" customWidth="1"/>
    <col min="2" max="2" width="11.7109375" style="361" bestFit="1" customWidth="1"/>
    <col min="3" max="5" width="10.7109375" style="361" customWidth="1"/>
    <col min="6" max="6" width="7.28515625" style="361" customWidth="1"/>
    <col min="7" max="7" width="28.5703125" style="98" customWidth="1"/>
    <col min="8" max="11" width="5.7109375" style="98" customWidth="1"/>
    <col min="12" max="12" width="9.7109375" style="362" bestFit="1" customWidth="1"/>
    <col min="13" max="13" width="10.42578125" style="100" customWidth="1"/>
    <col min="14" max="14" width="18" style="99" bestFit="1" customWidth="1"/>
    <col min="15" max="15" width="18" style="99" customWidth="1"/>
    <col min="16" max="16" width="23.140625" style="99" customWidth="1"/>
    <col min="17" max="17" width="6.42578125" style="99" customWidth="1"/>
    <col min="18" max="18" width="6.85546875" style="99" customWidth="1"/>
    <col min="19" max="19" width="8.5703125" style="99" bestFit="1" customWidth="1"/>
    <col min="20" max="20" width="7.42578125" style="99" customWidth="1"/>
    <col min="21" max="21" width="35.7109375" style="99" bestFit="1" customWidth="1"/>
    <col min="22" max="22" width="9.140625" style="99" customWidth="1"/>
    <col min="23" max="29" width="9.140625" style="98" customWidth="1"/>
    <col min="30" max="16384" width="9.140625" style="98"/>
  </cols>
  <sheetData>
    <row r="1" spans="1:23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  <c r="V1" s="523"/>
    </row>
    <row r="2" spans="1:23" s="531" customFormat="1" ht="13.5" customHeight="1" x14ac:dyDescent="0.2">
      <c r="A2" s="527" t="s">
        <v>162</v>
      </c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  <c r="V2" s="528"/>
    </row>
    <row r="3" spans="1:23" x14ac:dyDescent="0.2">
      <c r="A3" s="6" t="s">
        <v>726</v>
      </c>
      <c r="M3" s="351" t="s">
        <v>483</v>
      </c>
      <c r="N3" s="352" t="s">
        <v>484</v>
      </c>
      <c r="O3" s="352"/>
      <c r="P3" s="352"/>
      <c r="Q3" s="352"/>
      <c r="R3" s="352"/>
      <c r="S3" s="352"/>
      <c r="T3" s="352"/>
      <c r="U3" s="352"/>
      <c r="V3" s="352"/>
      <c r="W3" s="355"/>
    </row>
    <row r="4" spans="1:23" x14ac:dyDescent="0.2">
      <c r="A4" s="361" t="s">
        <v>727</v>
      </c>
      <c r="M4" s="708" t="s">
        <v>487</v>
      </c>
    </row>
    <row r="5" spans="1:23" x14ac:dyDescent="0.2">
      <c r="M5" s="708"/>
    </row>
    <row r="6" spans="1:23" x14ac:dyDescent="0.2">
      <c r="A6" s="98" t="s">
        <v>728</v>
      </c>
      <c r="M6" s="708" t="s">
        <v>729</v>
      </c>
    </row>
    <row r="7" spans="1:23" ht="15" customHeight="1" x14ac:dyDescent="0.25">
      <c r="A7" s="709"/>
      <c r="M7" s="351" t="s">
        <v>493</v>
      </c>
      <c r="N7" s="352" t="s">
        <v>494</v>
      </c>
      <c r="O7" s="352" t="s">
        <v>546</v>
      </c>
      <c r="P7" s="352" t="s">
        <v>495</v>
      </c>
      <c r="Q7" s="352"/>
      <c r="R7" s="352"/>
      <c r="S7" s="352"/>
      <c r="T7" s="352"/>
      <c r="U7" s="352"/>
      <c r="V7" s="352"/>
      <c r="W7" s="355"/>
    </row>
    <row r="8" spans="1:23" ht="15" customHeight="1" x14ac:dyDescent="0.25">
      <c r="A8" s="709" t="s">
        <v>518</v>
      </c>
      <c r="M8" s="98"/>
    </row>
    <row r="9" spans="1:23" ht="15" customHeight="1" x14ac:dyDescent="0.25">
      <c r="A9" s="710">
        <f>Ontwerp!B273</f>
        <v>103896.94103473837</v>
      </c>
      <c r="B9" s="710">
        <f>Ontwerp!C273</f>
        <v>489289.54219346534</v>
      </c>
    </row>
    <row r="10" spans="1:23" s="99" customFormat="1" x14ac:dyDescent="0.2">
      <c r="A10" s="361" t="s">
        <v>520</v>
      </c>
      <c r="B10" s="361"/>
      <c r="C10" s="361"/>
      <c r="D10" s="361"/>
      <c r="E10" s="361"/>
      <c r="F10" s="361"/>
      <c r="G10" s="98"/>
      <c r="H10" s="98"/>
      <c r="I10" s="98"/>
      <c r="J10" s="98"/>
      <c r="K10" s="98"/>
      <c r="L10" s="362"/>
      <c r="W10" s="98"/>
    </row>
    <row r="11" spans="1:23" ht="15" customHeight="1" x14ac:dyDescent="0.25">
      <c r="A11" s="710">
        <f>Ontwerp!AI280</f>
        <v>104118.80736236711</v>
      </c>
      <c r="B11" s="710">
        <f>Ontwerp!AJ280</f>
        <v>489243.73374718148</v>
      </c>
    </row>
    <row r="12" spans="1:23" ht="15" customHeight="1" x14ac:dyDescent="0.25">
      <c r="A12" s="710" t="s">
        <v>488</v>
      </c>
      <c r="B12" s="710"/>
    </row>
    <row r="13" spans="1:23" ht="15" customHeight="1" x14ac:dyDescent="0.25">
      <c r="A13" s="710">
        <f>(A9+A11)/2</f>
        <v>104007.87419855274</v>
      </c>
      <c r="B13" s="710">
        <f>(B9+B11)/2</f>
        <v>489266.63797032344</v>
      </c>
      <c r="C13" s="6">
        <f>HLOOKUP(Variabelen!B80,Variabelen!E131:L137,4,FALSE)</f>
        <v>114</v>
      </c>
      <c r="D13" s="6">
        <f ca="1">HLOOKUP(Variabelen!B80,Variabelen!E131:L137,5,FALSE)-HLOOKUP(Variabelen!B80,Variabelen!E131:L137,3,FALSE)</f>
        <v>145</v>
      </c>
      <c r="M13" s="3" t="s">
        <v>609</v>
      </c>
      <c r="N13" s="4"/>
      <c r="O13" s="4" t="str">
        <f t="array" aca="1" ref="O13" ca="1">POINT(A13-C13,B13-D13)</f>
        <v>103893.874198553,489121.637970323</v>
      </c>
      <c r="P13" s="4" t="str">
        <f t="array" aca="1" ref="P13" ca="1">POINT(A13+C13,B13+D13)</f>
        <v>104121.874198553,489411.637970323</v>
      </c>
      <c r="Q13" s="4"/>
      <c r="R13" s="352"/>
      <c r="S13" s="352"/>
      <c r="T13" s="352"/>
      <c r="U13" s="352"/>
      <c r="V13" s="352"/>
      <c r="W13" s="352"/>
    </row>
    <row r="14" spans="1:23" ht="15" customHeight="1" x14ac:dyDescent="0.25">
      <c r="A14" s="710"/>
      <c r="B14" s="710"/>
      <c r="C14" s="361">
        <v>2</v>
      </c>
      <c r="D14" s="361">
        <v>2</v>
      </c>
      <c r="M14" s="351" t="s">
        <v>581</v>
      </c>
      <c r="N14" s="352" t="s">
        <v>582</v>
      </c>
      <c r="O14" s="360" t="str" cm="1">
        <f t="array" aca="1" ref="O14" ca="1">POINT(A13-C13-C14,B13-D13-D14)</f>
        <v>103891.874198553,489119.637970323</v>
      </c>
      <c r="P14" s="360" t="str" cm="1">
        <f t="array" aca="1" ref="P14" ca="1">POINT(A13+C13+C14,B13+D13+D14)</f>
        <v>104123.874198553,489413.637970323</v>
      </c>
      <c r="Q14" s="4"/>
      <c r="R14" s="352"/>
      <c r="S14" s="352"/>
      <c r="T14" s="352"/>
      <c r="U14" s="352"/>
      <c r="V14" s="352"/>
      <c r="W14" s="352"/>
    </row>
    <row r="15" spans="1:23" ht="15" customHeight="1" x14ac:dyDescent="0.25">
      <c r="A15" s="710"/>
      <c r="B15" s="710"/>
      <c r="M15" s="3" t="s">
        <v>741</v>
      </c>
      <c r="N15" s="352"/>
      <c r="O15" s="360"/>
      <c r="P15" s="360"/>
      <c r="Q15" s="352"/>
      <c r="R15" s="352"/>
      <c r="S15" s="352"/>
      <c r="T15" s="352"/>
      <c r="U15" s="352"/>
      <c r="V15" s="352"/>
      <c r="W15" s="352"/>
    </row>
    <row r="16" spans="1:23" x14ac:dyDescent="0.2">
      <c r="C16" s="6">
        <v>1</v>
      </c>
      <c r="D16" s="6">
        <v>1</v>
      </c>
      <c r="M16" s="3" t="s">
        <v>742</v>
      </c>
      <c r="N16" s="352" t="s">
        <v>582</v>
      </c>
      <c r="O16" s="4" t="str">
        <f t="array" aca="1" ref="O16" ca="1">POINT(A13-C13-C16,B13-D13-D16)</f>
        <v>103892.874198553,489120.637970323</v>
      </c>
      <c r="P16" s="4" t="str">
        <f t="array" aca="1" ref="P16" ca="1">POINT(A13+C13+C16,B13+D13+D16)</f>
        <v>104122.874198553,489412.637970323</v>
      </c>
      <c r="Q16" s="4"/>
      <c r="R16" s="352"/>
      <c r="S16" s="352"/>
      <c r="T16" s="352"/>
      <c r="U16" s="352"/>
      <c r="V16" s="352"/>
      <c r="W16" s="352"/>
    </row>
    <row r="17" spans="1:23" x14ac:dyDescent="0.2">
      <c r="M17" s="98"/>
      <c r="N17" s="98"/>
      <c r="O17" s="98"/>
      <c r="P17" s="98"/>
      <c r="W17" s="99"/>
    </row>
    <row r="18" spans="1:23" s="531" customFormat="1" x14ac:dyDescent="0.2">
      <c r="A18" s="532"/>
      <c r="B18" s="532"/>
      <c r="C18" s="532"/>
      <c r="D18" s="532"/>
      <c r="E18" s="532"/>
      <c r="F18" s="532"/>
      <c r="L18" s="533"/>
      <c r="M18" s="530" t="s">
        <v>679</v>
      </c>
      <c r="N18" s="528"/>
      <c r="O18" s="559"/>
      <c r="P18" s="559"/>
      <c r="Q18" s="528"/>
      <c r="R18" s="528"/>
      <c r="S18" s="528"/>
      <c r="T18" s="528"/>
      <c r="U18" s="528"/>
      <c r="V18" s="528"/>
    </row>
    <row r="19" spans="1:23" x14ac:dyDescent="0.2">
      <c r="C19" s="6">
        <v>1</v>
      </c>
      <c r="D19" s="6">
        <v>1</v>
      </c>
      <c r="M19" s="3" t="s">
        <v>737</v>
      </c>
      <c r="N19" s="4" t="s">
        <v>614</v>
      </c>
      <c r="O19" s="4" t="str">
        <f t="array" aca="1" ref="O19" ca="1">POINT(A13-C13-C19,B13-D13-D19)</f>
        <v>103892.874198553,489120.637970323</v>
      </c>
      <c r="P19" s="4" t="str">
        <f t="array" aca="1" ref="P19" ca="1">POINT(A13+C13+C19,B13+D13+D19)</f>
        <v>104122.874198553,489412.637970323</v>
      </c>
      <c r="Q19" s="4" t="s">
        <v>495</v>
      </c>
      <c r="R19" s="352"/>
      <c r="S19" s="352"/>
      <c r="T19" s="352"/>
      <c r="U19" s="352"/>
      <c r="V19" s="352"/>
      <c r="W19" s="355"/>
    </row>
    <row r="20" spans="1:23" s="531" customFormat="1" x14ac:dyDescent="0.2">
      <c r="A20" s="532"/>
      <c r="B20" s="532"/>
      <c r="C20" s="532"/>
      <c r="D20" s="532"/>
      <c r="E20" s="532"/>
      <c r="F20" s="532"/>
      <c r="L20" s="533"/>
      <c r="M20" s="530" t="s">
        <v>679</v>
      </c>
      <c r="N20" s="528"/>
      <c r="O20" s="528"/>
      <c r="P20" s="528"/>
      <c r="Q20" s="528"/>
      <c r="R20" s="528"/>
      <c r="S20" s="528"/>
      <c r="T20" s="528"/>
      <c r="U20" s="528"/>
      <c r="V20" s="528"/>
    </row>
    <row r="27" spans="1:23" x14ac:dyDescent="0.2">
      <c r="M27" s="351" t="s">
        <v>609</v>
      </c>
      <c r="N27" s="352"/>
      <c r="O27" s="352" t="str">
        <f t="array" aca="1" ref="O27" ca="1">POINT(A13-C13,B13-D13)</f>
        <v>103893.874198553,489121.637970323</v>
      </c>
      <c r="P27" s="352" t="str">
        <f t="array" aca="1" ref="P27" ca="1">POINT(A13+C13,B13+D13)</f>
        <v>104121.874198553,489411.637970323</v>
      </c>
    </row>
  </sheetData>
  <conditionalFormatting sqref="L1:L1048576">
    <cfRule type="cellIs" dxfId="2" priority="1" stopIfTrue="1" operator="equal">
      <formula>FALSE</formula>
    </cfRule>
  </conditionalFormatting>
  <pageMargins left="0.75" right="0.75" top="1" bottom="1" header="0.5" footer="0.5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W27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O16" sqref="O16:P16"/>
    </sheetView>
  </sheetViews>
  <sheetFormatPr defaultColWidth="9.140625" defaultRowHeight="12.75" x14ac:dyDescent="0.2"/>
  <cols>
    <col min="1" max="1" width="13.140625" style="361" customWidth="1"/>
    <col min="2" max="2" width="11.7109375" style="361" bestFit="1" customWidth="1"/>
    <col min="3" max="5" width="10.7109375" style="361" customWidth="1"/>
    <col min="6" max="6" width="7.28515625" style="361" customWidth="1"/>
    <col min="7" max="7" width="28.5703125" style="98" customWidth="1"/>
    <col min="8" max="11" width="5.7109375" style="98" customWidth="1"/>
    <col min="12" max="12" width="9.7109375" style="362" bestFit="1" customWidth="1"/>
    <col min="13" max="13" width="10.42578125" style="100" customWidth="1"/>
    <col min="14" max="14" width="18" style="99" bestFit="1" customWidth="1"/>
    <col min="15" max="15" width="18" style="99" customWidth="1"/>
    <col min="16" max="16" width="23.140625" style="99" customWidth="1"/>
    <col min="17" max="17" width="6.42578125" style="99" customWidth="1"/>
    <col min="18" max="18" width="6.85546875" style="99" customWidth="1"/>
    <col min="19" max="19" width="8.5703125" style="99" bestFit="1" customWidth="1"/>
    <col min="20" max="20" width="7.42578125" style="99" customWidth="1"/>
    <col min="21" max="21" width="35.7109375" style="99" bestFit="1" customWidth="1"/>
    <col min="22" max="22" width="9.140625" style="99" customWidth="1"/>
    <col min="23" max="29" width="9.140625" style="98" customWidth="1"/>
    <col min="30" max="16384" width="9.140625" style="98"/>
  </cols>
  <sheetData>
    <row r="1" spans="1:23" s="526" customFormat="1" ht="13.5" customHeight="1" x14ac:dyDescent="0.2">
      <c r="A1" s="522" t="s">
        <v>469</v>
      </c>
      <c r="B1" s="522" t="s">
        <v>470</v>
      </c>
      <c r="C1" s="522" t="s">
        <v>471</v>
      </c>
      <c r="D1" s="522" t="s">
        <v>472</v>
      </c>
      <c r="E1" s="522" t="s">
        <v>473</v>
      </c>
      <c r="F1" s="522" t="s">
        <v>474</v>
      </c>
      <c r="G1" s="523" t="s">
        <v>475</v>
      </c>
      <c r="H1" s="523" t="s">
        <v>476</v>
      </c>
      <c r="I1" s="523" t="s">
        <v>477</v>
      </c>
      <c r="J1" s="523" t="s">
        <v>478</v>
      </c>
      <c r="K1" s="523" t="s">
        <v>479</v>
      </c>
      <c r="L1" s="524" t="s">
        <v>480</v>
      </c>
      <c r="M1" s="525" t="s">
        <v>481</v>
      </c>
      <c r="N1" s="523"/>
      <c r="O1" s="523"/>
      <c r="P1" s="523"/>
      <c r="Q1" s="523"/>
      <c r="R1" s="523"/>
      <c r="S1" s="523"/>
      <c r="T1" s="523"/>
      <c r="U1" s="523"/>
      <c r="V1" s="523"/>
    </row>
    <row r="2" spans="1:23" s="531" customFormat="1" ht="13.5" customHeight="1" x14ac:dyDescent="0.2">
      <c r="A2" s="527" t="s">
        <v>162</v>
      </c>
      <c r="B2" s="527"/>
      <c r="C2" s="527"/>
      <c r="D2" s="527"/>
      <c r="E2" s="527"/>
      <c r="F2" s="527"/>
      <c r="G2" s="528"/>
      <c r="H2" s="528"/>
      <c r="I2" s="528"/>
      <c r="J2" s="528"/>
      <c r="K2" s="528"/>
      <c r="L2" s="529"/>
      <c r="M2" s="530" t="s">
        <v>482</v>
      </c>
      <c r="N2" s="528"/>
      <c r="O2" s="528"/>
      <c r="P2" s="528"/>
      <c r="Q2" s="528"/>
      <c r="R2" s="528"/>
      <c r="S2" s="528"/>
      <c r="T2" s="528"/>
      <c r="U2" s="528"/>
      <c r="V2" s="528"/>
    </row>
    <row r="3" spans="1:23" x14ac:dyDescent="0.2">
      <c r="A3" s="6" t="s">
        <v>726</v>
      </c>
      <c r="M3" s="351" t="s">
        <v>483</v>
      </c>
      <c r="N3" s="352" t="s">
        <v>484</v>
      </c>
      <c r="O3" s="352"/>
      <c r="P3" s="352"/>
      <c r="Q3" s="352"/>
      <c r="R3" s="352"/>
      <c r="S3" s="352"/>
      <c r="T3" s="352"/>
      <c r="U3" s="352"/>
      <c r="V3" s="352"/>
      <c r="W3" s="355"/>
    </row>
    <row r="4" spans="1:23" x14ac:dyDescent="0.2">
      <c r="A4" s="361" t="s">
        <v>727</v>
      </c>
      <c r="M4" s="708" t="s">
        <v>487</v>
      </c>
    </row>
    <row r="5" spans="1:23" x14ac:dyDescent="0.2">
      <c r="M5" s="708"/>
    </row>
    <row r="6" spans="1:23" x14ac:dyDescent="0.2">
      <c r="A6" s="98" t="s">
        <v>728</v>
      </c>
      <c r="M6" s="708" t="s">
        <v>729</v>
      </c>
    </row>
    <row r="7" spans="1:23" ht="15" customHeight="1" x14ac:dyDescent="0.25">
      <c r="A7" s="709"/>
      <c r="M7" s="351" t="s">
        <v>493</v>
      </c>
      <c r="N7" s="352" t="s">
        <v>494</v>
      </c>
      <c r="O7" s="352" t="s">
        <v>546</v>
      </c>
      <c r="P7" s="352" t="s">
        <v>495</v>
      </c>
      <c r="Q7" s="352"/>
      <c r="R7" s="352"/>
      <c r="S7" s="352"/>
      <c r="T7" s="352"/>
      <c r="U7" s="352"/>
      <c r="V7" s="352"/>
      <c r="W7" s="355"/>
    </row>
    <row r="8" spans="1:23" ht="15" customHeight="1" x14ac:dyDescent="0.25">
      <c r="A8" s="709" t="s">
        <v>518</v>
      </c>
      <c r="M8" s="98"/>
    </row>
    <row r="9" spans="1:23" ht="15" customHeight="1" x14ac:dyDescent="0.25">
      <c r="A9" s="710">
        <f>Ontwerp!B273</f>
        <v>103896.94103473837</v>
      </c>
      <c r="B9" s="710">
        <f>Ontwerp!C273</f>
        <v>489289.54219346534</v>
      </c>
    </row>
    <row r="10" spans="1:23" s="99" customFormat="1" x14ac:dyDescent="0.2">
      <c r="A10" s="361" t="s">
        <v>520</v>
      </c>
      <c r="B10" s="361"/>
      <c r="C10" s="361"/>
      <c r="D10" s="361"/>
      <c r="E10" s="361"/>
      <c r="F10" s="361"/>
      <c r="G10" s="98"/>
      <c r="H10" s="98"/>
      <c r="I10" s="98"/>
      <c r="J10" s="98"/>
      <c r="K10" s="98"/>
      <c r="L10" s="362"/>
      <c r="W10" s="98"/>
    </row>
    <row r="11" spans="1:23" ht="15" customHeight="1" x14ac:dyDescent="0.25">
      <c r="A11" s="710">
        <f>Ontwerp!AI280</f>
        <v>104118.80736236711</v>
      </c>
      <c r="B11" s="710">
        <f>Ontwerp!AJ280</f>
        <v>489243.73374718148</v>
      </c>
    </row>
    <row r="12" spans="1:23" ht="15" customHeight="1" x14ac:dyDescent="0.25">
      <c r="A12" s="710" t="s">
        <v>488</v>
      </c>
      <c r="B12" s="710"/>
    </row>
    <row r="13" spans="1:23" ht="15" customHeight="1" x14ac:dyDescent="0.25">
      <c r="A13" s="710">
        <f>(A9+A11)/2</f>
        <v>104007.87419855274</v>
      </c>
      <c r="B13" s="710">
        <f>(B9+B11)/2</f>
        <v>489266.63797032344</v>
      </c>
      <c r="C13" s="6">
        <f>HLOOKUP(Variabelen!B80,Variabelen!E131:L137,4,FALSE)</f>
        <v>114</v>
      </c>
      <c r="D13" s="6">
        <f ca="1">HLOOKUP(Variabelen!B80,Variabelen!E131:L137,5,FALSE)-HLOOKUP(Variabelen!B80,Variabelen!E131:L137,3,FALSE)</f>
        <v>145</v>
      </c>
      <c r="M13" s="3" t="s">
        <v>609</v>
      </c>
      <c r="N13" s="4"/>
      <c r="O13" s="4" t="str">
        <f t="array" aca="1" ref="O13" ca="1">POINT(A13-C13,B13-D13)</f>
        <v>103893.874198553,489121.637970323</v>
      </c>
      <c r="P13" s="4" t="str">
        <f t="array" aca="1" ref="P13" ca="1">POINT(A13+C13,B13+D13)</f>
        <v>104121.874198553,489411.637970323</v>
      </c>
      <c r="Q13" s="4"/>
      <c r="R13" s="352"/>
      <c r="S13" s="352"/>
      <c r="T13" s="352"/>
      <c r="U13" s="352"/>
      <c r="V13" s="352"/>
      <c r="W13" s="352"/>
    </row>
    <row r="14" spans="1:23" ht="15" customHeight="1" x14ac:dyDescent="0.25">
      <c r="A14" s="710"/>
      <c r="B14" s="710"/>
      <c r="M14" s="351" t="s">
        <v>581</v>
      </c>
      <c r="N14" s="352" t="s">
        <v>582</v>
      </c>
      <c r="O14" s="360" t="str">
        <f ca="1">O13</f>
        <v>103893.874198553,489121.637970323</v>
      </c>
      <c r="P14" s="360" t="str">
        <f ca="1">P13</f>
        <v>104121.874198553,489411.637970323</v>
      </c>
      <c r="Q14" s="352"/>
      <c r="R14" s="352"/>
      <c r="S14" s="352"/>
      <c r="T14" s="352"/>
      <c r="U14" s="352"/>
      <c r="V14" s="352"/>
      <c r="W14" s="352"/>
    </row>
    <row r="15" spans="1:23" ht="15" customHeight="1" x14ac:dyDescent="0.25">
      <c r="A15" s="710"/>
      <c r="B15" s="710"/>
      <c r="M15" s="3" t="s">
        <v>736</v>
      </c>
      <c r="N15" s="352"/>
      <c r="O15" s="360"/>
      <c r="P15" s="360"/>
      <c r="Q15" s="352"/>
      <c r="R15" s="352"/>
      <c r="S15" s="352"/>
      <c r="T15" s="352"/>
      <c r="U15" s="352"/>
      <c r="V15" s="352"/>
      <c r="W15" s="352"/>
    </row>
    <row r="16" spans="1:23" x14ac:dyDescent="0.2">
      <c r="C16" s="6">
        <v>1</v>
      </c>
      <c r="D16" s="6">
        <v>1</v>
      </c>
      <c r="M16" s="3" t="s">
        <v>737</v>
      </c>
      <c r="N16" s="4" t="s">
        <v>614</v>
      </c>
      <c r="O16" s="4" t="str">
        <f t="array" aca="1" ref="O16" ca="1">POINT(A13-C13-C16,B13-D13-D16)</f>
        <v>103892.874198553,489120.637970323</v>
      </c>
      <c r="P16" s="4" t="str">
        <f t="array" aca="1" ref="P16" ca="1">POINT(A13+C13+C16,B13+D13+D16)</f>
        <v>104122.874198553,489412.637970323</v>
      </c>
      <c r="Q16" s="4" t="s">
        <v>495</v>
      </c>
      <c r="R16" s="352"/>
      <c r="S16" s="352"/>
      <c r="T16" s="352"/>
      <c r="U16" s="352"/>
      <c r="V16" s="352"/>
      <c r="W16" s="352"/>
    </row>
    <row r="17" spans="1:23" x14ac:dyDescent="0.2">
      <c r="M17" s="98"/>
      <c r="N17" s="98"/>
      <c r="O17" s="98"/>
      <c r="P17" s="98"/>
      <c r="W17" s="99"/>
    </row>
    <row r="18" spans="1:23" s="531" customFormat="1" x14ac:dyDescent="0.2">
      <c r="A18" s="532"/>
      <c r="B18" s="532"/>
      <c r="C18" s="532"/>
      <c r="D18" s="532"/>
      <c r="E18" s="532"/>
      <c r="F18" s="532"/>
      <c r="L18" s="533"/>
      <c r="M18" s="530" t="s">
        <v>679</v>
      </c>
      <c r="N18" s="528"/>
      <c r="O18" s="559"/>
      <c r="P18" s="559"/>
      <c r="Q18" s="528"/>
      <c r="R18" s="528"/>
      <c r="S18" s="528"/>
      <c r="T18" s="528"/>
      <c r="U18" s="528"/>
      <c r="V18" s="528"/>
    </row>
    <row r="19" spans="1:23" x14ac:dyDescent="0.2">
      <c r="C19" s="6">
        <v>1</v>
      </c>
      <c r="D19" s="6">
        <v>1</v>
      </c>
      <c r="M19" s="3" t="s">
        <v>737</v>
      </c>
      <c r="N19" s="4" t="s">
        <v>614</v>
      </c>
      <c r="O19" s="4" t="str">
        <f t="array" aca="1" ref="O19" ca="1">POINT(A13-C13-C19,B13-D13-D19)</f>
        <v>103892.874198553,489120.637970323</v>
      </c>
      <c r="P19" s="4" t="str">
        <f t="array" aca="1" ref="P19" ca="1">POINT(A13+C13+C19,B13+D13+D19)</f>
        <v>104122.874198553,489412.637970323</v>
      </c>
      <c r="Q19" s="4" t="s">
        <v>495</v>
      </c>
      <c r="R19" s="352"/>
      <c r="S19" s="352"/>
      <c r="T19" s="352"/>
      <c r="U19" s="352"/>
      <c r="V19" s="352"/>
      <c r="W19" s="355"/>
    </row>
    <row r="20" spans="1:23" s="531" customFormat="1" x14ac:dyDescent="0.2">
      <c r="A20" s="532"/>
      <c r="B20" s="532"/>
      <c r="C20" s="532"/>
      <c r="D20" s="532"/>
      <c r="E20" s="532"/>
      <c r="F20" s="532"/>
      <c r="L20" s="533"/>
      <c r="M20" s="530" t="s">
        <v>679</v>
      </c>
      <c r="N20" s="528"/>
      <c r="O20" s="528"/>
      <c r="P20" s="528"/>
      <c r="Q20" s="528"/>
      <c r="R20" s="528"/>
      <c r="S20" s="528"/>
      <c r="T20" s="528"/>
      <c r="U20" s="528"/>
      <c r="V20" s="528"/>
    </row>
    <row r="27" spans="1:23" x14ac:dyDescent="0.2">
      <c r="M27" s="351" t="s">
        <v>609</v>
      </c>
      <c r="N27" s="352"/>
      <c r="O27" s="352" t="str">
        <f t="array" aca="1" ref="O27" ca="1">POINT(A13-C13,B13-D13)</f>
        <v>103893.874198553,489121.637970323</v>
      </c>
      <c r="P27" s="352" t="str">
        <f t="array" aca="1" ref="P27" ca="1">POINT(A13+C13,B13+D13)</f>
        <v>104121.874198553,489411.637970323</v>
      </c>
    </row>
  </sheetData>
  <conditionalFormatting sqref="L1:L1048576">
    <cfRule type="cellIs" dxfId="1" priority="1" stopIfTrue="1" operator="equal">
      <formula>FALSE</formula>
    </cfRule>
  </conditionalFormatting>
  <pageMargins left="0.75" right="0.75" top="1" bottom="1" header="0.5" footer="0.5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5"/>
  <dimension ref="A1:AG152"/>
  <sheetViews>
    <sheetView topLeftCell="A36" zoomScale="85" zoomScaleNormal="85" workbookViewId="0">
      <selection activeCell="W66" sqref="W66"/>
    </sheetView>
  </sheetViews>
  <sheetFormatPr defaultColWidth="9.140625" defaultRowHeight="15" x14ac:dyDescent="0.25"/>
  <cols>
    <col min="1" max="1" width="38.5703125" style="16" bestFit="1" customWidth="1"/>
    <col min="2" max="2" width="12" style="16" bestFit="1" customWidth="1"/>
    <col min="3" max="3" width="12" style="16" customWidth="1"/>
    <col min="4" max="4" width="9.140625" style="16" customWidth="1"/>
    <col min="5" max="8" width="6.28515625" style="16" customWidth="1"/>
    <col min="9" max="9" width="7.140625" style="16" customWidth="1"/>
    <col min="10" max="10" width="9.140625" style="16" customWidth="1"/>
    <col min="11" max="14" width="6.28515625" style="16" customWidth="1"/>
    <col min="15" max="16" width="9.140625" style="16" customWidth="1"/>
    <col min="17" max="17" width="10.28515625" style="16" customWidth="1"/>
    <col min="18" max="19" width="9.140625" style="16" customWidth="1"/>
    <col min="20" max="20" width="17.28515625" style="16" customWidth="1"/>
    <col min="21" max="27" width="9.140625" style="16" customWidth="1"/>
    <col min="28" max="16384" width="9.140625" style="16"/>
  </cols>
  <sheetData>
    <row r="1" spans="1:28" ht="18.75" customHeight="1" x14ac:dyDescent="0.3">
      <c r="A1" s="37" t="s">
        <v>743</v>
      </c>
      <c r="H1" s="579"/>
      <c r="M1" s="37" t="s">
        <v>744</v>
      </c>
      <c r="R1" s="824" t="s">
        <v>4</v>
      </c>
      <c r="S1" s="824" t="s">
        <v>4</v>
      </c>
      <c r="T1" s="824"/>
      <c r="U1" s="824" t="s">
        <v>38</v>
      </c>
      <c r="V1" s="824" t="s">
        <v>38</v>
      </c>
      <c r="W1" s="824" t="s">
        <v>38</v>
      </c>
    </row>
    <row r="2" spans="1:28" x14ac:dyDescent="0.25">
      <c r="A2" s="16" t="s">
        <v>745</v>
      </c>
      <c r="G2" s="16" t="s">
        <v>746</v>
      </c>
      <c r="H2" s="579"/>
      <c r="J2" s="16">
        <v>1</v>
      </c>
      <c r="N2" s="811" t="s">
        <v>1144</v>
      </c>
      <c r="O2" s="791" t="s">
        <v>748</v>
      </c>
      <c r="P2" s="854" t="s">
        <v>1235</v>
      </c>
      <c r="Q2" s="793" t="s">
        <v>1121</v>
      </c>
      <c r="R2" s="817" t="s">
        <v>1136</v>
      </c>
      <c r="S2" s="793" t="s">
        <v>1122</v>
      </c>
      <c r="T2" s="51">
        <v>25</v>
      </c>
      <c r="U2" s="819" t="s">
        <v>1158</v>
      </c>
      <c r="V2" s="819" t="s">
        <v>1159</v>
      </c>
      <c r="W2" s="819" t="s">
        <v>1160</v>
      </c>
      <c r="X2" s="927" t="s">
        <v>1304</v>
      </c>
      <c r="Y2" s="927" t="s">
        <v>1305</v>
      </c>
      <c r="Z2" s="791"/>
      <c r="AA2" s="792"/>
    </row>
    <row r="3" spans="1:28" x14ac:dyDescent="0.25">
      <c r="A3" s="16" t="s">
        <v>749</v>
      </c>
      <c r="B3" s="17" t="s">
        <v>162</v>
      </c>
      <c r="D3" s="401" t="s">
        <v>750</v>
      </c>
      <c r="G3" s="194" t="s">
        <v>747</v>
      </c>
      <c r="H3" s="579"/>
      <c r="J3" s="16">
        <v>2</v>
      </c>
      <c r="M3" s="19" t="s">
        <v>751</v>
      </c>
      <c r="N3" s="318">
        <v>3</v>
      </c>
      <c r="O3" s="318" t="s">
        <v>89</v>
      </c>
      <c r="P3" s="318" t="s">
        <v>89</v>
      </c>
      <c r="Q3" s="318">
        <v>2</v>
      </c>
      <c r="R3" s="57">
        <v>1.5</v>
      </c>
      <c r="S3" s="57">
        <v>3.05</v>
      </c>
      <c r="T3" s="57">
        <v>3.05</v>
      </c>
      <c r="U3" s="57">
        <v>2.2000000000000002</v>
      </c>
      <c r="V3" s="318">
        <v>3.25</v>
      </c>
      <c r="W3" s="318">
        <v>4.7699999999999996</v>
      </c>
      <c r="X3" s="57">
        <v>3.05</v>
      </c>
      <c r="Y3" s="57">
        <v>3.05</v>
      </c>
      <c r="Z3" s="318"/>
      <c r="AA3" s="318"/>
      <c r="AB3" s="16" t="s">
        <v>105</v>
      </c>
    </row>
    <row r="4" spans="1:28" x14ac:dyDescent="0.25">
      <c r="A4" s="16" t="s">
        <v>752</v>
      </c>
      <c r="B4" s="17" t="s">
        <v>102</v>
      </c>
      <c r="D4" s="401" t="s">
        <v>753</v>
      </c>
      <c r="G4" s="17">
        <v>10</v>
      </c>
      <c r="H4" s="579"/>
      <c r="J4" s="16">
        <v>3</v>
      </c>
      <c r="M4" s="19" t="s">
        <v>754</v>
      </c>
      <c r="N4" s="318">
        <v>3</v>
      </c>
      <c r="O4" s="318" t="s">
        <v>89</v>
      </c>
      <c r="P4" s="318" t="s">
        <v>89</v>
      </c>
      <c r="Q4" s="318">
        <v>3</v>
      </c>
      <c r="R4" s="57">
        <v>3</v>
      </c>
      <c r="S4" s="57">
        <v>3.05</v>
      </c>
      <c r="T4" s="57">
        <v>3.05</v>
      </c>
      <c r="U4" s="57">
        <v>2</v>
      </c>
      <c r="V4" s="318">
        <v>3.05</v>
      </c>
      <c r="W4" s="318">
        <v>4.57</v>
      </c>
      <c r="X4" s="57">
        <v>3.05</v>
      </c>
      <c r="Y4" s="57">
        <v>3.05</v>
      </c>
      <c r="Z4" s="318"/>
      <c r="AA4" s="318"/>
      <c r="AB4" s="16" t="s">
        <v>105</v>
      </c>
    </row>
    <row r="5" spans="1:28" x14ac:dyDescent="0.25">
      <c r="A5" s="16" t="s">
        <v>755</v>
      </c>
      <c r="B5" s="17" t="s">
        <v>163</v>
      </c>
      <c r="D5" s="401" t="s">
        <v>619</v>
      </c>
      <c r="G5" s="17">
        <v>11</v>
      </c>
      <c r="J5" s="16">
        <v>4</v>
      </c>
      <c r="M5" s="19" t="s">
        <v>756</v>
      </c>
      <c r="N5" s="17">
        <v>5</v>
      </c>
      <c r="O5" s="17">
        <v>80</v>
      </c>
      <c r="P5" s="17">
        <v>80</v>
      </c>
      <c r="Q5" s="17">
        <v>45</v>
      </c>
      <c r="R5" s="57">
        <v>20</v>
      </c>
      <c r="S5" s="57">
        <v>18</v>
      </c>
      <c r="T5" s="57">
        <v>18</v>
      </c>
      <c r="U5" s="57">
        <v>22</v>
      </c>
      <c r="V5" s="17">
        <v>22</v>
      </c>
      <c r="W5" s="17">
        <v>22</v>
      </c>
      <c r="X5" s="57">
        <v>18</v>
      </c>
      <c r="Y5" s="57">
        <v>18</v>
      </c>
      <c r="Z5" s="17"/>
      <c r="AA5" s="17"/>
      <c r="AB5" s="16" t="s">
        <v>236</v>
      </c>
    </row>
    <row r="6" spans="1:28" x14ac:dyDescent="0.25">
      <c r="D6" s="401" t="s">
        <v>155</v>
      </c>
      <c r="G6" s="17">
        <v>16</v>
      </c>
      <c r="J6" s="16">
        <v>5</v>
      </c>
      <c r="M6" s="19" t="s">
        <v>757</v>
      </c>
      <c r="N6" s="173">
        <f t="shared" ref="N6" si="0">TAN(PI()*N5/180)</f>
        <v>8.7488663525924007E-2</v>
      </c>
      <c r="O6" s="173">
        <f t="shared" ref="O6:W6" si="1">TAN(PI()*O5/180)</f>
        <v>5.6712818196177066</v>
      </c>
      <c r="P6" s="173">
        <f t="shared" si="1"/>
        <v>5.6712818196177066</v>
      </c>
      <c r="Q6" s="173">
        <f t="shared" si="1"/>
        <v>0.99999999999999989</v>
      </c>
      <c r="R6" s="173">
        <f t="shared" si="1"/>
        <v>0.36397023426620234</v>
      </c>
      <c r="S6" s="173">
        <f t="shared" si="1"/>
        <v>0.32491969623290629</v>
      </c>
      <c r="T6" s="173">
        <f t="shared" si="1"/>
        <v>0.32491969623290629</v>
      </c>
      <c r="U6" s="173">
        <f t="shared" si="1"/>
        <v>0.40402622583515679</v>
      </c>
      <c r="V6" s="173">
        <f t="shared" si="1"/>
        <v>0.40402622583515679</v>
      </c>
      <c r="W6" s="173">
        <f t="shared" si="1"/>
        <v>0.40402622583515679</v>
      </c>
      <c r="X6" s="173">
        <f t="shared" ref="X6:Y6" si="2">TAN(PI()*X5/180)</f>
        <v>0.32491969623290629</v>
      </c>
      <c r="Y6" s="173">
        <f t="shared" si="2"/>
        <v>0.32491969623290629</v>
      </c>
      <c r="Z6" s="173"/>
      <c r="AA6" s="173"/>
    </row>
    <row r="7" spans="1:28" x14ac:dyDescent="0.25">
      <c r="A7" s="49" t="s">
        <v>758</v>
      </c>
      <c r="B7" s="17">
        <v>-2</v>
      </c>
      <c r="G7" s="17">
        <v>25</v>
      </c>
      <c r="J7" s="16">
        <v>6</v>
      </c>
      <c r="M7" s="19" t="s">
        <v>759</v>
      </c>
      <c r="N7" s="17">
        <v>1</v>
      </c>
      <c r="O7" s="17">
        <v>10</v>
      </c>
      <c r="P7" s="17">
        <v>10</v>
      </c>
      <c r="Q7" s="17">
        <v>3</v>
      </c>
      <c r="R7" s="57">
        <v>25</v>
      </c>
      <c r="S7" s="57">
        <v>35</v>
      </c>
      <c r="T7" s="57">
        <v>40</v>
      </c>
      <c r="U7" s="57">
        <v>25</v>
      </c>
      <c r="V7" s="17">
        <v>30</v>
      </c>
      <c r="W7" s="17">
        <v>35</v>
      </c>
      <c r="X7" s="57">
        <v>35</v>
      </c>
      <c r="Y7" s="57">
        <v>35</v>
      </c>
      <c r="Z7" s="17"/>
      <c r="AA7" s="17"/>
      <c r="AB7" s="16" t="s">
        <v>105</v>
      </c>
    </row>
    <row r="8" spans="1:28" x14ac:dyDescent="0.25">
      <c r="A8" s="49" t="s">
        <v>760</v>
      </c>
      <c r="B8" s="17">
        <v>-4</v>
      </c>
      <c r="G8" s="17"/>
      <c r="J8" s="16">
        <v>7</v>
      </c>
      <c r="M8" s="592" t="s">
        <v>761</v>
      </c>
      <c r="N8" s="17">
        <v>110</v>
      </c>
      <c r="O8" s="17">
        <v>50</v>
      </c>
      <c r="P8" s="17">
        <v>50</v>
      </c>
      <c r="Q8" s="17">
        <v>60</v>
      </c>
      <c r="R8" s="17">
        <v>80</v>
      </c>
      <c r="S8" s="17">
        <v>110</v>
      </c>
      <c r="T8" s="17">
        <v>150</v>
      </c>
      <c r="U8" s="17">
        <v>80</v>
      </c>
      <c r="V8" s="17">
        <v>110</v>
      </c>
      <c r="W8" s="17">
        <v>110</v>
      </c>
      <c r="X8" s="17">
        <v>200</v>
      </c>
      <c r="Y8" s="17">
        <v>250</v>
      </c>
      <c r="Z8" s="17"/>
      <c r="AA8" s="17"/>
    </row>
    <row r="9" spans="1:28" x14ac:dyDescent="0.25">
      <c r="A9" s="49" t="s">
        <v>762</v>
      </c>
      <c r="B9" s="17">
        <f>B10+1.5*B12</f>
        <v>2.4</v>
      </c>
      <c r="J9" s="16">
        <v>8</v>
      </c>
      <c r="M9" s="794" t="s">
        <v>1126</v>
      </c>
      <c r="N9" s="377" t="s">
        <v>1144</v>
      </c>
      <c r="O9" s="377" t="s">
        <v>748</v>
      </c>
      <c r="P9" s="377" t="s">
        <v>748</v>
      </c>
      <c r="Q9" s="808" t="s">
        <v>1121</v>
      </c>
      <c r="R9" s="808" t="s">
        <v>1136</v>
      </c>
      <c r="S9" s="795" t="s">
        <v>1122</v>
      </c>
      <c r="T9" s="17"/>
      <c r="U9" s="818" t="s">
        <v>1157</v>
      </c>
      <c r="V9" s="818" t="s">
        <v>1156</v>
      </c>
      <c r="W9" s="818" t="s">
        <v>1155</v>
      </c>
      <c r="X9" s="795" t="s">
        <v>1122</v>
      </c>
      <c r="Y9" s="795" t="s">
        <v>1122</v>
      </c>
      <c r="Z9" s="377"/>
      <c r="AA9" s="17"/>
    </row>
    <row r="10" spans="1:28" x14ac:dyDescent="0.25">
      <c r="A10" s="49" t="s">
        <v>764</v>
      </c>
      <c r="B10" s="17">
        <v>1.5</v>
      </c>
      <c r="J10" s="16">
        <v>9</v>
      </c>
      <c r="M10" s="807" t="s">
        <v>1133</v>
      </c>
      <c r="N10" s="808" t="s">
        <v>1145</v>
      </c>
      <c r="O10" s="798" t="s">
        <v>1135</v>
      </c>
      <c r="P10" s="17" t="s">
        <v>763</v>
      </c>
      <c r="Q10" s="808" t="s">
        <v>1141</v>
      </c>
      <c r="R10" s="808" t="s">
        <v>1140</v>
      </c>
      <c r="S10" s="808" t="s">
        <v>1140</v>
      </c>
      <c r="T10" s="808" t="s">
        <v>1140</v>
      </c>
      <c r="U10" s="808" t="s">
        <v>1140</v>
      </c>
      <c r="V10" s="808" t="s">
        <v>1140</v>
      </c>
      <c r="W10" s="808" t="s">
        <v>1140</v>
      </c>
      <c r="X10" s="808" t="s">
        <v>1140</v>
      </c>
      <c r="Y10" s="808" t="s">
        <v>1140</v>
      </c>
      <c r="Z10" s="17"/>
      <c r="AA10" s="17"/>
    </row>
    <row r="11" spans="1:28" x14ac:dyDescent="0.25">
      <c r="A11" s="16" t="s">
        <v>766</v>
      </c>
      <c r="B11" s="17">
        <v>0.5</v>
      </c>
      <c r="J11" s="16">
        <v>10</v>
      </c>
      <c r="M11" s="807" t="s">
        <v>1134</v>
      </c>
      <c r="N11" s="808" t="s">
        <v>1146</v>
      </c>
      <c r="O11" s="17" t="s">
        <v>765</v>
      </c>
      <c r="P11" s="17" t="s">
        <v>765</v>
      </c>
      <c r="Q11" s="808" t="s">
        <v>1143</v>
      </c>
      <c r="R11" s="808" t="s">
        <v>1142</v>
      </c>
      <c r="S11" s="808" t="s">
        <v>1142</v>
      </c>
      <c r="T11" s="808" t="s">
        <v>1142</v>
      </c>
      <c r="U11" s="808" t="s">
        <v>1142</v>
      </c>
      <c r="V11" s="808" t="s">
        <v>1142</v>
      </c>
      <c r="W11" s="808" t="s">
        <v>1142</v>
      </c>
      <c r="X11" s="808" t="s">
        <v>1142</v>
      </c>
      <c r="Y11" s="808" t="s">
        <v>1142</v>
      </c>
      <c r="Z11" s="17"/>
      <c r="AA11" s="17"/>
    </row>
    <row r="12" spans="1:28" x14ac:dyDescent="0.25">
      <c r="A12" s="16" t="s">
        <v>767</v>
      </c>
      <c r="B12" s="17">
        <v>0.6</v>
      </c>
    </row>
    <row r="15" spans="1:28" x14ac:dyDescent="0.25">
      <c r="B15" s="17"/>
    </row>
    <row r="16" spans="1:28" s="43" customFormat="1" x14ac:dyDescent="0.25">
      <c r="B16" s="44"/>
    </row>
    <row r="18" spans="1:32" ht="18.75" customHeight="1" x14ac:dyDescent="0.3">
      <c r="M18" s="37" t="s">
        <v>768</v>
      </c>
    </row>
    <row r="19" spans="1:32" x14ac:dyDescent="0.25">
      <c r="L19" s="460" t="s">
        <v>142</v>
      </c>
      <c r="M19" s="51">
        <v>1</v>
      </c>
      <c r="N19" s="51">
        <v>2</v>
      </c>
      <c r="O19" s="51">
        <v>3</v>
      </c>
      <c r="P19" s="51">
        <v>4</v>
      </c>
      <c r="Q19" s="51">
        <v>5</v>
      </c>
      <c r="R19" s="51">
        <v>6</v>
      </c>
      <c r="S19" s="51">
        <v>7</v>
      </c>
      <c r="T19" s="51">
        <v>8</v>
      </c>
      <c r="U19" s="51">
        <v>9</v>
      </c>
    </row>
    <row r="20" spans="1:32" x14ac:dyDescent="0.25">
      <c r="L20" s="460" t="s">
        <v>769</v>
      </c>
      <c r="M20" s="57">
        <v>1</v>
      </c>
      <c r="N20" s="57">
        <v>2</v>
      </c>
      <c r="O20" s="57">
        <v>2.15</v>
      </c>
      <c r="P20" s="57">
        <v>2.73</v>
      </c>
      <c r="Q20" s="57">
        <v>3</v>
      </c>
      <c r="R20" s="57">
        <v>3</v>
      </c>
      <c r="S20" s="64">
        <v>3</v>
      </c>
      <c r="T20" s="57">
        <v>3.71</v>
      </c>
      <c r="U20" s="64">
        <v>3.8</v>
      </c>
    </row>
    <row r="21" spans="1:32" x14ac:dyDescent="0.25">
      <c r="L21" s="460" t="s">
        <v>770</v>
      </c>
      <c r="M21" s="57">
        <v>1.5</v>
      </c>
      <c r="N21" s="57">
        <v>1.2</v>
      </c>
      <c r="O21" s="57">
        <v>1.2</v>
      </c>
      <c r="P21" s="57">
        <v>1.2</v>
      </c>
      <c r="Q21" s="57">
        <v>1.25</v>
      </c>
      <c r="R21" s="57">
        <v>1.3</v>
      </c>
      <c r="S21" s="57">
        <v>1.3</v>
      </c>
      <c r="T21" s="57">
        <v>1.2</v>
      </c>
      <c r="U21" s="57">
        <v>1.25</v>
      </c>
    </row>
    <row r="23" spans="1:32" x14ac:dyDescent="0.25">
      <c r="M23" s="458" t="s">
        <v>771</v>
      </c>
      <c r="P23" s="57">
        <v>1.1000000000000001</v>
      </c>
    </row>
    <row r="27" spans="1:32" ht="18.75" customHeight="1" x14ac:dyDescent="0.3">
      <c r="A27" s="37" t="s">
        <v>772</v>
      </c>
      <c r="T27" s="70" t="s">
        <v>5</v>
      </c>
      <c r="V27" s="66" t="s">
        <v>773</v>
      </c>
      <c r="W27" s="66" t="s">
        <v>773</v>
      </c>
      <c r="Z27" s="16" t="s">
        <v>2</v>
      </c>
    </row>
    <row r="28" spans="1:32" x14ac:dyDescent="0.25">
      <c r="A28" s="16" t="s">
        <v>774</v>
      </c>
      <c r="B28" s="17">
        <v>0.5</v>
      </c>
      <c r="S28" s="17">
        <v>1</v>
      </c>
      <c r="T28" s="17" t="s">
        <v>775</v>
      </c>
      <c r="U28" s="17" t="s">
        <v>776</v>
      </c>
      <c r="V28" s="17" t="s">
        <v>4</v>
      </c>
      <c r="W28" s="772" t="s">
        <v>777</v>
      </c>
      <c r="Y28" s="16">
        <v>1</v>
      </c>
      <c r="Z28" s="16" t="s">
        <v>775</v>
      </c>
      <c r="AA28" s="16" t="s">
        <v>776</v>
      </c>
      <c r="AB28" s="16" t="s">
        <v>4</v>
      </c>
      <c r="AC28" s="17">
        <v>1</v>
      </c>
      <c r="AD28" s="104" t="s">
        <v>775</v>
      </c>
      <c r="AE28" s="103" t="s">
        <v>776</v>
      </c>
      <c r="AF28" s="510" t="s">
        <v>777</v>
      </c>
    </row>
    <row r="29" spans="1:32" x14ac:dyDescent="0.25">
      <c r="B29" s="17"/>
      <c r="S29" s="17">
        <v>2</v>
      </c>
      <c r="T29" s="17" t="s">
        <v>778</v>
      </c>
      <c r="U29" s="17" t="s">
        <v>779</v>
      </c>
      <c r="V29" s="17" t="s">
        <v>9</v>
      </c>
      <c r="W29" s="772" t="s">
        <v>780</v>
      </c>
      <c r="Y29" s="16">
        <v>2</v>
      </c>
      <c r="Z29" s="16" t="s">
        <v>778</v>
      </c>
      <c r="AA29" s="16" t="s">
        <v>779</v>
      </c>
      <c r="AB29" s="16" t="s">
        <v>9</v>
      </c>
      <c r="AC29" s="17">
        <v>2</v>
      </c>
      <c r="AD29" s="103" t="s">
        <v>778</v>
      </c>
      <c r="AE29" s="471" t="s">
        <v>779</v>
      </c>
      <c r="AF29" s="67" t="s">
        <v>780</v>
      </c>
    </row>
    <row r="30" spans="1:32" x14ac:dyDescent="0.25">
      <c r="A30" s="16" t="s">
        <v>781</v>
      </c>
      <c r="B30" s="17">
        <v>0.5</v>
      </c>
      <c r="S30" s="17">
        <v>3</v>
      </c>
      <c r="T30" s="17" t="s">
        <v>782</v>
      </c>
      <c r="U30" s="17" t="s">
        <v>776</v>
      </c>
      <c r="V30" s="17" t="s">
        <v>4</v>
      </c>
      <c r="W30" s="772" t="s">
        <v>783</v>
      </c>
      <c r="Y30" s="16">
        <v>3</v>
      </c>
      <c r="Z30" s="16" t="s">
        <v>782</v>
      </c>
      <c r="AA30" s="16" t="s">
        <v>776</v>
      </c>
      <c r="AB30" s="16" t="s">
        <v>4</v>
      </c>
      <c r="AC30" s="17">
        <v>3</v>
      </c>
      <c r="AD30" s="197" t="s">
        <v>782</v>
      </c>
      <c r="AE30" s="103" t="s">
        <v>776</v>
      </c>
      <c r="AF30" s="197" t="s">
        <v>783</v>
      </c>
    </row>
    <row r="31" spans="1:32" x14ac:dyDescent="0.25">
      <c r="A31" s="16" t="s">
        <v>784</v>
      </c>
      <c r="B31" s="17">
        <v>1</v>
      </c>
      <c r="S31" s="17">
        <v>4</v>
      </c>
      <c r="T31" s="17" t="s">
        <v>13</v>
      </c>
      <c r="U31" s="17" t="s">
        <v>14</v>
      </c>
      <c r="V31" s="17" t="s">
        <v>15</v>
      </c>
      <c r="W31" s="772" t="s">
        <v>785</v>
      </c>
      <c r="Y31" s="16">
        <v>4</v>
      </c>
      <c r="Z31" s="16" t="s">
        <v>13</v>
      </c>
      <c r="AA31" s="16" t="s">
        <v>14</v>
      </c>
      <c r="AB31" s="16" t="s">
        <v>15</v>
      </c>
      <c r="AC31" s="17">
        <v>4</v>
      </c>
      <c r="AD31" s="457" t="s">
        <v>13</v>
      </c>
      <c r="AE31" s="457" t="s">
        <v>14</v>
      </c>
      <c r="AF31" s="735" t="s">
        <v>785</v>
      </c>
    </row>
    <row r="32" spans="1:32" x14ac:dyDescent="0.25">
      <c r="A32" s="16" t="s">
        <v>635</v>
      </c>
      <c r="B32" s="17">
        <v>0.45</v>
      </c>
      <c r="S32" s="17">
        <v>5</v>
      </c>
      <c r="T32" s="17" t="s">
        <v>18</v>
      </c>
      <c r="U32" s="773" t="s">
        <v>814</v>
      </c>
      <c r="V32" s="17" t="s">
        <v>20</v>
      </c>
      <c r="W32" s="772" t="s">
        <v>815</v>
      </c>
      <c r="Y32" s="16">
        <v>5</v>
      </c>
      <c r="Z32" s="16" t="s">
        <v>18</v>
      </c>
      <c r="AA32" s="16" t="s">
        <v>19</v>
      </c>
      <c r="AB32" s="16" t="s">
        <v>20</v>
      </c>
      <c r="AC32" s="17">
        <v>5</v>
      </c>
      <c r="AD32" s="564" t="s">
        <v>786</v>
      </c>
      <c r="AE32" s="564" t="s">
        <v>787</v>
      </c>
      <c r="AF32" s="564" t="s">
        <v>788</v>
      </c>
    </row>
    <row r="33" spans="1:32" x14ac:dyDescent="0.25">
      <c r="A33" s="16" t="s">
        <v>789</v>
      </c>
      <c r="B33" s="17">
        <f>B32*0.8</f>
        <v>0.36000000000000004</v>
      </c>
      <c r="S33" s="17">
        <v>6</v>
      </c>
      <c r="T33" s="17" t="s">
        <v>23</v>
      </c>
      <c r="U33" s="17" t="s">
        <v>24</v>
      </c>
      <c r="V33" s="17" t="s">
        <v>25</v>
      </c>
      <c r="W33" s="772" t="s">
        <v>790</v>
      </c>
      <c r="Y33" s="16">
        <v>6</v>
      </c>
      <c r="Z33" s="16" t="s">
        <v>23</v>
      </c>
      <c r="AA33" s="16" t="s">
        <v>24</v>
      </c>
      <c r="AB33" s="16" t="s">
        <v>25</v>
      </c>
      <c r="AC33" s="17">
        <v>6</v>
      </c>
      <c r="AD33" s="603" t="s">
        <v>23</v>
      </c>
      <c r="AE33" s="405" t="s">
        <v>24</v>
      </c>
      <c r="AF33" s="604" t="s">
        <v>790</v>
      </c>
    </row>
    <row r="34" spans="1:32" x14ac:dyDescent="0.25">
      <c r="A34" s="16" t="s">
        <v>791</v>
      </c>
      <c r="B34" s="17">
        <v>2.7</v>
      </c>
      <c r="S34" s="17">
        <v>7</v>
      </c>
      <c r="T34" s="17" t="s">
        <v>28</v>
      </c>
      <c r="U34" s="17" t="s">
        <v>29</v>
      </c>
      <c r="V34" s="17" t="s">
        <v>30</v>
      </c>
      <c r="W34" s="772" t="s">
        <v>792</v>
      </c>
      <c r="Y34" s="16">
        <v>7</v>
      </c>
      <c r="Z34" s="16" t="s">
        <v>28</v>
      </c>
      <c r="AA34" s="16" t="s">
        <v>29</v>
      </c>
      <c r="AB34" s="16" t="s">
        <v>30</v>
      </c>
      <c r="AC34" s="17">
        <v>7</v>
      </c>
      <c r="AD34" s="461" t="s">
        <v>28</v>
      </c>
      <c r="AE34" s="461" t="s">
        <v>29</v>
      </c>
      <c r="AF34" s="461" t="s">
        <v>792</v>
      </c>
    </row>
    <row r="35" spans="1:32" x14ac:dyDescent="0.25">
      <c r="A35" s="16" t="s">
        <v>793</v>
      </c>
      <c r="B35" s="17">
        <v>11</v>
      </c>
      <c r="S35" s="17">
        <v>8</v>
      </c>
      <c r="T35" s="17" t="s">
        <v>33</v>
      </c>
      <c r="U35" s="17" t="s">
        <v>34</v>
      </c>
      <c r="V35" s="17" t="s">
        <v>35</v>
      </c>
      <c r="W35" s="772" t="s">
        <v>794</v>
      </c>
      <c r="X35" s="849" t="s">
        <v>1228</v>
      </c>
      <c r="Y35" s="16">
        <v>8</v>
      </c>
      <c r="Z35" s="16" t="s">
        <v>33</v>
      </c>
      <c r="AA35" s="16" t="s">
        <v>34</v>
      </c>
      <c r="AB35" s="16" t="s">
        <v>35</v>
      </c>
      <c r="AC35" s="17">
        <v>8</v>
      </c>
      <c r="AD35" s="573" t="s">
        <v>33</v>
      </c>
      <c r="AE35" s="573" t="s">
        <v>34</v>
      </c>
      <c r="AF35" s="573" t="s">
        <v>794</v>
      </c>
    </row>
    <row r="36" spans="1:32" x14ac:dyDescent="0.25">
      <c r="A36" s="16" t="s">
        <v>795</v>
      </c>
      <c r="B36" s="17">
        <v>0.08</v>
      </c>
      <c r="C36" s="16" t="s">
        <v>105</v>
      </c>
      <c r="S36" s="17">
        <v>9</v>
      </c>
      <c r="T36" s="17" t="s">
        <v>38</v>
      </c>
      <c r="U36" s="17" t="s">
        <v>39</v>
      </c>
      <c r="V36" s="17" t="s">
        <v>40</v>
      </c>
      <c r="W36" s="772" t="s">
        <v>796</v>
      </c>
      <c r="Y36" s="16">
        <v>9</v>
      </c>
      <c r="Z36" s="16" t="s">
        <v>38</v>
      </c>
      <c r="AA36" s="16" t="s">
        <v>39</v>
      </c>
      <c r="AB36" s="16" t="s">
        <v>40</v>
      </c>
      <c r="AC36" s="17">
        <v>9</v>
      </c>
      <c r="AD36" s="647" t="s">
        <v>38</v>
      </c>
      <c r="AE36" s="647" t="s">
        <v>39</v>
      </c>
      <c r="AF36" s="647" t="s">
        <v>796</v>
      </c>
    </row>
    <row r="37" spans="1:32" x14ac:dyDescent="0.25">
      <c r="A37" s="56" t="s">
        <v>797</v>
      </c>
      <c r="B37" s="17">
        <v>0.8</v>
      </c>
      <c r="S37" s="17">
        <v>10</v>
      </c>
      <c r="T37" s="17" t="s">
        <v>43</v>
      </c>
      <c r="U37" s="17" t="s">
        <v>44</v>
      </c>
      <c r="V37" s="17" t="s">
        <v>45</v>
      </c>
      <c r="W37" s="772" t="s">
        <v>798</v>
      </c>
      <c r="X37" s="849" t="s">
        <v>1229</v>
      </c>
      <c r="Y37" s="16">
        <v>10</v>
      </c>
      <c r="Z37" s="16" t="s">
        <v>43</v>
      </c>
      <c r="AA37" s="16" t="s">
        <v>44</v>
      </c>
      <c r="AB37" s="16" t="s">
        <v>45</v>
      </c>
      <c r="AC37" s="17">
        <v>10</v>
      </c>
      <c r="AD37" s="560" t="s">
        <v>43</v>
      </c>
      <c r="AE37" s="560" t="s">
        <v>44</v>
      </c>
      <c r="AF37" s="560" t="s">
        <v>798</v>
      </c>
    </row>
    <row r="38" spans="1:32" x14ac:dyDescent="0.25">
      <c r="S38" s="17">
        <v>11</v>
      </c>
      <c r="T38" s="17" t="s">
        <v>49</v>
      </c>
      <c r="U38" s="17" t="s">
        <v>50</v>
      </c>
      <c r="V38" s="17"/>
      <c r="W38" s="772" t="s">
        <v>853</v>
      </c>
      <c r="Y38" s="16">
        <v>11</v>
      </c>
      <c r="Z38" s="16" t="s">
        <v>49</v>
      </c>
      <c r="AA38" s="16" t="s">
        <v>50</v>
      </c>
      <c r="AC38" s="17">
        <v>11</v>
      </c>
      <c r="AD38" s="405" t="s">
        <v>799</v>
      </c>
      <c r="AE38" s="405" t="s">
        <v>800</v>
      </c>
      <c r="AF38" s="405" t="s">
        <v>801</v>
      </c>
    </row>
    <row r="39" spans="1:32" x14ac:dyDescent="0.25">
      <c r="A39" s="16" t="s">
        <v>802</v>
      </c>
      <c r="S39" s="17">
        <v>12</v>
      </c>
      <c r="T39" s="17" t="s">
        <v>52</v>
      </c>
      <c r="U39" s="17" t="s">
        <v>53</v>
      </c>
      <c r="V39" s="17" t="s">
        <v>54</v>
      </c>
      <c r="W39" s="772" t="s">
        <v>804</v>
      </c>
      <c r="Y39" s="16">
        <v>12</v>
      </c>
      <c r="Z39" s="16" t="s">
        <v>52</v>
      </c>
      <c r="AA39" s="16" t="s">
        <v>53</v>
      </c>
      <c r="AB39" s="16" t="s">
        <v>54</v>
      </c>
      <c r="AC39" s="17">
        <v>12</v>
      </c>
      <c r="AD39" s="664" t="s">
        <v>52</v>
      </c>
      <c r="AE39" s="664" t="s">
        <v>803</v>
      </c>
      <c r="AF39" s="664" t="s">
        <v>804</v>
      </c>
    </row>
    <row r="40" spans="1:32" x14ac:dyDescent="0.25">
      <c r="A40" s="16" t="s">
        <v>805</v>
      </c>
      <c r="B40" s="17">
        <v>1.35</v>
      </c>
      <c r="S40" s="17">
        <v>13</v>
      </c>
      <c r="T40" s="789" t="s">
        <v>1120</v>
      </c>
      <c r="U40" s="911" t="s">
        <v>1273</v>
      </c>
      <c r="V40" s="789" t="s">
        <v>1118</v>
      </c>
      <c r="W40" s="790" t="s">
        <v>1119</v>
      </c>
      <c r="Y40" s="16">
        <v>13</v>
      </c>
      <c r="Z40" s="16" t="s">
        <v>56</v>
      </c>
      <c r="AA40" s="16" t="s">
        <v>57</v>
      </c>
      <c r="AC40" s="17">
        <v>13</v>
      </c>
      <c r="AD40" s="17" t="s">
        <v>806</v>
      </c>
      <c r="AE40" s="534" t="s">
        <v>807</v>
      </c>
      <c r="AF40" s="464" t="s">
        <v>808</v>
      </c>
    </row>
    <row r="41" spans="1:32" x14ac:dyDescent="0.25">
      <c r="A41" s="16" t="s">
        <v>809</v>
      </c>
      <c r="B41" s="17">
        <v>3.15</v>
      </c>
      <c r="C41" s="16">
        <f>B41-B40</f>
        <v>1.7999999999999998</v>
      </c>
      <c r="S41" s="17">
        <v>14</v>
      </c>
      <c r="T41" s="17" t="s">
        <v>60</v>
      </c>
      <c r="U41" s="17" t="s">
        <v>61</v>
      </c>
      <c r="V41" s="17" t="s">
        <v>62</v>
      </c>
      <c r="W41" s="772" t="s">
        <v>810</v>
      </c>
      <c r="Y41" s="16">
        <v>14</v>
      </c>
      <c r="Z41" s="16" t="s">
        <v>60</v>
      </c>
      <c r="AA41" s="16" t="s">
        <v>61</v>
      </c>
      <c r="AB41" s="16" t="s">
        <v>62</v>
      </c>
      <c r="AC41" s="17">
        <v>14</v>
      </c>
      <c r="AD41" s="666" t="s">
        <v>60</v>
      </c>
      <c r="AE41" s="666" t="s">
        <v>61</v>
      </c>
      <c r="AF41" s="666" t="s">
        <v>810</v>
      </c>
    </row>
    <row r="42" spans="1:32" x14ac:dyDescent="0.25">
      <c r="A42" s="143" t="s">
        <v>811</v>
      </c>
      <c r="B42" s="17">
        <v>5.35</v>
      </c>
      <c r="C42" s="16">
        <f>B42-B41</f>
        <v>2.1999999999999997</v>
      </c>
      <c r="J42" s="16" t="s">
        <v>809</v>
      </c>
      <c r="S42" s="17">
        <v>15</v>
      </c>
      <c r="T42" s="17" t="s">
        <v>65</v>
      </c>
      <c r="U42" s="17" t="s">
        <v>66</v>
      </c>
      <c r="V42" s="17" t="s">
        <v>67</v>
      </c>
      <c r="W42" s="772" t="s">
        <v>812</v>
      </c>
      <c r="Y42" s="16">
        <v>15</v>
      </c>
      <c r="Z42" s="16" t="s">
        <v>65</v>
      </c>
      <c r="AA42" s="16" t="s">
        <v>66</v>
      </c>
      <c r="AB42" s="16" t="s">
        <v>67</v>
      </c>
      <c r="AC42" s="17">
        <v>15</v>
      </c>
      <c r="AD42" s="673" t="s">
        <v>65</v>
      </c>
      <c r="AE42" s="673" t="s">
        <v>66</v>
      </c>
      <c r="AF42" s="673" t="s">
        <v>812</v>
      </c>
    </row>
    <row r="43" spans="1:32" x14ac:dyDescent="0.25">
      <c r="A43" s="16" t="s">
        <v>813</v>
      </c>
      <c r="B43" s="17">
        <v>7.55</v>
      </c>
      <c r="C43" s="16">
        <f>B43-B42</f>
        <v>2.2000000000000002</v>
      </c>
      <c r="S43" s="17">
        <v>16</v>
      </c>
      <c r="T43" s="17" t="s">
        <v>70</v>
      </c>
      <c r="U43" s="773" t="s">
        <v>1041</v>
      </c>
      <c r="V43" s="17" t="s">
        <v>72</v>
      </c>
      <c r="W43" s="774" t="s">
        <v>821</v>
      </c>
      <c r="Y43" s="16">
        <v>16</v>
      </c>
      <c r="Z43" s="16" t="s">
        <v>70</v>
      </c>
      <c r="AA43" s="16" t="s">
        <v>71</v>
      </c>
      <c r="AB43" s="16" t="s">
        <v>72</v>
      </c>
      <c r="AC43" s="17">
        <v>16</v>
      </c>
      <c r="AD43" s="650" t="s">
        <v>18</v>
      </c>
      <c r="AE43" s="650" t="s">
        <v>814</v>
      </c>
      <c r="AF43" s="650" t="s">
        <v>815</v>
      </c>
    </row>
    <row r="44" spans="1:32" x14ac:dyDescent="0.25">
      <c r="A44" s="166" t="s">
        <v>816</v>
      </c>
      <c r="B44" s="17">
        <v>9</v>
      </c>
      <c r="S44" s="17">
        <v>17</v>
      </c>
      <c r="T44" s="17" t="s">
        <v>74</v>
      </c>
      <c r="U44" s="17" t="s">
        <v>75</v>
      </c>
      <c r="V44" s="17" t="s">
        <v>76</v>
      </c>
      <c r="W44" s="772" t="s">
        <v>817</v>
      </c>
      <c r="Y44" s="16">
        <v>17</v>
      </c>
      <c r="Z44" s="16" t="s">
        <v>74</v>
      </c>
      <c r="AA44" s="16" t="s">
        <v>75</v>
      </c>
      <c r="AB44" s="16" t="s">
        <v>76</v>
      </c>
      <c r="AC44" s="17">
        <v>17</v>
      </c>
      <c r="AD44" s="17" t="s">
        <v>74</v>
      </c>
      <c r="AE44" s="17" t="s">
        <v>75</v>
      </c>
      <c r="AF44" s="686" t="s">
        <v>817</v>
      </c>
    </row>
    <row r="45" spans="1:32" x14ac:dyDescent="0.25">
      <c r="A45" s="548" t="s">
        <v>818</v>
      </c>
      <c r="B45" s="17">
        <v>11.5</v>
      </c>
      <c r="J45" s="147" t="s">
        <v>819</v>
      </c>
      <c r="S45" s="17">
        <v>18</v>
      </c>
      <c r="T45" s="17" t="s">
        <v>79</v>
      </c>
      <c r="U45" s="17" t="s">
        <v>80</v>
      </c>
      <c r="V45" s="17" t="s">
        <v>81</v>
      </c>
      <c r="W45" s="774" t="s">
        <v>828</v>
      </c>
      <c r="Y45" s="16">
        <v>18</v>
      </c>
      <c r="Z45" s="16" t="s">
        <v>79</v>
      </c>
      <c r="AA45" s="16" t="s">
        <v>80</v>
      </c>
      <c r="AB45" s="16" t="s">
        <v>81</v>
      </c>
      <c r="AC45" s="17">
        <v>18</v>
      </c>
      <c r="AD45" s="671" t="s">
        <v>70</v>
      </c>
      <c r="AE45" s="671" t="s">
        <v>820</v>
      </c>
      <c r="AF45" s="672" t="s">
        <v>821</v>
      </c>
    </row>
    <row r="46" spans="1:32" x14ac:dyDescent="0.25">
      <c r="A46" s="147" t="s">
        <v>822</v>
      </c>
      <c r="B46" s="147" t="s">
        <v>823</v>
      </c>
      <c r="C46" s="147" t="s">
        <v>824</v>
      </c>
      <c r="D46" s="147" t="s">
        <v>825</v>
      </c>
      <c r="J46" s="147" t="s">
        <v>826</v>
      </c>
      <c r="K46" s="147" t="s">
        <v>827</v>
      </c>
      <c r="M46" s="561"/>
      <c r="S46" s="17">
        <v>19</v>
      </c>
      <c r="T46" s="17" t="s">
        <v>84</v>
      </c>
      <c r="U46" s="17"/>
      <c r="V46" s="17" t="s">
        <v>85</v>
      </c>
      <c r="W46" s="774" t="s">
        <v>1002</v>
      </c>
      <c r="Y46" s="16">
        <v>19</v>
      </c>
      <c r="Z46" s="16" t="s">
        <v>84</v>
      </c>
      <c r="AB46" s="16" t="s">
        <v>85</v>
      </c>
      <c r="AC46" s="17">
        <v>19</v>
      </c>
      <c r="AD46" s="683" t="s">
        <v>79</v>
      </c>
      <c r="AE46" s="683" t="s">
        <v>80</v>
      </c>
      <c r="AF46" s="684" t="s">
        <v>828</v>
      </c>
    </row>
    <row r="47" spans="1:32" x14ac:dyDescent="0.25">
      <c r="A47" s="535" t="s">
        <v>829</v>
      </c>
      <c r="B47" s="107" t="s">
        <v>830</v>
      </c>
      <c r="C47" s="17">
        <v>120</v>
      </c>
      <c r="D47" s="17">
        <v>-0.7</v>
      </c>
      <c r="J47" s="470" t="s">
        <v>831</v>
      </c>
      <c r="K47" s="470" t="s">
        <v>832</v>
      </c>
      <c r="L47" s="17"/>
      <c r="M47" s="17"/>
      <c r="S47" s="17">
        <v>20</v>
      </c>
      <c r="T47" s="17" t="s">
        <v>90</v>
      </c>
      <c r="U47" s="17" t="s">
        <v>91</v>
      </c>
      <c r="V47" s="17" t="s">
        <v>92</v>
      </c>
      <c r="W47" s="772" t="s">
        <v>833</v>
      </c>
      <c r="Y47" s="16">
        <v>20</v>
      </c>
      <c r="Z47" s="16" t="s">
        <v>90</v>
      </c>
      <c r="AA47" s="16" t="s">
        <v>91</v>
      </c>
      <c r="AB47" s="16" t="s">
        <v>92</v>
      </c>
      <c r="AC47" s="17">
        <v>20</v>
      </c>
      <c r="AD47" s="686" t="s">
        <v>90</v>
      </c>
      <c r="AE47" s="688" t="s">
        <v>91</v>
      </c>
      <c r="AF47" s="688" t="s">
        <v>833</v>
      </c>
    </row>
    <row r="48" spans="1:32" x14ac:dyDescent="0.25">
      <c r="A48" s="535" t="s">
        <v>834</v>
      </c>
      <c r="B48" s="107" t="s">
        <v>835</v>
      </c>
      <c r="C48" s="17">
        <v>300</v>
      </c>
      <c r="D48" s="17">
        <v>-1</v>
      </c>
      <c r="J48" s="470" t="s">
        <v>836</v>
      </c>
      <c r="K48" s="470" t="s">
        <v>837</v>
      </c>
      <c r="L48" s="17"/>
      <c r="M48" s="17"/>
      <c r="S48" s="17">
        <v>21</v>
      </c>
      <c r="T48" s="17" t="s">
        <v>94</v>
      </c>
      <c r="U48" s="17" t="s">
        <v>95</v>
      </c>
      <c r="V48" s="17" t="s">
        <v>96</v>
      </c>
      <c r="W48" s="772" t="s">
        <v>838</v>
      </c>
      <c r="Y48" s="16">
        <v>21</v>
      </c>
      <c r="Z48" s="16" t="s">
        <v>94</v>
      </c>
      <c r="AA48" s="16" t="s">
        <v>95</v>
      </c>
      <c r="AB48" s="16" t="s">
        <v>96</v>
      </c>
      <c r="AC48" s="17">
        <v>21</v>
      </c>
      <c r="AD48" s="657" t="s">
        <v>94</v>
      </c>
      <c r="AE48" s="657" t="s">
        <v>95</v>
      </c>
      <c r="AF48" s="703" t="s">
        <v>838</v>
      </c>
    </row>
    <row r="49" spans="1:33" x14ac:dyDescent="0.25">
      <c r="A49" s="535" t="s">
        <v>839</v>
      </c>
      <c r="B49" s="194" t="s">
        <v>840</v>
      </c>
      <c r="C49" s="17">
        <v>300</v>
      </c>
      <c r="D49" s="17">
        <v>-1</v>
      </c>
      <c r="J49" s="473" t="s">
        <v>163</v>
      </c>
      <c r="K49" s="473" t="s">
        <v>841</v>
      </c>
      <c r="L49" s="17"/>
      <c r="M49" s="17"/>
      <c r="S49" s="17">
        <v>22</v>
      </c>
      <c r="T49" s="773" t="s">
        <v>56</v>
      </c>
      <c r="U49" s="773" t="s">
        <v>57</v>
      </c>
      <c r="V49" s="773"/>
      <c r="W49" s="772" t="s">
        <v>842</v>
      </c>
      <c r="AC49" s="17">
        <v>22</v>
      </c>
      <c r="AD49" s="657" t="s">
        <v>56</v>
      </c>
      <c r="AE49" s="657" t="s">
        <v>57</v>
      </c>
      <c r="AF49" s="656" t="s">
        <v>842</v>
      </c>
    </row>
    <row r="50" spans="1:33" x14ac:dyDescent="0.25">
      <c r="A50" s="107" t="s">
        <v>843</v>
      </c>
      <c r="B50" s="107" t="s">
        <v>844</v>
      </c>
      <c r="C50" s="17">
        <v>80</v>
      </c>
      <c r="D50" s="17">
        <v>-0.7</v>
      </c>
      <c r="J50" s="474" t="s">
        <v>405</v>
      </c>
      <c r="K50" s="474" t="s">
        <v>845</v>
      </c>
      <c r="L50" s="17"/>
      <c r="M50" s="17"/>
      <c r="S50" s="17">
        <v>23</v>
      </c>
      <c r="T50" s="773" t="s">
        <v>846</v>
      </c>
      <c r="U50" s="773" t="s">
        <v>847</v>
      </c>
      <c r="V50" s="773"/>
      <c r="W50" s="772" t="s">
        <v>848</v>
      </c>
      <c r="AC50" s="17">
        <v>23</v>
      </c>
      <c r="AD50" s="398" t="s">
        <v>846</v>
      </c>
      <c r="AE50" s="398" t="s">
        <v>847</v>
      </c>
      <c r="AF50" s="398" t="s">
        <v>848</v>
      </c>
    </row>
    <row r="51" spans="1:33" x14ac:dyDescent="0.25">
      <c r="A51" s="107" t="s">
        <v>849</v>
      </c>
      <c r="B51" s="107" t="s">
        <v>850</v>
      </c>
      <c r="C51" s="17">
        <v>120</v>
      </c>
      <c r="D51" s="17">
        <v>-0.8</v>
      </c>
      <c r="J51" s="547" t="s">
        <v>73</v>
      </c>
      <c r="K51" s="547" t="s">
        <v>851</v>
      </c>
      <c r="L51" s="17"/>
      <c r="M51" s="17"/>
      <c r="S51" s="17">
        <v>24</v>
      </c>
      <c r="T51" s="773" t="s">
        <v>995</v>
      </c>
      <c r="U51" s="773" t="s">
        <v>1003</v>
      </c>
      <c r="V51" s="773" t="s">
        <v>994</v>
      </c>
      <c r="W51" s="772" t="s">
        <v>996</v>
      </c>
      <c r="AC51" s="17">
        <v>24</v>
      </c>
      <c r="AD51" s="563" t="s">
        <v>852</v>
      </c>
      <c r="AE51" s="563" t="s">
        <v>50</v>
      </c>
      <c r="AF51" s="563" t="s">
        <v>853</v>
      </c>
    </row>
    <row r="52" spans="1:33" x14ac:dyDescent="0.25">
      <c r="A52" s="107" t="s">
        <v>854</v>
      </c>
      <c r="B52" s="107" t="s">
        <v>855</v>
      </c>
      <c r="C52" s="17">
        <v>200</v>
      </c>
      <c r="D52" s="17">
        <v>-1</v>
      </c>
      <c r="J52" s="576" t="s">
        <v>162</v>
      </c>
      <c r="K52" s="576" t="s">
        <v>856</v>
      </c>
      <c r="L52" s="17"/>
      <c r="M52" s="17"/>
      <c r="S52" s="17">
        <v>25</v>
      </c>
      <c r="T52" s="843" t="s">
        <v>1220</v>
      </c>
      <c r="U52" s="843" t="s">
        <v>1221</v>
      </c>
      <c r="V52" s="845" t="s">
        <v>1222</v>
      </c>
      <c r="W52" s="844" t="s">
        <v>1215</v>
      </c>
      <c r="AC52" s="17">
        <v>25</v>
      </c>
      <c r="AD52" s="17" t="s">
        <v>74</v>
      </c>
      <c r="AE52" s="17" t="s">
        <v>75</v>
      </c>
      <c r="AF52" s="686" t="s">
        <v>817</v>
      </c>
    </row>
    <row r="53" spans="1:33" x14ac:dyDescent="0.25">
      <c r="A53" s="535" t="s">
        <v>73</v>
      </c>
      <c r="B53" s="107" t="s">
        <v>857</v>
      </c>
      <c r="C53" s="17">
        <v>80</v>
      </c>
      <c r="D53" s="17">
        <v>-0.7</v>
      </c>
      <c r="J53" s="562" t="s">
        <v>858</v>
      </c>
      <c r="K53" s="562" t="s">
        <v>859</v>
      </c>
      <c r="L53" s="17"/>
      <c r="M53" s="17"/>
      <c r="S53" s="17">
        <v>26</v>
      </c>
      <c r="T53" s="825" t="s">
        <v>1053</v>
      </c>
      <c r="U53" s="825" t="s">
        <v>1054</v>
      </c>
      <c r="V53" s="825" t="s">
        <v>1056</v>
      </c>
      <c r="W53" s="826" t="s">
        <v>1055</v>
      </c>
      <c r="AC53" s="17">
        <v>26</v>
      </c>
      <c r="AD53" s="825" t="s">
        <v>1053</v>
      </c>
      <c r="AE53" s="825" t="s">
        <v>1054</v>
      </c>
      <c r="AF53" s="825" t="s">
        <v>1056</v>
      </c>
      <c r="AG53" s="826" t="s">
        <v>1055</v>
      </c>
    </row>
    <row r="54" spans="1:33" x14ac:dyDescent="0.25">
      <c r="A54" s="535" t="s">
        <v>860</v>
      </c>
      <c r="B54" s="107" t="s">
        <v>861</v>
      </c>
      <c r="C54" s="17">
        <v>400</v>
      </c>
      <c r="D54" s="17">
        <v>-1</v>
      </c>
      <c r="J54" s="712" t="s">
        <v>102</v>
      </c>
      <c r="K54" s="712" t="s">
        <v>862</v>
      </c>
      <c r="L54" s="17"/>
      <c r="M54" s="17"/>
      <c r="S54" s="17">
        <v>30</v>
      </c>
      <c r="T54" s="825" t="s">
        <v>1164</v>
      </c>
      <c r="U54" s="904" t="s">
        <v>1266</v>
      </c>
      <c r="V54" s="825" t="s">
        <v>1166</v>
      </c>
      <c r="W54" s="826" t="s">
        <v>1167</v>
      </c>
      <c r="AC54" s="17">
        <v>30</v>
      </c>
      <c r="AD54" s="825" t="s">
        <v>1164</v>
      </c>
      <c r="AE54" s="825" t="s">
        <v>1165</v>
      </c>
      <c r="AF54" s="825" t="s">
        <v>1166</v>
      </c>
      <c r="AG54" s="826" t="s">
        <v>1167</v>
      </c>
    </row>
    <row r="55" spans="1:33" x14ac:dyDescent="0.25">
      <c r="A55" s="535" t="s">
        <v>863</v>
      </c>
      <c r="B55" s="107" t="s">
        <v>864</v>
      </c>
      <c r="C55" s="17">
        <v>150</v>
      </c>
      <c r="D55" s="17">
        <v>-1</v>
      </c>
      <c r="J55" s="107"/>
      <c r="K55" s="107"/>
      <c r="L55" s="17"/>
      <c r="M55" s="17"/>
      <c r="S55" s="17">
        <v>31</v>
      </c>
      <c r="T55" s="825" t="s">
        <v>1168</v>
      </c>
      <c r="U55" s="825" t="s">
        <v>1169</v>
      </c>
      <c r="V55" s="825" t="s">
        <v>1170</v>
      </c>
      <c r="W55" s="826" t="s">
        <v>1171</v>
      </c>
      <c r="AC55" s="17">
        <v>31</v>
      </c>
      <c r="AD55" s="825" t="s">
        <v>852</v>
      </c>
      <c r="AE55" s="825" t="s">
        <v>50</v>
      </c>
      <c r="AF55" s="17"/>
      <c r="AG55" s="54"/>
    </row>
    <row r="56" spans="1:33" x14ac:dyDescent="0.25">
      <c r="A56" s="535" t="s">
        <v>582</v>
      </c>
      <c r="B56" s="107" t="s">
        <v>865</v>
      </c>
      <c r="C56" s="17">
        <v>150</v>
      </c>
      <c r="D56" s="17">
        <v>-1</v>
      </c>
      <c r="J56" s="107"/>
      <c r="K56" s="107"/>
      <c r="L56" s="17"/>
      <c r="M56" s="17"/>
      <c r="S56" s="17">
        <v>32</v>
      </c>
      <c r="T56" s="830" t="s">
        <v>1176</v>
      </c>
      <c r="U56" s="830" t="s">
        <v>1177</v>
      </c>
      <c r="V56" s="830" t="s">
        <v>1179</v>
      </c>
      <c r="W56" s="831" t="s">
        <v>1178</v>
      </c>
      <c r="AC56" s="17">
        <v>32</v>
      </c>
      <c r="AD56" s="17"/>
      <c r="AE56" s="17"/>
      <c r="AF56" s="17"/>
      <c r="AG56" s="54"/>
    </row>
    <row r="57" spans="1:33" x14ac:dyDescent="0.25">
      <c r="A57" s="179" t="s">
        <v>866</v>
      </c>
      <c r="B57" s="179" t="s">
        <v>867</v>
      </c>
      <c r="C57" s="17">
        <v>350</v>
      </c>
      <c r="D57" s="17">
        <v>-1.2</v>
      </c>
      <c r="J57" s="179"/>
      <c r="K57" s="179"/>
      <c r="L57" s="17"/>
      <c r="M57" s="17"/>
      <c r="S57" s="17">
        <v>33</v>
      </c>
      <c r="T57" s="773" t="s">
        <v>1079</v>
      </c>
      <c r="U57" s="773" t="s">
        <v>1080</v>
      </c>
      <c r="V57" s="773" t="s">
        <v>1081</v>
      </c>
      <c r="W57" s="772" t="s">
        <v>1082</v>
      </c>
      <c r="AC57" s="17">
        <v>33</v>
      </c>
      <c r="AD57" s="17"/>
      <c r="AE57" s="17"/>
      <c r="AF57" s="17"/>
      <c r="AG57" s="54"/>
    </row>
    <row r="58" spans="1:33" x14ac:dyDescent="0.25">
      <c r="A58" s="386" t="s">
        <v>868</v>
      </c>
      <c r="B58" s="194" t="s">
        <v>840</v>
      </c>
      <c r="C58" s="17">
        <v>168</v>
      </c>
      <c r="D58" s="17">
        <v>-1</v>
      </c>
      <c r="J58" s="386"/>
      <c r="K58" s="194"/>
      <c r="L58" s="17"/>
      <c r="M58" s="17"/>
      <c r="S58" s="17">
        <v>34</v>
      </c>
      <c r="T58" s="834" t="s">
        <v>1185</v>
      </c>
      <c r="U58" s="834" t="s">
        <v>1186</v>
      </c>
      <c r="V58" s="834" t="s">
        <v>1187</v>
      </c>
      <c r="W58" s="835" t="s">
        <v>1188</v>
      </c>
      <c r="AC58" s="17">
        <v>34</v>
      </c>
      <c r="AD58" s="17"/>
      <c r="AE58" s="17"/>
      <c r="AF58" s="17"/>
      <c r="AG58" s="54"/>
    </row>
    <row r="59" spans="1:33" ht="15.75" customHeight="1" thickBot="1" x14ac:dyDescent="0.3">
      <c r="S59" s="17">
        <v>35</v>
      </c>
      <c r="T59" s="841" t="s">
        <v>1197</v>
      </c>
      <c r="U59" s="841" t="s">
        <v>14</v>
      </c>
      <c r="V59" s="841" t="s">
        <v>1202</v>
      </c>
      <c r="W59" s="842" t="s">
        <v>1203</v>
      </c>
      <c r="AC59" s="17">
        <v>35</v>
      </c>
      <c r="AD59" s="17"/>
      <c r="AE59" s="17"/>
      <c r="AF59" s="17"/>
      <c r="AG59" s="54"/>
    </row>
    <row r="60" spans="1:33" ht="18.75" customHeight="1" x14ac:dyDescent="0.3">
      <c r="A60" s="69" t="s">
        <v>869</v>
      </c>
      <c r="B60" s="41"/>
      <c r="C60" s="41"/>
      <c r="S60" s="17">
        <v>36</v>
      </c>
      <c r="T60" s="841" t="s">
        <v>1198</v>
      </c>
      <c r="U60" s="841" t="s">
        <v>1199</v>
      </c>
      <c r="V60" s="841" t="s">
        <v>1200</v>
      </c>
      <c r="W60" s="842" t="s">
        <v>1201</v>
      </c>
    </row>
    <row r="61" spans="1:33" x14ac:dyDescent="0.25">
      <c r="S61" s="17">
        <v>37</v>
      </c>
      <c r="T61" s="843" t="s">
        <v>1212</v>
      </c>
      <c r="U61" s="843" t="s">
        <v>1213</v>
      </c>
      <c r="V61" s="843" t="s">
        <v>1219</v>
      </c>
      <c r="W61" s="844" t="s">
        <v>1216</v>
      </c>
      <c r="AD61" s="825" t="s">
        <v>852</v>
      </c>
      <c r="AE61" s="825" t="s">
        <v>50</v>
      </c>
    </row>
    <row r="62" spans="1:33" x14ac:dyDescent="0.25">
      <c r="S62" s="17">
        <v>38</v>
      </c>
      <c r="T62" s="843" t="s">
        <v>1211</v>
      </c>
      <c r="U62" s="843" t="s">
        <v>1214</v>
      </c>
      <c r="V62" s="843" t="s">
        <v>1218</v>
      </c>
      <c r="W62" s="844" t="s">
        <v>1217</v>
      </c>
    </row>
    <row r="63" spans="1:33" x14ac:dyDescent="0.25">
      <c r="S63" s="17">
        <v>39</v>
      </c>
      <c r="T63" s="846" t="s">
        <v>1223</v>
      </c>
      <c r="U63" s="846" t="s">
        <v>1224</v>
      </c>
      <c r="V63" s="846" t="s">
        <v>1225</v>
      </c>
      <c r="W63" s="847" t="s">
        <v>1226</v>
      </c>
      <c r="X63" s="848" t="s">
        <v>1227</v>
      </c>
    </row>
    <row r="64" spans="1:33" x14ac:dyDescent="0.25">
      <c r="S64" s="17">
        <v>40</v>
      </c>
      <c r="T64" s="912" t="s">
        <v>1274</v>
      </c>
      <c r="U64" s="916" t="s">
        <v>1280</v>
      </c>
      <c r="V64" s="912" t="s">
        <v>1275</v>
      </c>
      <c r="W64" s="913" t="s">
        <v>1276</v>
      </c>
    </row>
    <row r="65" spans="1:23" x14ac:dyDescent="0.25">
      <c r="S65" s="17">
        <v>41</v>
      </c>
      <c r="T65" s="914" t="s">
        <v>1277</v>
      </c>
      <c r="U65" s="916" t="s">
        <v>1281</v>
      </c>
      <c r="V65" s="914" t="s">
        <v>1278</v>
      </c>
      <c r="W65" s="915" t="s">
        <v>1279</v>
      </c>
    </row>
    <row r="66" spans="1:23" x14ac:dyDescent="0.25">
      <c r="S66" s="17">
        <v>42</v>
      </c>
      <c r="T66" s="930" t="s">
        <v>1307</v>
      </c>
      <c r="U66" s="930" t="s">
        <v>1309</v>
      </c>
      <c r="V66" s="930" t="s">
        <v>1308</v>
      </c>
      <c r="W66" s="931" t="s">
        <v>1310</v>
      </c>
    </row>
    <row r="67" spans="1:23" x14ac:dyDescent="0.25">
      <c r="N67" s="62"/>
      <c r="S67" s="17">
        <v>43</v>
      </c>
      <c r="T67" s="17"/>
      <c r="U67" s="17"/>
      <c r="V67" s="17"/>
      <c r="W67" s="54"/>
    </row>
    <row r="68" spans="1:23" x14ac:dyDescent="0.25">
      <c r="S68" s="17">
        <v>44</v>
      </c>
      <c r="T68" s="17"/>
      <c r="U68" s="17"/>
      <c r="V68" s="17"/>
      <c r="W68" s="54"/>
    </row>
    <row r="69" spans="1:23" x14ac:dyDescent="0.25">
      <c r="S69" s="17">
        <v>45</v>
      </c>
      <c r="T69" s="17"/>
      <c r="U69" s="17"/>
      <c r="V69" s="17"/>
      <c r="W69" s="54"/>
    </row>
    <row r="70" spans="1:23" ht="15.75" customHeight="1" thickBot="1" x14ac:dyDescent="0.3">
      <c r="S70" s="17">
        <v>46</v>
      </c>
      <c r="T70" s="17"/>
      <c r="U70" s="17"/>
      <c r="V70" s="17"/>
      <c r="W70" s="54"/>
    </row>
    <row r="71" spans="1:23" ht="18.75" customHeight="1" x14ac:dyDescent="0.3">
      <c r="D71" s="41"/>
      <c r="E71" s="41"/>
      <c r="F71" s="41"/>
      <c r="G71" s="41"/>
      <c r="H71" s="41"/>
      <c r="I71" s="40"/>
      <c r="J71" s="69"/>
      <c r="K71" s="41"/>
      <c r="L71" s="41"/>
      <c r="M71" s="41"/>
      <c r="N71" s="41"/>
      <c r="O71" s="41"/>
      <c r="P71" s="40"/>
    </row>
    <row r="72" spans="1:23" ht="18.75" customHeight="1" x14ac:dyDescent="0.3">
      <c r="I72" s="42"/>
      <c r="J72" s="77"/>
      <c r="P72" s="42"/>
    </row>
    <row r="73" spans="1:23" x14ac:dyDescent="0.25">
      <c r="I73" s="42"/>
      <c r="J73" s="61" t="s">
        <v>211</v>
      </c>
      <c r="K73" s="62" t="s">
        <v>143</v>
      </c>
      <c r="L73" s="62" t="s">
        <v>158</v>
      </c>
      <c r="M73" s="388" t="s">
        <v>157</v>
      </c>
      <c r="N73" s="388" t="s">
        <v>171</v>
      </c>
      <c r="O73" s="388" t="s">
        <v>177</v>
      </c>
      <c r="P73" s="42"/>
    </row>
    <row r="74" spans="1:23" x14ac:dyDescent="0.25">
      <c r="I74" s="42"/>
      <c r="J74" s="56" t="s">
        <v>870</v>
      </c>
      <c r="K74" s="57">
        <f>((K80-14)/4)-13</f>
        <v>88.5</v>
      </c>
      <c r="L74" s="57">
        <f>((L80-14)/4)-13</f>
        <v>132</v>
      </c>
      <c r="M74" s="57">
        <f>((M80-14)/4)-13</f>
        <v>177</v>
      </c>
      <c r="N74" s="253">
        <f>((N80-14)/4)-13</f>
        <v>222</v>
      </c>
      <c r="O74" s="118"/>
      <c r="P74" s="42"/>
    </row>
    <row r="75" spans="1:23" x14ac:dyDescent="0.25">
      <c r="I75" s="42"/>
      <c r="J75" s="56"/>
      <c r="K75" s="57">
        <v>1</v>
      </c>
      <c r="L75" s="57">
        <f>2^0.5*K75</f>
        <v>1.4142135623730951</v>
      </c>
      <c r="M75" s="57">
        <f>2^0.5*L75</f>
        <v>2.0000000000000004</v>
      </c>
      <c r="N75" s="57">
        <f>2^0.5*M75</f>
        <v>2.8284271247461907</v>
      </c>
      <c r="O75" s="118"/>
      <c r="P75" s="42"/>
    </row>
    <row r="76" spans="1:23" ht="18.75" customHeight="1" x14ac:dyDescent="0.3">
      <c r="I76" s="42"/>
      <c r="J76" s="77"/>
      <c r="P76" s="42"/>
    </row>
    <row r="77" spans="1:23" ht="18.75" customHeight="1" x14ac:dyDescent="0.3">
      <c r="D77" s="753" t="s">
        <v>1051</v>
      </c>
      <c r="I77" s="42"/>
      <c r="J77" s="77"/>
      <c r="O77" s="416" t="s">
        <v>871</v>
      </c>
      <c r="P77" s="17">
        <v>180</v>
      </c>
    </row>
    <row r="78" spans="1:23" ht="18.75" customHeight="1" x14ac:dyDescent="0.3">
      <c r="C78" s="753" t="s">
        <v>112</v>
      </c>
      <c r="D78" s="17">
        <v>200</v>
      </c>
      <c r="E78" s="17">
        <v>250</v>
      </c>
      <c r="G78" s="753" t="s">
        <v>1052</v>
      </c>
      <c r="I78" s="42"/>
      <c r="J78" s="77"/>
      <c r="K78" s="117" t="s">
        <v>872</v>
      </c>
      <c r="P78" s="42"/>
    </row>
    <row r="79" spans="1:23" x14ac:dyDescent="0.25">
      <c r="A79" s="71"/>
      <c r="B79" s="406">
        <f>INPUT!D14</f>
        <v>0</v>
      </c>
      <c r="C79" s="753" t="s">
        <v>1052</v>
      </c>
      <c r="D79" s="17"/>
      <c r="E79" s="17">
        <v>10</v>
      </c>
      <c r="G79" s="17">
        <f>Ontwerp!C48</f>
        <v>5.8252916346570061</v>
      </c>
      <c r="J79" s="71">
        <v>1</v>
      </c>
      <c r="K79" s="62" t="s">
        <v>143</v>
      </c>
      <c r="L79" s="62" t="s">
        <v>158</v>
      </c>
      <c r="M79" s="387" t="s">
        <v>157</v>
      </c>
      <c r="N79" s="387" t="s">
        <v>171</v>
      </c>
      <c r="O79" s="387" t="s">
        <v>177</v>
      </c>
      <c r="P79" s="387" t="s">
        <v>185</v>
      </c>
      <c r="Q79" s="387"/>
    </row>
    <row r="80" spans="1:23" x14ac:dyDescent="0.25">
      <c r="A80" s="71" t="s">
        <v>873</v>
      </c>
      <c r="B80" s="299" t="str">
        <f>IF(Ontwerp!T2&gt;0,Ontwerp!T2,IF(Ontwerp!I285&gt;26,"A2","A3"))</f>
        <v>A2Z4</v>
      </c>
      <c r="J80" s="78">
        <v>2</v>
      </c>
      <c r="K80" s="57">
        <v>420</v>
      </c>
      <c r="L80" s="57">
        <v>594</v>
      </c>
      <c r="M80" s="57">
        <f>L80+$P$77</f>
        <v>774</v>
      </c>
      <c r="N80" s="57">
        <f>M80+$P$77</f>
        <v>954</v>
      </c>
      <c r="O80" s="57">
        <f>N80+$P$77</f>
        <v>1134</v>
      </c>
      <c r="P80" s="57">
        <f>O80+$P$77</f>
        <v>1314</v>
      </c>
      <c r="Q80" s="57"/>
      <c r="R80" s="327" t="s">
        <v>874</v>
      </c>
    </row>
    <row r="81" spans="1:20" x14ac:dyDescent="0.25">
      <c r="A81" s="71"/>
      <c r="J81" s="78">
        <v>3</v>
      </c>
      <c r="K81" s="57">
        <v>297</v>
      </c>
      <c r="L81" s="57">
        <v>420</v>
      </c>
      <c r="M81" s="57">
        <v>420</v>
      </c>
      <c r="N81" s="57">
        <v>420</v>
      </c>
      <c r="O81" s="57">
        <v>420</v>
      </c>
      <c r="P81" s="57">
        <v>420</v>
      </c>
      <c r="Q81" s="57"/>
      <c r="R81" s="327" t="s">
        <v>875</v>
      </c>
    </row>
    <row r="82" spans="1:20" x14ac:dyDescent="0.25">
      <c r="A82" s="39"/>
      <c r="C82" s="56" t="s">
        <v>112</v>
      </c>
      <c r="D82" s="51">
        <v>50</v>
      </c>
      <c r="E82" s="51">
        <v>100</v>
      </c>
      <c r="F82" s="51">
        <v>200</v>
      </c>
      <c r="G82" s="51">
        <v>250</v>
      </c>
      <c r="H82" s="51">
        <v>500</v>
      </c>
      <c r="I82" s="72">
        <v>1000</v>
      </c>
      <c r="J82" s="78">
        <v>4</v>
      </c>
      <c r="K82" s="64">
        <f>E92-E90</f>
        <v>300</v>
      </c>
      <c r="L82" s="64">
        <f>F92-F90</f>
        <v>474</v>
      </c>
      <c r="M82" s="57">
        <f t="shared" ref="M82:P84" si="3">L82+$P$77</f>
        <v>654</v>
      </c>
      <c r="N82" s="57">
        <f t="shared" si="3"/>
        <v>834</v>
      </c>
      <c r="O82" s="57">
        <f t="shared" si="3"/>
        <v>1014</v>
      </c>
      <c r="P82" s="57">
        <f t="shared" si="3"/>
        <v>1194</v>
      </c>
      <c r="Q82" s="64"/>
      <c r="R82" s="327" t="s">
        <v>876</v>
      </c>
    </row>
    <row r="83" spans="1:20" x14ac:dyDescent="0.25">
      <c r="A83" s="74" t="s">
        <v>877</v>
      </c>
      <c r="B83" s="17">
        <f>IF(B85&lt;&gt;0,B85,_xlfn.XLOOKUP(Ontwerp!E288+Variabelen!S83,Variabelen!D83:I83,Variabelen!D82:I82,"CHECK SCHAAL",1))</f>
        <v>250</v>
      </c>
      <c r="C83" s="56" t="s">
        <v>870</v>
      </c>
      <c r="D83" s="264">
        <f>HLOOKUP($B80,$K79:$Q83,3,FALSE)*D82/1000</f>
        <v>21</v>
      </c>
      <c r="E83" s="264">
        <f>HLOOKUP($B80,$K79:$Q83,4,FALSE)*E82/1000</f>
        <v>119.4</v>
      </c>
      <c r="F83" s="264">
        <f>HLOOKUP($B80,$K79:$Q83,4,FALSE)*F82/1000</f>
        <v>238.8</v>
      </c>
      <c r="G83" s="264">
        <f>HLOOKUP($B80,$K79:$Q83,4,FALSE)*G82/1000</f>
        <v>298.5</v>
      </c>
      <c r="H83" s="264">
        <f>HLOOKUP($B80,$K79:$Q83,4,FALSE)*H82/1000</f>
        <v>597</v>
      </c>
      <c r="I83" s="264">
        <f>HLOOKUP($B80,$K79:$Q83,4,FALSE)*I82/1000</f>
        <v>1194</v>
      </c>
      <c r="J83" s="78">
        <v>5</v>
      </c>
      <c r="K83" s="64">
        <f>E98-E96</f>
        <v>335</v>
      </c>
      <c r="L83" s="64">
        <f>F98-F96</f>
        <v>509</v>
      </c>
      <c r="M83" s="57">
        <f t="shared" si="3"/>
        <v>689</v>
      </c>
      <c r="N83" s="57">
        <f t="shared" si="3"/>
        <v>869</v>
      </c>
      <c r="O83" s="57">
        <f t="shared" si="3"/>
        <v>1049</v>
      </c>
      <c r="P83" s="57">
        <f t="shared" si="3"/>
        <v>1229</v>
      </c>
      <c r="Q83" s="64"/>
      <c r="R83" s="327" t="s">
        <v>878</v>
      </c>
      <c r="S83" s="328">
        <v>50</v>
      </c>
      <c r="T83" s="327" t="s">
        <v>879</v>
      </c>
    </row>
    <row r="84" spans="1:20" x14ac:dyDescent="0.25">
      <c r="A84" s="74" t="s">
        <v>880</v>
      </c>
      <c r="B84" s="255">
        <f>IF(B86&lt;&gt;0,B86,IF(INPUT!D28=INPUT!S26,_xlfn.XLOOKUP(Ontwerp!I285+Variabelen!S84,Variabelen!D84:I84,Variabelen!D82:I82,"CHECK SCHAAL",1),IF(Variabelen!G79&gt;Variabelen!E79,Variabelen!E78,Variabelen!D78)))</f>
        <v>250</v>
      </c>
      <c r="C84" s="254" t="s">
        <v>881</v>
      </c>
      <c r="D84" s="264">
        <v>5</v>
      </c>
      <c r="E84" s="264">
        <v>6</v>
      </c>
      <c r="F84" s="264">
        <v>67</v>
      </c>
      <c r="G84" s="264">
        <f>HLOOKUP($B80,$K79:$Q83,5,FALSE)*G82/1000</f>
        <v>307.25</v>
      </c>
      <c r="H84" s="264">
        <f>HLOOKUP($B80,$K79:$Q83,5,FALSE)*H82/1000</f>
        <v>614.5</v>
      </c>
      <c r="I84" s="264">
        <f>HLOOKUP($B80,$K79:$Q83,5,FALSE)*I82/1000</f>
        <v>1229</v>
      </c>
      <c r="J84" s="78">
        <v>6</v>
      </c>
      <c r="K84" s="64">
        <v>0</v>
      </c>
      <c r="L84" s="57">
        <f>174</f>
        <v>174</v>
      </c>
      <c r="M84" s="64">
        <f t="shared" si="3"/>
        <v>354</v>
      </c>
      <c r="N84" s="64">
        <f t="shared" si="3"/>
        <v>534</v>
      </c>
      <c r="O84" s="64">
        <f t="shared" si="3"/>
        <v>714</v>
      </c>
      <c r="P84" s="64">
        <f t="shared" si="3"/>
        <v>894</v>
      </c>
      <c r="R84" s="545" t="s">
        <v>10</v>
      </c>
      <c r="S84" s="328">
        <v>15</v>
      </c>
      <c r="T84" s="327" t="s">
        <v>882</v>
      </c>
    </row>
    <row r="85" spans="1:20" ht="15.75" customHeight="1" thickBot="1" x14ac:dyDescent="0.3">
      <c r="A85" s="183" t="str">
        <f>IF(Ontwerp!P8&lt;&gt;Variabelen!B85,"FOUT",IF(Variabelen!B85&lt;&gt;0,"OVERRULED op INPUT blad",""))</f>
        <v>OVERRULED op INPUT blad</v>
      </c>
      <c r="B85" s="256">
        <f>Ontwerp!P8</f>
        <v>250</v>
      </c>
      <c r="C85" s="56"/>
      <c r="D85" s="119" t="s">
        <v>883</v>
      </c>
      <c r="I85" s="42"/>
      <c r="J85" s="78"/>
      <c r="K85" s="51"/>
      <c r="L85" s="51"/>
      <c r="M85" s="51"/>
      <c r="N85" s="51"/>
      <c r="P85" s="42"/>
    </row>
    <row r="86" spans="1:20" x14ac:dyDescent="0.25">
      <c r="A86" s="183" t="str">
        <f>IF(Ontwerp!Q8&lt;&gt;Variabelen!B86,"FOUT",IF(Variabelen!B86&lt;&gt;0,"OVERRULED op INPUT blad",""))</f>
        <v/>
      </c>
      <c r="B86" s="256">
        <f>Ontwerp!Q8</f>
        <v>0</v>
      </c>
      <c r="C86" s="56"/>
      <c r="D86" s="117" t="s">
        <v>211</v>
      </c>
      <c r="E86" s="57" t="s">
        <v>143</v>
      </c>
      <c r="F86" s="57" t="s">
        <v>158</v>
      </c>
      <c r="G86" s="544" t="s">
        <v>157</v>
      </c>
      <c r="H86" s="544" t="s">
        <v>171</v>
      </c>
      <c r="I86" s="544" t="s">
        <v>177</v>
      </c>
      <c r="J86" s="544" t="s">
        <v>185</v>
      </c>
      <c r="K86" s="51"/>
      <c r="L86" s="51"/>
      <c r="M86" s="51"/>
      <c r="N86" s="51"/>
      <c r="P86" s="42"/>
    </row>
    <row r="87" spans="1:20" x14ac:dyDescent="0.25">
      <c r="A87" s="73" t="s">
        <v>884</v>
      </c>
      <c r="E87" s="64">
        <v>0</v>
      </c>
      <c r="F87" s="57">
        <f>174</f>
        <v>174</v>
      </c>
      <c r="G87" s="64">
        <f>F87+180</f>
        <v>354</v>
      </c>
      <c r="H87" s="64">
        <f>G87+180</f>
        <v>534</v>
      </c>
      <c r="I87" s="64">
        <f>H87+180</f>
        <v>714</v>
      </c>
      <c r="J87" s="64">
        <f>I87+180</f>
        <v>894</v>
      </c>
      <c r="K87" s="51"/>
      <c r="L87" s="51"/>
      <c r="M87" s="51"/>
      <c r="N87" s="51"/>
      <c r="P87" s="42"/>
    </row>
    <row r="88" spans="1:20" ht="15.75" customHeight="1" thickBot="1" x14ac:dyDescent="0.3">
      <c r="A88" s="39"/>
      <c r="D88" s="117" t="s">
        <v>883</v>
      </c>
      <c r="I88" s="42"/>
      <c r="J88" s="78"/>
      <c r="K88" s="51"/>
      <c r="L88" s="51"/>
      <c r="M88" s="51"/>
      <c r="N88" s="51"/>
      <c r="P88" s="42"/>
    </row>
    <row r="89" spans="1:20" x14ac:dyDescent="0.25">
      <c r="A89" s="860" t="s">
        <v>885</v>
      </c>
      <c r="B89" s="41"/>
      <c r="C89" s="41"/>
      <c r="D89" s="861">
        <v>1</v>
      </c>
      <c r="E89" s="862" t="s">
        <v>143</v>
      </c>
      <c r="F89" s="862" t="s">
        <v>158</v>
      </c>
      <c r="G89" s="863" t="s">
        <v>157</v>
      </c>
      <c r="H89" s="863" t="s">
        <v>171</v>
      </c>
      <c r="I89" s="863" t="s">
        <v>177</v>
      </c>
      <c r="J89" s="864" t="s">
        <v>185</v>
      </c>
      <c r="K89" s="51"/>
      <c r="L89" s="51"/>
      <c r="M89" s="51"/>
      <c r="N89" s="51"/>
      <c r="P89" s="42"/>
      <c r="Q89" s="16">
        <v>1</v>
      </c>
    </row>
    <row r="90" spans="1:20" x14ac:dyDescent="0.25">
      <c r="A90" s="865" t="s">
        <v>886</v>
      </c>
      <c r="B90" s="319" t="s">
        <v>887</v>
      </c>
      <c r="C90" s="319">
        <v>1</v>
      </c>
      <c r="D90" s="320">
        <v>2</v>
      </c>
      <c r="E90" s="257">
        <f t="shared" ref="E90:J90" si="4">E134+$C90</f>
        <v>115</v>
      </c>
      <c r="F90" s="257">
        <f t="shared" si="4"/>
        <v>115</v>
      </c>
      <c r="G90" s="257">
        <f t="shared" si="4"/>
        <v>115</v>
      </c>
      <c r="H90" s="257">
        <f t="shared" si="4"/>
        <v>115</v>
      </c>
      <c r="I90" s="257">
        <f t="shared" si="4"/>
        <v>115</v>
      </c>
      <c r="J90" s="866">
        <f t="shared" si="4"/>
        <v>115</v>
      </c>
      <c r="K90" s="258"/>
      <c r="L90" s="51"/>
      <c r="M90" s="121"/>
      <c r="N90" s="51"/>
      <c r="P90" s="42"/>
      <c r="Q90" s="16">
        <v>2</v>
      </c>
    </row>
    <row r="91" spans="1:20" x14ac:dyDescent="0.25">
      <c r="A91" s="867"/>
      <c r="B91" s="868" t="s">
        <v>888</v>
      </c>
      <c r="C91" s="869"/>
      <c r="D91" s="123">
        <v>3</v>
      </c>
      <c r="E91" s="263">
        <f t="shared" ref="E91:J91" si="5">E99</f>
        <v>160.58594369888306</v>
      </c>
      <c r="F91" s="263">
        <f t="shared" si="5"/>
        <v>160.58594369888306</v>
      </c>
      <c r="G91" s="263">
        <f t="shared" si="5"/>
        <v>160.58594369888306</v>
      </c>
      <c r="H91" s="263">
        <f t="shared" si="5"/>
        <v>160.58594369888306</v>
      </c>
      <c r="I91" s="263">
        <f t="shared" si="5"/>
        <v>160.58594369888306</v>
      </c>
      <c r="J91" s="870">
        <f t="shared" si="5"/>
        <v>160.58594369888306</v>
      </c>
      <c r="K91" s="16" t="s">
        <v>889</v>
      </c>
      <c r="L91" s="51"/>
      <c r="M91" s="121"/>
      <c r="N91" s="51"/>
      <c r="P91" s="42"/>
      <c r="Q91" s="16">
        <v>3</v>
      </c>
    </row>
    <row r="92" spans="1:20" x14ac:dyDescent="0.25">
      <c r="A92" s="871" t="s">
        <v>890</v>
      </c>
      <c r="B92" s="872" t="s">
        <v>891</v>
      </c>
      <c r="C92" s="122">
        <v>-5</v>
      </c>
      <c r="D92" s="122">
        <v>4</v>
      </c>
      <c r="E92" s="130">
        <f t="shared" ref="E92:J93" si="6">K80+$C92</f>
        <v>415</v>
      </c>
      <c r="F92" s="130">
        <f t="shared" si="6"/>
        <v>589</v>
      </c>
      <c r="G92" s="130">
        <f t="shared" si="6"/>
        <v>769</v>
      </c>
      <c r="H92" s="130">
        <f t="shared" si="6"/>
        <v>949</v>
      </c>
      <c r="I92" s="130">
        <f t="shared" si="6"/>
        <v>1129</v>
      </c>
      <c r="J92" s="873">
        <f t="shared" si="6"/>
        <v>1309</v>
      </c>
      <c r="K92" s="254" t="s">
        <v>892</v>
      </c>
      <c r="L92" s="51"/>
      <c r="M92" s="121"/>
      <c r="N92" s="51"/>
      <c r="P92" s="42"/>
      <c r="Q92" s="16">
        <v>4</v>
      </c>
    </row>
    <row r="93" spans="1:20" x14ac:dyDescent="0.25">
      <c r="A93" s="874"/>
      <c r="B93" s="872" t="s">
        <v>893</v>
      </c>
      <c r="C93" s="122">
        <v>-2</v>
      </c>
      <c r="D93" s="122">
        <v>5</v>
      </c>
      <c r="E93" s="130">
        <f t="shared" si="6"/>
        <v>295</v>
      </c>
      <c r="F93" s="130">
        <f t="shared" si="6"/>
        <v>418</v>
      </c>
      <c r="G93" s="130">
        <f t="shared" si="6"/>
        <v>418</v>
      </c>
      <c r="H93" s="130">
        <f t="shared" si="6"/>
        <v>418</v>
      </c>
      <c r="I93" s="130">
        <f t="shared" si="6"/>
        <v>418</v>
      </c>
      <c r="J93" s="873">
        <f t="shared" si="6"/>
        <v>418</v>
      </c>
      <c r="K93" s="117" t="s">
        <v>894</v>
      </c>
      <c r="L93" s="51"/>
      <c r="M93" s="121"/>
      <c r="N93" s="51"/>
      <c r="P93" s="42"/>
      <c r="Q93" s="16">
        <v>5</v>
      </c>
    </row>
    <row r="94" spans="1:20" x14ac:dyDescent="0.25">
      <c r="A94" s="125" t="s">
        <v>895</v>
      </c>
      <c r="B94" s="875" t="s">
        <v>896</v>
      </c>
      <c r="C94" s="126">
        <v>4</v>
      </c>
      <c r="D94" s="126">
        <v>6</v>
      </c>
      <c r="E94" s="130">
        <f t="shared" ref="E94:J94" si="7">E90+$C94</f>
        <v>119</v>
      </c>
      <c r="F94" s="130">
        <f t="shared" si="7"/>
        <v>119</v>
      </c>
      <c r="G94" s="130">
        <f t="shared" si="7"/>
        <v>119</v>
      </c>
      <c r="H94" s="130">
        <f t="shared" si="7"/>
        <v>119</v>
      </c>
      <c r="I94" s="130">
        <f t="shared" si="7"/>
        <v>119</v>
      </c>
      <c r="J94" s="873">
        <f t="shared" si="7"/>
        <v>119</v>
      </c>
      <c r="L94" s="51"/>
      <c r="M94" s="121"/>
      <c r="N94" s="51"/>
      <c r="P94" s="42"/>
      <c r="Q94" s="16">
        <v>6</v>
      </c>
    </row>
    <row r="95" spans="1:20" x14ac:dyDescent="0.25">
      <c r="A95" s="876"/>
      <c r="B95" s="321" t="s">
        <v>897</v>
      </c>
      <c r="C95" s="322">
        <v>-12</v>
      </c>
      <c r="D95" s="322">
        <v>7</v>
      </c>
      <c r="E95" s="130">
        <f t="shared" ref="E95:J95" si="8">E93+$C95</f>
        <v>283</v>
      </c>
      <c r="F95" s="130">
        <f t="shared" si="8"/>
        <v>406</v>
      </c>
      <c r="G95" s="130">
        <f t="shared" si="8"/>
        <v>406</v>
      </c>
      <c r="H95" s="130">
        <f t="shared" si="8"/>
        <v>406</v>
      </c>
      <c r="I95" s="130">
        <f t="shared" si="8"/>
        <v>406</v>
      </c>
      <c r="J95" s="873">
        <f t="shared" si="8"/>
        <v>406</v>
      </c>
      <c r="K95" s="121"/>
      <c r="L95" s="51"/>
      <c r="M95" s="121"/>
      <c r="N95" s="51"/>
      <c r="P95" s="42"/>
      <c r="Q95" s="16">
        <v>7</v>
      </c>
    </row>
    <row r="96" spans="1:20" x14ac:dyDescent="0.25">
      <c r="A96" s="877" t="s">
        <v>898</v>
      </c>
      <c r="B96" s="319" t="s">
        <v>899</v>
      </c>
      <c r="C96" s="320"/>
      <c r="D96" s="320">
        <v>8</v>
      </c>
      <c r="E96" s="622" t="s">
        <v>900</v>
      </c>
      <c r="F96" s="414">
        <v>80</v>
      </c>
      <c r="G96" s="415">
        <v>80</v>
      </c>
      <c r="H96" s="415">
        <v>80</v>
      </c>
      <c r="I96" s="415">
        <v>80</v>
      </c>
      <c r="J96" s="878">
        <v>80</v>
      </c>
      <c r="K96" s="259"/>
      <c r="L96" s="51"/>
      <c r="M96" s="259"/>
      <c r="N96" s="51"/>
      <c r="P96" s="42"/>
      <c r="Q96" s="16">
        <v>8</v>
      </c>
    </row>
    <row r="97" spans="1:20" x14ac:dyDescent="0.25">
      <c r="A97" s="867"/>
      <c r="B97" s="868" t="s">
        <v>901</v>
      </c>
      <c r="C97" s="123"/>
      <c r="D97" s="123">
        <v>9</v>
      </c>
      <c r="E97" s="124">
        <v>62</v>
      </c>
      <c r="F97" s="124">
        <v>62</v>
      </c>
      <c r="G97" s="124">
        <v>62</v>
      </c>
      <c r="H97" s="124">
        <v>62</v>
      </c>
      <c r="I97" s="124">
        <v>62</v>
      </c>
      <c r="J97" s="879">
        <v>62</v>
      </c>
      <c r="K97" s="262" t="s">
        <v>902</v>
      </c>
      <c r="L97" s="51"/>
      <c r="M97" s="259"/>
      <c r="N97" s="51"/>
      <c r="P97" s="42"/>
      <c r="Q97" s="16">
        <v>9</v>
      </c>
    </row>
    <row r="98" spans="1:20" ht="15.75" customHeight="1" thickBot="1" x14ac:dyDescent="0.3">
      <c r="A98" s="874" t="s">
        <v>903</v>
      </c>
      <c r="B98" s="872" t="s">
        <v>904</v>
      </c>
      <c r="C98" s="880" t="s">
        <v>905</v>
      </c>
      <c r="D98" s="122">
        <v>10</v>
      </c>
      <c r="E98" s="130">
        <f t="shared" ref="E98:J98" si="9">K80+$C92</f>
        <v>415</v>
      </c>
      <c r="F98" s="130">
        <f t="shared" si="9"/>
        <v>589</v>
      </c>
      <c r="G98" s="130">
        <f t="shared" si="9"/>
        <v>769</v>
      </c>
      <c r="H98" s="130">
        <f t="shared" si="9"/>
        <v>949</v>
      </c>
      <c r="I98" s="130">
        <f t="shared" si="9"/>
        <v>1129</v>
      </c>
      <c r="J98" s="873">
        <f t="shared" si="9"/>
        <v>1309</v>
      </c>
      <c r="K98" s="260" t="s">
        <v>906</v>
      </c>
      <c r="L98" s="279" t="s">
        <v>907</v>
      </c>
      <c r="M98" s="260" t="s">
        <v>908</v>
      </c>
      <c r="N98" s="261" t="s">
        <v>909</v>
      </c>
      <c r="O98" s="668" t="s">
        <v>910</v>
      </c>
      <c r="P98" s="42"/>
      <c r="Q98" s="16">
        <v>10</v>
      </c>
    </row>
    <row r="99" spans="1:20" ht="15.75" customHeight="1" thickBot="1" x14ac:dyDescent="0.3">
      <c r="A99" s="874"/>
      <c r="B99" s="872" t="s">
        <v>911</v>
      </c>
      <c r="C99" s="122">
        <f>IF(L99&lt;0,((-M99+K99+N99)/B84*1000)+O99,((-M99+L99+K99+N99)/B84*1000)+O99)</f>
        <v>98.585943698883057</v>
      </c>
      <c r="D99" s="122">
        <v>11</v>
      </c>
      <c r="E99" s="130">
        <f t="shared" ref="E99:J99" si="10">E97+$C99</f>
        <v>160.58594369888306</v>
      </c>
      <c r="F99" s="130">
        <f t="shared" si="10"/>
        <v>160.58594369888306</v>
      </c>
      <c r="G99" s="130">
        <f t="shared" si="10"/>
        <v>160.58594369888306</v>
      </c>
      <c r="H99" s="130">
        <f t="shared" si="10"/>
        <v>160.58594369888306</v>
      </c>
      <c r="I99" s="130">
        <f t="shared" si="10"/>
        <v>160.58594369888306</v>
      </c>
      <c r="J99" s="873">
        <f t="shared" si="10"/>
        <v>160.58594369888306</v>
      </c>
      <c r="K99" s="859">
        <v>2</v>
      </c>
      <c r="L99" s="264">
        <f>Ontwerp!AB286</f>
        <v>1.405720710754395</v>
      </c>
      <c r="M99" s="257">
        <f>Ontwerp!AB287</f>
        <v>-8.4907652139663696</v>
      </c>
      <c r="N99" s="477">
        <v>9</v>
      </c>
      <c r="O99" s="165">
        <v>15</v>
      </c>
      <c r="P99" s="42"/>
      <c r="Q99" s="16">
        <v>11</v>
      </c>
    </row>
    <row r="100" spans="1:20" x14ac:dyDescent="0.25">
      <c r="A100" s="125" t="s">
        <v>912</v>
      </c>
      <c r="B100" s="875" t="s">
        <v>913</v>
      </c>
      <c r="C100" s="126"/>
      <c r="D100" s="126">
        <v>12</v>
      </c>
      <c r="E100" s="130">
        <f t="shared" ref="E100:J100" si="11">E96+$C94</f>
        <v>84</v>
      </c>
      <c r="F100" s="130">
        <f t="shared" si="11"/>
        <v>84</v>
      </c>
      <c r="G100" s="130">
        <f t="shared" si="11"/>
        <v>84</v>
      </c>
      <c r="H100" s="130">
        <f t="shared" si="11"/>
        <v>84</v>
      </c>
      <c r="I100" s="130">
        <f t="shared" si="11"/>
        <v>84</v>
      </c>
      <c r="J100" s="873">
        <f t="shared" si="11"/>
        <v>84</v>
      </c>
      <c r="K100" s="254" t="s">
        <v>914</v>
      </c>
      <c r="L100" s="51"/>
      <c r="M100" s="121"/>
      <c r="N100" s="51"/>
      <c r="P100" s="42"/>
      <c r="Q100" s="16">
        <v>12</v>
      </c>
    </row>
    <row r="101" spans="1:20" x14ac:dyDescent="0.25">
      <c r="A101" s="876"/>
      <c r="B101" s="321" t="s">
        <v>915</v>
      </c>
      <c r="C101" s="322"/>
      <c r="D101" s="322">
        <v>13</v>
      </c>
      <c r="E101" s="130">
        <f>E99-10+1</f>
        <v>151.58594369888306</v>
      </c>
      <c r="F101" s="130">
        <f>F99-10</f>
        <v>150.58594369888306</v>
      </c>
      <c r="G101" s="130">
        <f>G99-10</f>
        <v>150.58594369888306</v>
      </c>
      <c r="H101" s="130">
        <f>H99-10</f>
        <v>150.58594369888306</v>
      </c>
      <c r="I101" s="130">
        <f>I99-10</f>
        <v>150.58594369888306</v>
      </c>
      <c r="J101" s="873">
        <f>J99-10</f>
        <v>150.58594369888306</v>
      </c>
      <c r="L101" s="51"/>
      <c r="M101" s="121"/>
      <c r="N101" s="51"/>
      <c r="P101" s="42"/>
      <c r="Q101" s="16">
        <v>13</v>
      </c>
    </row>
    <row r="102" spans="1:20" x14ac:dyDescent="0.25">
      <c r="A102" s="881" t="s">
        <v>916</v>
      </c>
      <c r="B102" s="627" t="s">
        <v>917</v>
      </c>
      <c r="C102" s="320"/>
      <c r="D102" s="320">
        <v>14</v>
      </c>
      <c r="E102" s="257">
        <f t="shared" ref="E102:J102" si="12">$C132</f>
        <v>2</v>
      </c>
      <c r="F102" s="257">
        <f t="shared" si="12"/>
        <v>2</v>
      </c>
      <c r="G102" s="257">
        <f t="shared" si="12"/>
        <v>2</v>
      </c>
      <c r="H102" s="257">
        <f t="shared" si="12"/>
        <v>2</v>
      </c>
      <c r="I102" s="257">
        <f t="shared" si="12"/>
        <v>2</v>
      </c>
      <c r="J102" s="866">
        <f t="shared" si="12"/>
        <v>2</v>
      </c>
      <c r="K102" s="636" t="s">
        <v>918</v>
      </c>
      <c r="L102" s="51"/>
      <c r="M102" s="121"/>
      <c r="N102" s="51"/>
      <c r="P102" s="42"/>
      <c r="Q102" s="16">
        <v>14</v>
      </c>
    </row>
    <row r="103" spans="1:20" x14ac:dyDescent="0.25">
      <c r="A103" s="637"/>
      <c r="B103" s="629" t="s">
        <v>919</v>
      </c>
      <c r="D103" s="123">
        <v>15</v>
      </c>
      <c r="E103" s="278">
        <f t="shared" ref="E103:J103" ca="1" si="13">E141</f>
        <v>102</v>
      </c>
      <c r="F103" s="278">
        <f t="shared" ca="1" si="13"/>
        <v>102</v>
      </c>
      <c r="G103" s="278">
        <f t="shared" ca="1" si="13"/>
        <v>102</v>
      </c>
      <c r="H103" s="278">
        <f t="shared" ca="1" si="13"/>
        <v>102</v>
      </c>
      <c r="I103" s="278">
        <f t="shared" ca="1" si="13"/>
        <v>102</v>
      </c>
      <c r="J103" s="882">
        <f t="shared" ca="1" si="13"/>
        <v>102</v>
      </c>
      <c r="K103" s="636" t="s">
        <v>920</v>
      </c>
      <c r="L103" s="51"/>
      <c r="M103" s="121"/>
      <c r="N103" s="51"/>
      <c r="P103" s="42"/>
      <c r="Q103" s="16">
        <v>15</v>
      </c>
    </row>
    <row r="104" spans="1:20" x14ac:dyDescent="0.25">
      <c r="A104" s="639" t="s">
        <v>921</v>
      </c>
      <c r="B104" s="631" t="s">
        <v>922</v>
      </c>
      <c r="C104" s="883"/>
      <c r="D104" s="122">
        <v>16</v>
      </c>
      <c r="E104" s="130" t="str">
        <f t="shared" ref="E104:J104" si="14">E96</f>
        <v>80</v>
      </c>
      <c r="F104" s="130">
        <f t="shared" si="14"/>
        <v>80</v>
      </c>
      <c r="G104" s="130">
        <f t="shared" si="14"/>
        <v>80</v>
      </c>
      <c r="H104" s="130">
        <f t="shared" si="14"/>
        <v>80</v>
      </c>
      <c r="I104" s="130">
        <f t="shared" si="14"/>
        <v>80</v>
      </c>
      <c r="J104" s="873">
        <f t="shared" si="14"/>
        <v>80</v>
      </c>
      <c r="K104" s="636" t="s">
        <v>923</v>
      </c>
      <c r="L104" s="51"/>
      <c r="M104" s="121"/>
      <c r="N104" s="51"/>
      <c r="P104" s="42"/>
      <c r="Q104" s="16">
        <v>16</v>
      </c>
      <c r="R104" s="636" t="s">
        <v>143</v>
      </c>
      <c r="S104" s="636" t="s">
        <v>924</v>
      </c>
      <c r="T104" s="636" t="s">
        <v>925</v>
      </c>
    </row>
    <row r="105" spans="1:20" x14ac:dyDescent="0.25">
      <c r="A105" s="639"/>
      <c r="B105" s="631" t="s">
        <v>926</v>
      </c>
      <c r="C105" s="123">
        <f>IF(B80="A3",R105,S105)</f>
        <v>100</v>
      </c>
      <c r="D105" s="122">
        <v>17</v>
      </c>
      <c r="E105" s="130">
        <f t="shared" ref="E105:J105" ca="1" si="15">E103+$C105</f>
        <v>202</v>
      </c>
      <c r="F105" s="130">
        <f t="shared" ca="1" si="15"/>
        <v>202</v>
      </c>
      <c r="G105" s="130">
        <f t="shared" ca="1" si="15"/>
        <v>202</v>
      </c>
      <c r="H105" s="130">
        <f t="shared" ca="1" si="15"/>
        <v>202</v>
      </c>
      <c r="I105" s="130">
        <f t="shared" ca="1" si="15"/>
        <v>202</v>
      </c>
      <c r="J105" s="873">
        <f t="shared" ca="1" si="15"/>
        <v>202</v>
      </c>
      <c r="K105" s="636" t="s">
        <v>927</v>
      </c>
      <c r="L105" s="51"/>
      <c r="M105" s="121"/>
      <c r="N105" s="51"/>
      <c r="P105" s="42"/>
      <c r="Q105" s="16">
        <v>17</v>
      </c>
      <c r="R105" s="17">
        <v>70</v>
      </c>
      <c r="S105" s="17">
        <v>100</v>
      </c>
    </row>
    <row r="106" spans="1:20" x14ac:dyDescent="0.25">
      <c r="A106" s="125" t="s">
        <v>928</v>
      </c>
      <c r="B106" s="633" t="s">
        <v>929</v>
      </c>
      <c r="C106" s="126"/>
      <c r="D106" s="126">
        <v>18</v>
      </c>
      <c r="E106" s="130">
        <f t="shared" ref="E106:J106" si="16">E102+$C94</f>
        <v>6</v>
      </c>
      <c r="F106" s="130">
        <f t="shared" si="16"/>
        <v>6</v>
      </c>
      <c r="G106" s="130">
        <f t="shared" si="16"/>
        <v>6</v>
      </c>
      <c r="H106" s="130">
        <f t="shared" si="16"/>
        <v>6</v>
      </c>
      <c r="I106" s="130">
        <f t="shared" si="16"/>
        <v>6</v>
      </c>
      <c r="J106" s="873">
        <f t="shared" si="16"/>
        <v>6</v>
      </c>
      <c r="L106" s="51">
        <f>587-475</f>
        <v>112</v>
      </c>
      <c r="M106" s="121"/>
      <c r="N106" s="51"/>
      <c r="P106" s="42"/>
      <c r="Q106" s="16">
        <v>18</v>
      </c>
    </row>
    <row r="107" spans="1:20" x14ac:dyDescent="0.25">
      <c r="A107" s="641"/>
      <c r="B107" s="633" t="s">
        <v>930</v>
      </c>
      <c r="C107" s="322">
        <v>-7</v>
      </c>
      <c r="D107" s="126">
        <v>19</v>
      </c>
      <c r="E107" s="130">
        <f t="shared" ref="E107:J107" ca="1" si="17">E105+$C107</f>
        <v>195</v>
      </c>
      <c r="F107" s="130">
        <f t="shared" ca="1" si="17"/>
        <v>195</v>
      </c>
      <c r="G107" s="130">
        <f t="shared" ca="1" si="17"/>
        <v>195</v>
      </c>
      <c r="H107" s="130">
        <f t="shared" ca="1" si="17"/>
        <v>195</v>
      </c>
      <c r="I107" s="130">
        <f t="shared" ca="1" si="17"/>
        <v>195</v>
      </c>
      <c r="J107" s="873">
        <f t="shared" ca="1" si="17"/>
        <v>195</v>
      </c>
      <c r="K107" s="121"/>
      <c r="L107" s="51"/>
      <c r="M107" s="121"/>
      <c r="N107" s="51"/>
      <c r="P107" s="42"/>
      <c r="Q107" s="16">
        <v>19</v>
      </c>
    </row>
    <row r="108" spans="1:20" x14ac:dyDescent="0.25">
      <c r="A108" s="641" t="s">
        <v>931</v>
      </c>
      <c r="B108" s="633" t="s">
        <v>393</v>
      </c>
      <c r="C108" s="126"/>
      <c r="D108" s="126">
        <v>20</v>
      </c>
      <c r="E108" s="130">
        <f t="shared" ref="E108:J108" si="18">E106</f>
        <v>6</v>
      </c>
      <c r="F108" s="130">
        <f t="shared" si="18"/>
        <v>6</v>
      </c>
      <c r="G108" s="130">
        <f t="shared" si="18"/>
        <v>6</v>
      </c>
      <c r="H108" s="130">
        <f t="shared" si="18"/>
        <v>6</v>
      </c>
      <c r="I108" s="130">
        <f t="shared" si="18"/>
        <v>6</v>
      </c>
      <c r="J108" s="873">
        <f t="shared" si="18"/>
        <v>6</v>
      </c>
      <c r="K108" s="121"/>
      <c r="L108" s="51"/>
      <c r="M108" s="121"/>
      <c r="N108" s="51"/>
      <c r="P108" s="42"/>
      <c r="Q108" s="16">
        <v>20</v>
      </c>
    </row>
    <row r="109" spans="1:20" ht="15.75" thickBot="1" x14ac:dyDescent="0.3">
      <c r="A109" s="884"/>
      <c r="B109" s="885" t="s">
        <v>394</v>
      </c>
      <c r="C109" s="139">
        <v>3</v>
      </c>
      <c r="D109" s="139">
        <v>21</v>
      </c>
      <c r="E109" s="886">
        <f t="shared" ref="E109:J109" ca="1" si="19">E103+$C109</f>
        <v>105</v>
      </c>
      <c r="F109" s="886">
        <f t="shared" ca="1" si="19"/>
        <v>105</v>
      </c>
      <c r="G109" s="886">
        <f t="shared" ca="1" si="19"/>
        <v>105</v>
      </c>
      <c r="H109" s="886">
        <f t="shared" ca="1" si="19"/>
        <v>105</v>
      </c>
      <c r="I109" s="886">
        <f t="shared" ca="1" si="19"/>
        <v>105</v>
      </c>
      <c r="J109" s="887">
        <f t="shared" ca="1" si="19"/>
        <v>105</v>
      </c>
      <c r="K109" s="121"/>
      <c r="L109" s="51"/>
      <c r="M109" s="121"/>
      <c r="N109" s="51"/>
      <c r="P109" s="42"/>
      <c r="Q109" s="16">
        <v>21</v>
      </c>
    </row>
    <row r="110" spans="1:20" x14ac:dyDescent="0.25">
      <c r="A110" s="125" t="s">
        <v>932</v>
      </c>
      <c r="B110" s="129"/>
      <c r="C110" s="126"/>
      <c r="D110" s="126">
        <v>22</v>
      </c>
      <c r="E110" s="323">
        <v>3</v>
      </c>
      <c r="F110" s="323"/>
      <c r="G110" s="323"/>
      <c r="H110" s="323"/>
      <c r="I110" s="128" t="s">
        <v>239</v>
      </c>
      <c r="J110" s="39"/>
      <c r="K110" s="121"/>
      <c r="L110" s="51"/>
      <c r="M110" s="121"/>
      <c r="N110" s="51"/>
      <c r="P110" s="42"/>
      <c r="Q110" s="16">
        <v>22</v>
      </c>
    </row>
    <row r="111" spans="1:20" x14ac:dyDescent="0.25">
      <c r="A111" s="125" t="s">
        <v>933</v>
      </c>
      <c r="B111" s="129"/>
      <c r="C111" s="126"/>
      <c r="D111" s="126">
        <v>23</v>
      </c>
      <c r="E111" s="140">
        <v>5.5</v>
      </c>
      <c r="F111" s="127"/>
      <c r="G111" s="127"/>
      <c r="H111" s="127"/>
      <c r="I111" s="128" t="s">
        <v>239</v>
      </c>
      <c r="J111" s="39"/>
      <c r="K111" s="121"/>
      <c r="L111" s="51"/>
      <c r="M111" s="121"/>
      <c r="N111" s="51"/>
      <c r="P111" s="42"/>
      <c r="Q111" s="16">
        <v>23</v>
      </c>
    </row>
    <row r="112" spans="1:20" ht="15.75" customHeight="1" thickBot="1" x14ac:dyDescent="0.3">
      <c r="A112" s="125" t="s">
        <v>112</v>
      </c>
      <c r="B112" s="129"/>
      <c r="C112" s="126"/>
      <c r="D112" s="126">
        <v>24</v>
      </c>
      <c r="E112" s="132" t="s">
        <v>934</v>
      </c>
      <c r="F112" s="132"/>
      <c r="G112" s="132"/>
      <c r="H112" s="132"/>
      <c r="I112" s="128" t="s">
        <v>239</v>
      </c>
      <c r="J112" s="39"/>
      <c r="K112" s="121"/>
      <c r="L112" s="51"/>
      <c r="M112" s="121"/>
      <c r="N112" s="51"/>
      <c r="P112" s="42"/>
      <c r="Q112" s="16">
        <v>24</v>
      </c>
    </row>
    <row r="113" spans="1:18" x14ac:dyDescent="0.25">
      <c r="A113" s="133" t="s">
        <v>935</v>
      </c>
      <c r="B113" s="134"/>
      <c r="C113" s="135"/>
      <c r="D113" s="135">
        <v>25</v>
      </c>
      <c r="E113" s="302">
        <v>1</v>
      </c>
      <c r="F113" s="302">
        <v>2</v>
      </c>
      <c r="G113" s="302">
        <v>3</v>
      </c>
      <c r="H113" s="302">
        <v>4</v>
      </c>
      <c r="I113" s="312">
        <v>5</v>
      </c>
      <c r="J113" s="17">
        <v>6</v>
      </c>
      <c r="K113" s="64">
        <v>7</v>
      </c>
      <c r="L113" s="307" t="s">
        <v>936</v>
      </c>
      <c r="M113" s="121"/>
      <c r="N113" s="51"/>
      <c r="P113" s="42"/>
      <c r="Q113" s="16">
        <v>25</v>
      </c>
    </row>
    <row r="114" spans="1:18" x14ac:dyDescent="0.25">
      <c r="A114" s="125" t="s">
        <v>937</v>
      </c>
      <c r="B114" s="129"/>
      <c r="C114" s="126"/>
      <c r="D114" s="136">
        <v>26</v>
      </c>
      <c r="E114" s="309">
        <v>-546</v>
      </c>
      <c r="F114" s="310">
        <v>-546</v>
      </c>
      <c r="G114" s="310">
        <v>-546</v>
      </c>
      <c r="H114" s="311">
        <v>-546</v>
      </c>
      <c r="I114" s="317" t="s">
        <v>239</v>
      </c>
      <c r="J114" s="17"/>
      <c r="K114" s="64"/>
      <c r="L114" s="51"/>
      <c r="M114" s="121"/>
      <c r="N114" s="51"/>
      <c r="P114" s="42"/>
      <c r="Q114" s="16">
        <v>26</v>
      </c>
    </row>
    <row r="115" spans="1:18" x14ac:dyDescent="0.25">
      <c r="A115" s="125"/>
      <c r="B115" s="129"/>
      <c r="C115" s="126"/>
      <c r="D115" s="136">
        <v>27</v>
      </c>
      <c r="E115" s="301">
        <v>310</v>
      </c>
      <c r="F115" s="302">
        <v>260</v>
      </c>
      <c r="G115" s="302">
        <v>210</v>
      </c>
      <c r="H115" s="303">
        <v>150</v>
      </c>
      <c r="I115" s="317" t="s">
        <v>239</v>
      </c>
      <c r="J115" s="17"/>
      <c r="K115" s="64"/>
      <c r="L115" s="51"/>
      <c r="M115" s="121"/>
      <c r="N115" s="51"/>
      <c r="P115" s="42"/>
      <c r="Q115" s="16">
        <v>27</v>
      </c>
    </row>
    <row r="116" spans="1:18" x14ac:dyDescent="0.25">
      <c r="A116" s="125" t="s">
        <v>938</v>
      </c>
      <c r="B116" s="129"/>
      <c r="C116" s="126"/>
      <c r="D116" s="136">
        <v>28</v>
      </c>
      <c r="E116" s="301">
        <v>-505</v>
      </c>
      <c r="F116" s="302">
        <v>-505</v>
      </c>
      <c r="G116" s="302">
        <v>-505</v>
      </c>
      <c r="H116" s="303">
        <v>-505</v>
      </c>
      <c r="I116" s="317" t="s">
        <v>239</v>
      </c>
      <c r="J116" s="17"/>
      <c r="K116" s="64"/>
      <c r="L116" s="51"/>
      <c r="M116" s="121"/>
      <c r="N116" s="51"/>
      <c r="P116" s="42"/>
      <c r="Q116" s="16">
        <v>28</v>
      </c>
    </row>
    <row r="117" spans="1:18" x14ac:dyDescent="0.25">
      <c r="A117" s="125"/>
      <c r="B117" s="129"/>
      <c r="C117" s="126"/>
      <c r="D117" s="136">
        <v>29</v>
      </c>
      <c r="E117" s="301">
        <v>348</v>
      </c>
      <c r="F117" s="302">
        <v>298</v>
      </c>
      <c r="G117" s="302">
        <v>248</v>
      </c>
      <c r="H117" s="303">
        <v>188</v>
      </c>
      <c r="I117" s="317" t="s">
        <v>239</v>
      </c>
      <c r="J117" s="17"/>
      <c r="K117" s="64"/>
      <c r="L117" s="51"/>
      <c r="M117" s="121"/>
      <c r="N117" s="51"/>
      <c r="P117" s="42"/>
      <c r="Q117" s="16">
        <v>29</v>
      </c>
    </row>
    <row r="118" spans="1:18" x14ac:dyDescent="0.25">
      <c r="A118" s="125" t="s">
        <v>939</v>
      </c>
      <c r="B118" s="129"/>
      <c r="C118" s="126"/>
      <c r="D118" s="136">
        <v>30</v>
      </c>
      <c r="E118" s="304">
        <v>-526</v>
      </c>
      <c r="F118" s="305">
        <v>-526</v>
      </c>
      <c r="G118" s="305">
        <v>-526</v>
      </c>
      <c r="H118" s="306">
        <v>-526</v>
      </c>
      <c r="I118" s="317" t="s">
        <v>239</v>
      </c>
      <c r="J118" s="17"/>
      <c r="K118" s="64"/>
      <c r="L118" s="51"/>
      <c r="M118" s="121"/>
      <c r="N118" s="51"/>
      <c r="P118" s="42"/>
      <c r="Q118" s="16">
        <v>30</v>
      </c>
    </row>
    <row r="119" spans="1:18" x14ac:dyDescent="0.25">
      <c r="A119" s="125" t="s">
        <v>940</v>
      </c>
      <c r="B119" s="129"/>
      <c r="C119" s="126"/>
      <c r="D119" s="136">
        <v>31</v>
      </c>
      <c r="E119" s="313">
        <v>330</v>
      </c>
      <c r="F119" s="314">
        <v>280</v>
      </c>
      <c r="G119" s="315">
        <v>230</v>
      </c>
      <c r="H119" s="316">
        <v>170</v>
      </c>
      <c r="I119" s="317" t="s">
        <v>239</v>
      </c>
      <c r="J119" s="17"/>
      <c r="K119" s="64"/>
      <c r="L119" s="51"/>
      <c r="M119" s="121"/>
      <c r="N119" s="51"/>
      <c r="P119" s="42"/>
      <c r="Q119" s="16">
        <v>31</v>
      </c>
    </row>
    <row r="120" spans="1:18" ht="15.75" customHeight="1" thickBot="1" x14ac:dyDescent="0.3">
      <c r="A120" s="137" t="s">
        <v>941</v>
      </c>
      <c r="B120" s="138"/>
      <c r="C120" s="139"/>
      <c r="D120" s="139">
        <v>32</v>
      </c>
      <c r="E120" s="305">
        <v>1</v>
      </c>
      <c r="F120" s="305">
        <v>2</v>
      </c>
      <c r="G120" s="305">
        <v>2.15</v>
      </c>
      <c r="H120" s="305">
        <v>2.73</v>
      </c>
      <c r="I120" s="57">
        <v>2.73</v>
      </c>
      <c r="J120" s="17">
        <v>3</v>
      </c>
      <c r="K120" s="64">
        <v>3</v>
      </c>
      <c r="L120" s="51"/>
      <c r="M120" s="121"/>
      <c r="O120" s="308" t="s">
        <v>942</v>
      </c>
      <c r="P120" s="42"/>
    </row>
    <row r="121" spans="1:18" x14ac:dyDescent="0.25">
      <c r="A121" s="637" t="s">
        <v>943</v>
      </c>
      <c r="B121" s="629" t="s">
        <v>944</v>
      </c>
      <c r="C121" s="123"/>
      <c r="D121" s="123">
        <v>33</v>
      </c>
      <c r="E121" s="265">
        <f t="shared" ref="E121:J121" si="20">$C132</f>
        <v>2</v>
      </c>
      <c r="F121" s="265">
        <f t="shared" si="20"/>
        <v>2</v>
      </c>
      <c r="G121" s="265">
        <f t="shared" si="20"/>
        <v>2</v>
      </c>
      <c r="H121" s="265">
        <f t="shared" si="20"/>
        <v>2</v>
      </c>
      <c r="I121" s="265">
        <f t="shared" si="20"/>
        <v>2</v>
      </c>
      <c r="J121" s="265">
        <f t="shared" si="20"/>
        <v>2</v>
      </c>
      <c r="K121" s="628" t="s">
        <v>239</v>
      </c>
      <c r="L121" s="630" t="s">
        <v>887</v>
      </c>
      <c r="M121" s="51"/>
      <c r="N121" s="121"/>
    </row>
    <row r="122" spans="1:18" x14ac:dyDescent="0.25">
      <c r="A122" s="637"/>
      <c r="B122" s="629" t="s">
        <v>945</v>
      </c>
      <c r="D122" s="123">
        <v>34</v>
      </c>
      <c r="E122" s="257">
        <f t="shared" ref="E122:J122" ca="1" si="21">E105</f>
        <v>202</v>
      </c>
      <c r="F122" s="257">
        <f t="shared" ca="1" si="21"/>
        <v>202</v>
      </c>
      <c r="G122" s="257">
        <f t="shared" ca="1" si="21"/>
        <v>202</v>
      </c>
      <c r="H122" s="257">
        <f t="shared" ca="1" si="21"/>
        <v>202</v>
      </c>
      <c r="I122" s="257">
        <f t="shared" ca="1" si="21"/>
        <v>202</v>
      </c>
      <c r="J122" s="257">
        <f t="shared" ca="1" si="21"/>
        <v>202</v>
      </c>
      <c r="K122" s="628" t="s">
        <v>239</v>
      </c>
      <c r="L122" s="630" t="s">
        <v>920</v>
      </c>
      <c r="M122" s="51"/>
      <c r="N122" s="121"/>
      <c r="O122" s="638" t="s">
        <v>942</v>
      </c>
      <c r="P122" s="42"/>
    </row>
    <row r="123" spans="1:18" x14ac:dyDescent="0.25">
      <c r="A123" s="639" t="s">
        <v>946</v>
      </c>
      <c r="B123" s="631" t="s">
        <v>947</v>
      </c>
      <c r="C123" s="18">
        <v>78</v>
      </c>
      <c r="D123" s="122">
        <v>35</v>
      </c>
      <c r="E123" s="640">
        <f t="shared" ref="E123:J123" si="22">$C123+$C132</f>
        <v>80</v>
      </c>
      <c r="F123" s="640">
        <f t="shared" si="22"/>
        <v>80</v>
      </c>
      <c r="G123" s="640">
        <f t="shared" si="22"/>
        <v>80</v>
      </c>
      <c r="H123" s="640">
        <f t="shared" si="22"/>
        <v>80</v>
      </c>
      <c r="I123" s="640">
        <f t="shared" si="22"/>
        <v>80</v>
      </c>
      <c r="J123" s="640">
        <f t="shared" si="22"/>
        <v>80</v>
      </c>
      <c r="K123" s="632" t="s">
        <v>239</v>
      </c>
      <c r="L123" s="630" t="s">
        <v>948</v>
      </c>
      <c r="M123" s="51"/>
      <c r="N123" s="121"/>
      <c r="O123" s="57">
        <v>2</v>
      </c>
      <c r="P123" s="17">
        <v>5</v>
      </c>
      <c r="Q123" s="17">
        <v>8</v>
      </c>
      <c r="R123" s="17">
        <v>11</v>
      </c>
    </row>
    <row r="124" spans="1:18" x14ac:dyDescent="0.25">
      <c r="A124" s="639"/>
      <c r="B124" s="631" t="s">
        <v>949</v>
      </c>
      <c r="C124" s="34">
        <f>IF(OR(INPUT!D28="Boogzinker ",INPUT!D28="Boogboring ",INPUT!D28="Persing "),34,HLOOKUP(Ontwerp!A272,Variabelen!O123:R124,2,FALSE))</f>
        <v>71</v>
      </c>
      <c r="D124" s="122">
        <v>36</v>
      </c>
      <c r="E124" s="626">
        <f ca="1">IF(E122+$C124&lt;E99,E99,E122+$C124)</f>
        <v>273</v>
      </c>
      <c r="F124" s="626">
        <f t="shared" ref="F124:J124" ca="1" si="23">F122+$C124</f>
        <v>273</v>
      </c>
      <c r="G124" s="626">
        <f t="shared" ca="1" si="23"/>
        <v>273</v>
      </c>
      <c r="H124" s="626">
        <f t="shared" ca="1" si="23"/>
        <v>273</v>
      </c>
      <c r="I124" s="626">
        <f t="shared" ca="1" si="23"/>
        <v>273</v>
      </c>
      <c r="J124" s="626">
        <f t="shared" ca="1" si="23"/>
        <v>273</v>
      </c>
      <c r="K124" s="632" t="s">
        <v>239</v>
      </c>
      <c r="L124" s="630" t="s">
        <v>893</v>
      </c>
      <c r="M124" s="51"/>
      <c r="N124" s="121"/>
      <c r="O124" s="57">
        <v>59</v>
      </c>
      <c r="P124" s="17">
        <f>O124+12</f>
        <v>71</v>
      </c>
      <c r="Q124" s="17">
        <f>P124+12</f>
        <v>83</v>
      </c>
      <c r="R124" s="17">
        <f>Q124+12</f>
        <v>95</v>
      </c>
    </row>
    <row r="125" spans="1:18" x14ac:dyDescent="0.25">
      <c r="A125" s="125" t="s">
        <v>950</v>
      </c>
      <c r="B125" s="633" t="s">
        <v>951</v>
      </c>
      <c r="C125" s="18">
        <v>4</v>
      </c>
      <c r="D125" s="126">
        <v>37</v>
      </c>
      <c r="E125" s="626">
        <f t="shared" ref="E125:J125" si="24">$C132+$C125</f>
        <v>6</v>
      </c>
      <c r="F125" s="626">
        <f t="shared" si="24"/>
        <v>6</v>
      </c>
      <c r="G125" s="626">
        <f t="shared" si="24"/>
        <v>6</v>
      </c>
      <c r="H125" s="626">
        <f t="shared" si="24"/>
        <v>6</v>
      </c>
      <c r="I125" s="626">
        <f t="shared" si="24"/>
        <v>6</v>
      </c>
      <c r="J125" s="626">
        <f t="shared" si="24"/>
        <v>6</v>
      </c>
      <c r="K125" s="634" t="s">
        <v>239</v>
      </c>
      <c r="L125" s="630" t="s">
        <v>952</v>
      </c>
      <c r="M125" s="51"/>
      <c r="N125" s="121"/>
    </row>
    <row r="126" spans="1:18" x14ac:dyDescent="0.25">
      <c r="A126" s="641"/>
      <c r="B126" s="633" t="s">
        <v>953</v>
      </c>
      <c r="C126" s="642">
        <v>-9</v>
      </c>
      <c r="D126" s="126">
        <v>38</v>
      </c>
      <c r="E126" s="130">
        <f t="shared" ref="E126:J126" ca="1" si="25">E124+$C126</f>
        <v>264</v>
      </c>
      <c r="F126" s="130">
        <f t="shared" ca="1" si="25"/>
        <v>264</v>
      </c>
      <c r="G126" s="130">
        <f t="shared" ca="1" si="25"/>
        <v>264</v>
      </c>
      <c r="H126" s="130">
        <f t="shared" ca="1" si="25"/>
        <v>264</v>
      </c>
      <c r="I126" s="130">
        <f t="shared" ca="1" si="25"/>
        <v>264</v>
      </c>
      <c r="J126" s="130">
        <f t="shared" ca="1" si="25"/>
        <v>264</v>
      </c>
      <c r="K126" s="634" t="s">
        <v>239</v>
      </c>
      <c r="L126" s="39"/>
      <c r="M126" s="51"/>
      <c r="N126" s="121"/>
      <c r="O126" s="51"/>
      <c r="Q126" s="42"/>
    </row>
    <row r="127" spans="1:18" x14ac:dyDescent="0.25">
      <c r="A127" s="643" t="s">
        <v>932</v>
      </c>
      <c r="B127" s="643"/>
      <c r="C127" s="643"/>
      <c r="D127" s="643">
        <v>39</v>
      </c>
      <c r="E127" s="127">
        <v>3</v>
      </c>
      <c r="F127" s="127"/>
      <c r="G127" s="127"/>
      <c r="H127" s="127"/>
      <c r="I127" s="127"/>
      <c r="J127" s="127"/>
      <c r="K127" s="634"/>
      <c r="L127" s="39"/>
      <c r="M127" s="51"/>
      <c r="N127" s="121"/>
      <c r="O127" s="51"/>
      <c r="Q127" s="42"/>
    </row>
    <row r="128" spans="1:18" x14ac:dyDescent="0.25">
      <c r="A128" s="643" t="s">
        <v>933</v>
      </c>
      <c r="B128" s="643"/>
      <c r="C128" s="643"/>
      <c r="D128" s="643">
        <v>40</v>
      </c>
      <c r="E128" s="127">
        <v>6</v>
      </c>
      <c r="F128" s="127"/>
      <c r="G128" s="127"/>
      <c r="H128" s="127"/>
      <c r="I128" s="127"/>
      <c r="J128" s="127"/>
      <c r="K128" s="634"/>
      <c r="L128" s="39"/>
      <c r="M128" s="51"/>
      <c r="N128" s="121"/>
      <c r="O128" s="51"/>
      <c r="Q128" s="42"/>
    </row>
    <row r="129" spans="1:21" x14ac:dyDescent="0.25">
      <c r="A129" s="630"/>
      <c r="B129" s="636"/>
      <c r="D129" s="16">
        <v>41</v>
      </c>
      <c r="E129" s="64"/>
      <c r="F129" s="120"/>
      <c r="G129" s="64"/>
      <c r="H129" s="57"/>
      <c r="I129" s="57"/>
      <c r="J129" s="57"/>
      <c r="K129" s="644" t="s">
        <v>239</v>
      </c>
      <c r="L129" s="39"/>
      <c r="M129" s="51"/>
      <c r="N129" s="121"/>
      <c r="O129" s="51"/>
      <c r="Q129" s="42"/>
    </row>
    <row r="130" spans="1:21" ht="15.75" thickBot="1" x14ac:dyDescent="0.3">
      <c r="A130" s="630" t="s">
        <v>884</v>
      </c>
      <c r="D130" s="16">
        <v>42</v>
      </c>
      <c r="E130" s="888"/>
      <c r="F130" s="889"/>
      <c r="G130" s="888"/>
      <c r="H130" s="888"/>
      <c r="I130" s="314"/>
      <c r="J130" s="314"/>
      <c r="K130" s="644" t="s">
        <v>239</v>
      </c>
      <c r="L130" s="39"/>
      <c r="M130" s="51"/>
      <c r="N130" s="121"/>
      <c r="O130" s="51"/>
      <c r="Q130" s="42"/>
    </row>
    <row r="131" spans="1:21" x14ac:dyDescent="0.25">
      <c r="A131" s="890"/>
      <c r="B131" s="41"/>
      <c r="C131" s="41"/>
      <c r="D131" s="41">
        <v>1</v>
      </c>
      <c r="E131" s="891" t="s">
        <v>143</v>
      </c>
      <c r="F131" s="891" t="s">
        <v>158</v>
      </c>
      <c r="G131" s="891" t="s">
        <v>157</v>
      </c>
      <c r="H131" s="891" t="s">
        <v>171</v>
      </c>
      <c r="I131" s="891" t="s">
        <v>177</v>
      </c>
      <c r="J131" s="891" t="s">
        <v>185</v>
      </c>
      <c r="K131" s="892"/>
      <c r="L131" s="79"/>
      <c r="M131" s="51"/>
      <c r="N131" s="121"/>
      <c r="O131" s="51"/>
      <c r="Q131" s="42"/>
    </row>
    <row r="132" spans="1:21" x14ac:dyDescent="0.25">
      <c r="A132" s="881" t="s">
        <v>954</v>
      </c>
      <c r="B132" s="627" t="s">
        <v>955</v>
      </c>
      <c r="C132" s="320">
        <v>2</v>
      </c>
      <c r="D132" s="320">
        <v>2</v>
      </c>
      <c r="E132" s="257">
        <f t="shared" ref="E132:J132" si="26">$C132</f>
        <v>2</v>
      </c>
      <c r="F132" s="257">
        <f t="shared" si="26"/>
        <v>2</v>
      </c>
      <c r="G132" s="257">
        <f t="shared" si="26"/>
        <v>2</v>
      </c>
      <c r="H132" s="257">
        <f t="shared" si="26"/>
        <v>2</v>
      </c>
      <c r="I132" s="257">
        <f t="shared" si="26"/>
        <v>2</v>
      </c>
      <c r="J132" s="257">
        <f t="shared" si="26"/>
        <v>2</v>
      </c>
      <c r="K132" s="628" t="s">
        <v>239</v>
      </c>
      <c r="L132" s="39"/>
      <c r="M132" s="51"/>
      <c r="N132" s="121"/>
      <c r="O132" s="51"/>
      <c r="Q132" s="42"/>
    </row>
    <row r="133" spans="1:21" x14ac:dyDescent="0.25">
      <c r="A133" s="637"/>
      <c r="B133" s="629" t="s">
        <v>956</v>
      </c>
      <c r="C133" s="629"/>
      <c r="D133" s="123">
        <v>3</v>
      </c>
      <c r="E133" s="625">
        <f t="shared" ref="E133:J133" ca="1" si="27">E124</f>
        <v>273</v>
      </c>
      <c r="F133" s="625">
        <f t="shared" ca="1" si="27"/>
        <v>273</v>
      </c>
      <c r="G133" s="625">
        <f t="shared" ca="1" si="27"/>
        <v>273</v>
      </c>
      <c r="H133" s="625">
        <f t="shared" ca="1" si="27"/>
        <v>273</v>
      </c>
      <c r="I133" s="625">
        <f t="shared" ca="1" si="27"/>
        <v>273</v>
      </c>
      <c r="J133" s="625">
        <f t="shared" ca="1" si="27"/>
        <v>273</v>
      </c>
      <c r="K133" s="628" t="s">
        <v>239</v>
      </c>
      <c r="L133" s="630"/>
      <c r="M133" s="51"/>
      <c r="N133" s="121"/>
      <c r="O133" s="51"/>
      <c r="Q133" s="42"/>
    </row>
    <row r="134" spans="1:21" x14ac:dyDescent="0.25">
      <c r="A134" s="639" t="s">
        <v>957</v>
      </c>
      <c r="B134" s="631" t="s">
        <v>958</v>
      </c>
      <c r="C134" s="122">
        <v>112</v>
      </c>
      <c r="D134" s="122">
        <v>4</v>
      </c>
      <c r="E134" s="130">
        <f t="shared" ref="E134:J134" si="28">$C$132+$C$134</f>
        <v>114</v>
      </c>
      <c r="F134" s="130">
        <f t="shared" si="28"/>
        <v>114</v>
      </c>
      <c r="G134" s="130">
        <f t="shared" si="28"/>
        <v>114</v>
      </c>
      <c r="H134" s="130">
        <f t="shared" si="28"/>
        <v>114</v>
      </c>
      <c r="I134" s="130">
        <f t="shared" si="28"/>
        <v>114</v>
      </c>
      <c r="J134" s="130">
        <f t="shared" si="28"/>
        <v>114</v>
      </c>
      <c r="K134" s="632" t="s">
        <v>239</v>
      </c>
      <c r="L134" s="630"/>
      <c r="M134" s="51"/>
      <c r="N134" s="121"/>
      <c r="O134" s="51"/>
      <c r="Q134" s="42"/>
    </row>
    <row r="135" spans="1:21" x14ac:dyDescent="0.25">
      <c r="A135" s="639"/>
      <c r="B135" s="631" t="s">
        <v>959</v>
      </c>
      <c r="C135" s="122"/>
      <c r="D135" s="122">
        <v>5</v>
      </c>
      <c r="E135" s="130">
        <f t="shared" ref="E135:J135" si="29">E93</f>
        <v>295</v>
      </c>
      <c r="F135" s="130">
        <f t="shared" si="29"/>
        <v>418</v>
      </c>
      <c r="G135" s="130">
        <f t="shared" si="29"/>
        <v>418</v>
      </c>
      <c r="H135" s="130">
        <f t="shared" si="29"/>
        <v>418</v>
      </c>
      <c r="I135" s="130">
        <f t="shared" si="29"/>
        <v>418</v>
      </c>
      <c r="J135" s="130">
        <f t="shared" si="29"/>
        <v>418</v>
      </c>
      <c r="K135" s="632" t="s">
        <v>239</v>
      </c>
      <c r="L135" s="630"/>
      <c r="M135" s="51"/>
      <c r="N135" s="121"/>
      <c r="O135" s="51"/>
      <c r="Q135" s="42"/>
    </row>
    <row r="136" spans="1:21" x14ac:dyDescent="0.25">
      <c r="A136" s="125" t="s">
        <v>960</v>
      </c>
      <c r="B136" s="633" t="s">
        <v>961</v>
      </c>
      <c r="C136" s="126">
        <v>4</v>
      </c>
      <c r="D136" s="126">
        <v>6</v>
      </c>
      <c r="E136" s="130">
        <f t="shared" ref="E136:J136" si="30">E132+$C136</f>
        <v>6</v>
      </c>
      <c r="F136" s="130">
        <f t="shared" si="30"/>
        <v>6</v>
      </c>
      <c r="G136" s="130">
        <f t="shared" si="30"/>
        <v>6</v>
      </c>
      <c r="H136" s="130">
        <f t="shared" si="30"/>
        <v>6</v>
      </c>
      <c r="I136" s="130">
        <f t="shared" si="30"/>
        <v>6</v>
      </c>
      <c r="J136" s="130">
        <f t="shared" si="30"/>
        <v>6</v>
      </c>
      <c r="K136" s="634" t="s">
        <v>239</v>
      </c>
      <c r="L136" s="630"/>
      <c r="M136" s="51"/>
      <c r="N136" s="121"/>
      <c r="O136" s="51"/>
      <c r="Q136" s="42"/>
    </row>
    <row r="137" spans="1:21" x14ac:dyDescent="0.25">
      <c r="A137" s="893"/>
      <c r="B137" s="635" t="s">
        <v>962</v>
      </c>
      <c r="C137" s="322">
        <v>-9</v>
      </c>
      <c r="D137" s="322">
        <v>7</v>
      </c>
      <c r="E137" s="130">
        <f t="shared" ref="E137:J137" si="31">E135+$C137</f>
        <v>286</v>
      </c>
      <c r="F137" s="130">
        <f t="shared" si="31"/>
        <v>409</v>
      </c>
      <c r="G137" s="130">
        <f t="shared" si="31"/>
        <v>409</v>
      </c>
      <c r="H137" s="130">
        <f t="shared" si="31"/>
        <v>409</v>
      </c>
      <c r="I137" s="130">
        <f t="shared" si="31"/>
        <v>409</v>
      </c>
      <c r="J137" s="130">
        <f t="shared" si="31"/>
        <v>409</v>
      </c>
      <c r="K137" s="634" t="s">
        <v>239</v>
      </c>
      <c r="L137" s="39"/>
      <c r="M137" s="51"/>
      <c r="N137" s="121"/>
      <c r="O137" s="51"/>
      <c r="Q137" s="42"/>
    </row>
    <row r="138" spans="1:21" x14ac:dyDescent="0.25">
      <c r="A138" s="881" t="s">
        <v>963</v>
      </c>
      <c r="B138" s="627" t="s">
        <v>964</v>
      </c>
      <c r="C138" s="320"/>
      <c r="D138" s="320">
        <v>8</v>
      </c>
      <c r="E138" s="257">
        <v>2</v>
      </c>
      <c r="F138" s="257">
        <f>$C132</f>
        <v>2</v>
      </c>
      <c r="G138" s="257">
        <f>$C132</f>
        <v>2</v>
      </c>
      <c r="H138" s="257">
        <f>$C132</f>
        <v>2</v>
      </c>
      <c r="I138" s="257">
        <f>$C132</f>
        <v>2</v>
      </c>
      <c r="J138" s="257">
        <f>$C132</f>
        <v>2</v>
      </c>
      <c r="K138" s="628" t="s">
        <v>239</v>
      </c>
      <c r="L138" s="39"/>
      <c r="M138" s="51"/>
      <c r="N138" s="121"/>
      <c r="O138" s="51"/>
      <c r="Q138" s="42"/>
    </row>
    <row r="139" spans="1:21" x14ac:dyDescent="0.25">
      <c r="A139" s="637"/>
      <c r="B139" s="629" t="s">
        <v>965</v>
      </c>
      <c r="C139" s="629">
        <v>2</v>
      </c>
      <c r="D139" s="123">
        <v>9</v>
      </c>
      <c r="E139" s="626">
        <v>27</v>
      </c>
      <c r="F139" s="626">
        <f>$C$139</f>
        <v>2</v>
      </c>
      <c r="G139" s="626">
        <f>$C$139</f>
        <v>2</v>
      </c>
      <c r="H139" s="626">
        <f>$C$139</f>
        <v>2</v>
      </c>
      <c r="I139" s="626">
        <f>$C$139</f>
        <v>2</v>
      </c>
      <c r="J139" s="626">
        <f>$C$139</f>
        <v>2</v>
      </c>
      <c r="K139" s="628" t="s">
        <v>239</v>
      </c>
      <c r="L139" s="39"/>
      <c r="M139" s="51"/>
      <c r="N139" s="121"/>
      <c r="O139" s="51"/>
      <c r="Q139" s="42"/>
    </row>
    <row r="140" spans="1:21" x14ac:dyDescent="0.25">
      <c r="A140" s="639" t="s">
        <v>966</v>
      </c>
      <c r="B140" s="631" t="s">
        <v>967</v>
      </c>
      <c r="C140" s="122"/>
      <c r="D140" s="122">
        <v>10</v>
      </c>
      <c r="E140" s="625" t="str">
        <f>E96</f>
        <v>80</v>
      </c>
      <c r="F140" s="625">
        <f>F123</f>
        <v>80</v>
      </c>
      <c r="G140" s="625">
        <f>G123</f>
        <v>80</v>
      </c>
      <c r="H140" s="625">
        <f>H123</f>
        <v>80</v>
      </c>
      <c r="I140" s="625">
        <f>I123</f>
        <v>80</v>
      </c>
      <c r="J140" s="625">
        <f>J123</f>
        <v>80</v>
      </c>
      <c r="K140" s="632" t="s">
        <v>239</v>
      </c>
      <c r="L140" s="39"/>
      <c r="M140" s="51"/>
      <c r="N140" s="121"/>
      <c r="O140" s="51"/>
      <c r="Q140" s="42"/>
      <c r="R140" s="897" t="s">
        <v>7</v>
      </c>
      <c r="S140" s="636" t="s">
        <v>143</v>
      </c>
      <c r="T140" s="636" t="s">
        <v>924</v>
      </c>
      <c r="U140" s="897" t="s">
        <v>1237</v>
      </c>
    </row>
    <row r="141" spans="1:21" x14ac:dyDescent="0.25">
      <c r="A141" s="639"/>
      <c r="B141" s="631" t="s">
        <v>968</v>
      </c>
      <c r="C141" s="123">
        <f ca="1">IF(INPUT!D3=2,R141,IF(B80="A3",S141,T141))</f>
        <v>100</v>
      </c>
      <c r="D141" s="122">
        <v>11</v>
      </c>
      <c r="E141" s="130">
        <f t="shared" ref="E141:J141" ca="1" si="32">$C141+$C139</f>
        <v>102</v>
      </c>
      <c r="F141" s="130">
        <f t="shared" ca="1" si="32"/>
        <v>102</v>
      </c>
      <c r="G141" s="130">
        <f t="shared" ca="1" si="32"/>
        <v>102</v>
      </c>
      <c r="H141" s="130">
        <f t="shared" ca="1" si="32"/>
        <v>102</v>
      </c>
      <c r="I141" s="130">
        <f t="shared" ca="1" si="32"/>
        <v>102</v>
      </c>
      <c r="J141" s="130">
        <f t="shared" ca="1" si="32"/>
        <v>102</v>
      </c>
      <c r="K141" s="632" t="s">
        <v>239</v>
      </c>
      <c r="L141" s="39"/>
      <c r="M141" s="51"/>
      <c r="N141" s="121"/>
      <c r="O141" s="51"/>
      <c r="Q141" s="42"/>
      <c r="R141" s="17">
        <v>50</v>
      </c>
      <c r="S141" s="17">
        <v>60</v>
      </c>
      <c r="T141" s="17">
        <v>100</v>
      </c>
    </row>
    <row r="142" spans="1:21" x14ac:dyDescent="0.25">
      <c r="A142" s="125" t="s">
        <v>969</v>
      </c>
      <c r="B142" s="633" t="s">
        <v>970</v>
      </c>
      <c r="C142" s="126">
        <v>4</v>
      </c>
      <c r="D142" s="126">
        <v>12</v>
      </c>
      <c r="E142" s="130">
        <f t="shared" ref="E142:J142" si="33">E138+$C142</f>
        <v>6</v>
      </c>
      <c r="F142" s="130">
        <f t="shared" si="33"/>
        <v>6</v>
      </c>
      <c r="G142" s="130">
        <f t="shared" si="33"/>
        <v>6</v>
      </c>
      <c r="H142" s="130">
        <f t="shared" si="33"/>
        <v>6</v>
      </c>
      <c r="I142" s="130">
        <f t="shared" si="33"/>
        <v>6</v>
      </c>
      <c r="J142" s="130">
        <f t="shared" si="33"/>
        <v>6</v>
      </c>
      <c r="K142" s="634" t="s">
        <v>239</v>
      </c>
      <c r="L142" s="39"/>
      <c r="M142" s="51"/>
      <c r="N142" s="121"/>
      <c r="O142" s="51"/>
      <c r="Q142" s="42"/>
    </row>
    <row r="143" spans="1:21" ht="15.75" thickBot="1" x14ac:dyDescent="0.3">
      <c r="A143" s="884"/>
      <c r="B143" s="885" t="s">
        <v>971</v>
      </c>
      <c r="C143" s="139">
        <v>-8</v>
      </c>
      <c r="D143" s="139">
        <v>13</v>
      </c>
      <c r="E143" s="886">
        <f t="shared" ref="E143:J143" ca="1" si="34">E141+$C143</f>
        <v>94</v>
      </c>
      <c r="F143" s="886">
        <f t="shared" ca="1" si="34"/>
        <v>94</v>
      </c>
      <c r="G143" s="886">
        <f t="shared" ca="1" si="34"/>
        <v>94</v>
      </c>
      <c r="H143" s="886">
        <f t="shared" ca="1" si="34"/>
        <v>94</v>
      </c>
      <c r="I143" s="886">
        <f t="shared" ca="1" si="34"/>
        <v>94</v>
      </c>
      <c r="J143" s="886">
        <f t="shared" ca="1" si="34"/>
        <v>94</v>
      </c>
      <c r="K143" s="894" t="s">
        <v>239</v>
      </c>
      <c r="L143" s="39"/>
      <c r="M143" s="51"/>
      <c r="N143" s="121"/>
      <c r="O143" s="51"/>
      <c r="Q143" s="42"/>
    </row>
    <row r="144" spans="1:21" ht="15.75" customHeight="1" thickBot="1" x14ac:dyDescent="0.3">
      <c r="K144" s="38"/>
      <c r="L144" s="75"/>
      <c r="M144" s="75"/>
      <c r="N144" s="75"/>
      <c r="O144" s="75"/>
      <c r="P144" s="75"/>
      <c r="Q144" s="76"/>
    </row>
    <row r="145" spans="1:11" x14ac:dyDescent="0.25">
      <c r="A145" s="16" t="s">
        <v>660</v>
      </c>
    </row>
    <row r="146" spans="1:11" ht="129.75" customHeight="1" x14ac:dyDescent="0.25">
      <c r="A146" s="101" t="s">
        <v>972</v>
      </c>
      <c r="B146" s="967" t="s">
        <v>973</v>
      </c>
      <c r="C146" s="949"/>
      <c r="D146" s="949"/>
      <c r="E146" s="949"/>
      <c r="F146" s="949"/>
    </row>
    <row r="147" spans="1:11" ht="132.75" customHeight="1" x14ac:dyDescent="0.25">
      <c r="A147" s="101" t="s">
        <v>974</v>
      </c>
      <c r="B147" s="971" t="s">
        <v>975</v>
      </c>
      <c r="C147" s="949"/>
      <c r="D147" s="949"/>
      <c r="E147" s="949"/>
      <c r="F147" s="949"/>
      <c r="G147" s="965"/>
      <c r="H147" s="949"/>
      <c r="I147" s="949"/>
      <c r="J147" s="949"/>
      <c r="K147" s="949"/>
    </row>
    <row r="148" spans="1:11" ht="72.75" customHeight="1" x14ac:dyDescent="0.25">
      <c r="A148" s="101" t="s">
        <v>976</v>
      </c>
      <c r="B148" s="969" t="s">
        <v>977</v>
      </c>
      <c r="C148" s="949"/>
      <c r="D148" s="949"/>
      <c r="E148" s="949"/>
      <c r="F148" s="949"/>
    </row>
    <row r="149" spans="1:11" ht="57.75" customHeight="1" x14ac:dyDescent="0.25">
      <c r="A149" s="101" t="s">
        <v>978</v>
      </c>
      <c r="B149" s="968" t="s">
        <v>979</v>
      </c>
      <c r="C149" s="949"/>
      <c r="D149" s="949"/>
      <c r="E149" s="949"/>
      <c r="F149" s="949"/>
    </row>
    <row r="150" spans="1:11" ht="50.25" customHeight="1" x14ac:dyDescent="0.25">
      <c r="A150" s="690" t="s">
        <v>980</v>
      </c>
      <c r="B150" s="966" t="s">
        <v>981</v>
      </c>
      <c r="C150" s="949"/>
      <c r="D150" s="949"/>
      <c r="E150" s="949"/>
      <c r="F150" s="949"/>
    </row>
    <row r="151" spans="1:11" ht="50.25" customHeight="1" x14ac:dyDescent="0.25">
      <c r="A151" s="690" t="s">
        <v>982</v>
      </c>
      <c r="B151" s="966" t="s">
        <v>983</v>
      </c>
      <c r="C151" s="949"/>
      <c r="D151" s="949"/>
      <c r="E151" s="949"/>
      <c r="F151" s="949"/>
    </row>
    <row r="152" spans="1:11" ht="66.75" customHeight="1" x14ac:dyDescent="0.25">
      <c r="A152" s="813" t="s">
        <v>1148</v>
      </c>
      <c r="B152" s="970" t="s">
        <v>1149</v>
      </c>
      <c r="C152" s="949"/>
      <c r="D152" s="949"/>
      <c r="E152" s="949"/>
      <c r="F152" s="949"/>
    </row>
  </sheetData>
  <mergeCells count="8">
    <mergeCell ref="B152:F152"/>
    <mergeCell ref="B147:F147"/>
    <mergeCell ref="B151:F151"/>
    <mergeCell ref="G147:K147"/>
    <mergeCell ref="B150:F150"/>
    <mergeCell ref="B146:F146"/>
    <mergeCell ref="B149:F149"/>
    <mergeCell ref="B148:F148"/>
  </mergeCells>
  <phoneticPr fontId="321" type="noConversion"/>
  <conditionalFormatting sqref="B80">
    <cfRule type="expression" dxfId="0" priority="1">
      <formula>B79&gt;0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0"/>
  <dimension ref="A1:A2"/>
  <sheetViews>
    <sheetView workbookViewId="0">
      <selection activeCell="A2" sqref="A2"/>
    </sheetView>
  </sheetViews>
  <sheetFormatPr defaultColWidth="9.140625" defaultRowHeight="12.75" x14ac:dyDescent="0.2"/>
  <cols>
    <col min="1" max="7" width="9.140625" style="98" customWidth="1"/>
    <col min="8" max="16384" width="9.140625" style="98"/>
  </cols>
  <sheetData>
    <row r="1" spans="1:1" x14ac:dyDescent="0.2">
      <c r="A1" s="98" t="str">
        <f ca="1">","&amp;Ontwerp!N273&amp;",0,"&amp;INPUT!D7&amp;"A"</f>
        <v>,103896.9,489289.5,0,3D25V700-12A</v>
      </c>
    </row>
    <row r="2" spans="1:1" x14ac:dyDescent="0.2">
      <c r="A2" s="98" t="str">
        <f ca="1">","&amp;VLOOKUP(Ontwerp!A272,Ontwerp!A273:N284,14,FALSE)&amp;",0,"&amp;INPUT!D7&amp;"B"</f>
        <v>,104118.8,489243.7,0,3D25V700-12B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9"/>
  <dimension ref="A1:H96"/>
  <sheetViews>
    <sheetView topLeftCell="A6" workbookViewId="0">
      <selection activeCell="D8" sqref="D8"/>
    </sheetView>
  </sheetViews>
  <sheetFormatPr defaultColWidth="9.140625" defaultRowHeight="18" x14ac:dyDescent="0.25"/>
  <cols>
    <col min="1" max="1" width="7.28515625" style="507" customWidth="1"/>
    <col min="2" max="2" width="10.140625" style="507" customWidth="1"/>
    <col min="3" max="3" width="11.28515625" style="507" customWidth="1"/>
    <col min="4" max="4" width="10.28515625" style="507" customWidth="1"/>
    <col min="5" max="5" width="9.85546875" style="507" customWidth="1"/>
    <col min="6" max="7" width="9.5703125" style="507" customWidth="1"/>
    <col min="8" max="14" width="9.140625" style="507" customWidth="1"/>
    <col min="15" max="16384" width="9.140625" style="507"/>
  </cols>
  <sheetData>
    <row r="1" spans="1:8" x14ac:dyDescent="0.25">
      <c r="A1" s="507" t="s">
        <v>984</v>
      </c>
      <c r="D1" s="507" t="str">
        <f ca="1">INPUT!D7</f>
        <v>3D25V700-12</v>
      </c>
      <c r="H1" s="507" t="s">
        <v>1068</v>
      </c>
    </row>
    <row r="2" spans="1:8" x14ac:dyDescent="0.25">
      <c r="A2" s="1" t="s">
        <v>985</v>
      </c>
      <c r="B2" s="1" t="str">
        <f>INPUT!D31</f>
        <v>Dmissie Electro BV</v>
      </c>
      <c r="H2" s="760" t="s">
        <v>1069</v>
      </c>
    </row>
    <row r="3" spans="1:8" x14ac:dyDescent="0.25">
      <c r="A3" s="1" t="s">
        <v>986</v>
      </c>
      <c r="B3" s="1" t="str">
        <f ca="1">INPUT!D16</f>
        <v>HDD12 Haarlem, N200</v>
      </c>
      <c r="H3" s="760" t="s">
        <v>1070</v>
      </c>
    </row>
    <row r="4" spans="1:8" x14ac:dyDescent="0.25">
      <c r="A4" s="1" t="s">
        <v>987</v>
      </c>
      <c r="B4" s="1"/>
    </row>
    <row r="5" spans="1:8" x14ac:dyDescent="0.25">
      <c r="A5" s="1" t="s">
        <v>988</v>
      </c>
      <c r="B5" s="1" t="str">
        <f>INPUT!D24</f>
        <v>1x Ø160 PE100 SDR11</v>
      </c>
    </row>
    <row r="6" spans="1:8" ht="26.25" customHeight="1" x14ac:dyDescent="0.25">
      <c r="A6" s="513" t="s">
        <v>146</v>
      </c>
      <c r="B6" s="513" t="s">
        <v>147</v>
      </c>
      <c r="C6" s="514" t="s">
        <v>989</v>
      </c>
      <c r="D6" s="514" t="s">
        <v>990</v>
      </c>
      <c r="E6" s="513" t="s">
        <v>150</v>
      </c>
      <c r="F6" s="514" t="s">
        <v>991</v>
      </c>
      <c r="G6" s="514" t="s">
        <v>992</v>
      </c>
    </row>
    <row r="7" spans="1:8" ht="21" customHeight="1" x14ac:dyDescent="0.35">
      <c r="A7" s="517">
        <v>1</v>
      </c>
      <c r="B7" s="517" t="e">
        <f ca="1">-Ontwerp!T$32+Ontwerp!T$33+A7*Ontwerp!T$32</f>
        <v>#N/A</v>
      </c>
      <c r="C7" s="518" t="e">
        <f ca="1">IF(B7&lt;Ontwerp!C$41,B7*COS(RADIANS(Ontwerp!D$7)),IF(B7&lt;(Ontwerp!C$41+Ontwerp!C$44),Ontwerp!C$40+Ontwerp!C$43+Ontwerp!D$8*SIN(RADIANS(-Ontwerp!D$7+360*(B7-Ontwerp!C$41)/(2*PI()*Ontwerp!D$8))),IF(B7&lt;(Ontwerp!C$41+Ontwerp!C$44+Ontwerp!C$46),B7-(Ontwerp!C$41+Ontwerp!C$44)+Ontwerp!C$40+Ontwerp!C$43,IF(B7&lt;(Ontwerp!C$41+Ontwerp!C$44+Ontwerp!C$46+Ontwerp!C$50),Ontwerp!C$40+Ontwerp!C$43+Ontwerp!C$46+Ontwerp!D$12*SIN(RADIANS(360*(B7-(Ontwerp!C$41+Ontwerp!C$44+Ontwerp!C$46))/(2*PI()*Ontwerp!D$12))),IF(B7&lt;=(Ontwerp!C$41+Ontwerp!C$44+Ontwerp!C$46+Ontwerp!C$50+Ontwerp!C$53),Ontwerp!C$40+Ontwerp!C$43+Ontwerp!C$46+Ontwerp!C$49+(B7-(Ontwerp!C$41+Ontwerp!C$44+Ontwerp!C$46+Ontwerp!C$50))*COS(RADIANS(Ontwerp!D$13)),"CHECK FORMULE")))))</f>
        <v>#N/A</v>
      </c>
      <c r="D7" s="518" t="e">
        <f ca="1">IF(C7&lt;=Ontwerp!P$274,Ontwerp!U$273+(C7*Ontwerp!V$274/Ontwerp!R$274),IF(C7&lt;=Ontwerp!P$275,Ontwerp!Z$266+Ontwerp!C$38-Ontwerp!Z$266*COS(ASIN((Ontwerp!C$45-C7)/Ontwerp!Z$266)),IF(C7&lt;=Ontwerp!P$276,Ontwerp!U$276,IF(C7&lt;=Ontwerp!P$277,Ontwerp!Z$269+Ontwerp!C$38-Ontwerp!Z$269*COS(ASIN((C7-Ontwerp!C$45-Ontwerp!C$46)/Ontwerp!Z$269)),IF(C7&lt;=Ontwerp!P$278,Ontwerp!U$277+((C7-Ontwerp!P$277)*Ontwerp!V$278/Ontwerp!R$278),"Formule bijwerken voor  T6")))))</f>
        <v>#N/A</v>
      </c>
      <c r="E7" s="519" t="e">
        <f ca="1">D7/C7</f>
        <v>#N/A</v>
      </c>
      <c r="F7" s="515"/>
      <c r="G7" s="516"/>
    </row>
    <row r="8" spans="1:8" ht="21" customHeight="1" x14ac:dyDescent="0.35">
      <c r="A8" s="517" t="e">
        <f ca="1">IF(A7="","",IF(B7&lt;(Ontwerp!M$9),A7+1,""))</f>
        <v>#N/A</v>
      </c>
      <c r="B8" s="517" t="e">
        <f ca="1">IF(A8="","",IF(-Ontwerp!T$32+Ontwerp!T$33+A8*Ontwerp!T$32&lt;Ontwerp!M$9,-Ontwerp!T$32+Ontwerp!T$33+A8*Ontwerp!T$32,Ontwerp!M$9))</f>
        <v>#N/A</v>
      </c>
      <c r="C8" s="518" t="e">
        <f ca="1">IF(B8&lt;Ontwerp!C$41,B8*COS(RADIANS(Ontwerp!D$7)),IF(B8&lt;(Ontwerp!C$41+Ontwerp!C$44),Ontwerp!C$40+Ontwerp!C$43+Ontwerp!D$8*SIN(RADIANS(-Ontwerp!D$7+360*(B8-Ontwerp!C$41)/(2*PI()*Ontwerp!D$8))),IF(B8&lt;(Ontwerp!C$41+Ontwerp!C$44+Ontwerp!C$46),B8-(Ontwerp!C$41+Ontwerp!C$44)+Ontwerp!C$40+Ontwerp!C$43,IF(B8&lt;(Ontwerp!C$41+Ontwerp!C$44+Ontwerp!C$46+Ontwerp!C$50),Ontwerp!C$40+Ontwerp!C$43+Ontwerp!C$46+Ontwerp!D$12*SIN(RADIANS(360*(B8-(Ontwerp!C$41+Ontwerp!C$44+Ontwerp!C$46))/(2*PI()*Ontwerp!D$12))),IF(B8&lt;=(Ontwerp!C$41+Ontwerp!C$44+Ontwerp!C$46+Ontwerp!C$50+Ontwerp!C$53),Ontwerp!C$40+Ontwerp!C$43+Ontwerp!C$46+Ontwerp!C$49+(B8-(Ontwerp!C$41+Ontwerp!C$44+Ontwerp!C$46+Ontwerp!C$50))*COS(RADIANS(Ontwerp!D$13)),"CHECK FORMULE")))))</f>
        <v>#N/A</v>
      </c>
      <c r="D8" s="518" t="e">
        <f ca="1">IF(C8&lt;=Ontwerp!P$274,Ontwerp!U$273+(C8*Ontwerp!V$274/Ontwerp!R$274),IF(C8&lt;=Ontwerp!P$275,Ontwerp!Z$266+Ontwerp!C$38-Ontwerp!Z$266*COS(ASIN((Ontwerp!C$45-C8)/Ontwerp!Z$266)),IF(C8&lt;=Ontwerp!P$276,Ontwerp!U$276,IF(C8&lt;=Ontwerp!P$277,Ontwerp!Z$269+Ontwerp!C$38-Ontwerp!Z$269*COS(ASIN((C8-Ontwerp!C$45-Ontwerp!C$46)/Ontwerp!Z$269)),IF(C8&lt;=Ontwerp!P$278,Ontwerp!U$277+((C8-Ontwerp!P$277)*Ontwerp!V$278/Ontwerp!R$278),"Formule bijwerken voor  T6")))))</f>
        <v>#N/A</v>
      </c>
      <c r="E8" s="519" t="e">
        <f ca="1">(D8-D7)/(C8-C7)</f>
        <v>#N/A</v>
      </c>
      <c r="F8" s="515"/>
      <c r="G8" s="516"/>
    </row>
    <row r="9" spans="1:8" ht="21" customHeight="1" x14ac:dyDescent="0.35">
      <c r="A9" s="517" t="e">
        <f ca="1">IF(A8="","",IF(B8&lt;(Ontwerp!M$9),A8+1,""))</f>
        <v>#N/A</v>
      </c>
      <c r="B9" s="517" t="e">
        <f ca="1">IF(A9="","",IF(-Ontwerp!T$32+Ontwerp!T$33+A9*Ontwerp!T$32&lt;Ontwerp!M$9,-Ontwerp!T$32+Ontwerp!T$33+A9*Ontwerp!T$32,Ontwerp!M$9))</f>
        <v>#N/A</v>
      </c>
      <c r="C9" s="518" t="e">
        <f ca="1">IF(B9&lt;Ontwerp!C$41,B9*COS(RADIANS(Ontwerp!D$7)),IF(B9&lt;(Ontwerp!C$41+Ontwerp!C$44),Ontwerp!C$40+Ontwerp!C$43+Ontwerp!D$8*SIN(RADIANS(-Ontwerp!D$7+360*(B9-Ontwerp!C$41)/(2*PI()*Ontwerp!D$8))),IF(B9&lt;(Ontwerp!C$41+Ontwerp!C$44+Ontwerp!C$46),B9-(Ontwerp!C$41+Ontwerp!C$44)+Ontwerp!C$40+Ontwerp!C$43,IF(B9&lt;(Ontwerp!C$41+Ontwerp!C$44+Ontwerp!C$46+Ontwerp!C$50),Ontwerp!C$40+Ontwerp!C$43+Ontwerp!C$46+Ontwerp!D$12*SIN(RADIANS(360*(B9-(Ontwerp!C$41+Ontwerp!C$44+Ontwerp!C$46))/(2*PI()*Ontwerp!D$12))),IF(B9&lt;=(Ontwerp!C$41+Ontwerp!C$44+Ontwerp!C$46+Ontwerp!C$50+Ontwerp!C$53),Ontwerp!C$40+Ontwerp!C$43+Ontwerp!C$46+Ontwerp!C$49+(B9-(Ontwerp!C$41+Ontwerp!C$44+Ontwerp!C$46+Ontwerp!C$50))*COS(RADIANS(Ontwerp!D$13)),"CHECK FORMULE")))))</f>
        <v>#N/A</v>
      </c>
      <c r="D9" s="518" t="e">
        <f ca="1">IF(C9&lt;=Ontwerp!P$274,Ontwerp!U$273+(C9*Ontwerp!V$274/Ontwerp!R$274),IF(C9&lt;=Ontwerp!P$275,Ontwerp!Z$266+Ontwerp!C$38-Ontwerp!Z$266*COS(ASIN((Ontwerp!C$45-C9)/Ontwerp!Z$266)),IF(C9&lt;=Ontwerp!P$276,Ontwerp!U$276,IF(C9&lt;=Ontwerp!P$277,Ontwerp!Z$269+Ontwerp!C$38-Ontwerp!Z$269*COS(ASIN((C9-Ontwerp!C$45-Ontwerp!C$46)/Ontwerp!Z$269)),IF(C9&lt;=Ontwerp!P$278,Ontwerp!U$277+((C9-Ontwerp!P$277)*Ontwerp!V$278/Ontwerp!R$278),"Formule bijwerken voor  T6")))))</f>
        <v>#N/A</v>
      </c>
      <c r="E9" s="519" t="e">
        <f t="shared" ref="E9:E72" ca="1" si="0">(D9-D8)/(C9-C8)</f>
        <v>#N/A</v>
      </c>
      <c r="F9" s="515"/>
      <c r="G9" s="516"/>
    </row>
    <row r="10" spans="1:8" ht="21" customHeight="1" x14ac:dyDescent="0.35">
      <c r="A10" s="517" t="e">
        <f ca="1">IF(A9="","",IF(B9&lt;(Ontwerp!M$9),A9+1,""))</f>
        <v>#N/A</v>
      </c>
      <c r="B10" s="517" t="e">
        <f ca="1">IF(A10="","",IF(-Ontwerp!T$32+Ontwerp!T$33+A10*Ontwerp!T$32&lt;Ontwerp!M$9,-Ontwerp!T$32+Ontwerp!T$33+A10*Ontwerp!T$32,Ontwerp!M$9))</f>
        <v>#N/A</v>
      </c>
      <c r="C10" s="518" t="e">
        <f ca="1">IF(B10&lt;Ontwerp!C$41,B10*COS(RADIANS(Ontwerp!D$7)),IF(B10&lt;(Ontwerp!C$41+Ontwerp!C$44),Ontwerp!C$40+Ontwerp!C$43+Ontwerp!D$8*SIN(RADIANS(-Ontwerp!D$7+360*(B10-Ontwerp!C$41)/(2*PI()*Ontwerp!D$8))),IF(B10&lt;(Ontwerp!C$41+Ontwerp!C$44+Ontwerp!C$46),B10-(Ontwerp!C$41+Ontwerp!C$44)+Ontwerp!C$40+Ontwerp!C$43,IF(B10&lt;(Ontwerp!C$41+Ontwerp!C$44+Ontwerp!C$46+Ontwerp!C$50),Ontwerp!C$40+Ontwerp!C$43+Ontwerp!C$46+Ontwerp!D$12*SIN(RADIANS(360*(B10-(Ontwerp!C$41+Ontwerp!C$44+Ontwerp!C$46))/(2*PI()*Ontwerp!D$12))),IF(B10&lt;=(Ontwerp!C$41+Ontwerp!C$44+Ontwerp!C$46+Ontwerp!C$50+Ontwerp!C$53),Ontwerp!C$40+Ontwerp!C$43+Ontwerp!C$46+Ontwerp!C$49+(B10-(Ontwerp!C$41+Ontwerp!C$44+Ontwerp!C$46+Ontwerp!C$50))*COS(RADIANS(Ontwerp!D$13)),"CHECK FORMULE")))))</f>
        <v>#N/A</v>
      </c>
      <c r="D10" s="518" t="e">
        <f ca="1">IF(C10&lt;=Ontwerp!P$274,Ontwerp!U$273+(C10*Ontwerp!V$274/Ontwerp!R$274),IF(C10&lt;=Ontwerp!P$275,Ontwerp!Z$266+Ontwerp!C$38-Ontwerp!Z$266*COS(ASIN((Ontwerp!C$45-C10)/Ontwerp!Z$266)),IF(C10&lt;=Ontwerp!P$276,Ontwerp!U$276,IF(C10&lt;=Ontwerp!P$277,Ontwerp!Z$269+Ontwerp!C$38-Ontwerp!Z$269*COS(ASIN((C10-Ontwerp!C$45-Ontwerp!C$46)/Ontwerp!Z$269)),IF(C10&lt;=Ontwerp!P$278,Ontwerp!U$277+((C10-Ontwerp!P$277)*Ontwerp!V$278/Ontwerp!R$278),"Formule bijwerken voor  T6")))))</f>
        <v>#N/A</v>
      </c>
      <c r="E10" s="519" t="e">
        <f t="shared" ca="1" si="0"/>
        <v>#N/A</v>
      </c>
      <c r="F10" s="515"/>
      <c r="G10" s="516"/>
    </row>
    <row r="11" spans="1:8" ht="21" customHeight="1" x14ac:dyDescent="0.35">
      <c r="A11" s="517" t="e">
        <f ca="1">IF(A10="","",IF(B10&lt;(Ontwerp!M$9),A10+1,""))</f>
        <v>#N/A</v>
      </c>
      <c r="B11" s="517" t="e">
        <f ca="1">IF(A11="","",IF(-Ontwerp!T$32+Ontwerp!T$33+A11*Ontwerp!T$32&lt;Ontwerp!M$9,-Ontwerp!T$32+Ontwerp!T$33+A11*Ontwerp!T$32,Ontwerp!M$9))</f>
        <v>#N/A</v>
      </c>
      <c r="C11" s="518" t="e">
        <f ca="1">IF(B11&lt;Ontwerp!C$41,B11*COS(RADIANS(Ontwerp!D$7)),IF(B11&lt;(Ontwerp!C$41+Ontwerp!C$44),Ontwerp!C$40+Ontwerp!C$43+Ontwerp!D$8*SIN(RADIANS(-Ontwerp!D$7+360*(B11-Ontwerp!C$41)/(2*PI()*Ontwerp!D$8))),IF(B11&lt;(Ontwerp!C$41+Ontwerp!C$44+Ontwerp!C$46),B11-(Ontwerp!C$41+Ontwerp!C$44)+Ontwerp!C$40+Ontwerp!C$43,IF(B11&lt;(Ontwerp!C$41+Ontwerp!C$44+Ontwerp!C$46+Ontwerp!C$50),Ontwerp!C$40+Ontwerp!C$43+Ontwerp!C$46+Ontwerp!D$12*SIN(RADIANS(360*(B11-(Ontwerp!C$41+Ontwerp!C$44+Ontwerp!C$46))/(2*PI()*Ontwerp!D$12))),IF(B11&lt;=(Ontwerp!C$41+Ontwerp!C$44+Ontwerp!C$46+Ontwerp!C$50+Ontwerp!C$53),Ontwerp!C$40+Ontwerp!C$43+Ontwerp!C$46+Ontwerp!C$49+(B11-(Ontwerp!C$41+Ontwerp!C$44+Ontwerp!C$46+Ontwerp!C$50))*COS(RADIANS(Ontwerp!D$13)),"CHECK FORMULE")))))</f>
        <v>#N/A</v>
      </c>
      <c r="D11" s="518" t="e">
        <f ca="1">IF(C11&lt;=Ontwerp!P$274,Ontwerp!U$273+(C11*Ontwerp!V$274/Ontwerp!R$274),IF(C11&lt;=Ontwerp!P$275,Ontwerp!Z$266+Ontwerp!C$38-Ontwerp!Z$266*COS(ASIN((Ontwerp!C$45-C11)/Ontwerp!Z$266)),IF(C11&lt;=Ontwerp!P$276,Ontwerp!U$276,IF(C11&lt;=Ontwerp!P$277,Ontwerp!Z$269+Ontwerp!C$38-Ontwerp!Z$269*COS(ASIN((C11-Ontwerp!C$45-Ontwerp!C$46)/Ontwerp!Z$269)),IF(C11&lt;=Ontwerp!P$278,Ontwerp!U$277+((C11-Ontwerp!P$277)*Ontwerp!V$278/Ontwerp!R$278),"Formule bijwerken voor  T6")))))</f>
        <v>#N/A</v>
      </c>
      <c r="E11" s="519" t="e">
        <f t="shared" ca="1" si="0"/>
        <v>#N/A</v>
      </c>
      <c r="F11" s="515"/>
      <c r="G11" s="516"/>
    </row>
    <row r="12" spans="1:8" ht="21" customHeight="1" x14ac:dyDescent="0.35">
      <c r="A12" s="520" t="e">
        <f ca="1">IF(A11="","",IF(B11&lt;(Ontwerp!M$9),A11+1,""))</f>
        <v>#N/A</v>
      </c>
      <c r="B12" s="520" t="e">
        <f ca="1">IF(A12="","",IF(-Ontwerp!T$32+Ontwerp!T$33+A12*Ontwerp!T$32&lt;Ontwerp!M$9,-Ontwerp!T$32+Ontwerp!T$33+A12*Ontwerp!T$32,Ontwerp!M$9))</f>
        <v>#N/A</v>
      </c>
      <c r="C12" s="518" t="e">
        <f ca="1">IF(B12&lt;Ontwerp!C$41,B12*COS(RADIANS(Ontwerp!D$7)),IF(B12&lt;(Ontwerp!C$41+Ontwerp!C$44),Ontwerp!C$40+Ontwerp!C$43+Ontwerp!D$8*SIN(RADIANS(-Ontwerp!D$7+360*(B12-Ontwerp!C$41)/(2*PI()*Ontwerp!D$8))),IF(B12&lt;(Ontwerp!C$41+Ontwerp!C$44+Ontwerp!C$46),B12-(Ontwerp!C$41+Ontwerp!C$44)+Ontwerp!C$40+Ontwerp!C$43,IF(B12&lt;(Ontwerp!C$41+Ontwerp!C$44+Ontwerp!C$46+Ontwerp!C$50),Ontwerp!C$40+Ontwerp!C$43+Ontwerp!C$46+Ontwerp!D$12*SIN(RADIANS(360*(B12-(Ontwerp!C$41+Ontwerp!C$44+Ontwerp!C$46))/(2*PI()*Ontwerp!D$12))),IF(B12&lt;=(Ontwerp!C$41+Ontwerp!C$44+Ontwerp!C$46+Ontwerp!C$50+Ontwerp!C$53),Ontwerp!C$40+Ontwerp!C$43+Ontwerp!C$46+Ontwerp!C$49+(B12-(Ontwerp!C$41+Ontwerp!C$44+Ontwerp!C$46+Ontwerp!C$50))*COS(RADIANS(Ontwerp!D$13)),"CHECK FORMULE")))))</f>
        <v>#N/A</v>
      </c>
      <c r="D12" s="518" t="e">
        <f ca="1">IF(C12&lt;=Ontwerp!P$274,Ontwerp!U$273+(C12*Ontwerp!V$274/Ontwerp!R$274),IF(C12&lt;=Ontwerp!P$275,Ontwerp!Z$266+Ontwerp!C$38-Ontwerp!Z$266*COS(ASIN((Ontwerp!C$45-C12)/Ontwerp!Z$266)),IF(C12&lt;=Ontwerp!P$276,Ontwerp!U$276,IF(C12&lt;=Ontwerp!P$277,Ontwerp!Z$269+Ontwerp!C$38-Ontwerp!Z$269*COS(ASIN((C12-Ontwerp!C$45-Ontwerp!C$46)/Ontwerp!Z$269)),IF(C12&lt;=Ontwerp!P$278,Ontwerp!U$277+((C12-Ontwerp!P$277)*Ontwerp!V$278/Ontwerp!R$278),"Formule bijwerken voor  T6")))))</f>
        <v>#N/A</v>
      </c>
      <c r="E12" s="519" t="e">
        <f t="shared" ca="1" si="0"/>
        <v>#N/A</v>
      </c>
      <c r="F12" s="515"/>
      <c r="G12" s="516"/>
    </row>
    <row r="13" spans="1:8" ht="21" customHeight="1" x14ac:dyDescent="0.35">
      <c r="A13" s="517" t="e">
        <f ca="1">IF(A12="","",IF(B12&lt;(Ontwerp!M$9),A12+1,""))</f>
        <v>#N/A</v>
      </c>
      <c r="B13" s="517" t="e">
        <f ca="1">IF(A13="","",IF(-Ontwerp!T$32+Ontwerp!T$33+A13*Ontwerp!T$32&lt;Ontwerp!M$9,-Ontwerp!T$32+Ontwerp!T$33+A13*Ontwerp!T$32,Ontwerp!M$9))</f>
        <v>#N/A</v>
      </c>
      <c r="C13" s="518" t="e">
        <f ca="1">IF(B13&lt;Ontwerp!C$41,B13*COS(RADIANS(Ontwerp!D$7)),IF(B13&lt;(Ontwerp!C$41+Ontwerp!C$44),Ontwerp!C$40+Ontwerp!C$43+Ontwerp!D$8*SIN(RADIANS(-Ontwerp!D$7+360*(B13-Ontwerp!C$41)/(2*PI()*Ontwerp!D$8))),IF(B13&lt;(Ontwerp!C$41+Ontwerp!C$44+Ontwerp!C$46),B13-(Ontwerp!C$41+Ontwerp!C$44)+Ontwerp!C$40+Ontwerp!C$43,IF(B13&lt;(Ontwerp!C$41+Ontwerp!C$44+Ontwerp!C$46+Ontwerp!C$50),Ontwerp!C$40+Ontwerp!C$43+Ontwerp!C$46+Ontwerp!D$12*SIN(RADIANS(360*(B13-(Ontwerp!C$41+Ontwerp!C$44+Ontwerp!C$46))/(2*PI()*Ontwerp!D$12))),IF(B13&lt;=(Ontwerp!C$41+Ontwerp!C$44+Ontwerp!C$46+Ontwerp!C$50+Ontwerp!C$53),Ontwerp!C$40+Ontwerp!C$43+Ontwerp!C$46+Ontwerp!C$49+(B13-(Ontwerp!C$41+Ontwerp!C$44+Ontwerp!C$46+Ontwerp!C$50))*COS(RADIANS(Ontwerp!D$13)),"CHECK FORMULE")))))</f>
        <v>#N/A</v>
      </c>
      <c r="D13" s="518" t="e">
        <f ca="1">IF(C13&lt;=Ontwerp!P$274,Ontwerp!U$273+(C13*Ontwerp!V$274/Ontwerp!R$274),IF(C13&lt;=Ontwerp!P$275,Ontwerp!Z$266+Ontwerp!C$38-Ontwerp!Z$266*COS(ASIN((Ontwerp!C$45-C13)/Ontwerp!Z$266)),IF(C13&lt;=Ontwerp!P$276,Ontwerp!U$276,IF(C13&lt;=Ontwerp!P$277,Ontwerp!Z$269+Ontwerp!C$38-Ontwerp!Z$269*COS(ASIN((C13-Ontwerp!C$45-Ontwerp!C$46)/Ontwerp!Z$269)),IF(C13&lt;=Ontwerp!P$278,Ontwerp!U$277+((C13-Ontwerp!P$277)*Ontwerp!V$278/Ontwerp!R$278),"Formule bijwerken voor  T6")))))</f>
        <v>#N/A</v>
      </c>
      <c r="E13" s="519" t="e">
        <f t="shared" ca="1" si="0"/>
        <v>#N/A</v>
      </c>
      <c r="F13" s="515"/>
      <c r="G13" s="516"/>
    </row>
    <row r="14" spans="1:8" ht="21" customHeight="1" x14ac:dyDescent="0.35">
      <c r="A14" s="521" t="e">
        <f ca="1">IF(A13="","",IF(B13&lt;(Ontwerp!M$9),A13+1,""))</f>
        <v>#N/A</v>
      </c>
      <c r="B14" s="521" t="e">
        <f ca="1">IF(A14="","",IF(-Ontwerp!T$32+Ontwerp!T$33+A14*Ontwerp!T$32&lt;Ontwerp!M$9,-Ontwerp!T$32+Ontwerp!T$33+A14*Ontwerp!T$32,Ontwerp!M$9))</f>
        <v>#N/A</v>
      </c>
      <c r="C14" s="518" t="e">
        <f ca="1">IF(B14&lt;Ontwerp!C$41,B14*COS(RADIANS(Ontwerp!D$7)),IF(B14&lt;(Ontwerp!C$41+Ontwerp!C$44),Ontwerp!C$40+Ontwerp!C$43+Ontwerp!D$8*SIN(RADIANS(-Ontwerp!D$7+360*(B14-Ontwerp!C$41)/(2*PI()*Ontwerp!D$8))),IF(B14&lt;(Ontwerp!C$41+Ontwerp!C$44+Ontwerp!C$46),B14-(Ontwerp!C$41+Ontwerp!C$44)+Ontwerp!C$40+Ontwerp!C$43,IF(B14&lt;(Ontwerp!C$41+Ontwerp!C$44+Ontwerp!C$46+Ontwerp!C$50),Ontwerp!C$40+Ontwerp!C$43+Ontwerp!C$46+Ontwerp!D$12*SIN(RADIANS(360*(B14-(Ontwerp!C$41+Ontwerp!C$44+Ontwerp!C$46))/(2*PI()*Ontwerp!D$12))),IF(B14&lt;=(Ontwerp!C$41+Ontwerp!C$44+Ontwerp!C$46+Ontwerp!C$50+Ontwerp!C$53),Ontwerp!C$40+Ontwerp!C$43+Ontwerp!C$46+Ontwerp!C$49+(B14-(Ontwerp!C$41+Ontwerp!C$44+Ontwerp!C$46+Ontwerp!C$50))*COS(RADIANS(Ontwerp!D$13)),"CHECK FORMULE")))))</f>
        <v>#N/A</v>
      </c>
      <c r="D14" s="518" t="e">
        <f ca="1">IF(C14&lt;=Ontwerp!P$274,Ontwerp!U$273+(C14*Ontwerp!V$274/Ontwerp!R$274),IF(C14&lt;=Ontwerp!P$275,Ontwerp!Z$266+Ontwerp!C$38-Ontwerp!Z$266*COS(ASIN((Ontwerp!C$45-C14)/Ontwerp!Z$266)),IF(C14&lt;=Ontwerp!P$276,Ontwerp!U$276,IF(C14&lt;=Ontwerp!P$277,Ontwerp!Z$269+Ontwerp!C$38-Ontwerp!Z$269*COS(ASIN((C14-Ontwerp!C$45-Ontwerp!C$46)/Ontwerp!Z$269)),IF(C14&lt;=Ontwerp!P$278,Ontwerp!U$277+((C14-Ontwerp!P$277)*Ontwerp!V$278/Ontwerp!R$278),"Formule bijwerken voor  T6")))))</f>
        <v>#N/A</v>
      </c>
      <c r="E14" s="519" t="e">
        <f t="shared" ca="1" si="0"/>
        <v>#N/A</v>
      </c>
      <c r="F14" s="515"/>
      <c r="G14" s="516"/>
    </row>
    <row r="15" spans="1:8" ht="21" customHeight="1" x14ac:dyDescent="0.35">
      <c r="A15" s="517" t="e">
        <f ca="1">IF(A14="","",IF(B14&lt;(Ontwerp!M$9),A14+1,""))</f>
        <v>#N/A</v>
      </c>
      <c r="B15" s="517" t="e">
        <f ca="1">IF(A15="","",IF(-Ontwerp!T$32+Ontwerp!T$33+A15*Ontwerp!T$32&lt;Ontwerp!M$9,-Ontwerp!T$32+Ontwerp!T$33+A15*Ontwerp!T$32,Ontwerp!M$9))</f>
        <v>#N/A</v>
      </c>
      <c r="C15" s="518" t="e">
        <f ca="1">IF(B15&lt;Ontwerp!C$41,B15*COS(RADIANS(Ontwerp!D$7)),IF(B15&lt;(Ontwerp!C$41+Ontwerp!C$44),Ontwerp!C$40+Ontwerp!C$43+Ontwerp!D$8*SIN(RADIANS(-Ontwerp!D$7+360*(B15-Ontwerp!C$41)/(2*PI()*Ontwerp!D$8))),IF(B15&lt;(Ontwerp!C$41+Ontwerp!C$44+Ontwerp!C$46),B15-(Ontwerp!C$41+Ontwerp!C$44)+Ontwerp!C$40+Ontwerp!C$43,IF(B15&lt;(Ontwerp!C$41+Ontwerp!C$44+Ontwerp!C$46+Ontwerp!C$50),Ontwerp!C$40+Ontwerp!C$43+Ontwerp!C$46+Ontwerp!D$12*SIN(RADIANS(360*(B15-(Ontwerp!C$41+Ontwerp!C$44+Ontwerp!C$46))/(2*PI()*Ontwerp!D$12))),IF(B15&lt;=(Ontwerp!C$41+Ontwerp!C$44+Ontwerp!C$46+Ontwerp!C$50+Ontwerp!C$53),Ontwerp!C$40+Ontwerp!C$43+Ontwerp!C$46+Ontwerp!C$49+(B15-(Ontwerp!C$41+Ontwerp!C$44+Ontwerp!C$46+Ontwerp!C$50))*COS(RADIANS(Ontwerp!D$13)),"CHECK FORMULE")))))</f>
        <v>#N/A</v>
      </c>
      <c r="D15" s="518" t="e">
        <f ca="1">IF(C15&lt;=Ontwerp!P$274,Ontwerp!U$273+(C15*Ontwerp!V$274/Ontwerp!R$274),IF(C15&lt;=Ontwerp!P$275,Ontwerp!Z$266+Ontwerp!C$38-Ontwerp!Z$266*COS(ASIN((Ontwerp!C$45-C15)/Ontwerp!Z$266)),IF(C15&lt;=Ontwerp!P$276,Ontwerp!U$276,IF(C15&lt;=Ontwerp!P$277,Ontwerp!Z$269+Ontwerp!C$38-Ontwerp!Z$269*COS(ASIN((C15-Ontwerp!C$45-Ontwerp!C$46)/Ontwerp!Z$269)),IF(C15&lt;=Ontwerp!P$278,Ontwerp!U$277+((C15-Ontwerp!P$277)*Ontwerp!V$278/Ontwerp!R$278),"Formule bijwerken voor  T6")))))</f>
        <v>#N/A</v>
      </c>
      <c r="E15" s="519" t="e">
        <f t="shared" ca="1" si="0"/>
        <v>#N/A</v>
      </c>
      <c r="F15" s="515"/>
      <c r="G15" s="516"/>
    </row>
    <row r="16" spans="1:8" ht="21" customHeight="1" x14ac:dyDescent="0.35">
      <c r="A16" s="517" t="e">
        <f ca="1">IF(A15="","",IF(B15&lt;(Ontwerp!M$9),A15+1,""))</f>
        <v>#N/A</v>
      </c>
      <c r="B16" s="517" t="e">
        <f ca="1">IF(A16="","",IF(-Ontwerp!T$32+Ontwerp!T$33+A16*Ontwerp!T$32&lt;Ontwerp!M$9,-Ontwerp!T$32+Ontwerp!T$33+A16*Ontwerp!T$32,Ontwerp!M$9))</f>
        <v>#N/A</v>
      </c>
      <c r="C16" s="518" t="e">
        <f ca="1">IF(B16&lt;Ontwerp!C$41,B16*COS(RADIANS(Ontwerp!D$7)),IF(B16&lt;(Ontwerp!C$41+Ontwerp!C$44),Ontwerp!C$40+Ontwerp!C$43+Ontwerp!D$8*SIN(RADIANS(-Ontwerp!D$7+360*(B16-Ontwerp!C$41)/(2*PI()*Ontwerp!D$8))),IF(B16&lt;(Ontwerp!C$41+Ontwerp!C$44+Ontwerp!C$46),B16-(Ontwerp!C$41+Ontwerp!C$44)+Ontwerp!C$40+Ontwerp!C$43,IF(B16&lt;(Ontwerp!C$41+Ontwerp!C$44+Ontwerp!C$46+Ontwerp!C$50),Ontwerp!C$40+Ontwerp!C$43+Ontwerp!C$46+Ontwerp!D$12*SIN(RADIANS(360*(B16-(Ontwerp!C$41+Ontwerp!C$44+Ontwerp!C$46))/(2*PI()*Ontwerp!D$12))),IF(B16&lt;=(Ontwerp!C$41+Ontwerp!C$44+Ontwerp!C$46+Ontwerp!C$50+Ontwerp!C$53),Ontwerp!C$40+Ontwerp!C$43+Ontwerp!C$46+Ontwerp!C$49+(B16-(Ontwerp!C$41+Ontwerp!C$44+Ontwerp!C$46+Ontwerp!C$50))*COS(RADIANS(Ontwerp!D$13)),"CHECK FORMULE")))))</f>
        <v>#N/A</v>
      </c>
      <c r="D16" s="518" t="e">
        <f ca="1">IF(C16&lt;=Ontwerp!P$274,Ontwerp!U$273+(C16*Ontwerp!V$274/Ontwerp!R$274),IF(C16&lt;=Ontwerp!P$275,Ontwerp!Z$266+Ontwerp!C$38-Ontwerp!Z$266*COS(ASIN((Ontwerp!C$45-C16)/Ontwerp!Z$266)),IF(C16&lt;=Ontwerp!P$276,Ontwerp!U$276,IF(C16&lt;=Ontwerp!P$277,Ontwerp!Z$269+Ontwerp!C$38-Ontwerp!Z$269*COS(ASIN((C16-Ontwerp!C$45-Ontwerp!C$46)/Ontwerp!Z$269)),IF(C16&lt;=Ontwerp!P$278,Ontwerp!U$277+((C16-Ontwerp!P$277)*Ontwerp!V$278/Ontwerp!R$278),"Formule bijwerken voor  T6")))))</f>
        <v>#N/A</v>
      </c>
      <c r="E16" s="519" t="e">
        <f t="shared" ca="1" si="0"/>
        <v>#N/A</v>
      </c>
      <c r="F16" s="515"/>
      <c r="G16" s="516"/>
    </row>
    <row r="17" spans="1:7" ht="21" customHeight="1" x14ac:dyDescent="0.35">
      <c r="A17" s="517" t="e">
        <f ca="1">IF(A16="","",IF(B16&lt;(Ontwerp!M$9),A16+1,""))</f>
        <v>#N/A</v>
      </c>
      <c r="B17" s="517" t="e">
        <f ca="1">IF(A17="","",IF(-Ontwerp!T$32+Ontwerp!T$33+A17*Ontwerp!T$32&lt;Ontwerp!M$9,-Ontwerp!T$32+Ontwerp!T$33+A17*Ontwerp!T$32,Ontwerp!M$9))</f>
        <v>#N/A</v>
      </c>
      <c r="C17" s="518" t="e">
        <f ca="1">IF(B17&lt;Ontwerp!C$41,B17*COS(RADIANS(Ontwerp!D$7)),IF(B17&lt;(Ontwerp!C$41+Ontwerp!C$44),Ontwerp!C$40+Ontwerp!C$43+Ontwerp!D$8*SIN(RADIANS(-Ontwerp!D$7+360*(B17-Ontwerp!C$41)/(2*PI()*Ontwerp!D$8))),IF(B17&lt;(Ontwerp!C$41+Ontwerp!C$44+Ontwerp!C$46),B17-(Ontwerp!C$41+Ontwerp!C$44)+Ontwerp!C$40+Ontwerp!C$43,IF(B17&lt;(Ontwerp!C$41+Ontwerp!C$44+Ontwerp!C$46+Ontwerp!C$50),Ontwerp!C$40+Ontwerp!C$43+Ontwerp!C$46+Ontwerp!D$12*SIN(RADIANS(360*(B17-(Ontwerp!C$41+Ontwerp!C$44+Ontwerp!C$46))/(2*PI()*Ontwerp!D$12))),IF(B17&lt;=(Ontwerp!C$41+Ontwerp!C$44+Ontwerp!C$46+Ontwerp!C$50+Ontwerp!C$53),Ontwerp!C$40+Ontwerp!C$43+Ontwerp!C$46+Ontwerp!C$49+(B17-(Ontwerp!C$41+Ontwerp!C$44+Ontwerp!C$46+Ontwerp!C$50))*COS(RADIANS(Ontwerp!D$13)),"CHECK FORMULE")))))</f>
        <v>#N/A</v>
      </c>
      <c r="D17" s="518" t="e">
        <f ca="1">IF(C17&lt;=Ontwerp!P$274,Ontwerp!U$273+(C17*Ontwerp!V$274/Ontwerp!R$274),IF(C17&lt;=Ontwerp!P$275,Ontwerp!Z$266+Ontwerp!C$38-Ontwerp!Z$266*COS(ASIN((Ontwerp!C$45-C17)/Ontwerp!Z$266)),IF(C17&lt;=Ontwerp!P$276,Ontwerp!U$276,IF(C17&lt;=Ontwerp!P$277,Ontwerp!Z$269+Ontwerp!C$38-Ontwerp!Z$269*COS(ASIN((C17-Ontwerp!C$45-Ontwerp!C$46)/Ontwerp!Z$269)),IF(C17&lt;=Ontwerp!P$278,Ontwerp!U$277+((C17-Ontwerp!P$277)*Ontwerp!V$278/Ontwerp!R$278),"Formule bijwerken voor  T6")))))</f>
        <v>#N/A</v>
      </c>
      <c r="E17" s="519" t="e">
        <f t="shared" ca="1" si="0"/>
        <v>#N/A</v>
      </c>
      <c r="F17" s="515"/>
      <c r="G17" s="516"/>
    </row>
    <row r="18" spans="1:7" ht="21" customHeight="1" x14ac:dyDescent="0.35">
      <c r="A18" s="517" t="e">
        <f ca="1">IF(A17="","",IF(B17&lt;(Ontwerp!M$9),A17+1,""))</f>
        <v>#N/A</v>
      </c>
      <c r="B18" s="517" t="e">
        <f ca="1">IF(A18="","",IF(-Ontwerp!T$32+Ontwerp!T$33+A18*Ontwerp!T$32&lt;Ontwerp!M$9,-Ontwerp!T$32+Ontwerp!T$33+A18*Ontwerp!T$32,Ontwerp!M$9))</f>
        <v>#N/A</v>
      </c>
      <c r="C18" s="518" t="e">
        <f ca="1">IF(B18&lt;Ontwerp!C$41,B18*COS(RADIANS(Ontwerp!D$7)),IF(B18&lt;(Ontwerp!C$41+Ontwerp!C$44),Ontwerp!C$40+Ontwerp!C$43+Ontwerp!D$8*SIN(RADIANS(-Ontwerp!D$7+360*(B18-Ontwerp!C$41)/(2*PI()*Ontwerp!D$8))),IF(B18&lt;(Ontwerp!C$41+Ontwerp!C$44+Ontwerp!C$46),B18-(Ontwerp!C$41+Ontwerp!C$44)+Ontwerp!C$40+Ontwerp!C$43,IF(B18&lt;(Ontwerp!C$41+Ontwerp!C$44+Ontwerp!C$46+Ontwerp!C$50),Ontwerp!C$40+Ontwerp!C$43+Ontwerp!C$46+Ontwerp!D$12*SIN(RADIANS(360*(B18-(Ontwerp!C$41+Ontwerp!C$44+Ontwerp!C$46))/(2*PI()*Ontwerp!D$12))),IF(B18&lt;=(Ontwerp!C$41+Ontwerp!C$44+Ontwerp!C$46+Ontwerp!C$50+Ontwerp!C$53),Ontwerp!C$40+Ontwerp!C$43+Ontwerp!C$46+Ontwerp!C$49+(B18-(Ontwerp!C$41+Ontwerp!C$44+Ontwerp!C$46+Ontwerp!C$50))*COS(RADIANS(Ontwerp!D$13)),"CHECK FORMULE")))))</f>
        <v>#N/A</v>
      </c>
      <c r="D18" s="518" t="e">
        <f ca="1">IF(C18&lt;=Ontwerp!P$274,Ontwerp!U$273+(C18*Ontwerp!V$274/Ontwerp!R$274),IF(C18&lt;=Ontwerp!P$275,Ontwerp!Z$266+Ontwerp!C$38-Ontwerp!Z$266*COS(ASIN((Ontwerp!C$45-C18)/Ontwerp!Z$266)),IF(C18&lt;=Ontwerp!P$276,Ontwerp!U$276,IF(C18&lt;=Ontwerp!P$277,Ontwerp!Z$269+Ontwerp!C$38-Ontwerp!Z$269*COS(ASIN((C18-Ontwerp!C$45-Ontwerp!C$46)/Ontwerp!Z$269)),IF(C18&lt;=Ontwerp!P$278,Ontwerp!U$277+((C18-Ontwerp!P$277)*Ontwerp!V$278/Ontwerp!R$278),"Formule bijwerken voor  T6")))))</f>
        <v>#N/A</v>
      </c>
      <c r="E18" s="519" t="e">
        <f t="shared" ca="1" si="0"/>
        <v>#N/A</v>
      </c>
      <c r="F18" s="515"/>
      <c r="G18" s="516"/>
    </row>
    <row r="19" spans="1:7" ht="21" customHeight="1" x14ac:dyDescent="0.35">
      <c r="A19" s="517" t="e">
        <f ca="1">IF(A18="","",IF(B18&lt;(Ontwerp!M$9),A18+1,""))</f>
        <v>#N/A</v>
      </c>
      <c r="B19" s="517" t="e">
        <f ca="1">IF(A19="","",IF(-Ontwerp!T$32+Ontwerp!T$33+A19*Ontwerp!T$32&lt;Ontwerp!M$9,-Ontwerp!T$32+Ontwerp!T$33+A19*Ontwerp!T$32,Ontwerp!M$9))</f>
        <v>#N/A</v>
      </c>
      <c r="C19" s="518" t="e">
        <f ca="1">IF(B19&lt;Ontwerp!C$41,B19*COS(RADIANS(Ontwerp!D$7)),IF(B19&lt;(Ontwerp!C$41+Ontwerp!C$44),Ontwerp!C$40+Ontwerp!C$43+Ontwerp!D$8*SIN(RADIANS(-Ontwerp!D$7+360*(B19-Ontwerp!C$41)/(2*PI()*Ontwerp!D$8))),IF(B19&lt;(Ontwerp!C$41+Ontwerp!C$44+Ontwerp!C$46),B19-(Ontwerp!C$41+Ontwerp!C$44)+Ontwerp!C$40+Ontwerp!C$43,IF(B19&lt;(Ontwerp!C$41+Ontwerp!C$44+Ontwerp!C$46+Ontwerp!C$50),Ontwerp!C$40+Ontwerp!C$43+Ontwerp!C$46+Ontwerp!D$12*SIN(RADIANS(360*(B19-(Ontwerp!C$41+Ontwerp!C$44+Ontwerp!C$46))/(2*PI()*Ontwerp!D$12))),IF(B19&lt;=(Ontwerp!C$41+Ontwerp!C$44+Ontwerp!C$46+Ontwerp!C$50+Ontwerp!C$53),Ontwerp!C$40+Ontwerp!C$43+Ontwerp!C$46+Ontwerp!C$49+(B19-(Ontwerp!C$41+Ontwerp!C$44+Ontwerp!C$46+Ontwerp!C$50))*COS(RADIANS(Ontwerp!D$13)),"CHECK FORMULE")))))</f>
        <v>#N/A</v>
      </c>
      <c r="D19" s="518" t="e">
        <f ca="1">IF(C19&lt;=Ontwerp!P$274,Ontwerp!U$273+(C19*Ontwerp!V$274/Ontwerp!R$274),IF(C19&lt;=Ontwerp!P$275,Ontwerp!Z$266+Ontwerp!C$38-Ontwerp!Z$266*COS(ASIN((Ontwerp!C$45-C19)/Ontwerp!Z$266)),IF(C19&lt;=Ontwerp!P$276,Ontwerp!U$276,IF(C19&lt;=Ontwerp!P$277,Ontwerp!Z$269+Ontwerp!C$38-Ontwerp!Z$269*COS(ASIN((C19-Ontwerp!C$45-Ontwerp!C$46)/Ontwerp!Z$269)),IF(C19&lt;=Ontwerp!P$278,Ontwerp!U$277+((C19-Ontwerp!P$277)*Ontwerp!V$278/Ontwerp!R$278),"Formule bijwerken voor  T6")))))</f>
        <v>#N/A</v>
      </c>
      <c r="E19" s="519" t="e">
        <f t="shared" ca="1" si="0"/>
        <v>#N/A</v>
      </c>
      <c r="F19" s="515"/>
      <c r="G19" s="516"/>
    </row>
    <row r="20" spans="1:7" ht="21" customHeight="1" x14ac:dyDescent="0.35">
      <c r="A20" s="517" t="e">
        <f ca="1">IF(A19="","",IF(B19&lt;(Ontwerp!M$9),A19+1,""))</f>
        <v>#N/A</v>
      </c>
      <c r="B20" s="517" t="e">
        <f ca="1">IF(A20="","",IF(-Ontwerp!T$32+Ontwerp!T$33+A20*Ontwerp!T$32&lt;Ontwerp!M$9,-Ontwerp!T$32+Ontwerp!T$33+A20*Ontwerp!T$32,Ontwerp!M$9))</f>
        <v>#N/A</v>
      </c>
      <c r="C20" s="518" t="e">
        <f ca="1">IF(B20&lt;Ontwerp!C$41,B20*COS(RADIANS(Ontwerp!D$7)),IF(B20&lt;(Ontwerp!C$41+Ontwerp!C$44),Ontwerp!C$40+Ontwerp!C$43+Ontwerp!D$8*SIN(RADIANS(-Ontwerp!D$7+360*(B20-Ontwerp!C$41)/(2*PI()*Ontwerp!D$8))),IF(B20&lt;(Ontwerp!C$41+Ontwerp!C$44+Ontwerp!C$46),B20-(Ontwerp!C$41+Ontwerp!C$44)+Ontwerp!C$40+Ontwerp!C$43,IF(B20&lt;(Ontwerp!C$41+Ontwerp!C$44+Ontwerp!C$46+Ontwerp!C$50),Ontwerp!C$40+Ontwerp!C$43+Ontwerp!C$46+Ontwerp!D$12*SIN(RADIANS(360*(B20-(Ontwerp!C$41+Ontwerp!C$44+Ontwerp!C$46))/(2*PI()*Ontwerp!D$12))),IF(B20&lt;=(Ontwerp!C$41+Ontwerp!C$44+Ontwerp!C$46+Ontwerp!C$50+Ontwerp!C$53),Ontwerp!C$40+Ontwerp!C$43+Ontwerp!C$46+Ontwerp!C$49+(B20-(Ontwerp!C$41+Ontwerp!C$44+Ontwerp!C$46+Ontwerp!C$50))*COS(RADIANS(Ontwerp!D$13)),"CHECK FORMULE")))))</f>
        <v>#N/A</v>
      </c>
      <c r="D20" s="518" t="e">
        <f ca="1">IF(C20&lt;=Ontwerp!P$274,Ontwerp!U$273+(C20*Ontwerp!V$274/Ontwerp!R$274),IF(C20&lt;=Ontwerp!P$275,Ontwerp!Z$266+Ontwerp!C$38-Ontwerp!Z$266*COS(ASIN((Ontwerp!C$45-C20)/Ontwerp!Z$266)),IF(C20&lt;=Ontwerp!P$276,Ontwerp!U$276,IF(C20&lt;=Ontwerp!P$277,Ontwerp!Z$269+Ontwerp!C$38-Ontwerp!Z$269*COS(ASIN((C20-Ontwerp!C$45-Ontwerp!C$46)/Ontwerp!Z$269)),IF(C20&lt;=Ontwerp!P$278,Ontwerp!U$277+((C20-Ontwerp!P$277)*Ontwerp!V$278/Ontwerp!R$278),"Formule bijwerken voor  T6")))))</f>
        <v>#N/A</v>
      </c>
      <c r="E20" s="519" t="e">
        <f t="shared" ca="1" si="0"/>
        <v>#N/A</v>
      </c>
      <c r="F20" s="515"/>
      <c r="G20" s="516"/>
    </row>
    <row r="21" spans="1:7" ht="21" customHeight="1" x14ac:dyDescent="0.35">
      <c r="A21" s="517" t="e">
        <f ca="1">IF(A20="","",IF(B20&lt;(Ontwerp!M$9),A20+1,""))</f>
        <v>#N/A</v>
      </c>
      <c r="B21" s="517" t="e">
        <f ca="1">IF(A21="","",IF(-Ontwerp!T$32+Ontwerp!T$33+A21*Ontwerp!T$32&lt;Ontwerp!M$9,-Ontwerp!T$32+Ontwerp!T$33+A21*Ontwerp!T$32,Ontwerp!M$9))</f>
        <v>#N/A</v>
      </c>
      <c r="C21" s="518" t="e">
        <f ca="1">IF(B21&lt;Ontwerp!C$41,B21*COS(RADIANS(Ontwerp!D$7)),IF(B21&lt;(Ontwerp!C$41+Ontwerp!C$44),Ontwerp!C$40+Ontwerp!C$43+Ontwerp!D$8*SIN(RADIANS(-Ontwerp!D$7+360*(B21-Ontwerp!C$41)/(2*PI()*Ontwerp!D$8))),IF(B21&lt;(Ontwerp!C$41+Ontwerp!C$44+Ontwerp!C$46),B21-(Ontwerp!C$41+Ontwerp!C$44)+Ontwerp!C$40+Ontwerp!C$43,IF(B21&lt;(Ontwerp!C$41+Ontwerp!C$44+Ontwerp!C$46+Ontwerp!C$50),Ontwerp!C$40+Ontwerp!C$43+Ontwerp!C$46+Ontwerp!D$12*SIN(RADIANS(360*(B21-(Ontwerp!C$41+Ontwerp!C$44+Ontwerp!C$46))/(2*PI()*Ontwerp!D$12))),IF(B21&lt;=(Ontwerp!C$41+Ontwerp!C$44+Ontwerp!C$46+Ontwerp!C$50+Ontwerp!C$53),Ontwerp!C$40+Ontwerp!C$43+Ontwerp!C$46+Ontwerp!C$49+(B21-(Ontwerp!C$41+Ontwerp!C$44+Ontwerp!C$46+Ontwerp!C$50))*COS(RADIANS(Ontwerp!D$13)),"CHECK FORMULE")))))</f>
        <v>#N/A</v>
      </c>
      <c r="D21" s="518" t="e">
        <f ca="1">IF(C21&lt;=Ontwerp!P$274,Ontwerp!U$273+(C21*Ontwerp!V$274/Ontwerp!R$274),IF(C21&lt;=Ontwerp!P$275,Ontwerp!Z$266+Ontwerp!C$38-Ontwerp!Z$266*COS(ASIN((Ontwerp!C$45-C21)/Ontwerp!Z$266)),IF(C21&lt;=Ontwerp!P$276,Ontwerp!U$276,IF(C21&lt;=Ontwerp!P$277,Ontwerp!Z$269+Ontwerp!C$38-Ontwerp!Z$269*COS(ASIN((C21-Ontwerp!C$45-Ontwerp!C$46)/Ontwerp!Z$269)),IF(C21&lt;=Ontwerp!P$278,Ontwerp!U$277+((C21-Ontwerp!P$277)*Ontwerp!V$278/Ontwerp!R$278),"Formule bijwerken voor  T6")))))</f>
        <v>#N/A</v>
      </c>
      <c r="E21" s="519" t="e">
        <f t="shared" ca="1" si="0"/>
        <v>#N/A</v>
      </c>
      <c r="F21" s="515"/>
      <c r="G21" s="516"/>
    </row>
    <row r="22" spans="1:7" ht="21" customHeight="1" x14ac:dyDescent="0.35">
      <c r="A22" s="517" t="e">
        <f ca="1">IF(A21="","",IF(B21&lt;(Ontwerp!M$9),A21+1,""))</f>
        <v>#N/A</v>
      </c>
      <c r="B22" s="517" t="e">
        <f ca="1">IF(A22="","",IF(-Ontwerp!T$32+Ontwerp!T$33+A22*Ontwerp!T$32&lt;Ontwerp!M$9,-Ontwerp!T$32+Ontwerp!T$33+A22*Ontwerp!T$32,Ontwerp!M$9))</f>
        <v>#N/A</v>
      </c>
      <c r="C22" s="518" t="e">
        <f ca="1">IF(B22&lt;Ontwerp!C$41,B22*COS(RADIANS(Ontwerp!D$7)),IF(B22&lt;(Ontwerp!C$41+Ontwerp!C$44),Ontwerp!C$40+Ontwerp!C$43+Ontwerp!D$8*SIN(RADIANS(-Ontwerp!D$7+360*(B22-Ontwerp!C$41)/(2*PI()*Ontwerp!D$8))),IF(B22&lt;(Ontwerp!C$41+Ontwerp!C$44+Ontwerp!C$46),B22-(Ontwerp!C$41+Ontwerp!C$44)+Ontwerp!C$40+Ontwerp!C$43,IF(B22&lt;(Ontwerp!C$41+Ontwerp!C$44+Ontwerp!C$46+Ontwerp!C$50),Ontwerp!C$40+Ontwerp!C$43+Ontwerp!C$46+Ontwerp!D$12*SIN(RADIANS(360*(B22-(Ontwerp!C$41+Ontwerp!C$44+Ontwerp!C$46))/(2*PI()*Ontwerp!D$12))),IF(B22&lt;=(Ontwerp!C$41+Ontwerp!C$44+Ontwerp!C$46+Ontwerp!C$50+Ontwerp!C$53),Ontwerp!C$40+Ontwerp!C$43+Ontwerp!C$46+Ontwerp!C$49+(B22-(Ontwerp!C$41+Ontwerp!C$44+Ontwerp!C$46+Ontwerp!C$50))*COS(RADIANS(Ontwerp!D$13)),"CHECK FORMULE")))))</f>
        <v>#N/A</v>
      </c>
      <c r="D22" s="518" t="e">
        <f ca="1">IF(C22&lt;=Ontwerp!P$274,Ontwerp!U$273+(C22*Ontwerp!V$274/Ontwerp!R$274),IF(C22&lt;=Ontwerp!P$275,Ontwerp!Z$266+Ontwerp!C$38-Ontwerp!Z$266*COS(ASIN((Ontwerp!C$45-C22)/Ontwerp!Z$266)),IF(C22&lt;=Ontwerp!P$276,Ontwerp!U$276,IF(C22&lt;=Ontwerp!P$277,Ontwerp!Z$269+Ontwerp!C$38-Ontwerp!Z$269*COS(ASIN((C22-Ontwerp!C$45-Ontwerp!C$46)/Ontwerp!Z$269)),IF(C22&lt;=Ontwerp!P$278,Ontwerp!U$277+((C22-Ontwerp!P$277)*Ontwerp!V$278/Ontwerp!R$278),"Formule bijwerken voor  T6")))))</f>
        <v>#N/A</v>
      </c>
      <c r="E22" s="519" t="e">
        <f t="shared" ca="1" si="0"/>
        <v>#N/A</v>
      </c>
      <c r="F22" s="515"/>
      <c r="G22" s="516"/>
    </row>
    <row r="23" spans="1:7" ht="21" customHeight="1" x14ac:dyDescent="0.35">
      <c r="A23" s="517" t="e">
        <f ca="1">IF(A22="","",IF(B22&lt;(Ontwerp!M$9),A22+1,""))</f>
        <v>#N/A</v>
      </c>
      <c r="B23" s="517" t="e">
        <f ca="1">IF(A23="","",IF(-Ontwerp!T$32+Ontwerp!T$33+A23*Ontwerp!T$32&lt;Ontwerp!M$9,-Ontwerp!T$32+Ontwerp!T$33+A23*Ontwerp!T$32,Ontwerp!M$9))</f>
        <v>#N/A</v>
      </c>
      <c r="C23" s="518" t="e">
        <f ca="1">IF(B23&lt;Ontwerp!C$41,B23*COS(RADIANS(Ontwerp!D$7)),IF(B23&lt;(Ontwerp!C$41+Ontwerp!C$44),Ontwerp!C$40+Ontwerp!C$43+Ontwerp!D$8*SIN(RADIANS(-Ontwerp!D$7+360*(B23-Ontwerp!C$41)/(2*PI()*Ontwerp!D$8))),IF(B23&lt;(Ontwerp!C$41+Ontwerp!C$44+Ontwerp!C$46),B23-(Ontwerp!C$41+Ontwerp!C$44)+Ontwerp!C$40+Ontwerp!C$43,IF(B23&lt;(Ontwerp!C$41+Ontwerp!C$44+Ontwerp!C$46+Ontwerp!C$50),Ontwerp!C$40+Ontwerp!C$43+Ontwerp!C$46+Ontwerp!D$12*SIN(RADIANS(360*(B23-(Ontwerp!C$41+Ontwerp!C$44+Ontwerp!C$46))/(2*PI()*Ontwerp!D$12))),IF(B23&lt;=(Ontwerp!C$41+Ontwerp!C$44+Ontwerp!C$46+Ontwerp!C$50+Ontwerp!C$53),Ontwerp!C$40+Ontwerp!C$43+Ontwerp!C$46+Ontwerp!C$49+(B23-(Ontwerp!C$41+Ontwerp!C$44+Ontwerp!C$46+Ontwerp!C$50))*COS(RADIANS(Ontwerp!D$13)),"CHECK FORMULE")))))</f>
        <v>#N/A</v>
      </c>
      <c r="D23" s="518" t="e">
        <f ca="1">IF(C23&lt;=Ontwerp!P$274,Ontwerp!U$273+(C23*Ontwerp!V$274/Ontwerp!R$274),IF(C23&lt;=Ontwerp!P$275,Ontwerp!Z$266+Ontwerp!C$38-Ontwerp!Z$266*COS(ASIN((Ontwerp!C$45-C23)/Ontwerp!Z$266)),IF(C23&lt;=Ontwerp!P$276,Ontwerp!U$276,IF(C23&lt;=Ontwerp!P$277,Ontwerp!Z$269+Ontwerp!C$38-Ontwerp!Z$269*COS(ASIN((C23-Ontwerp!C$45-Ontwerp!C$46)/Ontwerp!Z$269)),IF(C23&lt;=Ontwerp!P$278,Ontwerp!U$277+((C23-Ontwerp!P$277)*Ontwerp!V$278/Ontwerp!R$278),"Formule bijwerken voor  T6")))))</f>
        <v>#N/A</v>
      </c>
      <c r="E23" s="519" t="e">
        <f t="shared" ca="1" si="0"/>
        <v>#N/A</v>
      </c>
      <c r="F23" s="515"/>
      <c r="G23" s="516"/>
    </row>
    <row r="24" spans="1:7" ht="21" customHeight="1" x14ac:dyDescent="0.35">
      <c r="A24" s="517" t="e">
        <f ca="1">IF(A23="","",IF(B23&lt;(Ontwerp!M$9),A23+1,""))</f>
        <v>#N/A</v>
      </c>
      <c r="B24" s="517" t="e">
        <f ca="1">IF(A24="","",IF(-Ontwerp!T$32+Ontwerp!T$33+A24*Ontwerp!T$32&lt;Ontwerp!M$9,-Ontwerp!T$32+Ontwerp!T$33+A24*Ontwerp!T$32,Ontwerp!M$9))</f>
        <v>#N/A</v>
      </c>
      <c r="C24" s="518" t="e">
        <f ca="1">IF(B24&lt;Ontwerp!C$41,B24*COS(RADIANS(Ontwerp!D$7)),IF(B24&lt;(Ontwerp!C$41+Ontwerp!C$44),Ontwerp!C$40+Ontwerp!C$43+Ontwerp!D$8*SIN(RADIANS(-Ontwerp!D$7+360*(B24-Ontwerp!C$41)/(2*PI()*Ontwerp!D$8))),IF(B24&lt;(Ontwerp!C$41+Ontwerp!C$44+Ontwerp!C$46),B24-(Ontwerp!C$41+Ontwerp!C$44)+Ontwerp!C$40+Ontwerp!C$43,IF(B24&lt;(Ontwerp!C$41+Ontwerp!C$44+Ontwerp!C$46+Ontwerp!C$50),Ontwerp!C$40+Ontwerp!C$43+Ontwerp!C$46+Ontwerp!D$12*SIN(RADIANS(360*(B24-(Ontwerp!C$41+Ontwerp!C$44+Ontwerp!C$46))/(2*PI()*Ontwerp!D$12))),IF(B24&lt;=(Ontwerp!C$41+Ontwerp!C$44+Ontwerp!C$46+Ontwerp!C$50+Ontwerp!C$53),Ontwerp!C$40+Ontwerp!C$43+Ontwerp!C$46+Ontwerp!C$49+(B24-(Ontwerp!C$41+Ontwerp!C$44+Ontwerp!C$46+Ontwerp!C$50))*COS(RADIANS(Ontwerp!D$13)),"CHECK FORMULE")))))</f>
        <v>#N/A</v>
      </c>
      <c r="D24" s="518" t="e">
        <f ca="1">IF(C24&lt;=Ontwerp!P$274,Ontwerp!U$273+(C24*Ontwerp!V$274/Ontwerp!R$274),IF(C24&lt;=Ontwerp!P$275,Ontwerp!Z$266+Ontwerp!C$38-Ontwerp!Z$266*COS(ASIN((Ontwerp!C$45-C24)/Ontwerp!Z$266)),IF(C24&lt;=Ontwerp!P$276,Ontwerp!U$276,IF(C24&lt;=Ontwerp!P$277,Ontwerp!Z$269+Ontwerp!C$38-Ontwerp!Z$269*COS(ASIN((C24-Ontwerp!C$45-Ontwerp!C$46)/Ontwerp!Z$269)),IF(C24&lt;=Ontwerp!P$278,Ontwerp!U$277+((C24-Ontwerp!P$277)*Ontwerp!V$278/Ontwerp!R$278),"Formule bijwerken voor  T6")))))</f>
        <v>#N/A</v>
      </c>
      <c r="E24" s="519" t="e">
        <f t="shared" ca="1" si="0"/>
        <v>#N/A</v>
      </c>
      <c r="F24" s="515"/>
      <c r="G24" s="516"/>
    </row>
    <row r="25" spans="1:7" ht="21" customHeight="1" x14ac:dyDescent="0.35">
      <c r="A25" s="517" t="e">
        <f ca="1">IF(A24="","",IF(B24&lt;(Ontwerp!M$9),A24+1,""))</f>
        <v>#N/A</v>
      </c>
      <c r="B25" s="517" t="e">
        <f ca="1">IF(A25="","",IF(-Ontwerp!T$32+Ontwerp!T$33+A25*Ontwerp!T$32&lt;Ontwerp!M$9,-Ontwerp!T$32+Ontwerp!T$33+A25*Ontwerp!T$32,Ontwerp!M$9))</f>
        <v>#N/A</v>
      </c>
      <c r="C25" s="518" t="e">
        <f ca="1">IF(B25&lt;Ontwerp!C$41,B25*COS(RADIANS(Ontwerp!D$7)),IF(B25&lt;(Ontwerp!C$41+Ontwerp!C$44),Ontwerp!C$40+Ontwerp!C$43+Ontwerp!D$8*SIN(RADIANS(-Ontwerp!D$7+360*(B25-Ontwerp!C$41)/(2*PI()*Ontwerp!D$8))),IF(B25&lt;(Ontwerp!C$41+Ontwerp!C$44+Ontwerp!C$46),B25-(Ontwerp!C$41+Ontwerp!C$44)+Ontwerp!C$40+Ontwerp!C$43,IF(B25&lt;(Ontwerp!C$41+Ontwerp!C$44+Ontwerp!C$46+Ontwerp!C$50),Ontwerp!C$40+Ontwerp!C$43+Ontwerp!C$46+Ontwerp!D$12*SIN(RADIANS(360*(B25-(Ontwerp!C$41+Ontwerp!C$44+Ontwerp!C$46))/(2*PI()*Ontwerp!D$12))),IF(B25&lt;=(Ontwerp!C$41+Ontwerp!C$44+Ontwerp!C$46+Ontwerp!C$50+Ontwerp!C$53),Ontwerp!C$40+Ontwerp!C$43+Ontwerp!C$46+Ontwerp!C$49+(B25-(Ontwerp!C$41+Ontwerp!C$44+Ontwerp!C$46+Ontwerp!C$50))*COS(RADIANS(Ontwerp!D$13)),"CHECK FORMULE")))))</f>
        <v>#N/A</v>
      </c>
      <c r="D25" s="518" t="e">
        <f ca="1">IF(C25&lt;=Ontwerp!P$274,Ontwerp!U$273+(C25*Ontwerp!V$274/Ontwerp!R$274),IF(C25&lt;=Ontwerp!P$275,Ontwerp!Z$266+Ontwerp!C$38-Ontwerp!Z$266*COS(ASIN((Ontwerp!C$45-C25)/Ontwerp!Z$266)),IF(C25&lt;=Ontwerp!P$276,Ontwerp!U$276,IF(C25&lt;=Ontwerp!P$277,Ontwerp!Z$269+Ontwerp!C$38-Ontwerp!Z$269*COS(ASIN((C25-Ontwerp!C$45-Ontwerp!C$46)/Ontwerp!Z$269)),IF(C25&lt;=Ontwerp!P$278,Ontwerp!U$277+((C25-Ontwerp!P$277)*Ontwerp!V$278/Ontwerp!R$278),"Formule bijwerken voor  T6")))))</f>
        <v>#N/A</v>
      </c>
      <c r="E25" s="519" t="e">
        <f t="shared" ca="1" si="0"/>
        <v>#N/A</v>
      </c>
      <c r="F25" s="515"/>
      <c r="G25" s="516"/>
    </row>
    <row r="26" spans="1:7" ht="21" customHeight="1" x14ac:dyDescent="0.35">
      <c r="A26" s="517" t="e">
        <f ca="1">IF(A25="","",IF(B25&lt;(Ontwerp!M$9),A25+1,""))</f>
        <v>#N/A</v>
      </c>
      <c r="B26" s="517" t="e">
        <f ca="1">IF(A26="","",IF(-Ontwerp!T$32+Ontwerp!T$33+A26*Ontwerp!T$32&lt;Ontwerp!M$9,-Ontwerp!T$32+Ontwerp!T$33+A26*Ontwerp!T$32,Ontwerp!M$9))</f>
        <v>#N/A</v>
      </c>
      <c r="C26" s="518" t="e">
        <f ca="1">IF(B26&lt;Ontwerp!C$41,B26*COS(RADIANS(Ontwerp!D$7)),IF(B26&lt;(Ontwerp!C$41+Ontwerp!C$44),Ontwerp!C$40+Ontwerp!C$43+Ontwerp!D$8*SIN(RADIANS(-Ontwerp!D$7+360*(B26-Ontwerp!C$41)/(2*PI()*Ontwerp!D$8))),IF(B26&lt;(Ontwerp!C$41+Ontwerp!C$44+Ontwerp!C$46),B26-(Ontwerp!C$41+Ontwerp!C$44)+Ontwerp!C$40+Ontwerp!C$43,IF(B26&lt;(Ontwerp!C$41+Ontwerp!C$44+Ontwerp!C$46+Ontwerp!C$50),Ontwerp!C$40+Ontwerp!C$43+Ontwerp!C$46+Ontwerp!D$12*SIN(RADIANS(360*(B26-(Ontwerp!C$41+Ontwerp!C$44+Ontwerp!C$46))/(2*PI()*Ontwerp!D$12))),IF(B26&lt;=(Ontwerp!C$41+Ontwerp!C$44+Ontwerp!C$46+Ontwerp!C$50+Ontwerp!C$53),Ontwerp!C$40+Ontwerp!C$43+Ontwerp!C$46+Ontwerp!C$49+(B26-(Ontwerp!C$41+Ontwerp!C$44+Ontwerp!C$46+Ontwerp!C$50))*COS(RADIANS(Ontwerp!D$13)),"CHECK FORMULE")))))</f>
        <v>#N/A</v>
      </c>
      <c r="D26" s="518" t="e">
        <f ca="1">IF(C26&lt;=Ontwerp!P$274,Ontwerp!U$273+(C26*Ontwerp!V$274/Ontwerp!R$274),IF(C26&lt;=Ontwerp!P$275,Ontwerp!Z$266+Ontwerp!C$38-Ontwerp!Z$266*COS(ASIN((Ontwerp!C$45-C26)/Ontwerp!Z$266)),IF(C26&lt;=Ontwerp!P$276,Ontwerp!U$276,IF(C26&lt;=Ontwerp!P$277,Ontwerp!Z$269+Ontwerp!C$38-Ontwerp!Z$269*COS(ASIN((C26-Ontwerp!C$45-Ontwerp!C$46)/Ontwerp!Z$269)),IF(C26&lt;=Ontwerp!P$278,Ontwerp!U$277+((C26-Ontwerp!P$277)*Ontwerp!V$278/Ontwerp!R$278),"Formule bijwerken voor  T6")))))</f>
        <v>#N/A</v>
      </c>
      <c r="E26" s="519" t="e">
        <f t="shared" ca="1" si="0"/>
        <v>#N/A</v>
      </c>
      <c r="F26" s="515"/>
      <c r="G26" s="516"/>
    </row>
    <row r="27" spans="1:7" ht="21" customHeight="1" x14ac:dyDescent="0.35">
      <c r="A27" s="517" t="e">
        <f ca="1">IF(A26="","",IF(B26&lt;(Ontwerp!M$9),A26+1,""))</f>
        <v>#N/A</v>
      </c>
      <c r="B27" s="517" t="e">
        <f ca="1">IF(A27="","",IF(-Ontwerp!T$32+Ontwerp!T$33+A27*Ontwerp!T$32&lt;Ontwerp!M$9,-Ontwerp!T$32+Ontwerp!T$33+A27*Ontwerp!T$32,Ontwerp!M$9))</f>
        <v>#N/A</v>
      </c>
      <c r="C27" s="518" t="e">
        <f ca="1">IF(B27&lt;Ontwerp!C$41,B27*COS(RADIANS(Ontwerp!D$7)),IF(B27&lt;(Ontwerp!C$41+Ontwerp!C$44),Ontwerp!C$40+Ontwerp!C$43+Ontwerp!D$8*SIN(RADIANS(-Ontwerp!D$7+360*(B27-Ontwerp!C$41)/(2*PI()*Ontwerp!D$8))),IF(B27&lt;(Ontwerp!C$41+Ontwerp!C$44+Ontwerp!C$46),B27-(Ontwerp!C$41+Ontwerp!C$44)+Ontwerp!C$40+Ontwerp!C$43,IF(B27&lt;(Ontwerp!C$41+Ontwerp!C$44+Ontwerp!C$46+Ontwerp!C$50),Ontwerp!C$40+Ontwerp!C$43+Ontwerp!C$46+Ontwerp!D$12*SIN(RADIANS(360*(B27-(Ontwerp!C$41+Ontwerp!C$44+Ontwerp!C$46))/(2*PI()*Ontwerp!D$12))),IF(B27&lt;=(Ontwerp!C$41+Ontwerp!C$44+Ontwerp!C$46+Ontwerp!C$50+Ontwerp!C$53),Ontwerp!C$40+Ontwerp!C$43+Ontwerp!C$46+Ontwerp!C$49+(B27-(Ontwerp!C$41+Ontwerp!C$44+Ontwerp!C$46+Ontwerp!C$50))*COS(RADIANS(Ontwerp!D$13)),"CHECK FORMULE")))))</f>
        <v>#N/A</v>
      </c>
      <c r="D27" s="518" t="e">
        <f ca="1">IF(C27&lt;=Ontwerp!P$274,Ontwerp!U$273+(C27*Ontwerp!V$274/Ontwerp!R$274),IF(C27&lt;=Ontwerp!P$275,Ontwerp!Z$266+Ontwerp!C$38-Ontwerp!Z$266*COS(ASIN((Ontwerp!C$45-C27)/Ontwerp!Z$266)),IF(C27&lt;=Ontwerp!P$276,Ontwerp!U$276,IF(C27&lt;=Ontwerp!P$277,Ontwerp!Z$269+Ontwerp!C$38-Ontwerp!Z$269*COS(ASIN((C27-Ontwerp!C$45-Ontwerp!C$46)/Ontwerp!Z$269)),IF(C27&lt;=Ontwerp!P$278,Ontwerp!U$277+((C27-Ontwerp!P$277)*Ontwerp!V$278/Ontwerp!R$278),"Formule bijwerken voor  T6")))))</f>
        <v>#N/A</v>
      </c>
      <c r="E27" s="519" t="e">
        <f t="shared" ca="1" si="0"/>
        <v>#N/A</v>
      </c>
      <c r="F27" s="515"/>
      <c r="G27" s="516"/>
    </row>
    <row r="28" spans="1:7" ht="21" customHeight="1" x14ac:dyDescent="0.35">
      <c r="A28" s="517" t="e">
        <f ca="1">IF(A27="","",IF(B27&lt;(Ontwerp!M$9),A27+1,""))</f>
        <v>#N/A</v>
      </c>
      <c r="B28" s="517" t="e">
        <f ca="1">IF(A28="","",IF(-Ontwerp!T$32+Ontwerp!T$33+A28*Ontwerp!T$32&lt;Ontwerp!M$9,-Ontwerp!T$32+Ontwerp!T$33+A28*Ontwerp!T$32,Ontwerp!M$9))</f>
        <v>#N/A</v>
      </c>
      <c r="C28" s="518" t="e">
        <f ca="1">IF(B28&lt;Ontwerp!C$41,B28*COS(RADIANS(Ontwerp!D$7)),IF(B28&lt;(Ontwerp!C$41+Ontwerp!C$44),Ontwerp!C$40+Ontwerp!C$43+Ontwerp!D$8*SIN(RADIANS(-Ontwerp!D$7+360*(B28-Ontwerp!C$41)/(2*PI()*Ontwerp!D$8))),IF(B28&lt;(Ontwerp!C$41+Ontwerp!C$44+Ontwerp!C$46),B28-(Ontwerp!C$41+Ontwerp!C$44)+Ontwerp!C$40+Ontwerp!C$43,IF(B28&lt;(Ontwerp!C$41+Ontwerp!C$44+Ontwerp!C$46+Ontwerp!C$50),Ontwerp!C$40+Ontwerp!C$43+Ontwerp!C$46+Ontwerp!D$12*SIN(RADIANS(360*(B28-(Ontwerp!C$41+Ontwerp!C$44+Ontwerp!C$46))/(2*PI()*Ontwerp!D$12))),IF(B28&lt;=(Ontwerp!C$41+Ontwerp!C$44+Ontwerp!C$46+Ontwerp!C$50+Ontwerp!C$53),Ontwerp!C$40+Ontwerp!C$43+Ontwerp!C$46+Ontwerp!C$49+(B28-(Ontwerp!C$41+Ontwerp!C$44+Ontwerp!C$46+Ontwerp!C$50))*COS(RADIANS(Ontwerp!D$13)),"CHECK FORMULE")))))</f>
        <v>#N/A</v>
      </c>
      <c r="D28" s="518" t="e">
        <f ca="1">IF(C28&lt;=Ontwerp!P$274,Ontwerp!U$273+(C28*Ontwerp!V$274/Ontwerp!R$274),IF(C28&lt;=Ontwerp!P$275,Ontwerp!Z$266+Ontwerp!C$38-Ontwerp!Z$266*COS(ASIN((Ontwerp!C$45-C28)/Ontwerp!Z$266)),IF(C28&lt;=Ontwerp!P$276,Ontwerp!U$276,IF(C28&lt;=Ontwerp!P$277,Ontwerp!Z$269+Ontwerp!C$38-Ontwerp!Z$269*COS(ASIN((C28-Ontwerp!C$45-Ontwerp!C$46)/Ontwerp!Z$269)),IF(C28&lt;=Ontwerp!P$278,Ontwerp!U$277+((C28-Ontwerp!P$277)*Ontwerp!V$278/Ontwerp!R$278),"Formule bijwerken voor  T6")))))</f>
        <v>#N/A</v>
      </c>
      <c r="E28" s="519" t="e">
        <f t="shared" ca="1" si="0"/>
        <v>#N/A</v>
      </c>
      <c r="F28" s="515"/>
      <c r="G28" s="516"/>
    </row>
    <row r="29" spans="1:7" ht="21" customHeight="1" x14ac:dyDescent="0.35">
      <c r="A29" s="517" t="e">
        <f ca="1">IF(A28="","",IF(B28&lt;(Ontwerp!M$9),A28+1,""))</f>
        <v>#N/A</v>
      </c>
      <c r="B29" s="517" t="e">
        <f ca="1">IF(A29="","",IF(-Ontwerp!T$32+Ontwerp!T$33+A29*Ontwerp!T$32&lt;Ontwerp!M$9,-Ontwerp!T$32+Ontwerp!T$33+A29*Ontwerp!T$32,Ontwerp!M$9))</f>
        <v>#N/A</v>
      </c>
      <c r="C29" s="518" t="e">
        <f ca="1">IF(B29&lt;Ontwerp!C$41,B29*COS(RADIANS(Ontwerp!D$7)),IF(B29&lt;(Ontwerp!C$41+Ontwerp!C$44),Ontwerp!C$40+Ontwerp!C$43+Ontwerp!D$8*SIN(RADIANS(-Ontwerp!D$7+360*(B29-Ontwerp!C$41)/(2*PI()*Ontwerp!D$8))),IF(B29&lt;(Ontwerp!C$41+Ontwerp!C$44+Ontwerp!C$46),B29-(Ontwerp!C$41+Ontwerp!C$44)+Ontwerp!C$40+Ontwerp!C$43,IF(B29&lt;(Ontwerp!C$41+Ontwerp!C$44+Ontwerp!C$46+Ontwerp!C$50),Ontwerp!C$40+Ontwerp!C$43+Ontwerp!C$46+Ontwerp!D$12*SIN(RADIANS(360*(B29-(Ontwerp!C$41+Ontwerp!C$44+Ontwerp!C$46))/(2*PI()*Ontwerp!D$12))),IF(B29&lt;=(Ontwerp!C$41+Ontwerp!C$44+Ontwerp!C$46+Ontwerp!C$50+Ontwerp!C$53),Ontwerp!C$40+Ontwerp!C$43+Ontwerp!C$46+Ontwerp!C$49+(B29-(Ontwerp!C$41+Ontwerp!C$44+Ontwerp!C$46+Ontwerp!C$50))*COS(RADIANS(Ontwerp!D$13)),"CHECK FORMULE")))))</f>
        <v>#N/A</v>
      </c>
      <c r="D29" s="518" t="e">
        <f ca="1">IF(C29&lt;=Ontwerp!P$274,Ontwerp!U$273+(C29*Ontwerp!V$274/Ontwerp!R$274),IF(C29&lt;=Ontwerp!P$275,Ontwerp!Z$266+Ontwerp!C$38-Ontwerp!Z$266*COS(ASIN((Ontwerp!C$45-C29)/Ontwerp!Z$266)),IF(C29&lt;=Ontwerp!P$276,Ontwerp!U$276,IF(C29&lt;=Ontwerp!P$277,Ontwerp!Z$269+Ontwerp!C$38-Ontwerp!Z$269*COS(ASIN((C29-Ontwerp!C$45-Ontwerp!C$46)/Ontwerp!Z$269)),IF(C29&lt;=Ontwerp!P$278,Ontwerp!U$277+((C29-Ontwerp!P$277)*Ontwerp!V$278/Ontwerp!R$278),"Formule bijwerken voor  T6")))))</f>
        <v>#N/A</v>
      </c>
      <c r="E29" s="519" t="e">
        <f t="shared" ca="1" si="0"/>
        <v>#N/A</v>
      </c>
      <c r="F29" s="515"/>
      <c r="G29" s="516"/>
    </row>
    <row r="30" spans="1:7" ht="21" customHeight="1" x14ac:dyDescent="0.35">
      <c r="A30" s="517" t="e">
        <f ca="1">IF(A29="","",IF(B29&lt;(Ontwerp!M$9),A29+1,""))</f>
        <v>#N/A</v>
      </c>
      <c r="B30" s="517" t="e">
        <f ca="1">IF(A30="","",IF(-Ontwerp!T$32+Ontwerp!T$33+A30*Ontwerp!T$32&lt;Ontwerp!M$9,-Ontwerp!T$32+Ontwerp!T$33+A30*Ontwerp!T$32,Ontwerp!M$9))</f>
        <v>#N/A</v>
      </c>
      <c r="C30" s="518" t="e">
        <f ca="1">IF(B30&lt;Ontwerp!C$41,B30*COS(RADIANS(Ontwerp!D$7)),IF(B30&lt;(Ontwerp!C$41+Ontwerp!C$44),Ontwerp!C$40+Ontwerp!C$43+Ontwerp!D$8*SIN(RADIANS(-Ontwerp!D$7+360*(B30-Ontwerp!C$41)/(2*PI()*Ontwerp!D$8))),IF(B30&lt;(Ontwerp!C$41+Ontwerp!C$44+Ontwerp!C$46),B30-(Ontwerp!C$41+Ontwerp!C$44)+Ontwerp!C$40+Ontwerp!C$43,IF(B30&lt;(Ontwerp!C$41+Ontwerp!C$44+Ontwerp!C$46+Ontwerp!C$50),Ontwerp!C$40+Ontwerp!C$43+Ontwerp!C$46+Ontwerp!D$12*SIN(RADIANS(360*(B30-(Ontwerp!C$41+Ontwerp!C$44+Ontwerp!C$46))/(2*PI()*Ontwerp!D$12))),IF(B30&lt;=(Ontwerp!C$41+Ontwerp!C$44+Ontwerp!C$46+Ontwerp!C$50+Ontwerp!C$53),Ontwerp!C$40+Ontwerp!C$43+Ontwerp!C$46+Ontwerp!C$49+(B30-(Ontwerp!C$41+Ontwerp!C$44+Ontwerp!C$46+Ontwerp!C$50))*COS(RADIANS(Ontwerp!D$13)),"CHECK FORMULE")))))</f>
        <v>#N/A</v>
      </c>
      <c r="D30" s="518" t="e">
        <f ca="1">IF(C30&lt;=Ontwerp!P$274,Ontwerp!U$273+(C30*Ontwerp!V$274/Ontwerp!R$274),IF(C30&lt;=Ontwerp!P$275,Ontwerp!Z$266+Ontwerp!C$38-Ontwerp!Z$266*COS(ASIN((Ontwerp!C$45-C30)/Ontwerp!Z$266)),IF(C30&lt;=Ontwerp!P$276,Ontwerp!U$276,IF(C30&lt;=Ontwerp!P$277,Ontwerp!Z$269+Ontwerp!C$38-Ontwerp!Z$269*COS(ASIN((C30-Ontwerp!C$45-Ontwerp!C$46)/Ontwerp!Z$269)),IF(C30&lt;=Ontwerp!P$278,Ontwerp!U$277+((C30-Ontwerp!P$277)*Ontwerp!V$278/Ontwerp!R$278),"Formule bijwerken voor  T6")))))</f>
        <v>#N/A</v>
      </c>
      <c r="E30" s="519" t="e">
        <f t="shared" ca="1" si="0"/>
        <v>#N/A</v>
      </c>
      <c r="F30" s="515"/>
      <c r="G30" s="516"/>
    </row>
    <row r="31" spans="1:7" ht="21" customHeight="1" x14ac:dyDescent="0.35">
      <c r="A31" s="517" t="e">
        <f ca="1">IF(A30="","",IF(B30&lt;(Ontwerp!M$9),A30+1,""))</f>
        <v>#N/A</v>
      </c>
      <c r="B31" s="517" t="e">
        <f ca="1">IF(A31="","",IF(-Ontwerp!T$32+Ontwerp!T$33+A31*Ontwerp!T$32&lt;Ontwerp!M$9,-Ontwerp!T$32+Ontwerp!T$33+A31*Ontwerp!T$32,Ontwerp!M$9))</f>
        <v>#N/A</v>
      </c>
      <c r="C31" s="518" t="e">
        <f ca="1">IF(B31&lt;Ontwerp!C$41,B31*COS(RADIANS(Ontwerp!D$7)),IF(B31&lt;(Ontwerp!C$41+Ontwerp!C$44),Ontwerp!C$40+Ontwerp!C$43+Ontwerp!D$8*SIN(RADIANS(-Ontwerp!D$7+360*(B31-Ontwerp!C$41)/(2*PI()*Ontwerp!D$8))),IF(B31&lt;(Ontwerp!C$41+Ontwerp!C$44+Ontwerp!C$46),B31-(Ontwerp!C$41+Ontwerp!C$44)+Ontwerp!C$40+Ontwerp!C$43,IF(B31&lt;(Ontwerp!C$41+Ontwerp!C$44+Ontwerp!C$46+Ontwerp!C$50),Ontwerp!C$40+Ontwerp!C$43+Ontwerp!C$46+Ontwerp!D$12*SIN(RADIANS(360*(B31-(Ontwerp!C$41+Ontwerp!C$44+Ontwerp!C$46))/(2*PI()*Ontwerp!D$12))),IF(B31&lt;=(Ontwerp!C$41+Ontwerp!C$44+Ontwerp!C$46+Ontwerp!C$50+Ontwerp!C$53),Ontwerp!C$40+Ontwerp!C$43+Ontwerp!C$46+Ontwerp!C$49+(B31-(Ontwerp!C$41+Ontwerp!C$44+Ontwerp!C$46+Ontwerp!C$50))*COS(RADIANS(Ontwerp!D$13)),"CHECK FORMULE")))))</f>
        <v>#N/A</v>
      </c>
      <c r="D31" s="518" t="e">
        <f ca="1">IF(C31&lt;=Ontwerp!P$274,Ontwerp!U$273+(C31*Ontwerp!V$274/Ontwerp!R$274),IF(C31&lt;=Ontwerp!P$275,Ontwerp!Z$266+Ontwerp!C$38-Ontwerp!Z$266*COS(ASIN((Ontwerp!C$45-C31)/Ontwerp!Z$266)),IF(C31&lt;=Ontwerp!P$276,Ontwerp!U$276,IF(C31&lt;=Ontwerp!P$277,Ontwerp!Z$269+Ontwerp!C$38-Ontwerp!Z$269*COS(ASIN((C31-Ontwerp!C$45-Ontwerp!C$46)/Ontwerp!Z$269)),IF(C31&lt;=Ontwerp!P$278,Ontwerp!U$277+((C31-Ontwerp!P$277)*Ontwerp!V$278/Ontwerp!R$278),"Formule bijwerken voor  T6")))))</f>
        <v>#N/A</v>
      </c>
      <c r="E31" s="519" t="e">
        <f t="shared" ca="1" si="0"/>
        <v>#N/A</v>
      </c>
      <c r="F31" s="515"/>
      <c r="G31" s="516"/>
    </row>
    <row r="32" spans="1:7" ht="21" customHeight="1" x14ac:dyDescent="0.35">
      <c r="A32" s="517" t="e">
        <f ca="1">IF(A31="","",IF(B31&lt;(Ontwerp!M$9),A31+1,""))</f>
        <v>#N/A</v>
      </c>
      <c r="B32" s="517" t="e">
        <f ca="1">IF(A32="","",IF(-Ontwerp!T$32+Ontwerp!T$33+A32*Ontwerp!T$32&lt;Ontwerp!M$9,-Ontwerp!T$32+Ontwerp!T$33+A32*Ontwerp!T$32,Ontwerp!M$9))</f>
        <v>#N/A</v>
      </c>
      <c r="C32" s="518" t="e">
        <f ca="1">IF(B32&lt;Ontwerp!C$41,B32*COS(RADIANS(Ontwerp!D$7)),IF(B32&lt;(Ontwerp!C$41+Ontwerp!C$44),Ontwerp!C$40+Ontwerp!C$43+Ontwerp!D$8*SIN(RADIANS(-Ontwerp!D$7+360*(B32-Ontwerp!C$41)/(2*PI()*Ontwerp!D$8))),IF(B32&lt;(Ontwerp!C$41+Ontwerp!C$44+Ontwerp!C$46),B32-(Ontwerp!C$41+Ontwerp!C$44)+Ontwerp!C$40+Ontwerp!C$43,IF(B32&lt;(Ontwerp!C$41+Ontwerp!C$44+Ontwerp!C$46+Ontwerp!C$50),Ontwerp!C$40+Ontwerp!C$43+Ontwerp!C$46+Ontwerp!D$12*SIN(RADIANS(360*(B32-(Ontwerp!C$41+Ontwerp!C$44+Ontwerp!C$46))/(2*PI()*Ontwerp!D$12))),IF(B32&lt;=(Ontwerp!C$41+Ontwerp!C$44+Ontwerp!C$46+Ontwerp!C$50+Ontwerp!C$53),Ontwerp!C$40+Ontwerp!C$43+Ontwerp!C$46+Ontwerp!C$49+(B32-(Ontwerp!C$41+Ontwerp!C$44+Ontwerp!C$46+Ontwerp!C$50))*COS(RADIANS(Ontwerp!D$13)),"CHECK FORMULE")))))</f>
        <v>#N/A</v>
      </c>
      <c r="D32" s="518" t="e">
        <f ca="1">IF(C32&lt;=Ontwerp!P$274,Ontwerp!U$273+(C32*Ontwerp!V$274/Ontwerp!R$274),IF(C32&lt;=Ontwerp!P$275,Ontwerp!Z$266+Ontwerp!C$38-Ontwerp!Z$266*COS(ASIN((Ontwerp!C$45-C32)/Ontwerp!Z$266)),IF(C32&lt;=Ontwerp!P$276,Ontwerp!U$276,IF(C32&lt;=Ontwerp!P$277,Ontwerp!Z$269+Ontwerp!C$38-Ontwerp!Z$269*COS(ASIN((C32-Ontwerp!C$45-Ontwerp!C$46)/Ontwerp!Z$269)),IF(C32&lt;=Ontwerp!P$278,Ontwerp!U$277+((C32-Ontwerp!P$277)*Ontwerp!V$278/Ontwerp!R$278),"Formule bijwerken voor  T6")))))</f>
        <v>#N/A</v>
      </c>
      <c r="E32" s="519" t="e">
        <f t="shared" ca="1" si="0"/>
        <v>#N/A</v>
      </c>
      <c r="F32" s="515"/>
      <c r="G32" s="516"/>
    </row>
    <row r="33" spans="1:7" ht="21" customHeight="1" x14ac:dyDescent="0.35">
      <c r="A33" s="517" t="e">
        <f ca="1">IF(A32="","",IF(B32&lt;(Ontwerp!M$9),A32+1,""))</f>
        <v>#N/A</v>
      </c>
      <c r="B33" s="517" t="e">
        <f ca="1">IF(A33="","",IF(-Ontwerp!T$32+Ontwerp!T$33+A33*Ontwerp!T$32&lt;Ontwerp!M$9,-Ontwerp!T$32+Ontwerp!T$33+A33*Ontwerp!T$32,Ontwerp!M$9))</f>
        <v>#N/A</v>
      </c>
      <c r="C33" s="518" t="e">
        <f ca="1">IF(B33&lt;Ontwerp!C$41,B33*COS(RADIANS(Ontwerp!D$7)),IF(B33&lt;(Ontwerp!C$41+Ontwerp!C$44),Ontwerp!C$40+Ontwerp!C$43+Ontwerp!D$8*SIN(RADIANS(-Ontwerp!D$7+360*(B33-Ontwerp!C$41)/(2*PI()*Ontwerp!D$8))),IF(B33&lt;(Ontwerp!C$41+Ontwerp!C$44+Ontwerp!C$46),B33-(Ontwerp!C$41+Ontwerp!C$44)+Ontwerp!C$40+Ontwerp!C$43,IF(B33&lt;(Ontwerp!C$41+Ontwerp!C$44+Ontwerp!C$46+Ontwerp!C$50),Ontwerp!C$40+Ontwerp!C$43+Ontwerp!C$46+Ontwerp!D$12*SIN(RADIANS(360*(B33-(Ontwerp!C$41+Ontwerp!C$44+Ontwerp!C$46))/(2*PI()*Ontwerp!D$12))),IF(B33&lt;=(Ontwerp!C$41+Ontwerp!C$44+Ontwerp!C$46+Ontwerp!C$50+Ontwerp!C$53),Ontwerp!C$40+Ontwerp!C$43+Ontwerp!C$46+Ontwerp!C$49+(B33-(Ontwerp!C$41+Ontwerp!C$44+Ontwerp!C$46+Ontwerp!C$50))*COS(RADIANS(Ontwerp!D$13)),"CHECK FORMULE")))))</f>
        <v>#N/A</v>
      </c>
      <c r="D33" s="518" t="e">
        <f ca="1">IF(C33&lt;=Ontwerp!P$274,Ontwerp!U$273+(C33*Ontwerp!V$274/Ontwerp!R$274),IF(C33&lt;=Ontwerp!P$275,Ontwerp!Z$266+Ontwerp!C$38-Ontwerp!Z$266*COS(ASIN((Ontwerp!C$45-C33)/Ontwerp!Z$266)),IF(C33&lt;=Ontwerp!P$276,Ontwerp!U$276,IF(C33&lt;=Ontwerp!P$277,Ontwerp!Z$269+Ontwerp!C$38-Ontwerp!Z$269*COS(ASIN((C33-Ontwerp!C$45-Ontwerp!C$46)/Ontwerp!Z$269)),IF(C33&lt;=Ontwerp!P$278,Ontwerp!U$277+((C33-Ontwerp!P$277)*Ontwerp!V$278/Ontwerp!R$278),"Formule bijwerken voor  T6")))))</f>
        <v>#N/A</v>
      </c>
      <c r="E33" s="519" t="e">
        <f t="shared" ca="1" si="0"/>
        <v>#N/A</v>
      </c>
      <c r="F33" s="515"/>
      <c r="G33" s="516"/>
    </row>
    <row r="34" spans="1:7" ht="21" customHeight="1" x14ac:dyDescent="0.35">
      <c r="A34" s="517" t="e">
        <f ca="1">IF(A33="","",IF(B33&lt;(Ontwerp!M$9),A33+1,""))</f>
        <v>#N/A</v>
      </c>
      <c r="B34" s="517" t="e">
        <f ca="1">IF(A34="","",IF(-Ontwerp!T$32+Ontwerp!T$33+A34*Ontwerp!T$32&lt;Ontwerp!M$9,-Ontwerp!T$32+Ontwerp!T$33+A34*Ontwerp!T$32,Ontwerp!M$9))</f>
        <v>#N/A</v>
      </c>
      <c r="C34" s="518" t="e">
        <f ca="1">IF(B34&lt;Ontwerp!C$41,B34*COS(RADIANS(Ontwerp!D$7)),IF(B34&lt;(Ontwerp!C$41+Ontwerp!C$44),Ontwerp!C$40+Ontwerp!C$43+Ontwerp!D$8*SIN(RADIANS(-Ontwerp!D$7+360*(B34-Ontwerp!C$41)/(2*PI()*Ontwerp!D$8))),IF(B34&lt;(Ontwerp!C$41+Ontwerp!C$44+Ontwerp!C$46),B34-(Ontwerp!C$41+Ontwerp!C$44)+Ontwerp!C$40+Ontwerp!C$43,IF(B34&lt;(Ontwerp!C$41+Ontwerp!C$44+Ontwerp!C$46+Ontwerp!C$50),Ontwerp!C$40+Ontwerp!C$43+Ontwerp!C$46+Ontwerp!D$12*SIN(RADIANS(360*(B34-(Ontwerp!C$41+Ontwerp!C$44+Ontwerp!C$46))/(2*PI()*Ontwerp!D$12))),IF(B34&lt;=(Ontwerp!C$41+Ontwerp!C$44+Ontwerp!C$46+Ontwerp!C$50+Ontwerp!C$53),Ontwerp!C$40+Ontwerp!C$43+Ontwerp!C$46+Ontwerp!C$49+(B34-(Ontwerp!C$41+Ontwerp!C$44+Ontwerp!C$46+Ontwerp!C$50))*COS(RADIANS(Ontwerp!D$13)),"CHECK FORMULE")))))</f>
        <v>#N/A</v>
      </c>
      <c r="D34" s="518" t="e">
        <f ca="1">IF(C34&lt;=Ontwerp!P$274,Ontwerp!U$273+(C34*Ontwerp!V$274/Ontwerp!R$274),IF(C34&lt;=Ontwerp!P$275,Ontwerp!Z$266+Ontwerp!C$38-Ontwerp!Z$266*COS(ASIN((Ontwerp!C$45-C34)/Ontwerp!Z$266)),IF(C34&lt;=Ontwerp!P$276,Ontwerp!U$276,IF(C34&lt;=Ontwerp!P$277,Ontwerp!Z$269+Ontwerp!C$38-Ontwerp!Z$269*COS(ASIN((C34-Ontwerp!C$45-Ontwerp!C$46)/Ontwerp!Z$269)),IF(C34&lt;=Ontwerp!P$278,Ontwerp!U$277+((C34-Ontwerp!P$277)*Ontwerp!V$278/Ontwerp!R$278),"Formule bijwerken voor  T6")))))</f>
        <v>#N/A</v>
      </c>
      <c r="E34" s="519" t="e">
        <f t="shared" ca="1" si="0"/>
        <v>#N/A</v>
      </c>
      <c r="F34" s="515"/>
      <c r="G34" s="516"/>
    </row>
    <row r="35" spans="1:7" ht="21" customHeight="1" x14ac:dyDescent="0.35">
      <c r="A35" s="517" t="e">
        <f ca="1">IF(A34="","",IF(B34&lt;(Ontwerp!M$9),A34+1,""))</f>
        <v>#N/A</v>
      </c>
      <c r="B35" s="517" t="e">
        <f ca="1">IF(A35="","",IF(-Ontwerp!T$32+Ontwerp!T$33+A35*Ontwerp!T$32&lt;Ontwerp!M$9,-Ontwerp!T$32+Ontwerp!T$33+A35*Ontwerp!T$32,Ontwerp!M$9))</f>
        <v>#N/A</v>
      </c>
      <c r="C35" s="518" t="e">
        <f ca="1">IF(B35&lt;Ontwerp!C$41,B35*COS(RADIANS(Ontwerp!D$7)),IF(B35&lt;(Ontwerp!C$41+Ontwerp!C$44),Ontwerp!C$40+Ontwerp!C$43+Ontwerp!D$8*SIN(RADIANS(-Ontwerp!D$7+360*(B35-Ontwerp!C$41)/(2*PI()*Ontwerp!D$8))),IF(B35&lt;(Ontwerp!C$41+Ontwerp!C$44+Ontwerp!C$46),B35-(Ontwerp!C$41+Ontwerp!C$44)+Ontwerp!C$40+Ontwerp!C$43,IF(B35&lt;(Ontwerp!C$41+Ontwerp!C$44+Ontwerp!C$46+Ontwerp!C$50),Ontwerp!C$40+Ontwerp!C$43+Ontwerp!C$46+Ontwerp!D$12*SIN(RADIANS(360*(B35-(Ontwerp!C$41+Ontwerp!C$44+Ontwerp!C$46))/(2*PI()*Ontwerp!D$12))),IF(B35&lt;=(Ontwerp!C$41+Ontwerp!C$44+Ontwerp!C$46+Ontwerp!C$50+Ontwerp!C$53),Ontwerp!C$40+Ontwerp!C$43+Ontwerp!C$46+Ontwerp!C$49+(B35-(Ontwerp!C$41+Ontwerp!C$44+Ontwerp!C$46+Ontwerp!C$49))*COS(RADIANS(Ontwerp!D$13)),"CHECK FORMULE")))))</f>
        <v>#N/A</v>
      </c>
      <c r="D35" s="518" t="e">
        <f ca="1">IF(C35&lt;=Ontwerp!P$274,Ontwerp!U$273+(C35*Ontwerp!V$274/Ontwerp!R$274),IF(C35&lt;=Ontwerp!P$275,Ontwerp!Z$266+Ontwerp!C$38-Ontwerp!Z$266*COS(ASIN((Ontwerp!C$45-C35)/Ontwerp!Z$266)),IF(C35&lt;=Ontwerp!P$276,Ontwerp!U$276,IF(C35&lt;=Ontwerp!P$277,Ontwerp!Z$269+Ontwerp!C$38-Ontwerp!Z$269*COS(ASIN((C35-Ontwerp!C$45-Ontwerp!C$46)/Ontwerp!Z$269)),IF(C35&lt;=Ontwerp!P$278,Ontwerp!U$277+((C35-Ontwerp!P$277)*Ontwerp!V$278/Ontwerp!R$278),"Formule bijwerken voor  T6")))))</f>
        <v>#N/A</v>
      </c>
      <c r="E35" s="519" t="e">
        <f t="shared" ca="1" si="0"/>
        <v>#N/A</v>
      </c>
      <c r="F35" s="515"/>
      <c r="G35" s="516"/>
    </row>
    <row r="36" spans="1:7" ht="21" customHeight="1" x14ac:dyDescent="0.35">
      <c r="A36" s="517" t="e">
        <f ca="1">IF(A35="","",IF(B35&lt;(Ontwerp!M$9),A35+1,""))</f>
        <v>#N/A</v>
      </c>
      <c r="B36" s="517" t="e">
        <f ca="1">IF(A36="","",IF(-Ontwerp!T$32+Ontwerp!T$33+A36*Ontwerp!T$32&lt;Ontwerp!M$9,-Ontwerp!T$32+Ontwerp!T$33+A36*Ontwerp!T$32,Ontwerp!M$9))</f>
        <v>#N/A</v>
      </c>
      <c r="C36" s="518" t="e">
        <f ca="1">IF(B36&lt;Ontwerp!C$41,B36*COS(RADIANS(Ontwerp!D$7)),IF(B36&lt;(Ontwerp!C$41+Ontwerp!C$44),Ontwerp!C$40+Ontwerp!C$43+Ontwerp!D$8*SIN(RADIANS(-Ontwerp!D$7+360*(B36-Ontwerp!C$41)/(2*PI()*Ontwerp!D$8))),IF(B36&lt;(Ontwerp!C$41+Ontwerp!C$44+Ontwerp!C$46),B36-(Ontwerp!C$41+Ontwerp!C$44)+Ontwerp!C$40+Ontwerp!C$43,IF(B36&lt;(Ontwerp!C$41+Ontwerp!C$44+Ontwerp!C$46+Ontwerp!C$50),Ontwerp!C$40+Ontwerp!C$43+Ontwerp!C$46+Ontwerp!D$12*SIN(RADIANS(360*(B36-(Ontwerp!C$41+Ontwerp!C$44+Ontwerp!C$46))/(2*PI()*Ontwerp!D$12))),IF(B36&lt;=(Ontwerp!C$41+Ontwerp!C$44+Ontwerp!C$46+Ontwerp!C$50+Ontwerp!C$53),Ontwerp!C$40+Ontwerp!C$43+Ontwerp!C$46+Ontwerp!C$49+(B36-(Ontwerp!C$41+Ontwerp!C$44+Ontwerp!C$46+Ontwerp!C$49))*COS(RADIANS(Ontwerp!D$13)),"CHECK FORMULE")))))</f>
        <v>#N/A</v>
      </c>
      <c r="D36" s="518" t="e">
        <f ca="1">IF(C36&lt;=Ontwerp!P$274,Ontwerp!U$273+(C36*Ontwerp!V$274/Ontwerp!R$274),IF(C36&lt;=Ontwerp!P$275,Ontwerp!Z$266+Ontwerp!C$38-Ontwerp!Z$266*COS(ASIN((Ontwerp!C$45-C36)/Ontwerp!Z$266)),IF(C36&lt;=Ontwerp!P$276,Ontwerp!U$276,IF(C36&lt;=Ontwerp!P$277,Ontwerp!Z$269+Ontwerp!C$38-Ontwerp!Z$269*COS(ASIN((C36-Ontwerp!C$45-Ontwerp!C$46)/Ontwerp!Z$269)),IF(C36&lt;=Ontwerp!P$278,Ontwerp!U$277+((C36-Ontwerp!P$277)*Ontwerp!V$278/Ontwerp!R$278),"Formule bijwerken voor  T6")))))</f>
        <v>#N/A</v>
      </c>
      <c r="E36" s="519" t="e">
        <f t="shared" ca="1" si="0"/>
        <v>#N/A</v>
      </c>
      <c r="F36" s="515"/>
      <c r="G36" s="516"/>
    </row>
    <row r="37" spans="1:7" ht="21" customHeight="1" x14ac:dyDescent="0.35">
      <c r="A37" s="517" t="e">
        <f ca="1">IF(A36="","",IF(B36&lt;(Ontwerp!M$9),A36+1,""))</f>
        <v>#N/A</v>
      </c>
      <c r="B37" s="517" t="e">
        <f ca="1">IF(A37="","",IF(-Ontwerp!T$32+Ontwerp!T$33+A37*Ontwerp!T$32&lt;Ontwerp!M$9,-Ontwerp!T$32+Ontwerp!T$33+A37*Ontwerp!T$32,Ontwerp!M$9))</f>
        <v>#N/A</v>
      </c>
      <c r="C37" s="518" t="e">
        <f ca="1">IF(B37&lt;Ontwerp!C$41,B37*COS(RADIANS(Ontwerp!D$7)),IF(B37&lt;(Ontwerp!C$41+Ontwerp!C$44),Ontwerp!C$40+Ontwerp!C$43+Ontwerp!D$8*SIN(RADIANS(-Ontwerp!D$7+360*(B37-Ontwerp!C$41)/(2*PI()*Ontwerp!D$8))),IF(B37&lt;(Ontwerp!C$41+Ontwerp!C$44+Ontwerp!C$46),B37-(Ontwerp!C$41+Ontwerp!C$44)+Ontwerp!C$40+Ontwerp!C$43,IF(B37&lt;(Ontwerp!C$41+Ontwerp!C$44+Ontwerp!C$46+Ontwerp!C$50),Ontwerp!C$40+Ontwerp!C$43+Ontwerp!C$46+Ontwerp!D$12*SIN(RADIANS(360*(B37-(Ontwerp!C$41+Ontwerp!C$44+Ontwerp!C$46))/(2*PI()*Ontwerp!D$12))),IF(B37&lt;=(Ontwerp!C$41+Ontwerp!C$44+Ontwerp!C$46+Ontwerp!C$50+Ontwerp!C$53),Ontwerp!C$40+Ontwerp!C$43+Ontwerp!C$46+Ontwerp!C$49+(B37-(Ontwerp!C$41+Ontwerp!C$44+Ontwerp!C$46+Ontwerp!C$49))*COS(RADIANS(Ontwerp!D$13)),"CHECK FORMULE")))))</f>
        <v>#N/A</v>
      </c>
      <c r="D37" s="518" t="e">
        <f ca="1">IF(C37&lt;=Ontwerp!P$274,Ontwerp!U$273+(C37*Ontwerp!V$274/Ontwerp!R$274),IF(C37&lt;=Ontwerp!P$275,Ontwerp!Z$266+Ontwerp!C$38-Ontwerp!Z$266*COS(ASIN((Ontwerp!C$45-C37)/Ontwerp!Z$266)),IF(C37&lt;=Ontwerp!P$276,Ontwerp!U$276,IF(C37&lt;=Ontwerp!P$277,Ontwerp!Z$269+Ontwerp!C$38-Ontwerp!Z$269*COS(ASIN((C37-Ontwerp!C$45-Ontwerp!C$46)/Ontwerp!Z$269)),IF(C37&lt;=Ontwerp!P$278,Ontwerp!U$277+((C37-Ontwerp!P$277)*Ontwerp!V$278/Ontwerp!R$278),"Formule bijwerken voor  T6")))))</f>
        <v>#N/A</v>
      </c>
      <c r="E37" s="519" t="e">
        <f t="shared" ca="1" si="0"/>
        <v>#N/A</v>
      </c>
      <c r="F37" s="515"/>
      <c r="G37" s="516"/>
    </row>
    <row r="38" spans="1:7" ht="21" customHeight="1" x14ac:dyDescent="0.35">
      <c r="A38" s="517" t="e">
        <f ca="1">IF(A37="","",IF(B37&lt;(Ontwerp!M$9),A37+1,""))</f>
        <v>#N/A</v>
      </c>
      <c r="B38" s="517" t="e">
        <f ca="1">IF(A38="","",IF(-Ontwerp!T$32+Ontwerp!T$33+A38*Ontwerp!T$32&lt;Ontwerp!M$9,-Ontwerp!T$32+Ontwerp!T$33+A38*Ontwerp!T$32,Ontwerp!M$9))</f>
        <v>#N/A</v>
      </c>
      <c r="C38" s="518" t="e">
        <f ca="1">IF(B38&lt;Ontwerp!C$41,B38*COS(RADIANS(Ontwerp!D$7)),IF(B38&lt;(Ontwerp!C$41+Ontwerp!C$44),Ontwerp!C$40+Ontwerp!C$43+Ontwerp!D$8*SIN(RADIANS(-Ontwerp!D$7+360*(B38-Ontwerp!C$41)/(2*PI()*Ontwerp!D$8))),IF(B38&lt;(Ontwerp!C$41+Ontwerp!C$44+Ontwerp!C$46),B38-(Ontwerp!C$41+Ontwerp!C$44)+Ontwerp!C$40+Ontwerp!C$43,IF(B38&lt;(Ontwerp!C$41+Ontwerp!C$44+Ontwerp!C$46+Ontwerp!C$50),Ontwerp!C$40+Ontwerp!C$43+Ontwerp!C$46+Ontwerp!D$12*SIN(RADIANS(360*(B38-(Ontwerp!C$41+Ontwerp!C$44+Ontwerp!C$46))/(2*PI()*Ontwerp!D$12))),IF(B38&lt;=(Ontwerp!C$41+Ontwerp!C$44+Ontwerp!C$46+Ontwerp!C$50+Ontwerp!C$53),Ontwerp!C$40+Ontwerp!C$43+Ontwerp!C$46+Ontwerp!C$49+(B38-(Ontwerp!C$41+Ontwerp!C$44+Ontwerp!C$46+Ontwerp!C$49))*COS(RADIANS(Ontwerp!D$13)),"CHECK FORMULE")))))</f>
        <v>#N/A</v>
      </c>
      <c r="D38" s="518" t="e">
        <f ca="1">IF(C38&lt;=Ontwerp!P$274,Ontwerp!U$273+(C38*Ontwerp!V$274/Ontwerp!R$274),IF(C38&lt;=Ontwerp!P$275,Ontwerp!Z$266+Ontwerp!C$38-Ontwerp!Z$266*COS(ASIN((Ontwerp!C$45-C38)/Ontwerp!Z$266)),IF(C38&lt;=Ontwerp!P$276,Ontwerp!U$276,IF(C38&lt;=Ontwerp!P$277,Ontwerp!Z$269+Ontwerp!C$38-Ontwerp!Z$269*COS(ASIN((C38-Ontwerp!C$45-Ontwerp!C$46)/Ontwerp!Z$269)),IF(C38&lt;=Ontwerp!P$278,Ontwerp!U$277+((C38-Ontwerp!P$277)*Ontwerp!V$278/Ontwerp!R$278),"Formule bijwerken voor  T6")))))</f>
        <v>#N/A</v>
      </c>
      <c r="E38" s="519" t="e">
        <f t="shared" ca="1" si="0"/>
        <v>#N/A</v>
      </c>
      <c r="F38" s="515"/>
      <c r="G38" s="516"/>
    </row>
    <row r="39" spans="1:7" ht="21" customHeight="1" x14ac:dyDescent="0.35">
      <c r="A39" s="517" t="e">
        <f ca="1">IF(A38="","",IF(B38&lt;(Ontwerp!M$9),A38+1,""))</f>
        <v>#N/A</v>
      </c>
      <c r="B39" s="517" t="e">
        <f ca="1">IF(A39="","",IF(-Ontwerp!T$32+Ontwerp!T$33+A39*Ontwerp!T$32&lt;Ontwerp!M$9,-Ontwerp!T$32+Ontwerp!T$33+A39*Ontwerp!T$32,Ontwerp!M$9))</f>
        <v>#N/A</v>
      </c>
      <c r="C39" s="518" t="e">
        <f ca="1">IF(B39&lt;Ontwerp!C$41,B39*COS(RADIANS(Ontwerp!D$7)),IF(B39&lt;(Ontwerp!C$41+Ontwerp!C$44),Ontwerp!C$40+Ontwerp!C$43+Ontwerp!D$8*SIN(RADIANS(-Ontwerp!D$7+360*(B39-Ontwerp!C$41)/(2*PI()*Ontwerp!D$8))),IF(B39&lt;(Ontwerp!C$41+Ontwerp!C$44+Ontwerp!C$46),B39-(Ontwerp!C$41+Ontwerp!C$44)+Ontwerp!C$40+Ontwerp!C$43,IF(B39&lt;(Ontwerp!C$41+Ontwerp!C$44+Ontwerp!C$46+Ontwerp!C$50),Ontwerp!C$40+Ontwerp!C$43+Ontwerp!C$46+Ontwerp!D$12*SIN(RADIANS(360*(B39-(Ontwerp!C$41+Ontwerp!C$44+Ontwerp!C$46))/(2*PI()*Ontwerp!D$12))),IF(B39&lt;=(Ontwerp!C$41+Ontwerp!C$44+Ontwerp!C$46+Ontwerp!C$50+Ontwerp!C$53),Ontwerp!C$40+Ontwerp!C$43+Ontwerp!C$46+Ontwerp!C$49+(B39-(Ontwerp!C$41+Ontwerp!C$44+Ontwerp!C$46+Ontwerp!C$49))*COS(RADIANS(Ontwerp!D$13)),"CHECK FORMULE")))))</f>
        <v>#N/A</v>
      </c>
      <c r="D39" s="518" t="e">
        <f ca="1">IF(C39&lt;=Ontwerp!P$274,Ontwerp!U$273+(C39*Ontwerp!V$274/Ontwerp!R$274),IF(C39&lt;=Ontwerp!P$275,Ontwerp!Z$266+Ontwerp!C$38-Ontwerp!Z$266*COS(ASIN((Ontwerp!C$45-C39)/Ontwerp!Z$266)),IF(C39&lt;=Ontwerp!P$276,Ontwerp!U$276,IF(C39&lt;=Ontwerp!P$277,Ontwerp!Z$269+Ontwerp!C$38-Ontwerp!Z$269*COS(ASIN((C39-Ontwerp!C$45-Ontwerp!C$46)/Ontwerp!Z$269)),IF(C39&lt;=Ontwerp!P$278,Ontwerp!U$277+((C39-Ontwerp!P$277)*Ontwerp!V$278/Ontwerp!R$278),"Formule bijwerken voor  T6")))))</f>
        <v>#N/A</v>
      </c>
      <c r="E39" s="519" t="e">
        <f t="shared" ca="1" si="0"/>
        <v>#N/A</v>
      </c>
      <c r="F39" s="515"/>
      <c r="G39" s="516"/>
    </row>
    <row r="40" spans="1:7" ht="21" customHeight="1" x14ac:dyDescent="0.35">
      <c r="A40" s="517" t="e">
        <f ca="1">IF(A39="","",IF(B39&lt;(Ontwerp!M$9),A39+1,""))</f>
        <v>#N/A</v>
      </c>
      <c r="B40" s="517" t="e">
        <f ca="1">IF(A40="","",IF(-Ontwerp!T$32+Ontwerp!T$33+A40*Ontwerp!T$32&lt;Ontwerp!M$9,-Ontwerp!T$32+Ontwerp!T$33+A40*Ontwerp!T$32,Ontwerp!M$9))</f>
        <v>#N/A</v>
      </c>
      <c r="C40" s="518" t="e">
        <f ca="1">IF(B40&lt;Ontwerp!C$41,B40*COS(RADIANS(Ontwerp!D$7)),IF(B40&lt;(Ontwerp!C$41+Ontwerp!C$44),Ontwerp!C$40+Ontwerp!C$43+Ontwerp!D$8*SIN(RADIANS(-Ontwerp!D$7+360*(B40-Ontwerp!C$41)/(2*PI()*Ontwerp!D$8))),IF(B40&lt;(Ontwerp!C$41+Ontwerp!C$44+Ontwerp!C$46),B40-(Ontwerp!C$41+Ontwerp!C$44)+Ontwerp!C$40+Ontwerp!C$43,IF(B40&lt;(Ontwerp!C$41+Ontwerp!C$44+Ontwerp!C$46+Ontwerp!C$50),Ontwerp!C$40+Ontwerp!C$43+Ontwerp!C$46+Ontwerp!D$12*SIN(RADIANS(360*(B40-(Ontwerp!C$41+Ontwerp!C$44+Ontwerp!C$46))/(2*PI()*Ontwerp!D$12))),IF(B40&lt;=(Ontwerp!C$41+Ontwerp!C$44+Ontwerp!C$46+Ontwerp!C$50+Ontwerp!C$53),Ontwerp!C$40+Ontwerp!C$43+Ontwerp!C$46+Ontwerp!C$49+(B40-(Ontwerp!C$41+Ontwerp!C$44+Ontwerp!C$46+Ontwerp!C$49))*COS(RADIANS(Ontwerp!D$13)),"CHECK FORMULE")))))</f>
        <v>#N/A</v>
      </c>
      <c r="D40" s="518" t="e">
        <f ca="1">IF(C40&lt;=Ontwerp!P$274,Ontwerp!U$273+(C40*Ontwerp!V$274/Ontwerp!R$274),IF(C40&lt;=Ontwerp!P$275,Ontwerp!Z$266+Ontwerp!C$38-Ontwerp!Z$266*COS(ASIN((Ontwerp!C$45-C40)/Ontwerp!Z$266)),IF(C40&lt;=Ontwerp!P$276,Ontwerp!U$276,IF(C40&lt;=Ontwerp!P$277,Ontwerp!Z$269+Ontwerp!C$38-Ontwerp!Z$269*COS(ASIN((C40-Ontwerp!C$45-Ontwerp!C$46)/Ontwerp!Z$269)),IF(C40&lt;=Ontwerp!P$278,Ontwerp!U$277+((C40-Ontwerp!P$277)*Ontwerp!V$278/Ontwerp!R$278),"Formule bijwerken voor  T6")))))</f>
        <v>#N/A</v>
      </c>
      <c r="E40" s="519" t="e">
        <f t="shared" ca="1" si="0"/>
        <v>#N/A</v>
      </c>
      <c r="F40" s="515"/>
      <c r="G40" s="516"/>
    </row>
    <row r="41" spans="1:7" ht="21" customHeight="1" x14ac:dyDescent="0.35">
      <c r="A41" s="517" t="e">
        <f ca="1">IF(A40="","",IF(B40&lt;(Ontwerp!M$9),A40+1,""))</f>
        <v>#N/A</v>
      </c>
      <c r="B41" s="517" t="e">
        <f ca="1">IF(A41="","",IF(-Ontwerp!T$32+Ontwerp!T$33+A41*Ontwerp!T$32&lt;Ontwerp!M$9,-Ontwerp!T$32+Ontwerp!T$33+A41*Ontwerp!T$32,Ontwerp!M$9))</f>
        <v>#N/A</v>
      </c>
      <c r="C41" s="518" t="e">
        <f ca="1">IF(B41&lt;Ontwerp!C$41,B41*COS(RADIANS(Ontwerp!D$7)),IF(B41&lt;(Ontwerp!C$41+Ontwerp!C$44),Ontwerp!C$40+Ontwerp!C$43+Ontwerp!D$8*SIN(RADIANS(-Ontwerp!D$7+360*(B41-Ontwerp!C$41)/(2*PI()*Ontwerp!D$8))),IF(B41&lt;(Ontwerp!C$41+Ontwerp!C$44+Ontwerp!C$46),B41-(Ontwerp!C$41+Ontwerp!C$44)+Ontwerp!C$40+Ontwerp!C$43,IF(B41&lt;(Ontwerp!C$41+Ontwerp!C$44+Ontwerp!C$46+Ontwerp!C$50),Ontwerp!C$40+Ontwerp!C$43+Ontwerp!C$46+Ontwerp!D$12*SIN(RADIANS(360*(B41-(Ontwerp!C$41+Ontwerp!C$44+Ontwerp!C$46))/(2*PI()*Ontwerp!D$12))),IF(B41&lt;=(Ontwerp!C$41+Ontwerp!C$44+Ontwerp!C$46+Ontwerp!C$50+Ontwerp!C$53),Ontwerp!C$40+Ontwerp!C$43+Ontwerp!C$46+Ontwerp!C$49+(B41-(Ontwerp!C$41+Ontwerp!C$44+Ontwerp!C$46+Ontwerp!C$49))*COS(RADIANS(Ontwerp!D$13)),"CHECK FORMULE")))))</f>
        <v>#N/A</v>
      </c>
      <c r="D41" s="518" t="e">
        <f ca="1">IF(C41&lt;=Ontwerp!P$274,Ontwerp!U$273+(C41*Ontwerp!V$274/Ontwerp!R$274),IF(C41&lt;=Ontwerp!P$275,Ontwerp!Z$266+Ontwerp!C$38-Ontwerp!Z$266*COS(ASIN((Ontwerp!C$45-C41)/Ontwerp!Z$266)),IF(C41&lt;=Ontwerp!P$276,Ontwerp!U$276,IF(C41&lt;=Ontwerp!P$277,Ontwerp!Z$269+Ontwerp!C$38-Ontwerp!Z$269*COS(ASIN((C41-Ontwerp!C$45-Ontwerp!C$46)/Ontwerp!Z$269)),IF(C41&lt;=Ontwerp!P$278,Ontwerp!U$277+((C41-Ontwerp!P$277)*Ontwerp!V$278/Ontwerp!R$278),"Formule bijwerken voor  T6")))))</f>
        <v>#N/A</v>
      </c>
      <c r="E41" s="519" t="e">
        <f t="shared" ca="1" si="0"/>
        <v>#N/A</v>
      </c>
      <c r="F41" s="515"/>
      <c r="G41" s="516"/>
    </row>
    <row r="42" spans="1:7" ht="21" customHeight="1" x14ac:dyDescent="0.35">
      <c r="A42" s="517" t="e">
        <f ca="1">IF(A41="","",IF(B41&lt;(Ontwerp!M$9),A41+1,""))</f>
        <v>#N/A</v>
      </c>
      <c r="B42" s="517" t="e">
        <f ca="1">IF(A42="","",IF(-Ontwerp!T$32+Ontwerp!T$33+A42*Ontwerp!T$32&lt;Ontwerp!M$9,-Ontwerp!T$32+Ontwerp!T$33+A42*Ontwerp!T$32,Ontwerp!M$9))</f>
        <v>#N/A</v>
      </c>
      <c r="C42" s="518" t="e">
        <f ca="1">IF(B42&lt;Ontwerp!C$41,B42*COS(RADIANS(Ontwerp!D$7)),IF(B42&lt;(Ontwerp!C$41+Ontwerp!C$44),Ontwerp!C$40+Ontwerp!C$43+Ontwerp!D$8*SIN(RADIANS(-Ontwerp!D$7+360*(B42-Ontwerp!C$41)/(2*PI()*Ontwerp!D$8))),IF(B42&lt;(Ontwerp!C$41+Ontwerp!C$44+Ontwerp!C$46),B42-(Ontwerp!C$41+Ontwerp!C$44)+Ontwerp!C$40+Ontwerp!C$43,IF(B42&lt;(Ontwerp!C$41+Ontwerp!C$44+Ontwerp!C$46+Ontwerp!C$50),Ontwerp!C$40+Ontwerp!C$43+Ontwerp!C$46+Ontwerp!D$12*SIN(RADIANS(360*(B42-(Ontwerp!C$41+Ontwerp!C$44+Ontwerp!C$46))/(2*PI()*Ontwerp!D$12))),IF(B42&lt;=(Ontwerp!C$41+Ontwerp!C$44+Ontwerp!C$46+Ontwerp!C$50+Ontwerp!C$53),Ontwerp!C$40+Ontwerp!C$43+Ontwerp!C$46+Ontwerp!C$49+(B42-(Ontwerp!C$41+Ontwerp!C$44+Ontwerp!C$46+Ontwerp!C$49))*COS(RADIANS(Ontwerp!D$13)),"CHECK FORMULE")))))</f>
        <v>#N/A</v>
      </c>
      <c r="D42" s="518" t="e">
        <f ca="1">IF(C42&lt;=Ontwerp!P$274,Ontwerp!U$273+(C42*Ontwerp!V$274/Ontwerp!R$274),IF(C42&lt;=Ontwerp!P$275,Ontwerp!Z$266+Ontwerp!C$38-Ontwerp!Z$266*COS(ASIN((Ontwerp!C$45-C42)/Ontwerp!Z$266)),IF(C42&lt;=Ontwerp!P$276,Ontwerp!U$276,IF(C42&lt;=Ontwerp!P$277,Ontwerp!Z$269+Ontwerp!C$38-Ontwerp!Z$269*COS(ASIN((C42-Ontwerp!C$45-Ontwerp!C$46)/Ontwerp!Z$269)),IF(C42&lt;=Ontwerp!P$278,Ontwerp!U$277+((C42-Ontwerp!P$277)*Ontwerp!V$278/Ontwerp!R$278),"Formule bijwerken voor  T6")))))</f>
        <v>#N/A</v>
      </c>
      <c r="E42" s="519" t="e">
        <f t="shared" ca="1" si="0"/>
        <v>#N/A</v>
      </c>
      <c r="F42" s="515"/>
      <c r="G42" s="516"/>
    </row>
    <row r="43" spans="1:7" ht="21" customHeight="1" x14ac:dyDescent="0.35">
      <c r="A43" s="517" t="e">
        <f ca="1">IF(A42="","",IF(B42&lt;(Ontwerp!M$9),A42+1,""))</f>
        <v>#N/A</v>
      </c>
      <c r="B43" s="517" t="e">
        <f ca="1">IF(A43="","",IF(-Ontwerp!T$32+Ontwerp!T$33+A43*Ontwerp!T$32&lt;Ontwerp!M$9,-Ontwerp!T$32+Ontwerp!T$33+A43*Ontwerp!T$32,Ontwerp!M$9))</f>
        <v>#N/A</v>
      </c>
      <c r="C43" s="518" t="e">
        <f ca="1">IF(B43&lt;Ontwerp!C$41,B43*COS(RADIANS(Ontwerp!D$7)),IF(B43&lt;(Ontwerp!C$41+Ontwerp!C$44),Ontwerp!C$40+Ontwerp!C$43+Ontwerp!D$8*SIN(RADIANS(-Ontwerp!D$7+360*(B43-Ontwerp!C$41)/(2*PI()*Ontwerp!D$8))),IF(B43&lt;(Ontwerp!C$41+Ontwerp!C$44+Ontwerp!C$46),B43-(Ontwerp!C$41+Ontwerp!C$44)+Ontwerp!C$40+Ontwerp!C$43,IF(B43&lt;(Ontwerp!C$41+Ontwerp!C$44+Ontwerp!C$46+Ontwerp!C$50),Ontwerp!C$40+Ontwerp!C$43+Ontwerp!C$46+Ontwerp!D$12*SIN(RADIANS(360*(B43-(Ontwerp!C$41+Ontwerp!C$44+Ontwerp!C$46))/(2*PI()*Ontwerp!D$12))),IF(B43&lt;=(Ontwerp!C$41+Ontwerp!C$44+Ontwerp!C$46+Ontwerp!C$50+Ontwerp!C$53),Ontwerp!C$40+Ontwerp!C$43+Ontwerp!C$46+Ontwerp!C$49+(B43-(Ontwerp!C$41+Ontwerp!C$44+Ontwerp!C$46+Ontwerp!C$49))*COS(RADIANS(Ontwerp!D$13)),"CHECK FORMULE")))))</f>
        <v>#N/A</v>
      </c>
      <c r="D43" s="518" t="e">
        <f ca="1">IF(C43&lt;=Ontwerp!P$274,Ontwerp!U$273+(C43*Ontwerp!V$274/Ontwerp!R$274),IF(C43&lt;=Ontwerp!P$275,Ontwerp!Z$266+Ontwerp!C$38-Ontwerp!Z$266*COS(ASIN((Ontwerp!C$45-C43)/Ontwerp!Z$266)),IF(C43&lt;=Ontwerp!P$276,Ontwerp!U$276,IF(C43&lt;=Ontwerp!P$277,Ontwerp!Z$269+Ontwerp!C$38-Ontwerp!Z$269*COS(ASIN((C43-Ontwerp!C$45-Ontwerp!C$46)/Ontwerp!Z$269)),IF(C43&lt;=Ontwerp!P$278,Ontwerp!U$277+((C43-Ontwerp!P$277)*Ontwerp!V$278/Ontwerp!R$278),"Formule bijwerken voor  T6")))))</f>
        <v>#N/A</v>
      </c>
      <c r="E43" s="519" t="e">
        <f t="shared" ca="1" si="0"/>
        <v>#N/A</v>
      </c>
      <c r="F43" s="515"/>
      <c r="G43" s="516"/>
    </row>
    <row r="44" spans="1:7" ht="21" customHeight="1" x14ac:dyDescent="0.35">
      <c r="A44" s="517" t="e">
        <f ca="1">IF(A43="","",IF(B43&lt;(Ontwerp!M$9),A43+1,""))</f>
        <v>#N/A</v>
      </c>
      <c r="B44" s="517" t="e">
        <f ca="1">IF(A44="","",IF(-Ontwerp!T$32+Ontwerp!T$33+A44*Ontwerp!T$32&lt;Ontwerp!M$9,-Ontwerp!T$32+Ontwerp!T$33+A44*Ontwerp!T$32,Ontwerp!M$9))</f>
        <v>#N/A</v>
      </c>
      <c r="C44" s="518" t="e">
        <f ca="1">IF(B44&lt;Ontwerp!C$41,B44*COS(RADIANS(Ontwerp!D$7)),IF(B44&lt;(Ontwerp!C$41+Ontwerp!C$44),Ontwerp!C$40+Ontwerp!C$43+Ontwerp!D$8*SIN(RADIANS(-Ontwerp!D$7+360*(B44-Ontwerp!C$41)/(2*PI()*Ontwerp!D$8))),IF(B44&lt;(Ontwerp!C$41+Ontwerp!C$44+Ontwerp!C$46),B44-(Ontwerp!C$41+Ontwerp!C$44)+Ontwerp!C$40+Ontwerp!C$43,IF(B44&lt;(Ontwerp!C$41+Ontwerp!C$44+Ontwerp!C$46+Ontwerp!C$50),Ontwerp!C$40+Ontwerp!C$43+Ontwerp!C$46+Ontwerp!D$12*SIN(RADIANS(360*(B44-(Ontwerp!C$41+Ontwerp!C$44+Ontwerp!C$46))/(2*PI()*Ontwerp!D$12))),IF(B44&lt;=(Ontwerp!C$41+Ontwerp!C$44+Ontwerp!C$46+Ontwerp!C$50+Ontwerp!C$53),Ontwerp!C$40+Ontwerp!C$43+Ontwerp!C$46+Ontwerp!C$49+(B44-(Ontwerp!C$41+Ontwerp!C$44+Ontwerp!C$46+Ontwerp!C$49))*COS(RADIANS(Ontwerp!D$13)),"CHECK FORMULE")))))</f>
        <v>#N/A</v>
      </c>
      <c r="D44" s="518" t="e">
        <f ca="1">IF(C44&lt;=Ontwerp!P$274,Ontwerp!U$273+(C44*Ontwerp!V$274/Ontwerp!R$274),IF(C44&lt;=Ontwerp!P$275,Ontwerp!Z$266+Ontwerp!C$38-Ontwerp!Z$266*COS(ASIN((Ontwerp!C$45-C44)/Ontwerp!Z$266)),IF(C44&lt;=Ontwerp!P$276,Ontwerp!U$276,IF(C44&lt;=Ontwerp!P$277,Ontwerp!Z$269+Ontwerp!C$38-Ontwerp!Z$269*COS(ASIN((C44-Ontwerp!C$45-Ontwerp!C$46)/Ontwerp!Z$269)),IF(C44&lt;=Ontwerp!P$278,Ontwerp!U$277+((C44-Ontwerp!P$277)*Ontwerp!V$278/Ontwerp!R$278),"Formule bijwerken voor  T6")))))</f>
        <v>#N/A</v>
      </c>
      <c r="E44" s="519" t="e">
        <f t="shared" ca="1" si="0"/>
        <v>#N/A</v>
      </c>
      <c r="F44" s="515"/>
      <c r="G44" s="516"/>
    </row>
    <row r="45" spans="1:7" ht="21" customHeight="1" x14ac:dyDescent="0.35">
      <c r="A45" s="517" t="e">
        <f ca="1">IF(A44="","",IF(B44&lt;(Ontwerp!M$9),A44+1,""))</f>
        <v>#N/A</v>
      </c>
      <c r="B45" s="517" t="e">
        <f ca="1">IF(A45="","",IF(-Ontwerp!T$32+Ontwerp!T$33+A45*Ontwerp!T$32&lt;Ontwerp!M$9,-Ontwerp!T$32+Ontwerp!T$33+A45*Ontwerp!T$32,Ontwerp!M$9))</f>
        <v>#N/A</v>
      </c>
      <c r="C45" s="518" t="e">
        <f ca="1">IF(B45&lt;Ontwerp!C$41,B45*COS(RADIANS(Ontwerp!D$7)),IF(B45&lt;(Ontwerp!C$41+Ontwerp!C$44),Ontwerp!C$40+Ontwerp!C$43+Ontwerp!D$8*SIN(RADIANS(-Ontwerp!D$7+360*(B45-Ontwerp!C$41)/(2*PI()*Ontwerp!D$8))),IF(B45&lt;(Ontwerp!C$41+Ontwerp!C$44+Ontwerp!C$46),B45-(Ontwerp!C$41+Ontwerp!C$44)+Ontwerp!C$40+Ontwerp!C$43,IF(B45&lt;(Ontwerp!C$41+Ontwerp!C$44+Ontwerp!C$46+Ontwerp!C$50),Ontwerp!C$40+Ontwerp!C$43+Ontwerp!C$46+Ontwerp!D$12*SIN(RADIANS(360*(B45-(Ontwerp!C$41+Ontwerp!C$44+Ontwerp!C$46))/(2*PI()*Ontwerp!D$12))),IF(B45&lt;=(Ontwerp!C$41+Ontwerp!C$44+Ontwerp!C$46+Ontwerp!C$50+Ontwerp!C$53),Ontwerp!C$40+Ontwerp!C$43+Ontwerp!C$46+Ontwerp!C$49+(B45-(Ontwerp!C$41+Ontwerp!C$44+Ontwerp!C$46+Ontwerp!C$49))*COS(RADIANS(Ontwerp!D$13)),"CHECK FORMULE")))))</f>
        <v>#N/A</v>
      </c>
      <c r="D45" s="518" t="e">
        <f ca="1">IF(C45&lt;=Ontwerp!P$274,Ontwerp!U$273+(C45*Ontwerp!V$274/Ontwerp!R$274),IF(C45&lt;=Ontwerp!P$275,Ontwerp!Z$266+Ontwerp!C$38-Ontwerp!Z$266*COS(ASIN((Ontwerp!C$45-C45)/Ontwerp!Z$266)),IF(C45&lt;=Ontwerp!P$276,Ontwerp!U$276,IF(C45&lt;=Ontwerp!P$277,Ontwerp!Z$269+Ontwerp!C$38-Ontwerp!Z$269*COS(ASIN((C45-Ontwerp!C$45-Ontwerp!C$46)/Ontwerp!Z$269)),IF(C45&lt;=Ontwerp!P$278,Ontwerp!U$277+((C45-Ontwerp!P$277)*Ontwerp!V$278/Ontwerp!R$278),"Formule bijwerken voor  T6")))))</f>
        <v>#N/A</v>
      </c>
      <c r="E45" s="519" t="e">
        <f t="shared" ca="1" si="0"/>
        <v>#N/A</v>
      </c>
      <c r="F45" s="515"/>
      <c r="G45" s="516"/>
    </row>
    <row r="46" spans="1:7" ht="21" customHeight="1" x14ac:dyDescent="0.35">
      <c r="A46" s="517" t="e">
        <f ca="1">IF(A45="","",IF(B45&lt;(Ontwerp!M$9),A45+1,""))</f>
        <v>#N/A</v>
      </c>
      <c r="B46" s="517" t="e">
        <f ca="1">IF(A46="","",IF(-Ontwerp!T$32+Ontwerp!T$33+A46*Ontwerp!T$32&lt;Ontwerp!M$9,-Ontwerp!T$32+Ontwerp!T$33+A46*Ontwerp!T$32,Ontwerp!M$9))</f>
        <v>#N/A</v>
      </c>
      <c r="C46" s="518" t="e">
        <f ca="1">IF(B46&lt;Ontwerp!C$41,B46*COS(RADIANS(Ontwerp!D$7)),IF(B46&lt;(Ontwerp!C$41+Ontwerp!C$44),Ontwerp!C$40+Ontwerp!C$43+Ontwerp!D$8*SIN(RADIANS(-Ontwerp!D$7+360*(B46-Ontwerp!C$41)/(2*PI()*Ontwerp!D$8))),IF(B46&lt;(Ontwerp!C$41+Ontwerp!C$44+Ontwerp!C$46),B46-(Ontwerp!C$41+Ontwerp!C$44)+Ontwerp!C$40+Ontwerp!C$43,IF(B46&lt;(Ontwerp!C$41+Ontwerp!C$44+Ontwerp!C$46+Ontwerp!C$50),Ontwerp!C$40+Ontwerp!C$43+Ontwerp!C$46+Ontwerp!D$12*SIN(RADIANS(360*(B46-(Ontwerp!C$41+Ontwerp!C$44+Ontwerp!C$46))/(2*PI()*Ontwerp!D$12))),IF(B46&lt;=(Ontwerp!C$41+Ontwerp!C$44+Ontwerp!C$46+Ontwerp!C$50+Ontwerp!C$53),Ontwerp!C$40+Ontwerp!C$43+Ontwerp!C$46+Ontwerp!C$49+(B46-(Ontwerp!C$41+Ontwerp!C$44+Ontwerp!C$46+Ontwerp!C$49))*COS(RADIANS(Ontwerp!D$13)),"CHECK FORMULE")))))</f>
        <v>#N/A</v>
      </c>
      <c r="D46" s="518" t="e">
        <f ca="1">IF(C46&lt;=Ontwerp!P$274,Ontwerp!U$273+(C46*Ontwerp!V$274/Ontwerp!R$274),IF(C46&lt;=Ontwerp!P$275,Ontwerp!Z$266+Ontwerp!C$38-Ontwerp!Z$266*COS(ASIN((Ontwerp!C$45-C46)/Ontwerp!Z$266)),IF(C46&lt;=Ontwerp!P$276,Ontwerp!U$276,IF(C46&lt;=Ontwerp!P$277,Ontwerp!Z$269+Ontwerp!C$38-Ontwerp!Z$269*COS(ASIN((C46-Ontwerp!C$45-Ontwerp!C$46)/Ontwerp!Z$269)),IF(C46&lt;=Ontwerp!P$278,Ontwerp!U$277+((C46-Ontwerp!P$277)*Ontwerp!V$278/Ontwerp!R$278),"Formule bijwerken voor  T6")))))</f>
        <v>#N/A</v>
      </c>
      <c r="E46" s="519" t="e">
        <f t="shared" ca="1" si="0"/>
        <v>#N/A</v>
      </c>
      <c r="F46" s="515"/>
      <c r="G46" s="516"/>
    </row>
    <row r="47" spans="1:7" ht="21" customHeight="1" x14ac:dyDescent="0.35">
      <c r="A47" s="517" t="e">
        <f ca="1">IF(A46="","",IF(B46&lt;(Ontwerp!M$9),A46+1,""))</f>
        <v>#N/A</v>
      </c>
      <c r="B47" s="517" t="e">
        <f ca="1">IF(A47="","",IF(-Ontwerp!T$32+Ontwerp!T$33+A47*Ontwerp!T$32&lt;Ontwerp!M$9,-Ontwerp!T$32+Ontwerp!T$33+A47*Ontwerp!T$32,Ontwerp!M$9))</f>
        <v>#N/A</v>
      </c>
      <c r="C47" s="518" t="e">
        <f ca="1">IF(B47&lt;Ontwerp!C$41,B47*COS(RADIANS(Ontwerp!D$7)),IF(B47&lt;(Ontwerp!C$41+Ontwerp!C$44),Ontwerp!C$40+Ontwerp!C$43+Ontwerp!D$8*SIN(RADIANS(-Ontwerp!D$7+360*(B47-Ontwerp!C$41)/(2*PI()*Ontwerp!D$8))),IF(B47&lt;(Ontwerp!C$41+Ontwerp!C$44+Ontwerp!C$46),B47-(Ontwerp!C$41+Ontwerp!C$44)+Ontwerp!C$40+Ontwerp!C$43,IF(B47&lt;(Ontwerp!C$41+Ontwerp!C$44+Ontwerp!C$46+Ontwerp!C$50),Ontwerp!C$40+Ontwerp!C$43+Ontwerp!C$46+Ontwerp!D$12*SIN(RADIANS(360*(B47-(Ontwerp!C$41+Ontwerp!C$44+Ontwerp!C$46))/(2*PI()*Ontwerp!D$12))),IF(B47&lt;=(Ontwerp!C$41+Ontwerp!C$44+Ontwerp!C$46+Ontwerp!C$50+Ontwerp!C$53),Ontwerp!C$40+Ontwerp!C$43+Ontwerp!C$46+Ontwerp!C$49+(B47-(Ontwerp!C$41+Ontwerp!C$44+Ontwerp!C$46+Ontwerp!C$49))*COS(RADIANS(Ontwerp!D$13)),"CHECK FORMULE")))))</f>
        <v>#N/A</v>
      </c>
      <c r="D47" s="518" t="e">
        <f ca="1">IF(C47&lt;=Ontwerp!P$274,Ontwerp!U$273+(C47*Ontwerp!V$274/Ontwerp!R$274),IF(C47&lt;=Ontwerp!P$275,Ontwerp!Z$266+Ontwerp!C$38-Ontwerp!Z$266*COS(ASIN((Ontwerp!C$45-C47)/Ontwerp!Z$266)),IF(C47&lt;=Ontwerp!P$276,Ontwerp!U$276,IF(C47&lt;=Ontwerp!P$277,Ontwerp!Z$269+Ontwerp!C$38-Ontwerp!Z$269*COS(ASIN((C47-Ontwerp!C$45-Ontwerp!C$46)/Ontwerp!Z$269)),IF(C47&lt;=Ontwerp!P$278,Ontwerp!U$277+((C47-Ontwerp!P$277)*Ontwerp!V$278/Ontwerp!R$278),"Formule bijwerken voor  T6")))))</f>
        <v>#N/A</v>
      </c>
      <c r="E47" s="519" t="e">
        <f t="shared" ca="1" si="0"/>
        <v>#N/A</v>
      </c>
      <c r="F47" s="515"/>
      <c r="G47" s="516"/>
    </row>
    <row r="48" spans="1:7" ht="21" customHeight="1" x14ac:dyDescent="0.35">
      <c r="A48" s="517" t="e">
        <f ca="1">IF(A47="","",IF(B47&lt;(Ontwerp!M$9),A47+1,""))</f>
        <v>#N/A</v>
      </c>
      <c r="B48" s="517" t="e">
        <f ca="1">IF(A48="","",IF(-Ontwerp!T$32+Ontwerp!T$33+A48*Ontwerp!T$32&lt;Ontwerp!M$9,-Ontwerp!T$32+Ontwerp!T$33+A48*Ontwerp!T$32,Ontwerp!M$9))</f>
        <v>#N/A</v>
      </c>
      <c r="C48" s="518" t="e">
        <f ca="1">IF(B48&lt;Ontwerp!C$41,B48*COS(RADIANS(Ontwerp!D$7)),IF(B48&lt;(Ontwerp!C$41+Ontwerp!C$44),Ontwerp!C$40+Ontwerp!C$43+Ontwerp!D$8*SIN(RADIANS(-Ontwerp!D$7+360*(B48-Ontwerp!C$41)/(2*PI()*Ontwerp!D$8))),IF(B48&lt;(Ontwerp!C$41+Ontwerp!C$44+Ontwerp!C$46),B48-(Ontwerp!C$41+Ontwerp!C$44)+Ontwerp!C$40+Ontwerp!C$43,IF(B48&lt;(Ontwerp!C$41+Ontwerp!C$44+Ontwerp!C$46+Ontwerp!C$50),Ontwerp!C$40+Ontwerp!C$43+Ontwerp!C$46+Ontwerp!D$12*SIN(RADIANS(360*(B48-(Ontwerp!C$41+Ontwerp!C$44+Ontwerp!C$46))/(2*PI()*Ontwerp!D$12))),IF(B48&lt;=(Ontwerp!C$41+Ontwerp!C$44+Ontwerp!C$46+Ontwerp!C$50+Ontwerp!C$53),Ontwerp!C$40+Ontwerp!C$43+Ontwerp!C$46+Ontwerp!C$49+(B48-(Ontwerp!C$41+Ontwerp!C$44+Ontwerp!C$46+Ontwerp!C$49))*COS(RADIANS(Ontwerp!D$13)),"CHECK FORMULE")))))</f>
        <v>#N/A</v>
      </c>
      <c r="D48" s="518" t="e">
        <f ca="1">IF(C48&lt;=Ontwerp!P$274,Ontwerp!U$273+(C48*Ontwerp!V$274/Ontwerp!R$274),IF(C48&lt;=Ontwerp!P$275,Ontwerp!Z$266+Ontwerp!C$38-Ontwerp!Z$266*COS(ASIN((Ontwerp!C$45-C48)/Ontwerp!Z$266)),IF(C48&lt;=Ontwerp!P$276,Ontwerp!U$276,IF(C48&lt;=Ontwerp!P$277,Ontwerp!Z$269+Ontwerp!C$38-Ontwerp!Z$269*COS(ASIN((C48-Ontwerp!C$45-Ontwerp!C$46)/Ontwerp!Z$269)),IF(C48&lt;=Ontwerp!P$278,Ontwerp!U$277+((C48-Ontwerp!P$277)*Ontwerp!V$278/Ontwerp!R$278),"Formule bijwerken voor  T6")))))</f>
        <v>#N/A</v>
      </c>
      <c r="E48" s="519" t="e">
        <f t="shared" ca="1" si="0"/>
        <v>#N/A</v>
      </c>
      <c r="F48" s="515"/>
      <c r="G48" s="516"/>
    </row>
    <row r="49" spans="1:7" ht="21" customHeight="1" x14ac:dyDescent="0.35">
      <c r="A49" s="517" t="e">
        <f ca="1">IF(A48="","",IF(B48&lt;(Ontwerp!M$9),A48+1,""))</f>
        <v>#N/A</v>
      </c>
      <c r="B49" s="517" t="e">
        <f ca="1">IF(A49="","",IF(-Ontwerp!T$32+Ontwerp!T$33+A49*Ontwerp!T$32&lt;Ontwerp!M$9,-Ontwerp!T$32+Ontwerp!T$33+A49*Ontwerp!T$32,Ontwerp!M$9))</f>
        <v>#N/A</v>
      </c>
      <c r="C49" s="518" t="e">
        <f ca="1">IF(B49&lt;Ontwerp!C$41,B49*COS(RADIANS(Ontwerp!D$7)),IF(B49&lt;(Ontwerp!C$41+Ontwerp!C$44),Ontwerp!C$40+Ontwerp!C$43+Ontwerp!D$8*SIN(RADIANS(-Ontwerp!D$7+360*(B49-Ontwerp!C$41)/(2*PI()*Ontwerp!D$8))),IF(B49&lt;(Ontwerp!C$41+Ontwerp!C$44+Ontwerp!C$46),B49-(Ontwerp!C$41+Ontwerp!C$44)+Ontwerp!C$40+Ontwerp!C$43,IF(B49&lt;(Ontwerp!C$41+Ontwerp!C$44+Ontwerp!C$46+Ontwerp!C$50),Ontwerp!C$40+Ontwerp!C$43+Ontwerp!C$46+Ontwerp!D$12*SIN(RADIANS(360*(B49-(Ontwerp!C$41+Ontwerp!C$44+Ontwerp!C$46))/(2*PI()*Ontwerp!D$12))),IF(B49&lt;=(Ontwerp!C$41+Ontwerp!C$44+Ontwerp!C$46+Ontwerp!C$50+Ontwerp!C$53),Ontwerp!C$40+Ontwerp!C$43+Ontwerp!C$46+Ontwerp!C$49+(B49-(Ontwerp!C$41+Ontwerp!C$44+Ontwerp!C$46+Ontwerp!C$49))*COS(RADIANS(Ontwerp!D$13)),"CHECK FORMULE")))))</f>
        <v>#N/A</v>
      </c>
      <c r="D49" s="518" t="e">
        <f ca="1">IF(C49&lt;=Ontwerp!P$274,Ontwerp!U$273+(C49*Ontwerp!V$274/Ontwerp!R$274),IF(C49&lt;=Ontwerp!P$275,Ontwerp!Z$266+Ontwerp!C$38-Ontwerp!Z$266*COS(ASIN((Ontwerp!C$45-C49)/Ontwerp!Z$266)),IF(C49&lt;=Ontwerp!P$276,Ontwerp!U$276,IF(C49&lt;=Ontwerp!P$277,Ontwerp!Z$269+Ontwerp!C$38-Ontwerp!Z$269*COS(ASIN((C49-Ontwerp!C$45-Ontwerp!C$46)/Ontwerp!Z$269)),IF(C49&lt;=Ontwerp!P$278,Ontwerp!U$277+((C49-Ontwerp!P$277)*Ontwerp!V$278/Ontwerp!R$278),"Formule bijwerken voor  T6")))))</f>
        <v>#N/A</v>
      </c>
      <c r="E49" s="519" t="e">
        <f t="shared" ca="1" si="0"/>
        <v>#N/A</v>
      </c>
      <c r="F49" s="515"/>
      <c r="G49" s="516"/>
    </row>
    <row r="50" spans="1:7" ht="21" customHeight="1" x14ac:dyDescent="0.35">
      <c r="A50" s="517" t="e">
        <f ca="1">IF(A49="","",IF(B49&lt;(Ontwerp!M$9),A49+1,""))</f>
        <v>#N/A</v>
      </c>
      <c r="B50" s="517" t="e">
        <f ca="1">IF(A50="","",IF(-Ontwerp!T$32+Ontwerp!T$33+A50*Ontwerp!T$32&lt;Ontwerp!M$9,-Ontwerp!T$32+Ontwerp!T$33+A50*Ontwerp!T$32,Ontwerp!M$9))</f>
        <v>#N/A</v>
      </c>
      <c r="C50" s="518" t="e">
        <f ca="1">IF(B50&lt;Ontwerp!C$41,B50*COS(RADIANS(Ontwerp!D$7)),IF(B50&lt;(Ontwerp!C$41+Ontwerp!C$44),Ontwerp!C$40+Ontwerp!C$43+Ontwerp!D$8*SIN(RADIANS(-Ontwerp!D$7+360*(B50-Ontwerp!C$41)/(2*PI()*Ontwerp!D$8))),IF(B50&lt;(Ontwerp!C$41+Ontwerp!C$44+Ontwerp!C$46),B50-(Ontwerp!C$41+Ontwerp!C$44)+Ontwerp!C$40+Ontwerp!C$43,IF(B50&lt;(Ontwerp!C$41+Ontwerp!C$44+Ontwerp!C$46+Ontwerp!C$50),Ontwerp!C$40+Ontwerp!C$43+Ontwerp!C$46+Ontwerp!D$12*SIN(RADIANS(360*(B50-(Ontwerp!C$41+Ontwerp!C$44+Ontwerp!C$46))/(2*PI()*Ontwerp!D$12))),IF(B50&lt;=(Ontwerp!C$41+Ontwerp!C$44+Ontwerp!C$46+Ontwerp!C$50+Ontwerp!C$53),Ontwerp!C$40+Ontwerp!C$43+Ontwerp!C$46+Ontwerp!C$49+(B50-(Ontwerp!C$41+Ontwerp!C$44+Ontwerp!C$46+Ontwerp!C$49))*COS(RADIANS(Ontwerp!D$13)),"CHECK FORMULE")))))</f>
        <v>#N/A</v>
      </c>
      <c r="D50" s="518" t="e">
        <f ca="1">IF(C50&lt;=Ontwerp!P$274,Ontwerp!U$273+(C50*Ontwerp!V$274/Ontwerp!R$274),IF(C50&lt;=Ontwerp!P$275,Ontwerp!Z$266+Ontwerp!C$38-Ontwerp!Z$266*COS(ASIN((Ontwerp!C$45-C50)/Ontwerp!Z$266)),IF(C50&lt;=Ontwerp!P$276,Ontwerp!U$276,IF(C50&lt;=Ontwerp!P$277,Ontwerp!Z$269+Ontwerp!C$38-Ontwerp!Z$269*COS(ASIN((C50-Ontwerp!C$45-Ontwerp!C$46)/Ontwerp!Z$269)),IF(C50&lt;=Ontwerp!P$278,Ontwerp!U$277+((C50-Ontwerp!P$277)*Ontwerp!V$278/Ontwerp!R$278),"Formule bijwerken voor  T6")))))</f>
        <v>#N/A</v>
      </c>
      <c r="E50" s="519" t="e">
        <f t="shared" ca="1" si="0"/>
        <v>#N/A</v>
      </c>
      <c r="F50" s="515"/>
      <c r="G50" s="516"/>
    </row>
    <row r="51" spans="1:7" ht="21" customHeight="1" x14ac:dyDescent="0.35">
      <c r="A51" s="517" t="e">
        <f ca="1">IF(A50="","",IF(B50&lt;(Ontwerp!M$9),A50+1,""))</f>
        <v>#N/A</v>
      </c>
      <c r="B51" s="517" t="e">
        <f ca="1">IF(A51="","",IF(-Ontwerp!T$32+Ontwerp!T$33+A51*Ontwerp!T$32&lt;Ontwerp!M$9,-Ontwerp!T$32+Ontwerp!T$33+A51*Ontwerp!T$32,Ontwerp!M$9))</f>
        <v>#N/A</v>
      </c>
      <c r="C51" s="518" t="e">
        <f ca="1">IF(B51&lt;Ontwerp!C$41,B51*COS(RADIANS(Ontwerp!D$7)),IF(B51&lt;(Ontwerp!C$41+Ontwerp!C$44),Ontwerp!C$40+Ontwerp!C$43+Ontwerp!D$8*SIN(RADIANS(-Ontwerp!D$7+360*(B51-Ontwerp!C$41)/(2*PI()*Ontwerp!D$8))),IF(B51&lt;(Ontwerp!C$41+Ontwerp!C$44+Ontwerp!C$46),B51-(Ontwerp!C$41+Ontwerp!C$44)+Ontwerp!C$40+Ontwerp!C$43,IF(B51&lt;(Ontwerp!C$41+Ontwerp!C$44+Ontwerp!C$46+Ontwerp!C$50),Ontwerp!C$40+Ontwerp!C$43+Ontwerp!C$46+Ontwerp!D$12*SIN(RADIANS(360*(B51-(Ontwerp!C$41+Ontwerp!C$44+Ontwerp!C$46))/(2*PI()*Ontwerp!D$12))),IF(B51&lt;=(Ontwerp!C$41+Ontwerp!C$44+Ontwerp!C$46+Ontwerp!C$50+Ontwerp!C$53),Ontwerp!C$40+Ontwerp!C$43+Ontwerp!C$46+Ontwerp!C$49+(B51-(Ontwerp!C$41+Ontwerp!C$44+Ontwerp!C$46+Ontwerp!C$49))*COS(RADIANS(Ontwerp!D$13)),"CHECK FORMULE")))))</f>
        <v>#N/A</v>
      </c>
      <c r="D51" s="518" t="e">
        <f ca="1">IF(C51&lt;=Ontwerp!P$274,Ontwerp!U$273+(C51*Ontwerp!V$274/Ontwerp!R$274),IF(C51&lt;=Ontwerp!P$275,Ontwerp!Z$266+Ontwerp!C$38-Ontwerp!Z$266*COS(ASIN((Ontwerp!C$45-C51)/Ontwerp!Z$266)),IF(C51&lt;=Ontwerp!P$276,Ontwerp!U$276,IF(C51&lt;=Ontwerp!P$277,Ontwerp!Z$269+Ontwerp!C$38-Ontwerp!Z$269*COS(ASIN((C51-Ontwerp!C$45-Ontwerp!C$46)/Ontwerp!Z$269)),IF(C51&lt;=Ontwerp!P$278,Ontwerp!U$277+((C51-Ontwerp!P$277)*Ontwerp!V$278/Ontwerp!R$278),"Formule bijwerken voor  T6")))))</f>
        <v>#N/A</v>
      </c>
      <c r="E51" s="519" t="e">
        <f t="shared" ca="1" si="0"/>
        <v>#N/A</v>
      </c>
      <c r="F51" s="515"/>
      <c r="G51" s="516"/>
    </row>
    <row r="52" spans="1:7" ht="21" customHeight="1" x14ac:dyDescent="0.35">
      <c r="A52" s="517" t="e">
        <f ca="1">IF(A51="","",IF(B51&lt;(Ontwerp!M$9),A51+1,""))</f>
        <v>#N/A</v>
      </c>
      <c r="B52" s="517" t="e">
        <f ca="1">IF(A52="","",IF(-Ontwerp!T$32+Ontwerp!T$33+A52*Ontwerp!T$32&lt;Ontwerp!M$9,-Ontwerp!T$32+Ontwerp!T$33+A52*Ontwerp!T$32,Ontwerp!M$9))</f>
        <v>#N/A</v>
      </c>
      <c r="C52" s="518" t="e">
        <f ca="1">IF(B52&lt;Ontwerp!C$41,B52*COS(RADIANS(Ontwerp!D$7)),IF(B52&lt;(Ontwerp!C$41+Ontwerp!C$44),Ontwerp!C$40+Ontwerp!C$43+Ontwerp!D$8*SIN(RADIANS(-Ontwerp!D$7+360*(B52-Ontwerp!C$41)/(2*PI()*Ontwerp!D$8))),IF(B52&lt;(Ontwerp!C$41+Ontwerp!C$44+Ontwerp!C$46),B52-(Ontwerp!C$41+Ontwerp!C$44)+Ontwerp!C$40+Ontwerp!C$43,IF(B52&lt;(Ontwerp!C$41+Ontwerp!C$44+Ontwerp!C$46+Ontwerp!C$50),Ontwerp!C$40+Ontwerp!C$43+Ontwerp!C$46+Ontwerp!D$12*SIN(RADIANS(360*(B52-(Ontwerp!C$41+Ontwerp!C$44+Ontwerp!C$46))/(2*PI()*Ontwerp!D$12))),IF(B52&lt;=(Ontwerp!C$41+Ontwerp!C$44+Ontwerp!C$46+Ontwerp!C$50+Ontwerp!C$53),Ontwerp!C$40+Ontwerp!C$43+Ontwerp!C$46+Ontwerp!C$49+(B52-(Ontwerp!C$41+Ontwerp!C$44+Ontwerp!C$46+Ontwerp!C$49))*COS(RADIANS(Ontwerp!D$13)),"CHECK FORMULE")))))</f>
        <v>#N/A</v>
      </c>
      <c r="D52" s="518" t="e">
        <f ca="1">IF(C52&lt;=Ontwerp!P$274,Ontwerp!U$273+(C52*Ontwerp!V$274/Ontwerp!R$274),IF(C52&lt;=Ontwerp!P$275,Ontwerp!Z$266+Ontwerp!C$38-Ontwerp!Z$266*COS(ASIN((Ontwerp!C$45-C52)/Ontwerp!Z$266)),IF(C52&lt;=Ontwerp!P$276,Ontwerp!U$276,IF(C52&lt;=Ontwerp!P$277,Ontwerp!Z$269+Ontwerp!C$38-Ontwerp!Z$269*COS(ASIN((C52-Ontwerp!C$45-Ontwerp!C$46)/Ontwerp!Z$269)),IF(C52&lt;=Ontwerp!P$278,Ontwerp!U$277+((C52-Ontwerp!P$277)*Ontwerp!V$278/Ontwerp!R$278),"Formule bijwerken voor  T6")))))</f>
        <v>#N/A</v>
      </c>
      <c r="E52" s="519" t="e">
        <f t="shared" ca="1" si="0"/>
        <v>#N/A</v>
      </c>
      <c r="F52" s="515"/>
      <c r="G52" s="516"/>
    </row>
    <row r="53" spans="1:7" ht="21" customHeight="1" x14ac:dyDescent="0.35">
      <c r="A53" s="517" t="e">
        <f ca="1">IF(A52="","",IF(B52&lt;(Ontwerp!M$9),A52+1,""))</f>
        <v>#N/A</v>
      </c>
      <c r="B53" s="517" t="e">
        <f ca="1">IF(A53="","",IF(-Ontwerp!T$32+Ontwerp!T$33+A53*Ontwerp!T$32&lt;Ontwerp!M$9,-Ontwerp!T$32+Ontwerp!T$33+A53*Ontwerp!T$32,Ontwerp!M$9))</f>
        <v>#N/A</v>
      </c>
      <c r="C53" s="518" t="e">
        <f ca="1">IF(B53&lt;Ontwerp!C$41,B53*COS(RADIANS(Ontwerp!D$7)),IF(B53&lt;(Ontwerp!C$41+Ontwerp!C$44),Ontwerp!C$40+Ontwerp!C$43+Ontwerp!D$8*SIN(RADIANS(-Ontwerp!D$7+360*(B53-Ontwerp!C$41)/(2*PI()*Ontwerp!D$8))),IF(B53&lt;(Ontwerp!C$41+Ontwerp!C$44+Ontwerp!C$46),B53-(Ontwerp!C$41+Ontwerp!C$44)+Ontwerp!C$40+Ontwerp!C$43,IF(B53&lt;(Ontwerp!C$41+Ontwerp!C$44+Ontwerp!C$46+Ontwerp!C$50),Ontwerp!C$40+Ontwerp!C$43+Ontwerp!C$46+Ontwerp!D$12*SIN(RADIANS(360*(B53-(Ontwerp!C$41+Ontwerp!C$44+Ontwerp!C$46))/(2*PI()*Ontwerp!D$12))),IF(B53&lt;=(Ontwerp!C$41+Ontwerp!C$44+Ontwerp!C$46+Ontwerp!C$50+Ontwerp!C$53),Ontwerp!C$40+Ontwerp!C$43+Ontwerp!C$46+Ontwerp!C$49+(B53-(Ontwerp!C$41+Ontwerp!C$44+Ontwerp!C$46+Ontwerp!C$49))*COS(RADIANS(Ontwerp!D$13)),"CHECK FORMULE")))))</f>
        <v>#N/A</v>
      </c>
      <c r="D53" s="518" t="e">
        <f ca="1">IF(C53&lt;=Ontwerp!P$274,Ontwerp!U$273+(C53*Ontwerp!V$274/Ontwerp!R$274),IF(C53&lt;=Ontwerp!P$275,Ontwerp!Z$266+Ontwerp!C$38-Ontwerp!Z$266*COS(ASIN((Ontwerp!C$45-C53)/Ontwerp!Z$266)),IF(C53&lt;=Ontwerp!P$276,Ontwerp!U$276,IF(C53&lt;=Ontwerp!P$277,Ontwerp!Z$269+Ontwerp!C$38-Ontwerp!Z$269*COS(ASIN((C53-Ontwerp!C$45-Ontwerp!C$46)/Ontwerp!Z$269)),IF(C53&lt;=Ontwerp!P$278,Ontwerp!U$277+((C53-Ontwerp!P$277)*Ontwerp!V$278/Ontwerp!R$278),"Formule bijwerken voor  T6")))))</f>
        <v>#N/A</v>
      </c>
      <c r="E53" s="519" t="e">
        <f t="shared" ca="1" si="0"/>
        <v>#N/A</v>
      </c>
      <c r="F53" s="515"/>
      <c r="G53" s="516"/>
    </row>
    <row r="54" spans="1:7" ht="21" customHeight="1" x14ac:dyDescent="0.35">
      <c r="A54" s="517" t="e">
        <f ca="1">IF(A53="","",IF(B53&lt;(Ontwerp!M$9),A53+1,""))</f>
        <v>#N/A</v>
      </c>
      <c r="B54" s="517" t="e">
        <f ca="1">IF(A54="","",IF(-Ontwerp!T$32+Ontwerp!T$33+A54*Ontwerp!T$32&lt;Ontwerp!M$9,-Ontwerp!T$32+Ontwerp!T$33+A54*Ontwerp!T$32,Ontwerp!M$9))</f>
        <v>#N/A</v>
      </c>
      <c r="C54" s="518" t="e">
        <f ca="1">IF(B54&lt;Ontwerp!C$41,B54*COS(RADIANS(Ontwerp!D$7)),IF(B54&lt;(Ontwerp!C$41+Ontwerp!C$44),Ontwerp!C$40+Ontwerp!C$43+Ontwerp!D$8*SIN(RADIANS(-Ontwerp!D$7+360*(B54-Ontwerp!C$41)/(2*PI()*Ontwerp!D$8))),IF(B54&lt;(Ontwerp!C$41+Ontwerp!C$44+Ontwerp!C$46),B54-(Ontwerp!C$41+Ontwerp!C$44)+Ontwerp!C$40+Ontwerp!C$43,IF(B54&lt;(Ontwerp!C$41+Ontwerp!C$44+Ontwerp!C$46+Ontwerp!C$50),Ontwerp!C$40+Ontwerp!C$43+Ontwerp!C$46+Ontwerp!D$12*SIN(RADIANS(360*(B54-(Ontwerp!C$41+Ontwerp!C$44+Ontwerp!C$46))/(2*PI()*Ontwerp!D$12))),IF(B54&lt;=(Ontwerp!C$41+Ontwerp!C$44+Ontwerp!C$46+Ontwerp!C$50+Ontwerp!C$53),Ontwerp!C$40+Ontwerp!C$43+Ontwerp!C$46+Ontwerp!C$49+(B54-(Ontwerp!C$41+Ontwerp!C$44+Ontwerp!C$46+Ontwerp!C$49))*COS(RADIANS(Ontwerp!D$13)),"CHECK FORMULE")))))</f>
        <v>#N/A</v>
      </c>
      <c r="D54" s="518" t="e">
        <f ca="1">IF(C54&lt;=Ontwerp!P$274,Ontwerp!U$273+(C54*Ontwerp!V$274/Ontwerp!R$274),IF(C54&lt;=Ontwerp!P$275,Ontwerp!Z$266+Ontwerp!C$38-Ontwerp!Z$266*COS(ASIN((Ontwerp!C$45-C54)/Ontwerp!Z$266)),IF(C54&lt;=Ontwerp!P$276,Ontwerp!U$276,IF(C54&lt;=Ontwerp!P$277,Ontwerp!Z$269+Ontwerp!C$38-Ontwerp!Z$269*COS(ASIN((C54-Ontwerp!C$45-Ontwerp!C$46)/Ontwerp!Z$269)),IF(C54&lt;=Ontwerp!P$278,Ontwerp!U$277+((C54-Ontwerp!P$277)*Ontwerp!V$278/Ontwerp!R$278),"Formule bijwerken voor  T6")))))</f>
        <v>#N/A</v>
      </c>
      <c r="E54" s="519" t="e">
        <f t="shared" ca="1" si="0"/>
        <v>#N/A</v>
      </c>
      <c r="F54" s="515"/>
      <c r="G54" s="516"/>
    </row>
    <row r="55" spans="1:7" ht="21" customHeight="1" x14ac:dyDescent="0.35">
      <c r="A55" s="517" t="e">
        <f ca="1">IF(A54="","",IF(B54&lt;(Ontwerp!M$9),A54+1,""))</f>
        <v>#N/A</v>
      </c>
      <c r="B55" s="517" t="e">
        <f ca="1">IF(A55="","",IF(-Ontwerp!T$32+Ontwerp!T$33+A55*Ontwerp!T$32&lt;Ontwerp!M$9,-Ontwerp!T$32+Ontwerp!T$33+A55*Ontwerp!T$32,Ontwerp!M$9))</f>
        <v>#N/A</v>
      </c>
      <c r="C55" s="518" t="e">
        <f ca="1">IF(B55&lt;Ontwerp!C$41,B55*COS(RADIANS(Ontwerp!D$7)),IF(B55&lt;(Ontwerp!C$41+Ontwerp!C$44),Ontwerp!C$40+Ontwerp!C$43+Ontwerp!D$8*SIN(RADIANS(-Ontwerp!D$7+360*(B55-Ontwerp!C$41)/(2*PI()*Ontwerp!D$8))),IF(B55&lt;(Ontwerp!C$41+Ontwerp!C$44+Ontwerp!C$46),B55-(Ontwerp!C$41+Ontwerp!C$44)+Ontwerp!C$40+Ontwerp!C$43,IF(B55&lt;(Ontwerp!C$41+Ontwerp!C$44+Ontwerp!C$46+Ontwerp!C$50),Ontwerp!C$40+Ontwerp!C$43+Ontwerp!C$46+Ontwerp!D$12*SIN(RADIANS(360*(B55-(Ontwerp!C$41+Ontwerp!C$44+Ontwerp!C$46))/(2*PI()*Ontwerp!D$12))),IF(B55&lt;=(Ontwerp!C$41+Ontwerp!C$44+Ontwerp!C$46+Ontwerp!C$50+Ontwerp!C$53),Ontwerp!C$40+Ontwerp!C$43+Ontwerp!C$46+Ontwerp!C$49+(B55-(Ontwerp!C$41+Ontwerp!C$44+Ontwerp!C$46+Ontwerp!C$49))*COS(RADIANS(Ontwerp!D$13)),"CHECK FORMULE")))))</f>
        <v>#N/A</v>
      </c>
      <c r="D55" s="518" t="e">
        <f ca="1">IF(C55&lt;=Ontwerp!P$274,Ontwerp!U$273+(C55*Ontwerp!V$274/Ontwerp!R$274),IF(C55&lt;=Ontwerp!P$275,Ontwerp!Z$266+Ontwerp!C$38-Ontwerp!Z$266*COS(ASIN((Ontwerp!C$45-C55)/Ontwerp!Z$266)),IF(C55&lt;=Ontwerp!P$276,Ontwerp!U$276,IF(C55&lt;=Ontwerp!P$277,Ontwerp!Z$269+Ontwerp!C$38-Ontwerp!Z$269*COS(ASIN((C55-Ontwerp!C$45-Ontwerp!C$46)/Ontwerp!Z$269)),IF(C55&lt;=Ontwerp!P$278,Ontwerp!U$277+((C55-Ontwerp!P$277)*Ontwerp!V$278/Ontwerp!R$278),"Formule bijwerken voor  T6")))))</f>
        <v>#N/A</v>
      </c>
      <c r="E55" s="519" t="e">
        <f t="shared" ca="1" si="0"/>
        <v>#N/A</v>
      </c>
      <c r="F55" s="515"/>
      <c r="G55" s="516"/>
    </row>
    <row r="56" spans="1:7" ht="21" customHeight="1" x14ac:dyDescent="0.35">
      <c r="A56" s="517" t="e">
        <f ca="1">IF(A55="","",IF(B55&lt;(Ontwerp!M$9),A55+1,""))</f>
        <v>#N/A</v>
      </c>
      <c r="B56" s="517" t="e">
        <f ca="1">IF(A56="","",IF(-Ontwerp!T$32+Ontwerp!T$33+A56*Ontwerp!T$32&lt;Ontwerp!M$9,-Ontwerp!T$32+Ontwerp!T$33+A56*Ontwerp!T$32,Ontwerp!M$9))</f>
        <v>#N/A</v>
      </c>
      <c r="C56" s="518" t="e">
        <f ca="1">IF(B56&lt;Ontwerp!C$41,B56*COS(RADIANS(Ontwerp!D$7)),IF(B56&lt;(Ontwerp!C$41+Ontwerp!C$44),Ontwerp!C$40+Ontwerp!C$43+Ontwerp!D$8*SIN(RADIANS(-Ontwerp!D$7+360*(B56-Ontwerp!C$41)/(2*PI()*Ontwerp!D$8))),IF(B56&lt;(Ontwerp!C$41+Ontwerp!C$44+Ontwerp!C$46),B56-(Ontwerp!C$41+Ontwerp!C$44)+Ontwerp!C$40+Ontwerp!C$43,IF(B56&lt;(Ontwerp!C$41+Ontwerp!C$44+Ontwerp!C$46+Ontwerp!C$50),Ontwerp!C$40+Ontwerp!C$43+Ontwerp!C$46+Ontwerp!D$12*SIN(RADIANS(360*(B56-(Ontwerp!C$41+Ontwerp!C$44+Ontwerp!C$46))/(2*PI()*Ontwerp!D$12))),IF(B56&lt;=(Ontwerp!C$41+Ontwerp!C$44+Ontwerp!C$46+Ontwerp!C$50+Ontwerp!C$53),Ontwerp!C$40+Ontwerp!C$43+Ontwerp!C$46+Ontwerp!C$49+(B56-(Ontwerp!C$41+Ontwerp!C$44+Ontwerp!C$46+Ontwerp!C$49))*COS(RADIANS(Ontwerp!D$13)),"CHECK FORMULE")))))</f>
        <v>#N/A</v>
      </c>
      <c r="D56" s="518" t="e">
        <f ca="1">IF(C56&lt;=Ontwerp!P$274,Ontwerp!U$273+(C56*Ontwerp!V$274/Ontwerp!R$274),IF(C56&lt;=Ontwerp!P$275,Ontwerp!Z$266+Ontwerp!C$38-Ontwerp!Z$266*COS(ASIN((Ontwerp!C$45-C56)/Ontwerp!Z$266)),IF(C56&lt;=Ontwerp!P$276,Ontwerp!U$276,IF(C56&lt;=Ontwerp!P$277,Ontwerp!Z$269+Ontwerp!C$38-Ontwerp!Z$269*COS(ASIN((C56-Ontwerp!C$45-Ontwerp!C$46)/Ontwerp!Z$269)),IF(C56&lt;=Ontwerp!P$278,Ontwerp!U$277+((C56-Ontwerp!P$277)*Ontwerp!V$278/Ontwerp!R$278),"Formule bijwerken voor  T6")))))</f>
        <v>#N/A</v>
      </c>
      <c r="E56" s="519" t="e">
        <f t="shared" ca="1" si="0"/>
        <v>#N/A</v>
      </c>
      <c r="F56" s="515"/>
      <c r="G56" s="516"/>
    </row>
    <row r="57" spans="1:7" ht="21" customHeight="1" x14ac:dyDescent="0.35">
      <c r="A57" s="517" t="e">
        <f ca="1">IF(A56="","",IF(B56&lt;(Ontwerp!M$9),A56+1,""))</f>
        <v>#N/A</v>
      </c>
      <c r="B57" s="517" t="e">
        <f ca="1">IF(A57="","",IF(-Ontwerp!T$32+Ontwerp!T$33+A57*Ontwerp!T$32&lt;Ontwerp!M$9,-Ontwerp!T$32+Ontwerp!T$33+A57*Ontwerp!T$32,Ontwerp!M$9))</f>
        <v>#N/A</v>
      </c>
      <c r="C57" s="518" t="e">
        <f ca="1">IF(B57&lt;Ontwerp!C$41,B57*COS(RADIANS(Ontwerp!D$7)),IF(B57&lt;(Ontwerp!C$41+Ontwerp!C$44),Ontwerp!C$40+Ontwerp!C$43+Ontwerp!D$8*SIN(RADIANS(-Ontwerp!D$7+360*(B57-Ontwerp!C$41)/(2*PI()*Ontwerp!D$8))),IF(B57&lt;(Ontwerp!C$41+Ontwerp!C$44+Ontwerp!C$46),B57-(Ontwerp!C$41+Ontwerp!C$44)+Ontwerp!C$40+Ontwerp!C$43,IF(B57&lt;(Ontwerp!C$41+Ontwerp!C$44+Ontwerp!C$46+Ontwerp!C$50),Ontwerp!C$40+Ontwerp!C$43+Ontwerp!C$46+Ontwerp!D$12*SIN(RADIANS(360*(B57-(Ontwerp!C$41+Ontwerp!C$44+Ontwerp!C$46))/(2*PI()*Ontwerp!D$12))),IF(B57&lt;=(Ontwerp!C$41+Ontwerp!C$44+Ontwerp!C$46+Ontwerp!C$50+Ontwerp!C$53),Ontwerp!C$40+Ontwerp!C$43+Ontwerp!C$46+Ontwerp!C$49+(B57-(Ontwerp!C$41+Ontwerp!C$44+Ontwerp!C$46+Ontwerp!C$49))*COS(RADIANS(Ontwerp!D$13)),"CHECK FORMULE")))))</f>
        <v>#N/A</v>
      </c>
      <c r="D57" s="518" t="e">
        <f ca="1">IF(C57&lt;=Ontwerp!P$274,Ontwerp!U$273+(C57*Ontwerp!V$274/Ontwerp!R$274),IF(C57&lt;=Ontwerp!P$275,Ontwerp!Z$266+Ontwerp!C$38-Ontwerp!Z$266*COS(ASIN((Ontwerp!C$45-C57)/Ontwerp!Z$266)),IF(C57&lt;=Ontwerp!P$276,Ontwerp!U$276,IF(C57&lt;=Ontwerp!P$277,Ontwerp!Z$269+Ontwerp!C$38-Ontwerp!Z$269*COS(ASIN((C57-Ontwerp!C$45-Ontwerp!C$46)/Ontwerp!Z$269)),IF(C57&lt;=Ontwerp!P$278,Ontwerp!U$277+((C57-Ontwerp!P$277)*Ontwerp!V$278/Ontwerp!R$278),"Formule bijwerken voor  T6")))))</f>
        <v>#N/A</v>
      </c>
      <c r="E57" s="519" t="e">
        <f t="shared" ca="1" si="0"/>
        <v>#N/A</v>
      </c>
      <c r="F57" s="515"/>
      <c r="G57" s="516"/>
    </row>
    <row r="58" spans="1:7" ht="21" customHeight="1" x14ac:dyDescent="0.35">
      <c r="A58" s="517" t="e">
        <f ca="1">IF(A57="","",IF(B57&lt;(Ontwerp!M$9),A57+1,""))</f>
        <v>#N/A</v>
      </c>
      <c r="B58" s="517" t="e">
        <f ca="1">IF(A58="","",IF(-Ontwerp!T$32+Ontwerp!T$33+A58*Ontwerp!T$32&lt;Ontwerp!M$9,-Ontwerp!T$32+Ontwerp!T$33+A58*Ontwerp!T$32,Ontwerp!M$9))</f>
        <v>#N/A</v>
      </c>
      <c r="C58" s="518" t="e">
        <f ca="1">IF(B58&lt;Ontwerp!C$41,B58*COS(RADIANS(Ontwerp!D$7)),IF(B58&lt;(Ontwerp!C$41+Ontwerp!C$44),Ontwerp!C$40+Ontwerp!C$43+Ontwerp!D$8*SIN(RADIANS(-Ontwerp!D$7+360*(B58-Ontwerp!C$41)/(2*PI()*Ontwerp!D$8))),IF(B58&lt;(Ontwerp!C$41+Ontwerp!C$44+Ontwerp!C$46),B58-(Ontwerp!C$41+Ontwerp!C$44)+Ontwerp!C$40+Ontwerp!C$43,IF(B58&lt;(Ontwerp!C$41+Ontwerp!C$44+Ontwerp!C$46+Ontwerp!C$50),Ontwerp!C$40+Ontwerp!C$43+Ontwerp!C$46+Ontwerp!D$12*SIN(RADIANS(360*(B58-(Ontwerp!C$41+Ontwerp!C$44+Ontwerp!C$46))/(2*PI()*Ontwerp!D$12))),IF(B58&lt;=(Ontwerp!C$41+Ontwerp!C$44+Ontwerp!C$46+Ontwerp!C$50+Ontwerp!C$53),Ontwerp!C$40+Ontwerp!C$43+Ontwerp!C$46+Ontwerp!C$49+(B58-(Ontwerp!C$41+Ontwerp!C$44+Ontwerp!C$46+Ontwerp!C$49))*COS(RADIANS(Ontwerp!D$13)),"CHECK FORMULE")))))</f>
        <v>#N/A</v>
      </c>
      <c r="D58" s="518" t="e">
        <f ca="1">IF(C58&lt;=Ontwerp!P$274,Ontwerp!U$273+(C58*Ontwerp!V$274/Ontwerp!R$274),IF(C58&lt;=Ontwerp!P$275,Ontwerp!Z$266+Ontwerp!C$38-Ontwerp!Z$266*COS(ASIN((Ontwerp!C$45-C58)/Ontwerp!Z$266)),IF(C58&lt;=Ontwerp!P$276,Ontwerp!U$276,IF(C58&lt;=Ontwerp!P$277,Ontwerp!Z$269+Ontwerp!C$38-Ontwerp!Z$269*COS(ASIN((C58-Ontwerp!C$45-Ontwerp!C$46)/Ontwerp!Z$269)),IF(C58&lt;=Ontwerp!P$278,Ontwerp!U$277+((C58-Ontwerp!P$277)*Ontwerp!V$278/Ontwerp!R$278),"Formule bijwerken voor  T6")))))</f>
        <v>#N/A</v>
      </c>
      <c r="E58" s="519" t="e">
        <f t="shared" ca="1" si="0"/>
        <v>#N/A</v>
      </c>
      <c r="F58" s="515"/>
      <c r="G58" s="516"/>
    </row>
    <row r="59" spans="1:7" ht="21" customHeight="1" x14ac:dyDescent="0.35">
      <c r="A59" s="517" t="e">
        <f ca="1">IF(A58="","",IF(B58&lt;(Ontwerp!M$9),A58+1,""))</f>
        <v>#N/A</v>
      </c>
      <c r="B59" s="517" t="e">
        <f ca="1">IF(A59="","",IF(-Ontwerp!T$32+Ontwerp!T$33+A59*Ontwerp!T$32&lt;Ontwerp!M$9,-Ontwerp!T$32+Ontwerp!T$33+A59*Ontwerp!T$32,Ontwerp!M$9))</f>
        <v>#N/A</v>
      </c>
      <c r="C59" s="518" t="e">
        <f ca="1">IF(B59&lt;Ontwerp!C$41,B59*COS(RADIANS(Ontwerp!D$7)),IF(B59&lt;(Ontwerp!C$41+Ontwerp!C$44),Ontwerp!C$40+Ontwerp!C$43+Ontwerp!D$8*SIN(RADIANS(-Ontwerp!D$7+360*(B59-Ontwerp!C$41)/(2*PI()*Ontwerp!D$8))),IF(B59&lt;(Ontwerp!C$41+Ontwerp!C$44+Ontwerp!C$46),B59-(Ontwerp!C$41+Ontwerp!C$44)+Ontwerp!C$40+Ontwerp!C$43,IF(B59&lt;(Ontwerp!C$41+Ontwerp!C$44+Ontwerp!C$46+Ontwerp!C$50),Ontwerp!C$40+Ontwerp!C$43+Ontwerp!C$46+Ontwerp!D$12*SIN(RADIANS(360*(B59-(Ontwerp!C$41+Ontwerp!C$44+Ontwerp!C$46))/(2*PI()*Ontwerp!D$12))),IF(B59&lt;=(Ontwerp!C$41+Ontwerp!C$44+Ontwerp!C$46+Ontwerp!C$50+Ontwerp!C$53),Ontwerp!C$40+Ontwerp!C$43+Ontwerp!C$46+Ontwerp!C$49+(B59-(Ontwerp!C$41+Ontwerp!C$44+Ontwerp!C$46+Ontwerp!C$49))*COS(RADIANS(Ontwerp!D$13)),"CHECK FORMULE")))))</f>
        <v>#N/A</v>
      </c>
      <c r="D59" s="518" t="e">
        <f ca="1">IF(C59&lt;=Ontwerp!P$274,Ontwerp!U$273+(C59*Ontwerp!V$274/Ontwerp!R$274),IF(C59&lt;=Ontwerp!P$275,Ontwerp!Z$266+Ontwerp!C$38-Ontwerp!Z$266*COS(ASIN((Ontwerp!C$45-C59)/Ontwerp!Z$266)),IF(C59&lt;=Ontwerp!P$276,Ontwerp!U$276,IF(C59&lt;=Ontwerp!P$277,Ontwerp!Z$269+Ontwerp!C$38-Ontwerp!Z$269*COS(ASIN((C59-Ontwerp!C$45-Ontwerp!C$46)/Ontwerp!Z$269)),IF(C59&lt;=Ontwerp!P$278,Ontwerp!U$277+((C59-Ontwerp!P$277)*Ontwerp!V$278/Ontwerp!R$278),"Formule bijwerken voor  T6")))))</f>
        <v>#N/A</v>
      </c>
      <c r="E59" s="519" t="e">
        <f t="shared" ca="1" si="0"/>
        <v>#N/A</v>
      </c>
      <c r="F59" s="515"/>
      <c r="G59" s="516"/>
    </row>
    <row r="60" spans="1:7" ht="21" customHeight="1" x14ac:dyDescent="0.35">
      <c r="A60" s="517" t="e">
        <f ca="1">IF(A59="","",IF(B59&lt;(Ontwerp!M$9),A59+1,""))</f>
        <v>#N/A</v>
      </c>
      <c r="B60" s="517" t="e">
        <f ca="1">IF(A60="","",IF(-Ontwerp!T$32+Ontwerp!T$33+A60*Ontwerp!T$32&lt;Ontwerp!M$9,-Ontwerp!T$32+Ontwerp!T$33+A60*Ontwerp!T$32,Ontwerp!M$9))</f>
        <v>#N/A</v>
      </c>
      <c r="C60" s="518" t="e">
        <f ca="1">IF(B60&lt;Ontwerp!C$41,B60*COS(RADIANS(Ontwerp!D$7)),IF(B60&lt;(Ontwerp!C$41+Ontwerp!C$44),Ontwerp!C$40+Ontwerp!C$43+Ontwerp!D$8*SIN(RADIANS(-Ontwerp!D$7+360*(B60-Ontwerp!C$41)/(2*PI()*Ontwerp!D$8))),IF(B60&lt;(Ontwerp!C$41+Ontwerp!C$44+Ontwerp!C$46),B60-(Ontwerp!C$41+Ontwerp!C$44)+Ontwerp!C$40+Ontwerp!C$43,IF(B60&lt;(Ontwerp!C$41+Ontwerp!C$44+Ontwerp!C$46+Ontwerp!C$50),Ontwerp!C$40+Ontwerp!C$43+Ontwerp!C$46+Ontwerp!D$12*SIN(RADIANS(360*(B60-(Ontwerp!C$41+Ontwerp!C$44+Ontwerp!C$46))/(2*PI()*Ontwerp!D$12))),IF(B60&lt;=(Ontwerp!C$41+Ontwerp!C$44+Ontwerp!C$46+Ontwerp!C$50+Ontwerp!C$53),Ontwerp!C$40+Ontwerp!C$43+Ontwerp!C$46+Ontwerp!C$49+(B60-(Ontwerp!C$41+Ontwerp!C$44+Ontwerp!C$46+Ontwerp!C$49))*COS(RADIANS(Ontwerp!D$13)),"CHECK FORMULE")))))</f>
        <v>#N/A</v>
      </c>
      <c r="D60" s="518" t="e">
        <f ca="1">IF(C60&lt;=Ontwerp!P$274,Ontwerp!U$273+(C60*Ontwerp!V$274/Ontwerp!R$274),IF(C60&lt;=Ontwerp!P$275,Ontwerp!Z$266+Ontwerp!C$38-Ontwerp!Z$266*COS(ASIN((Ontwerp!C$45-C60)/Ontwerp!Z$266)),IF(C60&lt;=Ontwerp!P$276,Ontwerp!U$276,IF(C60&lt;=Ontwerp!P$277,Ontwerp!Z$269+Ontwerp!C$38-Ontwerp!Z$269*COS(ASIN((C60-Ontwerp!C$45-Ontwerp!C$46)/Ontwerp!Z$269)),IF(C60&lt;=Ontwerp!P$278,Ontwerp!U$277+((C60-Ontwerp!P$277)*Ontwerp!V$278/Ontwerp!R$278),"Formule bijwerken voor  T6")))))</f>
        <v>#N/A</v>
      </c>
      <c r="E60" s="519" t="e">
        <f t="shared" ca="1" si="0"/>
        <v>#N/A</v>
      </c>
      <c r="F60" s="515"/>
      <c r="G60" s="516"/>
    </row>
    <row r="61" spans="1:7" ht="21" customHeight="1" x14ac:dyDescent="0.35">
      <c r="A61" s="517" t="e">
        <f ca="1">IF(A60="","",IF(B60&lt;(Ontwerp!M$9),A60+1,""))</f>
        <v>#N/A</v>
      </c>
      <c r="B61" s="517" t="e">
        <f ca="1">IF(A61="","",IF(-Ontwerp!T$32+Ontwerp!T$33+A61*Ontwerp!T$32&lt;Ontwerp!M$9,-Ontwerp!T$32+Ontwerp!T$33+A61*Ontwerp!T$32,Ontwerp!M$9))</f>
        <v>#N/A</v>
      </c>
      <c r="C61" s="518" t="e">
        <f ca="1">IF(B61&lt;Ontwerp!C$41,B61*COS(RADIANS(Ontwerp!D$7)),IF(B61&lt;(Ontwerp!C$41+Ontwerp!C$44),Ontwerp!C$40+Ontwerp!C$43+Ontwerp!D$8*SIN(RADIANS(-Ontwerp!D$7+360*(B61-Ontwerp!C$41)/(2*PI()*Ontwerp!D$8))),IF(B61&lt;(Ontwerp!C$41+Ontwerp!C$44+Ontwerp!C$46),B61-(Ontwerp!C$41+Ontwerp!C$44)+Ontwerp!C$40+Ontwerp!C$43,IF(B61&lt;(Ontwerp!C$41+Ontwerp!C$44+Ontwerp!C$46+Ontwerp!C$50),Ontwerp!C$40+Ontwerp!C$43+Ontwerp!C$46+Ontwerp!D$12*SIN(RADIANS(360*(B61-(Ontwerp!C$41+Ontwerp!C$44+Ontwerp!C$46))/(2*PI()*Ontwerp!D$12))),IF(B61&lt;=(Ontwerp!C$41+Ontwerp!C$44+Ontwerp!C$46+Ontwerp!C$50+Ontwerp!C$53),Ontwerp!C$40+Ontwerp!C$43+Ontwerp!C$46+Ontwerp!C$49+(B61-(Ontwerp!C$41+Ontwerp!C$44+Ontwerp!C$46+Ontwerp!C$49))*COS(RADIANS(Ontwerp!D$13)),"CHECK FORMULE")))))</f>
        <v>#N/A</v>
      </c>
      <c r="D61" s="518" t="e">
        <f ca="1">IF(C61&lt;=Ontwerp!P$274,Ontwerp!U$273+(C61*Ontwerp!V$274/Ontwerp!R$274),IF(C61&lt;=Ontwerp!P$275,Ontwerp!Z$266+Ontwerp!C$38-Ontwerp!Z$266*COS(ASIN((Ontwerp!C$45-C61)/Ontwerp!Z$266)),IF(C61&lt;=Ontwerp!P$276,Ontwerp!U$276,IF(C61&lt;=Ontwerp!P$277,Ontwerp!Z$269+Ontwerp!C$38-Ontwerp!Z$269*COS(ASIN((C61-Ontwerp!C$45-Ontwerp!C$46)/Ontwerp!Z$269)),IF(C61&lt;=Ontwerp!P$278,Ontwerp!U$277+((C61-Ontwerp!P$277)*Ontwerp!V$278/Ontwerp!R$278),"Formule bijwerken voor  T6")))))</f>
        <v>#N/A</v>
      </c>
      <c r="E61" s="519" t="e">
        <f t="shared" ca="1" si="0"/>
        <v>#N/A</v>
      </c>
      <c r="F61" s="515"/>
      <c r="G61" s="516"/>
    </row>
    <row r="62" spans="1:7" ht="21" customHeight="1" x14ac:dyDescent="0.35">
      <c r="A62" s="517" t="e">
        <f ca="1">IF(A61="","",IF(B61&lt;(Ontwerp!M$9),A61+1,""))</f>
        <v>#N/A</v>
      </c>
      <c r="B62" s="517" t="e">
        <f ca="1">IF(A62="","",IF(-Ontwerp!T$32+Ontwerp!T$33+A62*Ontwerp!T$32&lt;Ontwerp!M$9,-Ontwerp!T$32+Ontwerp!T$33+A62*Ontwerp!T$32,Ontwerp!M$9))</f>
        <v>#N/A</v>
      </c>
      <c r="C62" s="518" t="e">
        <f ca="1">IF(B62&lt;Ontwerp!C$41,B62*COS(RADIANS(Ontwerp!D$7)),IF(B62&lt;(Ontwerp!C$41+Ontwerp!C$44),Ontwerp!C$40+Ontwerp!C$43+Ontwerp!D$8*SIN(RADIANS(-Ontwerp!D$7+360*(B62-Ontwerp!C$41)/(2*PI()*Ontwerp!D$8))),IF(B62&lt;(Ontwerp!C$41+Ontwerp!C$44+Ontwerp!C$46),B62-(Ontwerp!C$41+Ontwerp!C$44)+Ontwerp!C$40+Ontwerp!C$43,IF(B62&lt;(Ontwerp!C$41+Ontwerp!C$44+Ontwerp!C$46+Ontwerp!C$50),Ontwerp!C$40+Ontwerp!C$43+Ontwerp!C$46+Ontwerp!D$12*SIN(RADIANS(360*(B62-(Ontwerp!C$41+Ontwerp!C$44+Ontwerp!C$46))/(2*PI()*Ontwerp!D$12))),IF(B62&lt;=(Ontwerp!C$41+Ontwerp!C$44+Ontwerp!C$46+Ontwerp!C$50+Ontwerp!C$53),Ontwerp!C$40+Ontwerp!C$43+Ontwerp!C$46+Ontwerp!C$49+(B62-(Ontwerp!C$41+Ontwerp!C$44+Ontwerp!C$46+Ontwerp!C$49))*COS(RADIANS(Ontwerp!D$13)),"CHECK FORMULE")))))</f>
        <v>#N/A</v>
      </c>
      <c r="D62" s="518" t="e">
        <f ca="1">IF(C62&lt;=Ontwerp!P$274,Ontwerp!U$273+(C62*Ontwerp!V$274/Ontwerp!R$274),IF(C62&lt;=Ontwerp!P$275,Ontwerp!Z$266+Ontwerp!C$38-Ontwerp!Z$266*COS(ASIN((Ontwerp!C$45-C62)/Ontwerp!Z$266)),IF(C62&lt;=Ontwerp!P$276,Ontwerp!U$276,IF(C62&lt;=Ontwerp!P$277,Ontwerp!Z$269+Ontwerp!C$38-Ontwerp!Z$269*COS(ASIN((C62-Ontwerp!C$45-Ontwerp!C$46)/Ontwerp!Z$269)),IF(C62&lt;=Ontwerp!P$278,Ontwerp!U$277+((C62-Ontwerp!P$277)*Ontwerp!V$278/Ontwerp!R$278),"Formule bijwerken voor  T6")))))</f>
        <v>#N/A</v>
      </c>
      <c r="E62" s="519" t="e">
        <f t="shared" ca="1" si="0"/>
        <v>#N/A</v>
      </c>
      <c r="F62" s="515"/>
      <c r="G62" s="516"/>
    </row>
    <row r="63" spans="1:7" ht="21" customHeight="1" x14ac:dyDescent="0.35">
      <c r="A63" s="517" t="e">
        <f ca="1">IF(A62="","",IF(B62&lt;(Ontwerp!M$9),A62+1,""))</f>
        <v>#N/A</v>
      </c>
      <c r="B63" s="517" t="e">
        <f ca="1">IF(A63="","",IF(-Ontwerp!T$32+Ontwerp!T$33+A63*Ontwerp!T$32&lt;Ontwerp!M$9,-Ontwerp!T$32+Ontwerp!T$33+A63*Ontwerp!T$32,Ontwerp!M$9))</f>
        <v>#N/A</v>
      </c>
      <c r="C63" s="518" t="e">
        <f ca="1">IF(B63&lt;Ontwerp!C$41,B63*COS(RADIANS(Ontwerp!D$7)),IF(B63&lt;(Ontwerp!C$41+Ontwerp!C$44),Ontwerp!C$40+Ontwerp!C$43+Ontwerp!D$8*SIN(RADIANS(-Ontwerp!D$7+360*(B63-Ontwerp!C$41)/(2*PI()*Ontwerp!D$8))),IF(B63&lt;(Ontwerp!C$41+Ontwerp!C$44+Ontwerp!C$46),B63-(Ontwerp!C$41+Ontwerp!C$44)+Ontwerp!C$40+Ontwerp!C$43,IF(B63&lt;(Ontwerp!C$41+Ontwerp!C$44+Ontwerp!C$46+Ontwerp!C$50),Ontwerp!C$40+Ontwerp!C$43+Ontwerp!C$46+Ontwerp!D$12*SIN(RADIANS(360*(B63-(Ontwerp!C$41+Ontwerp!C$44+Ontwerp!C$46))/(2*PI()*Ontwerp!D$12))),IF(B63&lt;=(Ontwerp!C$41+Ontwerp!C$44+Ontwerp!C$46+Ontwerp!C$50+Ontwerp!C$53),Ontwerp!C$40+Ontwerp!C$43+Ontwerp!C$46+Ontwerp!C$49+(B63-(Ontwerp!C$41+Ontwerp!C$44+Ontwerp!C$46+Ontwerp!C$49))*COS(RADIANS(Ontwerp!D$13)),"CHECK FORMULE")))))</f>
        <v>#N/A</v>
      </c>
      <c r="D63" s="518" t="e">
        <f ca="1">IF(C63&lt;=Ontwerp!P$274,Ontwerp!U$273+(C63*Ontwerp!V$274/Ontwerp!R$274),IF(C63&lt;=Ontwerp!P$275,Ontwerp!Z$266+Ontwerp!C$38-Ontwerp!Z$266*COS(ASIN((Ontwerp!C$45-C63)/Ontwerp!Z$266)),IF(C63&lt;=Ontwerp!P$276,Ontwerp!U$276,IF(C63&lt;=Ontwerp!P$277,Ontwerp!Z$269+Ontwerp!C$38-Ontwerp!Z$269*COS(ASIN((C63-Ontwerp!C$45-Ontwerp!C$46)/Ontwerp!Z$269)),IF(C63&lt;=Ontwerp!P$278,Ontwerp!U$277+((C63-Ontwerp!P$277)*Ontwerp!V$278/Ontwerp!R$278),"Formule bijwerken voor  T6")))))</f>
        <v>#N/A</v>
      </c>
      <c r="E63" s="519" t="e">
        <f t="shared" ca="1" si="0"/>
        <v>#N/A</v>
      </c>
      <c r="F63" s="515"/>
      <c r="G63" s="516"/>
    </row>
    <row r="64" spans="1:7" ht="21" customHeight="1" x14ac:dyDescent="0.35">
      <c r="A64" s="517" t="e">
        <f ca="1">IF(A63="","",IF(B63&lt;(Ontwerp!M$9),A63+1,""))</f>
        <v>#N/A</v>
      </c>
      <c r="B64" s="517" t="e">
        <f ca="1">IF(A64="","",IF(-Ontwerp!T$32+Ontwerp!T$33+A64*Ontwerp!T$32&lt;Ontwerp!M$9,-Ontwerp!T$32+Ontwerp!T$33+A64*Ontwerp!T$32,Ontwerp!M$9))</f>
        <v>#N/A</v>
      </c>
      <c r="C64" s="518" t="e">
        <f ca="1">IF(B64&lt;Ontwerp!C$41,B64*COS(RADIANS(Ontwerp!D$7)),IF(B64&lt;(Ontwerp!C$41+Ontwerp!C$44),Ontwerp!C$40+Ontwerp!C$43+Ontwerp!D$8*SIN(RADIANS(-Ontwerp!D$7+360*(B64-Ontwerp!C$41)/(2*PI()*Ontwerp!D$8))),IF(B64&lt;(Ontwerp!C$41+Ontwerp!C$44+Ontwerp!C$46),B64-(Ontwerp!C$41+Ontwerp!C$44)+Ontwerp!C$40+Ontwerp!C$43,IF(B64&lt;(Ontwerp!C$41+Ontwerp!C$44+Ontwerp!C$46+Ontwerp!C$50),Ontwerp!C$40+Ontwerp!C$43+Ontwerp!C$46+Ontwerp!D$12*SIN(RADIANS(360*(B64-(Ontwerp!C$41+Ontwerp!C$44+Ontwerp!C$46))/(2*PI()*Ontwerp!D$12))),IF(B64&lt;=(Ontwerp!C$41+Ontwerp!C$44+Ontwerp!C$46+Ontwerp!C$50+Ontwerp!C$53),Ontwerp!C$40+Ontwerp!C$43+Ontwerp!C$46+Ontwerp!C$49+(B64-(Ontwerp!C$41+Ontwerp!C$44+Ontwerp!C$46+Ontwerp!C$49))*COS(RADIANS(Ontwerp!D$13)),"CHECK FORMULE")))))</f>
        <v>#N/A</v>
      </c>
      <c r="D64" s="518" t="e">
        <f ca="1">IF(C64&lt;=Ontwerp!P$274,Ontwerp!U$273+(C64*Ontwerp!V$274/Ontwerp!R$274),IF(C64&lt;=Ontwerp!P$275,Ontwerp!Z$266+Ontwerp!C$38-Ontwerp!Z$266*COS(ASIN((Ontwerp!C$45-C64)/Ontwerp!Z$266)),IF(C64&lt;=Ontwerp!P$276,Ontwerp!U$276,IF(C64&lt;=Ontwerp!P$277,Ontwerp!Z$269+Ontwerp!C$38-Ontwerp!Z$269*COS(ASIN((C64-Ontwerp!C$45-Ontwerp!C$46)/Ontwerp!Z$269)),IF(C64&lt;=Ontwerp!P$278,Ontwerp!U$277+((C64-Ontwerp!P$277)*Ontwerp!V$278/Ontwerp!R$278),"Formule bijwerken voor  T6")))))</f>
        <v>#N/A</v>
      </c>
      <c r="E64" s="519" t="e">
        <f t="shared" ca="1" si="0"/>
        <v>#N/A</v>
      </c>
      <c r="F64" s="515"/>
      <c r="G64" s="516"/>
    </row>
    <row r="65" spans="1:7" ht="21" customHeight="1" x14ac:dyDescent="0.35">
      <c r="A65" s="517" t="e">
        <f ca="1">IF(A64="","",IF(B64&lt;(Ontwerp!M$9),A64+1,""))</f>
        <v>#N/A</v>
      </c>
      <c r="B65" s="517" t="e">
        <f ca="1">IF(A65="","",IF(-Ontwerp!T$32+Ontwerp!T$33+A65*Ontwerp!T$32&lt;Ontwerp!M$9,-Ontwerp!T$32+Ontwerp!T$33+A65*Ontwerp!T$32,Ontwerp!M$9))</f>
        <v>#N/A</v>
      </c>
      <c r="C65" s="518" t="e">
        <f ca="1">IF(B65&lt;Ontwerp!C$41,B65*COS(RADIANS(Ontwerp!D$7)),IF(B65&lt;(Ontwerp!C$41+Ontwerp!C$44),Ontwerp!C$40+Ontwerp!C$43+Ontwerp!D$8*SIN(RADIANS(-Ontwerp!D$7+360*(B65-Ontwerp!C$41)/(2*PI()*Ontwerp!D$8))),IF(B65&lt;(Ontwerp!C$41+Ontwerp!C$44+Ontwerp!C$46),B65-(Ontwerp!C$41+Ontwerp!C$44)+Ontwerp!C$40+Ontwerp!C$43,IF(B65&lt;(Ontwerp!C$41+Ontwerp!C$44+Ontwerp!C$46+Ontwerp!C$50),Ontwerp!C$40+Ontwerp!C$43+Ontwerp!C$46+Ontwerp!D$12*SIN(RADIANS(360*(B65-(Ontwerp!C$41+Ontwerp!C$44+Ontwerp!C$46))/(2*PI()*Ontwerp!D$12))),IF(B65&lt;=(Ontwerp!C$41+Ontwerp!C$44+Ontwerp!C$46+Ontwerp!C$50+Ontwerp!C$53),Ontwerp!C$40+Ontwerp!C$43+Ontwerp!C$46+Ontwerp!C$49+(B65-(Ontwerp!C$41+Ontwerp!C$44+Ontwerp!C$46+Ontwerp!C$49))*COS(RADIANS(Ontwerp!D$13)),"CHECK FORMULE")))))</f>
        <v>#N/A</v>
      </c>
      <c r="D65" s="518" t="e">
        <f ca="1">IF(C65&lt;=Ontwerp!P$274,Ontwerp!U$273+(C65*Ontwerp!V$274/Ontwerp!R$274),IF(C65&lt;=Ontwerp!P$275,Ontwerp!Z$266+Ontwerp!C$38-Ontwerp!Z$266*COS(ASIN((Ontwerp!C$45-C65)/Ontwerp!Z$266)),IF(C65&lt;=Ontwerp!P$276,Ontwerp!U$276,IF(C65&lt;=Ontwerp!P$277,Ontwerp!Z$269+Ontwerp!C$38-Ontwerp!Z$269*COS(ASIN((C65-Ontwerp!C$45-Ontwerp!C$46)/Ontwerp!Z$269)),IF(C65&lt;=Ontwerp!P$278,Ontwerp!U$277+((C65-Ontwerp!P$277)*Ontwerp!V$278/Ontwerp!R$278),"Formule bijwerken voor  T6")))))</f>
        <v>#N/A</v>
      </c>
      <c r="E65" s="519" t="e">
        <f t="shared" ca="1" si="0"/>
        <v>#N/A</v>
      </c>
      <c r="F65" s="515"/>
      <c r="G65" s="516"/>
    </row>
    <row r="66" spans="1:7" ht="21" customHeight="1" x14ac:dyDescent="0.35">
      <c r="A66" s="517" t="e">
        <f ca="1">IF(A65="","",IF(B65&lt;(Ontwerp!M$9),A65+1,""))</f>
        <v>#N/A</v>
      </c>
      <c r="B66" s="517" t="e">
        <f ca="1">IF(A66="","",IF(-Ontwerp!T$32+Ontwerp!T$33+A66*Ontwerp!T$32&lt;Ontwerp!M$9,-Ontwerp!T$32+Ontwerp!T$33+A66*Ontwerp!T$32,Ontwerp!M$9))</f>
        <v>#N/A</v>
      </c>
      <c r="C66" s="518" t="e">
        <f ca="1">IF(B66&lt;Ontwerp!C$41,B66*COS(RADIANS(Ontwerp!D$7)),IF(B66&lt;(Ontwerp!C$41+Ontwerp!C$44),Ontwerp!C$40+Ontwerp!C$43+Ontwerp!D$8*SIN(RADIANS(-Ontwerp!D$7+360*(B66-Ontwerp!C$41)/(2*PI()*Ontwerp!D$8))),IF(B66&lt;(Ontwerp!C$41+Ontwerp!C$44+Ontwerp!C$46),B66-(Ontwerp!C$41+Ontwerp!C$44)+Ontwerp!C$40+Ontwerp!C$43,IF(B66&lt;(Ontwerp!C$41+Ontwerp!C$44+Ontwerp!C$46+Ontwerp!C$50),Ontwerp!C$40+Ontwerp!C$43+Ontwerp!C$46+Ontwerp!D$12*SIN(RADIANS(360*(B66-(Ontwerp!C$41+Ontwerp!C$44+Ontwerp!C$46))/(2*PI()*Ontwerp!D$12))),IF(B66&lt;=(Ontwerp!C$41+Ontwerp!C$44+Ontwerp!C$46+Ontwerp!C$50+Ontwerp!C$53),Ontwerp!C$40+Ontwerp!C$43+Ontwerp!C$46+Ontwerp!C$49+(B66-(Ontwerp!C$41+Ontwerp!C$44+Ontwerp!C$46+Ontwerp!C$49))*COS(RADIANS(Ontwerp!D$13)),"CHECK FORMULE")))))</f>
        <v>#N/A</v>
      </c>
      <c r="D66" s="518" t="e">
        <f ca="1">IF(C66&lt;=Ontwerp!P$274,Ontwerp!U$273+(C66*Ontwerp!V$274/Ontwerp!R$274),IF(C66&lt;=Ontwerp!P$275,Ontwerp!Z$266+Ontwerp!C$38-Ontwerp!Z$266*COS(ASIN((Ontwerp!C$45-C66)/Ontwerp!Z$266)),IF(C66&lt;=Ontwerp!P$276,Ontwerp!U$276,IF(C66&lt;=Ontwerp!P$277,Ontwerp!Z$269+Ontwerp!C$38-Ontwerp!Z$269*COS(ASIN((C66-Ontwerp!C$45-Ontwerp!C$46)/Ontwerp!Z$269)),IF(C66&lt;=Ontwerp!P$278,Ontwerp!U$277+((C66-Ontwerp!P$277)*Ontwerp!V$278/Ontwerp!R$278),"Formule bijwerken voor  T6")))))</f>
        <v>#N/A</v>
      </c>
      <c r="E66" s="519" t="e">
        <f t="shared" ca="1" si="0"/>
        <v>#N/A</v>
      </c>
      <c r="F66" s="515"/>
      <c r="G66" s="516"/>
    </row>
    <row r="67" spans="1:7" ht="21" customHeight="1" x14ac:dyDescent="0.35">
      <c r="A67" s="517" t="e">
        <f ca="1">IF(A66="","",IF(B66&lt;(Ontwerp!M$9),A66+1,""))</f>
        <v>#N/A</v>
      </c>
      <c r="B67" s="517" t="e">
        <f ca="1">IF(A67="","",IF(-Ontwerp!T$32+Ontwerp!T$33+A67*Ontwerp!T$32&lt;Ontwerp!M$9,-Ontwerp!T$32+Ontwerp!T$33+A67*Ontwerp!T$32,Ontwerp!M$9))</f>
        <v>#N/A</v>
      </c>
      <c r="C67" s="518" t="e">
        <f ca="1">IF(B67&lt;Ontwerp!C$41,B67*COS(RADIANS(Ontwerp!D$7)),IF(B67&lt;(Ontwerp!C$41+Ontwerp!C$44),Ontwerp!C$40+Ontwerp!C$43+Ontwerp!D$8*SIN(RADIANS(-Ontwerp!D$7+360*(B67-Ontwerp!C$41)/(2*PI()*Ontwerp!D$8))),IF(B67&lt;(Ontwerp!C$41+Ontwerp!C$44+Ontwerp!C$46),B67-(Ontwerp!C$41+Ontwerp!C$44)+Ontwerp!C$40+Ontwerp!C$43,IF(B67&lt;(Ontwerp!C$41+Ontwerp!C$44+Ontwerp!C$46+Ontwerp!C$50),Ontwerp!C$40+Ontwerp!C$43+Ontwerp!C$46+Ontwerp!D$12*SIN(RADIANS(360*(B67-(Ontwerp!C$41+Ontwerp!C$44+Ontwerp!C$46))/(2*PI()*Ontwerp!D$12))),IF(B67&lt;=(Ontwerp!C$41+Ontwerp!C$44+Ontwerp!C$46+Ontwerp!C$50+Ontwerp!C$53),Ontwerp!C$40+Ontwerp!C$43+Ontwerp!C$46+Ontwerp!C$49+(B67-(Ontwerp!C$41+Ontwerp!C$44+Ontwerp!C$46+Ontwerp!C$49))*COS(RADIANS(Ontwerp!D$13)),"CHECK FORMULE")))))</f>
        <v>#N/A</v>
      </c>
      <c r="D67" s="518" t="e">
        <f ca="1">IF(C67&lt;=Ontwerp!P$274,Ontwerp!U$273+(C67*Ontwerp!V$274/Ontwerp!R$274),IF(C67&lt;=Ontwerp!P$275,Ontwerp!Z$266+Ontwerp!C$38-Ontwerp!Z$266*COS(ASIN((Ontwerp!C$45-C67)/Ontwerp!Z$266)),IF(C67&lt;=Ontwerp!P$276,Ontwerp!U$276,IF(C67&lt;=Ontwerp!P$277,Ontwerp!Z$269+Ontwerp!C$38-Ontwerp!Z$269*COS(ASIN((C67-Ontwerp!C$45-Ontwerp!C$46)/Ontwerp!Z$269)),IF(C67&lt;=Ontwerp!P$278,Ontwerp!U$277+((C67-Ontwerp!P$277)*Ontwerp!V$278/Ontwerp!R$278),"Formule bijwerken voor  T6")))))</f>
        <v>#N/A</v>
      </c>
      <c r="E67" s="519" t="e">
        <f t="shared" ca="1" si="0"/>
        <v>#N/A</v>
      </c>
      <c r="F67" s="515"/>
      <c r="G67" s="516"/>
    </row>
    <row r="68" spans="1:7" ht="21" customHeight="1" x14ac:dyDescent="0.35">
      <c r="A68" s="517" t="e">
        <f ca="1">IF(A67="","",IF(B67&lt;(Ontwerp!M$9),A67+1,""))</f>
        <v>#N/A</v>
      </c>
      <c r="B68" s="517" t="e">
        <f ca="1">IF(A68="","",IF(-Ontwerp!T$32+Ontwerp!T$33+A68*Ontwerp!T$32&lt;Ontwerp!M$9,-Ontwerp!T$32+Ontwerp!T$33+A68*Ontwerp!T$32,Ontwerp!M$9))</f>
        <v>#N/A</v>
      </c>
      <c r="C68" s="518" t="e">
        <f ca="1">IF(B68&lt;Ontwerp!C$41,B68*COS(RADIANS(Ontwerp!D$7)),IF(B68&lt;(Ontwerp!C$41+Ontwerp!C$44),Ontwerp!C$40+Ontwerp!C$43+Ontwerp!D$8*SIN(RADIANS(-Ontwerp!D$7+360*(B68-Ontwerp!C$41)/(2*PI()*Ontwerp!D$8))),IF(B68&lt;(Ontwerp!C$41+Ontwerp!C$44+Ontwerp!C$46),B68-(Ontwerp!C$41+Ontwerp!C$44)+Ontwerp!C$40+Ontwerp!C$43,IF(B68&lt;(Ontwerp!C$41+Ontwerp!C$44+Ontwerp!C$46+Ontwerp!C$50),Ontwerp!C$40+Ontwerp!C$43+Ontwerp!C$46+Ontwerp!D$12*SIN(RADIANS(360*(B68-(Ontwerp!C$41+Ontwerp!C$44+Ontwerp!C$46))/(2*PI()*Ontwerp!D$12))),IF(B68&lt;=(Ontwerp!C$41+Ontwerp!C$44+Ontwerp!C$46+Ontwerp!C$50+Ontwerp!C$53),Ontwerp!C$40+Ontwerp!C$43+Ontwerp!C$46+Ontwerp!C$49+(B68-(Ontwerp!C$41+Ontwerp!C$44+Ontwerp!C$46+Ontwerp!C$49))*COS(RADIANS(Ontwerp!D$13)),"CHECK FORMULE")))))</f>
        <v>#N/A</v>
      </c>
      <c r="D68" s="518" t="e">
        <f ca="1">IF(C68&lt;=Ontwerp!P$274,Ontwerp!U$273+(C68*Ontwerp!V$274/Ontwerp!R$274),IF(C68&lt;=Ontwerp!P$275,Ontwerp!Z$266+Ontwerp!C$38-Ontwerp!Z$266*COS(ASIN((Ontwerp!C$45-C68)/Ontwerp!Z$266)),IF(C68&lt;=Ontwerp!P$276,Ontwerp!U$276,IF(C68&lt;=Ontwerp!P$277,Ontwerp!Z$269+Ontwerp!C$38-Ontwerp!Z$269*COS(ASIN((C68-Ontwerp!C$45-Ontwerp!C$46)/Ontwerp!Z$269)),IF(C68&lt;=Ontwerp!P$278,Ontwerp!U$277+((C68-Ontwerp!P$277)*Ontwerp!V$278/Ontwerp!R$278),"Formule bijwerken voor  T6")))))</f>
        <v>#N/A</v>
      </c>
      <c r="E68" s="519" t="e">
        <f t="shared" ca="1" si="0"/>
        <v>#N/A</v>
      </c>
      <c r="F68" s="515"/>
      <c r="G68" s="516"/>
    </row>
    <row r="69" spans="1:7" ht="21" customHeight="1" x14ac:dyDescent="0.35">
      <c r="A69" s="517" t="e">
        <f ca="1">IF(A68="","",IF(B68&lt;(Ontwerp!M$9),A68+1,""))</f>
        <v>#N/A</v>
      </c>
      <c r="B69" s="517" t="e">
        <f ca="1">IF(A69="","",IF(-Ontwerp!T$32+Ontwerp!T$33+A69*Ontwerp!T$32&lt;Ontwerp!M$9,-Ontwerp!T$32+Ontwerp!T$33+A69*Ontwerp!T$32,Ontwerp!M$9))</f>
        <v>#N/A</v>
      </c>
      <c r="C69" s="518" t="e">
        <f ca="1">IF(B69&lt;Ontwerp!C$41,B69*COS(RADIANS(Ontwerp!D$7)),IF(B69&lt;(Ontwerp!C$41+Ontwerp!C$44),Ontwerp!C$40+Ontwerp!C$43+Ontwerp!D$8*SIN(RADIANS(-Ontwerp!D$7+360*(B69-Ontwerp!C$41)/(2*PI()*Ontwerp!D$8))),IF(B69&lt;(Ontwerp!C$41+Ontwerp!C$44+Ontwerp!C$46),B69-(Ontwerp!C$41+Ontwerp!C$44)+Ontwerp!C$40+Ontwerp!C$43,IF(B69&lt;(Ontwerp!C$41+Ontwerp!C$44+Ontwerp!C$46+Ontwerp!C$50),Ontwerp!C$40+Ontwerp!C$43+Ontwerp!C$46+Ontwerp!D$12*SIN(RADIANS(360*(B69-(Ontwerp!C$41+Ontwerp!C$44+Ontwerp!C$46))/(2*PI()*Ontwerp!D$12))),IF(B69&lt;=(Ontwerp!C$41+Ontwerp!C$44+Ontwerp!C$46+Ontwerp!C$50+Ontwerp!C$53),Ontwerp!C$40+Ontwerp!C$43+Ontwerp!C$46+Ontwerp!C$49+(B69-(Ontwerp!C$41+Ontwerp!C$44+Ontwerp!C$46+Ontwerp!C$49))*COS(RADIANS(Ontwerp!D$13)),"CHECK FORMULE")))))</f>
        <v>#N/A</v>
      </c>
      <c r="D69" s="518" t="e">
        <f ca="1">IF(C69&lt;=Ontwerp!P$274,Ontwerp!U$273+(C69*Ontwerp!V$274/Ontwerp!R$274),IF(C69&lt;=Ontwerp!P$275,Ontwerp!Z$266+Ontwerp!C$38-Ontwerp!Z$266*COS(ASIN((Ontwerp!C$45-C69)/Ontwerp!Z$266)),IF(C69&lt;=Ontwerp!P$276,Ontwerp!U$276,IF(C69&lt;=Ontwerp!P$277,Ontwerp!Z$269+Ontwerp!C$38-Ontwerp!Z$269*COS(ASIN((C69-Ontwerp!C$45-Ontwerp!C$46)/Ontwerp!Z$269)),IF(C69&lt;=Ontwerp!P$278,Ontwerp!U$277+((C69-Ontwerp!P$277)*Ontwerp!V$278/Ontwerp!R$278),"Formule bijwerken voor  T6")))))</f>
        <v>#N/A</v>
      </c>
      <c r="E69" s="519" t="e">
        <f t="shared" ca="1" si="0"/>
        <v>#N/A</v>
      </c>
      <c r="F69" s="515"/>
      <c r="G69" s="516"/>
    </row>
    <row r="70" spans="1:7" ht="21" customHeight="1" x14ac:dyDescent="0.35">
      <c r="A70" s="517" t="e">
        <f ca="1">IF(A69="","",IF(B69&lt;(Ontwerp!M$9),A69+1,""))</f>
        <v>#N/A</v>
      </c>
      <c r="B70" s="517" t="e">
        <f ca="1">IF(A70="","",IF(-Ontwerp!T$32+Ontwerp!T$33+A70*Ontwerp!T$32&lt;Ontwerp!M$9,-Ontwerp!T$32+Ontwerp!T$33+A70*Ontwerp!T$32,Ontwerp!M$9))</f>
        <v>#N/A</v>
      </c>
      <c r="C70" s="518" t="e">
        <f ca="1">IF(B70&lt;Ontwerp!C$41,B70*COS(RADIANS(Ontwerp!D$7)),IF(B70&lt;(Ontwerp!C$41+Ontwerp!C$44),Ontwerp!C$40+Ontwerp!C$43+Ontwerp!D$8*SIN(RADIANS(-Ontwerp!D$7+360*(B70-Ontwerp!C$41)/(2*PI()*Ontwerp!D$8))),IF(B70&lt;(Ontwerp!C$41+Ontwerp!C$44+Ontwerp!C$46),B70-(Ontwerp!C$41+Ontwerp!C$44)+Ontwerp!C$40+Ontwerp!C$43,IF(B70&lt;(Ontwerp!C$41+Ontwerp!C$44+Ontwerp!C$46+Ontwerp!C$50),Ontwerp!C$40+Ontwerp!C$43+Ontwerp!C$46+Ontwerp!D$12*SIN(RADIANS(360*(B70-(Ontwerp!C$41+Ontwerp!C$44+Ontwerp!C$46))/(2*PI()*Ontwerp!D$12))),IF(B70&lt;=(Ontwerp!C$41+Ontwerp!C$44+Ontwerp!C$46+Ontwerp!C$50+Ontwerp!C$53),Ontwerp!C$40+Ontwerp!C$43+Ontwerp!C$46+Ontwerp!C$49+(B70-(Ontwerp!C$41+Ontwerp!C$44+Ontwerp!C$46+Ontwerp!C$49))*COS(RADIANS(Ontwerp!D$13)),"CHECK FORMULE")))))</f>
        <v>#N/A</v>
      </c>
      <c r="D70" s="518" t="e">
        <f ca="1">IF(C70&lt;=Ontwerp!P$274,Ontwerp!U$273+(C70*Ontwerp!V$274/Ontwerp!R$274),IF(C70&lt;=Ontwerp!P$275,Ontwerp!Z$266+Ontwerp!C$38-Ontwerp!Z$266*COS(ASIN((Ontwerp!C$45-C70)/Ontwerp!Z$266)),IF(C70&lt;=Ontwerp!P$276,Ontwerp!U$276,IF(C70&lt;=Ontwerp!P$277,Ontwerp!Z$269+Ontwerp!C$38-Ontwerp!Z$269*COS(ASIN((C70-Ontwerp!C$45-Ontwerp!C$46)/Ontwerp!Z$269)),IF(C70&lt;=Ontwerp!P$278,Ontwerp!U$277+((C70-Ontwerp!P$277)*Ontwerp!V$278/Ontwerp!R$278),"Formule bijwerken voor  T6")))))</f>
        <v>#N/A</v>
      </c>
      <c r="E70" s="519" t="e">
        <f t="shared" ca="1" si="0"/>
        <v>#N/A</v>
      </c>
      <c r="F70" s="515"/>
      <c r="G70" s="516"/>
    </row>
    <row r="71" spans="1:7" ht="21" customHeight="1" x14ac:dyDescent="0.35">
      <c r="A71" s="517" t="e">
        <f ca="1">IF(A70="","",IF(B70&lt;(Ontwerp!M$9),A70+1,""))</f>
        <v>#N/A</v>
      </c>
      <c r="B71" s="517" t="e">
        <f ca="1">IF(A71="","",IF(-Ontwerp!T$32+Ontwerp!T$33+A71*Ontwerp!T$32&lt;Ontwerp!M$9,-Ontwerp!T$32+Ontwerp!T$33+A71*Ontwerp!T$32,Ontwerp!M$9))</f>
        <v>#N/A</v>
      </c>
      <c r="C71" s="518" t="e">
        <f ca="1">IF(B71&lt;Ontwerp!C$41,B71*COS(RADIANS(Ontwerp!D$7)),IF(B71&lt;(Ontwerp!C$41+Ontwerp!C$44),Ontwerp!C$40+Ontwerp!C$43+Ontwerp!D$8*SIN(RADIANS(-Ontwerp!D$7+360*(B71-Ontwerp!C$41)/(2*PI()*Ontwerp!D$8))),IF(B71&lt;(Ontwerp!C$41+Ontwerp!C$44+Ontwerp!C$46),B71-(Ontwerp!C$41+Ontwerp!C$44)+Ontwerp!C$40+Ontwerp!C$43,IF(B71&lt;(Ontwerp!C$41+Ontwerp!C$44+Ontwerp!C$46+Ontwerp!C$50),Ontwerp!C$40+Ontwerp!C$43+Ontwerp!C$46+Ontwerp!D$12*SIN(RADIANS(360*(B71-(Ontwerp!C$41+Ontwerp!C$44+Ontwerp!C$46))/(2*PI()*Ontwerp!D$12))),IF(B71&lt;=(Ontwerp!C$41+Ontwerp!C$44+Ontwerp!C$46+Ontwerp!C$50+Ontwerp!C$53),Ontwerp!C$40+Ontwerp!C$43+Ontwerp!C$46+Ontwerp!C$49+(B71-(Ontwerp!C$41+Ontwerp!C$44+Ontwerp!C$46+Ontwerp!C$49))*COS(RADIANS(Ontwerp!D$13)),"CHECK FORMULE")))))</f>
        <v>#N/A</v>
      </c>
      <c r="D71" s="518" t="e">
        <f ca="1">IF(C71&lt;=Ontwerp!P$274,Ontwerp!U$273+(C71*Ontwerp!V$274/Ontwerp!R$274),IF(C71&lt;=Ontwerp!P$275,Ontwerp!Z$266+Ontwerp!C$38-Ontwerp!Z$266*COS(ASIN((Ontwerp!C$45-C71)/Ontwerp!Z$266)),IF(C71&lt;=Ontwerp!P$276,Ontwerp!U$276,IF(C71&lt;=Ontwerp!P$277,Ontwerp!Z$269+Ontwerp!C$38-Ontwerp!Z$269*COS(ASIN((C71-Ontwerp!C$45-Ontwerp!C$46)/Ontwerp!Z$269)),IF(C71&lt;=Ontwerp!P$278,Ontwerp!U$277+((C71-Ontwerp!P$277)*Ontwerp!V$278/Ontwerp!R$278),"Formule bijwerken voor  T6")))))</f>
        <v>#N/A</v>
      </c>
      <c r="E71" s="519" t="e">
        <f t="shared" ca="1" si="0"/>
        <v>#N/A</v>
      </c>
      <c r="F71" s="515"/>
      <c r="G71" s="516"/>
    </row>
    <row r="72" spans="1:7" ht="21" customHeight="1" x14ac:dyDescent="0.35">
      <c r="A72" s="517" t="e">
        <f ca="1">IF(A71="","",IF(B71&lt;(Ontwerp!M$9),A71+1,""))</f>
        <v>#N/A</v>
      </c>
      <c r="B72" s="517" t="e">
        <f ca="1">IF(A72="","",IF(-Ontwerp!T$32+Ontwerp!T$33+A72*Ontwerp!T$32&lt;Ontwerp!M$9,-Ontwerp!T$32+Ontwerp!T$33+A72*Ontwerp!T$32,Ontwerp!M$9))</f>
        <v>#N/A</v>
      </c>
      <c r="C72" s="518" t="e">
        <f ca="1">IF(B72&lt;Ontwerp!C$41,B72*COS(RADIANS(Ontwerp!D$7)),IF(B72&lt;(Ontwerp!C$41+Ontwerp!C$44),Ontwerp!C$40+Ontwerp!C$43+Ontwerp!D$8*SIN(RADIANS(-Ontwerp!D$7+360*(B72-Ontwerp!C$41)/(2*PI()*Ontwerp!D$8))),IF(B72&lt;(Ontwerp!C$41+Ontwerp!C$44+Ontwerp!C$46),B72-(Ontwerp!C$41+Ontwerp!C$44)+Ontwerp!C$40+Ontwerp!C$43,IF(B72&lt;(Ontwerp!C$41+Ontwerp!C$44+Ontwerp!C$46+Ontwerp!C$50),Ontwerp!C$40+Ontwerp!C$43+Ontwerp!C$46+Ontwerp!D$12*SIN(RADIANS(360*(B72-(Ontwerp!C$41+Ontwerp!C$44+Ontwerp!C$46))/(2*PI()*Ontwerp!D$12))),IF(B72&lt;=(Ontwerp!C$41+Ontwerp!C$44+Ontwerp!C$46+Ontwerp!C$50+Ontwerp!C$53),Ontwerp!C$40+Ontwerp!C$43+Ontwerp!C$46+Ontwerp!C$49+(B72-(Ontwerp!C$41+Ontwerp!C$44+Ontwerp!C$46+Ontwerp!C$49))*COS(RADIANS(Ontwerp!D$13)),"CHECK FORMULE")))))</f>
        <v>#N/A</v>
      </c>
      <c r="D72" s="518" t="e">
        <f ca="1">IF(C72&lt;=Ontwerp!P$274,Ontwerp!U$273+(C72*Ontwerp!V$274/Ontwerp!R$274),IF(C72&lt;=Ontwerp!P$275,Ontwerp!Z$266+Ontwerp!C$38-Ontwerp!Z$266*COS(ASIN((Ontwerp!C$45-C72)/Ontwerp!Z$266)),IF(C72&lt;=Ontwerp!P$276,Ontwerp!U$276,IF(C72&lt;=Ontwerp!P$277,Ontwerp!Z$269+Ontwerp!C$38-Ontwerp!Z$269*COS(ASIN((C72-Ontwerp!C$45-Ontwerp!C$46)/Ontwerp!Z$269)),IF(C72&lt;=Ontwerp!P$278,Ontwerp!U$277+((C72-Ontwerp!P$277)*Ontwerp!V$278/Ontwerp!R$278),"Formule bijwerken voor  T6")))))</f>
        <v>#N/A</v>
      </c>
      <c r="E72" s="519" t="e">
        <f t="shared" ca="1" si="0"/>
        <v>#N/A</v>
      </c>
      <c r="F72" s="515"/>
      <c r="G72" s="516"/>
    </row>
    <row r="73" spans="1:7" ht="21" customHeight="1" x14ac:dyDescent="0.35">
      <c r="A73" s="517" t="e">
        <f ca="1">IF(A72="","",IF(B72&lt;(Ontwerp!M$9),A72+1,""))</f>
        <v>#N/A</v>
      </c>
      <c r="B73" s="517" t="e">
        <f ca="1">IF(A73="","",IF(-Ontwerp!T$32+Ontwerp!T$33+A73*Ontwerp!T$32&lt;Ontwerp!M$9,-Ontwerp!T$32+Ontwerp!T$33+A73*Ontwerp!T$32,Ontwerp!M$9))</f>
        <v>#N/A</v>
      </c>
      <c r="C73" s="518" t="e">
        <f ca="1">IF(B73&lt;Ontwerp!C$41,B73*COS(RADIANS(Ontwerp!D$7)),IF(B73&lt;(Ontwerp!C$41+Ontwerp!C$44),Ontwerp!C$40+Ontwerp!C$43+Ontwerp!D$8*SIN(RADIANS(-Ontwerp!D$7+360*(B73-Ontwerp!C$41)/(2*PI()*Ontwerp!D$8))),IF(B73&lt;(Ontwerp!C$41+Ontwerp!C$44+Ontwerp!C$46),B73-(Ontwerp!C$41+Ontwerp!C$44)+Ontwerp!C$40+Ontwerp!C$43,IF(B73&lt;(Ontwerp!C$41+Ontwerp!C$44+Ontwerp!C$46+Ontwerp!C$50),Ontwerp!C$40+Ontwerp!C$43+Ontwerp!C$46+Ontwerp!D$12*SIN(RADIANS(360*(B73-(Ontwerp!C$41+Ontwerp!C$44+Ontwerp!C$46))/(2*PI()*Ontwerp!D$12))),IF(B73&lt;=(Ontwerp!C$41+Ontwerp!C$44+Ontwerp!C$46+Ontwerp!C$50+Ontwerp!C$53),Ontwerp!C$40+Ontwerp!C$43+Ontwerp!C$46+Ontwerp!C$49+(B73-(Ontwerp!C$41+Ontwerp!C$44+Ontwerp!C$46+Ontwerp!C$49))*COS(RADIANS(Ontwerp!D$13)),"CHECK FORMULE")))))</f>
        <v>#N/A</v>
      </c>
      <c r="D73" s="518" t="e">
        <f ca="1">IF(C73&lt;=Ontwerp!P$274,Ontwerp!U$273+(C73*Ontwerp!V$274/Ontwerp!R$274),IF(C73&lt;=Ontwerp!P$275,Ontwerp!Z$266+Ontwerp!C$38-Ontwerp!Z$266*COS(ASIN((Ontwerp!C$45-C73)/Ontwerp!Z$266)),IF(C73&lt;=Ontwerp!P$276,Ontwerp!U$276,IF(C73&lt;=Ontwerp!P$277,Ontwerp!Z$269+Ontwerp!C$38-Ontwerp!Z$269*COS(ASIN((C73-Ontwerp!C$45-Ontwerp!C$46)/Ontwerp!Z$269)),IF(C73&lt;=Ontwerp!P$278,Ontwerp!U$277+((C73-Ontwerp!P$277)*Ontwerp!V$278/Ontwerp!R$278),"Formule bijwerken voor  T6")))))</f>
        <v>#N/A</v>
      </c>
      <c r="E73" s="519" t="e">
        <f t="shared" ref="E73:E96" ca="1" si="1">(D73-D72)/(C73-C72)</f>
        <v>#N/A</v>
      </c>
      <c r="F73" s="515"/>
      <c r="G73" s="516"/>
    </row>
    <row r="74" spans="1:7" ht="21" customHeight="1" x14ac:dyDescent="0.35">
      <c r="A74" s="517" t="e">
        <f ca="1">IF(A73="","",IF(B73&lt;(Ontwerp!M$9),A73+1,""))</f>
        <v>#N/A</v>
      </c>
      <c r="B74" s="517" t="e">
        <f ca="1">IF(A74="","",IF(-Ontwerp!T$32+Ontwerp!T$33+A74*Ontwerp!T$32&lt;Ontwerp!M$9,-Ontwerp!T$32+Ontwerp!T$33+A74*Ontwerp!T$32,Ontwerp!M$9))</f>
        <v>#N/A</v>
      </c>
      <c r="C74" s="518" t="e">
        <f ca="1">IF(B74&lt;Ontwerp!C$41,B74*COS(RADIANS(Ontwerp!D$7)),IF(B74&lt;(Ontwerp!C$41+Ontwerp!C$44),Ontwerp!C$40+Ontwerp!C$43+Ontwerp!D$8*SIN(RADIANS(-Ontwerp!D$7+360*(B74-Ontwerp!C$41)/(2*PI()*Ontwerp!D$8))),IF(B74&lt;(Ontwerp!C$41+Ontwerp!C$44+Ontwerp!C$46),B74-(Ontwerp!C$41+Ontwerp!C$44)+Ontwerp!C$40+Ontwerp!C$43,IF(B74&lt;(Ontwerp!C$41+Ontwerp!C$44+Ontwerp!C$46+Ontwerp!C$50),Ontwerp!C$40+Ontwerp!C$43+Ontwerp!C$46+Ontwerp!D$12*SIN(RADIANS(360*(B74-(Ontwerp!C$41+Ontwerp!C$44+Ontwerp!C$46))/(2*PI()*Ontwerp!D$12))),IF(B74&lt;=(Ontwerp!C$41+Ontwerp!C$44+Ontwerp!C$46+Ontwerp!C$50+Ontwerp!C$53),Ontwerp!C$40+Ontwerp!C$43+Ontwerp!C$46+Ontwerp!C$49+(B74-(Ontwerp!C$41+Ontwerp!C$44+Ontwerp!C$46+Ontwerp!C$49))*COS(RADIANS(Ontwerp!D$13)),"CHECK FORMULE")))))</f>
        <v>#N/A</v>
      </c>
      <c r="D74" s="518" t="e">
        <f ca="1">IF(C74&lt;=Ontwerp!P$274,Ontwerp!U$273+(C74*Ontwerp!V$274/Ontwerp!R$274),IF(C74&lt;=Ontwerp!P$275,Ontwerp!Z$266+Ontwerp!C$38-Ontwerp!Z$266*COS(ASIN((Ontwerp!C$45-C74)/Ontwerp!Z$266)),IF(C74&lt;=Ontwerp!P$276,Ontwerp!U$276,IF(C74&lt;=Ontwerp!P$277,Ontwerp!Z$269+Ontwerp!C$38-Ontwerp!Z$269*COS(ASIN((C74-Ontwerp!C$45-Ontwerp!C$46)/Ontwerp!Z$269)),IF(C74&lt;=Ontwerp!P$278,Ontwerp!U$277+((C74-Ontwerp!P$277)*Ontwerp!V$278/Ontwerp!R$278),"Formule bijwerken voor  T6")))))</f>
        <v>#N/A</v>
      </c>
      <c r="E74" s="519" t="e">
        <f t="shared" ca="1" si="1"/>
        <v>#N/A</v>
      </c>
      <c r="F74" s="515"/>
      <c r="G74" s="516"/>
    </row>
    <row r="75" spans="1:7" ht="21" customHeight="1" x14ac:dyDescent="0.35">
      <c r="A75" s="517" t="e">
        <f ca="1">IF(A74="","",IF(B74&lt;(Ontwerp!M$9),A74+1,""))</f>
        <v>#N/A</v>
      </c>
      <c r="B75" s="517" t="e">
        <f ca="1">IF(A75="","",IF(-Ontwerp!T$32+Ontwerp!T$33+A75*Ontwerp!T$32&lt;Ontwerp!M$9,-Ontwerp!T$32+Ontwerp!T$33+A75*Ontwerp!T$32,Ontwerp!M$9))</f>
        <v>#N/A</v>
      </c>
      <c r="C75" s="518" t="e">
        <f ca="1">IF(B75&lt;Ontwerp!C$41,B75*COS(RADIANS(Ontwerp!D$7)),IF(B75&lt;(Ontwerp!C$41+Ontwerp!C$44),Ontwerp!C$40+Ontwerp!C$43+Ontwerp!D$8*SIN(RADIANS(-Ontwerp!D$7+360*(B75-Ontwerp!C$41)/(2*PI()*Ontwerp!D$8))),IF(B75&lt;(Ontwerp!C$41+Ontwerp!C$44+Ontwerp!C$46),B75-(Ontwerp!C$41+Ontwerp!C$44)+Ontwerp!C$40+Ontwerp!C$43,IF(B75&lt;(Ontwerp!C$41+Ontwerp!C$44+Ontwerp!C$46+Ontwerp!C$50),Ontwerp!C$40+Ontwerp!C$43+Ontwerp!C$46+Ontwerp!D$12*SIN(RADIANS(360*(B75-(Ontwerp!C$41+Ontwerp!C$44+Ontwerp!C$46))/(2*PI()*Ontwerp!D$12))),IF(B75&lt;=(Ontwerp!C$41+Ontwerp!C$44+Ontwerp!C$46+Ontwerp!C$50+Ontwerp!C$53),Ontwerp!C$40+Ontwerp!C$43+Ontwerp!C$46+Ontwerp!C$49+(B75-(Ontwerp!C$41+Ontwerp!C$44+Ontwerp!C$46+Ontwerp!C$49))*COS(RADIANS(Ontwerp!D$13)),"CHECK FORMULE")))))</f>
        <v>#N/A</v>
      </c>
      <c r="D75" s="518" t="e">
        <f ca="1">IF(C75&lt;=Ontwerp!P$274,Ontwerp!U$273+(C75*Ontwerp!V$274/Ontwerp!R$274),IF(C75&lt;=Ontwerp!P$275,Ontwerp!Z$266+Ontwerp!C$38-Ontwerp!Z$266*COS(ASIN((Ontwerp!C$45-C75)/Ontwerp!Z$266)),IF(C75&lt;=Ontwerp!P$276,Ontwerp!U$276,IF(C75&lt;=Ontwerp!P$277,Ontwerp!Z$269+Ontwerp!C$38-Ontwerp!Z$269*COS(ASIN((C75-Ontwerp!C$45-Ontwerp!C$46)/Ontwerp!Z$269)),IF(C75&lt;=Ontwerp!P$278,Ontwerp!U$277+((C75-Ontwerp!P$277)*Ontwerp!V$278/Ontwerp!R$278),"Formule bijwerken voor  T6")))))</f>
        <v>#N/A</v>
      </c>
      <c r="E75" s="519" t="e">
        <f t="shared" ca="1" si="1"/>
        <v>#N/A</v>
      </c>
      <c r="F75" s="515"/>
      <c r="G75" s="516"/>
    </row>
    <row r="76" spans="1:7" ht="21" customHeight="1" x14ac:dyDescent="0.35">
      <c r="A76" s="517" t="e">
        <f ca="1">IF(A75="","",IF(B75&lt;(Ontwerp!M$9),A75+1,""))</f>
        <v>#N/A</v>
      </c>
      <c r="B76" s="517" t="e">
        <f ca="1">IF(A76="","",IF(-Ontwerp!T$32+Ontwerp!T$33+A76*Ontwerp!T$32&lt;Ontwerp!M$9,-Ontwerp!T$32+Ontwerp!T$33+A76*Ontwerp!T$32,Ontwerp!M$9))</f>
        <v>#N/A</v>
      </c>
      <c r="C76" s="518" t="e">
        <f ca="1">IF(B76&lt;Ontwerp!C$41,B76*COS(RADIANS(Ontwerp!D$7)),IF(B76&lt;(Ontwerp!C$41+Ontwerp!C$44),Ontwerp!C$40+Ontwerp!C$43+Ontwerp!D$8*SIN(RADIANS(-Ontwerp!D$7+360*(B76-Ontwerp!C$41)/(2*PI()*Ontwerp!D$8))),IF(B76&lt;(Ontwerp!C$41+Ontwerp!C$44+Ontwerp!C$46),B76-(Ontwerp!C$41+Ontwerp!C$44)+Ontwerp!C$40+Ontwerp!C$43,IF(B76&lt;(Ontwerp!C$41+Ontwerp!C$44+Ontwerp!C$46+Ontwerp!C$50),Ontwerp!C$40+Ontwerp!C$43+Ontwerp!C$46+Ontwerp!D$12*SIN(RADIANS(360*(B76-(Ontwerp!C$41+Ontwerp!C$44+Ontwerp!C$46))/(2*PI()*Ontwerp!D$12))),IF(B76&lt;=(Ontwerp!C$41+Ontwerp!C$44+Ontwerp!C$46+Ontwerp!C$50+Ontwerp!C$53),Ontwerp!C$40+Ontwerp!C$43+Ontwerp!C$46+Ontwerp!C$49+(B76-(Ontwerp!C$41+Ontwerp!C$44+Ontwerp!C$46+Ontwerp!C$49))*COS(RADIANS(Ontwerp!D$13)),"CHECK FORMULE")))))</f>
        <v>#N/A</v>
      </c>
      <c r="D76" s="518" t="e">
        <f ca="1">IF(C76&lt;=Ontwerp!P$274,Ontwerp!U$273+(C76*Ontwerp!V$274/Ontwerp!R$274),IF(C76&lt;=Ontwerp!P$275,Ontwerp!Z$266+Ontwerp!C$38-Ontwerp!Z$266*COS(ASIN((Ontwerp!C$45-C76)/Ontwerp!Z$266)),IF(C76&lt;=Ontwerp!P$276,Ontwerp!U$276,IF(C76&lt;=Ontwerp!P$277,Ontwerp!Z$269+Ontwerp!C$38-Ontwerp!Z$269*COS(ASIN((C76-Ontwerp!C$45-Ontwerp!C$46)/Ontwerp!Z$269)),IF(C76&lt;=Ontwerp!P$278,Ontwerp!U$277+((C76-Ontwerp!P$277)*Ontwerp!V$278/Ontwerp!R$278),"Formule bijwerken voor  T6")))))</f>
        <v>#N/A</v>
      </c>
      <c r="E76" s="519" t="e">
        <f t="shared" ca="1" si="1"/>
        <v>#N/A</v>
      </c>
      <c r="F76" s="515"/>
      <c r="G76" s="516"/>
    </row>
    <row r="77" spans="1:7" ht="21" customHeight="1" x14ac:dyDescent="0.35">
      <c r="A77" s="517" t="e">
        <f ca="1">IF(A76="","",IF(B76&lt;(Ontwerp!M$9),A76+1,""))</f>
        <v>#N/A</v>
      </c>
      <c r="B77" s="517" t="e">
        <f ca="1">IF(A77="","",IF(-Ontwerp!T$32+Ontwerp!T$33+A77*Ontwerp!T$32&lt;Ontwerp!M$9,-Ontwerp!T$32+Ontwerp!T$33+A77*Ontwerp!T$32,Ontwerp!M$9))</f>
        <v>#N/A</v>
      </c>
      <c r="C77" s="518" t="e">
        <f ca="1">IF(B77&lt;Ontwerp!C$41,B77*COS(RADIANS(Ontwerp!D$7)),IF(B77&lt;(Ontwerp!C$41+Ontwerp!C$44),Ontwerp!C$40+Ontwerp!C$43+Ontwerp!D$8*SIN(RADIANS(-Ontwerp!D$7+360*(B77-Ontwerp!C$41)/(2*PI()*Ontwerp!D$8))),IF(B77&lt;(Ontwerp!C$41+Ontwerp!C$44+Ontwerp!C$46),B77-(Ontwerp!C$41+Ontwerp!C$44)+Ontwerp!C$40+Ontwerp!C$43,IF(B77&lt;(Ontwerp!C$41+Ontwerp!C$44+Ontwerp!C$46+Ontwerp!C$50),Ontwerp!C$40+Ontwerp!C$43+Ontwerp!C$46+Ontwerp!D$12*SIN(RADIANS(360*(B77-(Ontwerp!C$41+Ontwerp!C$44+Ontwerp!C$46))/(2*PI()*Ontwerp!D$12))),IF(B77&lt;=(Ontwerp!C$41+Ontwerp!C$44+Ontwerp!C$46+Ontwerp!C$50+Ontwerp!C$53),Ontwerp!C$40+Ontwerp!C$43+Ontwerp!C$46+Ontwerp!C$49+(B77-(Ontwerp!C$41+Ontwerp!C$44+Ontwerp!C$46+Ontwerp!C$49))*COS(RADIANS(Ontwerp!D$13)),"CHECK FORMULE")))))</f>
        <v>#N/A</v>
      </c>
      <c r="D77" s="518" t="e">
        <f ca="1">IF(C77&lt;=Ontwerp!P$274,Ontwerp!U$273+(C77*Ontwerp!V$274/Ontwerp!R$274),IF(C77&lt;=Ontwerp!P$275,Ontwerp!Z$266+Ontwerp!C$38-Ontwerp!Z$266*COS(ASIN((Ontwerp!C$45-C77)/Ontwerp!Z$266)),IF(C77&lt;=Ontwerp!P$276,Ontwerp!U$276,IF(C77&lt;=Ontwerp!P$277,Ontwerp!Z$269+Ontwerp!C$38-Ontwerp!Z$269*COS(ASIN((C77-Ontwerp!C$45-Ontwerp!C$46)/Ontwerp!Z$269)),IF(C77&lt;=Ontwerp!P$278,Ontwerp!U$277+((C77-Ontwerp!P$277)*Ontwerp!V$278/Ontwerp!R$278),"Formule bijwerken voor  T6")))))</f>
        <v>#N/A</v>
      </c>
      <c r="E77" s="519" t="e">
        <f t="shared" ca="1" si="1"/>
        <v>#N/A</v>
      </c>
      <c r="F77" s="515"/>
      <c r="G77" s="516"/>
    </row>
    <row r="78" spans="1:7" ht="21" customHeight="1" x14ac:dyDescent="0.35">
      <c r="A78" s="517" t="e">
        <f ca="1">IF(A77="","",IF(B77&lt;(Ontwerp!M$9),A77+1,""))</f>
        <v>#N/A</v>
      </c>
      <c r="B78" s="517" t="e">
        <f ca="1">IF(A78="","",IF(-Ontwerp!T$32+Ontwerp!T$33+A78*Ontwerp!T$32&lt;Ontwerp!M$9,-Ontwerp!T$32+Ontwerp!T$33+A78*Ontwerp!T$32,Ontwerp!M$9))</f>
        <v>#N/A</v>
      </c>
      <c r="C78" s="518" t="e">
        <f ca="1">IF(B78&lt;Ontwerp!C$41,B78*COS(RADIANS(Ontwerp!D$7)),IF(B78&lt;(Ontwerp!C$41+Ontwerp!C$44),Ontwerp!C$40+Ontwerp!C$43+Ontwerp!D$8*SIN(RADIANS(-Ontwerp!D$7+360*(B78-Ontwerp!C$41)/(2*PI()*Ontwerp!D$8))),IF(B78&lt;(Ontwerp!C$41+Ontwerp!C$44+Ontwerp!C$46),B78-(Ontwerp!C$41+Ontwerp!C$44)+Ontwerp!C$40+Ontwerp!C$43,IF(B78&lt;(Ontwerp!C$41+Ontwerp!C$44+Ontwerp!C$46+Ontwerp!C$50),Ontwerp!C$40+Ontwerp!C$43+Ontwerp!C$46+Ontwerp!D$12*SIN(RADIANS(360*(B78-(Ontwerp!C$41+Ontwerp!C$44+Ontwerp!C$46))/(2*PI()*Ontwerp!D$12))),IF(B78&lt;=(Ontwerp!C$41+Ontwerp!C$44+Ontwerp!C$46+Ontwerp!C$50+Ontwerp!C$53),Ontwerp!C$40+Ontwerp!C$43+Ontwerp!C$46+Ontwerp!C$49+(B78-(Ontwerp!C$41+Ontwerp!C$44+Ontwerp!C$46+Ontwerp!C$49))*COS(RADIANS(Ontwerp!D$13)),"CHECK FORMULE")))))</f>
        <v>#N/A</v>
      </c>
      <c r="D78" s="518" t="e">
        <f ca="1">IF(C78&lt;=Ontwerp!P$274,Ontwerp!U$273+(C78*Ontwerp!V$274/Ontwerp!R$274),IF(C78&lt;=Ontwerp!P$275,Ontwerp!Z$266+Ontwerp!C$38-Ontwerp!Z$266*COS(ASIN((Ontwerp!C$45-C78)/Ontwerp!Z$266)),IF(C78&lt;=Ontwerp!P$276,Ontwerp!U$276,IF(C78&lt;=Ontwerp!P$277,Ontwerp!Z$269+Ontwerp!C$38-Ontwerp!Z$269*COS(ASIN((C78-Ontwerp!C$45-Ontwerp!C$46)/Ontwerp!Z$269)),IF(C78&lt;=Ontwerp!P$278,Ontwerp!U$277+((C78-Ontwerp!P$277)*Ontwerp!V$278/Ontwerp!R$278),"Formule bijwerken voor  T6")))))</f>
        <v>#N/A</v>
      </c>
      <c r="E78" s="519" t="e">
        <f t="shared" ca="1" si="1"/>
        <v>#N/A</v>
      </c>
      <c r="F78" s="515"/>
      <c r="G78" s="516"/>
    </row>
    <row r="79" spans="1:7" ht="21" customHeight="1" x14ac:dyDescent="0.35">
      <c r="A79" s="517" t="e">
        <f ca="1">IF(A78="","",IF(B78&lt;(Ontwerp!M$9),A78+1,""))</f>
        <v>#N/A</v>
      </c>
      <c r="B79" s="517" t="e">
        <f ca="1">IF(A79="","",IF(-Ontwerp!T$32+Ontwerp!T$33+A79*Ontwerp!T$32&lt;Ontwerp!M$9,-Ontwerp!T$32+Ontwerp!T$33+A79*Ontwerp!T$32,Ontwerp!M$9))</f>
        <v>#N/A</v>
      </c>
      <c r="C79" s="518" t="e">
        <f ca="1">IF(B79&lt;Ontwerp!C$41,B79*COS(RADIANS(Ontwerp!D$7)),IF(B79&lt;(Ontwerp!C$41+Ontwerp!C$44),Ontwerp!C$40+Ontwerp!C$43+Ontwerp!D$8*SIN(RADIANS(-Ontwerp!D$7+360*(B79-Ontwerp!C$41)/(2*PI()*Ontwerp!D$8))),IF(B79&lt;(Ontwerp!C$41+Ontwerp!C$44+Ontwerp!C$46),B79-(Ontwerp!C$41+Ontwerp!C$44)+Ontwerp!C$40+Ontwerp!C$43,IF(B79&lt;(Ontwerp!C$41+Ontwerp!C$44+Ontwerp!C$46+Ontwerp!C$50),Ontwerp!C$40+Ontwerp!C$43+Ontwerp!C$46+Ontwerp!D$12*SIN(RADIANS(360*(B79-(Ontwerp!C$41+Ontwerp!C$44+Ontwerp!C$46))/(2*PI()*Ontwerp!D$12))),IF(B79&lt;=(Ontwerp!C$41+Ontwerp!C$44+Ontwerp!C$46+Ontwerp!C$50+Ontwerp!C$53),Ontwerp!C$40+Ontwerp!C$43+Ontwerp!C$46+Ontwerp!C$49+(B79-(Ontwerp!C$41+Ontwerp!C$44+Ontwerp!C$46+Ontwerp!C$49))*COS(RADIANS(Ontwerp!D$13)),"CHECK FORMULE")))))</f>
        <v>#N/A</v>
      </c>
      <c r="D79" s="518" t="e">
        <f ca="1">IF(C79&lt;=Ontwerp!P$274,Ontwerp!U$273+(C79*Ontwerp!V$274/Ontwerp!R$274),IF(C79&lt;=Ontwerp!P$275,Ontwerp!Z$266+Ontwerp!C$38-Ontwerp!Z$266*COS(ASIN((Ontwerp!C$45-C79)/Ontwerp!Z$266)),IF(C79&lt;=Ontwerp!P$276,Ontwerp!U$276,IF(C79&lt;=Ontwerp!P$277,Ontwerp!Z$269+Ontwerp!C$38-Ontwerp!Z$269*COS(ASIN((C79-Ontwerp!C$45-Ontwerp!C$46)/Ontwerp!Z$269)),IF(C79&lt;=Ontwerp!P$278,Ontwerp!U$277+((C79-Ontwerp!P$277)*Ontwerp!V$278/Ontwerp!R$278),"Formule bijwerken voor  T6")))))</f>
        <v>#N/A</v>
      </c>
      <c r="E79" s="519" t="e">
        <f t="shared" ca="1" si="1"/>
        <v>#N/A</v>
      </c>
      <c r="F79" s="515"/>
      <c r="G79" s="516"/>
    </row>
    <row r="80" spans="1:7" ht="21" customHeight="1" x14ac:dyDescent="0.35">
      <c r="A80" s="517" t="e">
        <f ca="1">IF(A79="","",IF(B79&lt;(Ontwerp!M$9),A79+1,""))</f>
        <v>#N/A</v>
      </c>
      <c r="B80" s="517" t="e">
        <f ca="1">IF(A80="","",IF(-Ontwerp!T$32+Ontwerp!T$33+A80*Ontwerp!T$32&lt;Ontwerp!M$9,-Ontwerp!T$32+Ontwerp!T$33+A80*Ontwerp!T$32,Ontwerp!M$9))</f>
        <v>#N/A</v>
      </c>
      <c r="C80" s="518" t="e">
        <f ca="1">IF(B80&lt;Ontwerp!C$41,B80*COS(RADIANS(Ontwerp!D$7)),IF(B80&lt;(Ontwerp!C$41+Ontwerp!C$44),Ontwerp!C$40+Ontwerp!C$43+Ontwerp!D$8*SIN(RADIANS(-Ontwerp!D$7+360*(B80-Ontwerp!C$41)/(2*PI()*Ontwerp!D$8))),IF(B80&lt;(Ontwerp!C$41+Ontwerp!C$44+Ontwerp!C$46),B80-(Ontwerp!C$41+Ontwerp!C$44)+Ontwerp!C$40+Ontwerp!C$43,IF(B80&lt;(Ontwerp!C$41+Ontwerp!C$44+Ontwerp!C$46+Ontwerp!C$50),Ontwerp!C$40+Ontwerp!C$43+Ontwerp!C$46+Ontwerp!D$12*SIN(RADIANS(360*(B80-(Ontwerp!C$41+Ontwerp!C$44+Ontwerp!C$46))/(2*PI()*Ontwerp!D$12))),IF(B80&lt;=(Ontwerp!C$41+Ontwerp!C$44+Ontwerp!C$46+Ontwerp!C$50+Ontwerp!C$53),Ontwerp!C$40+Ontwerp!C$43+Ontwerp!C$46+Ontwerp!C$49+(B80-(Ontwerp!C$41+Ontwerp!C$44+Ontwerp!C$46+Ontwerp!C$49))*COS(RADIANS(Ontwerp!D$13)),"CHECK FORMULE")))))</f>
        <v>#N/A</v>
      </c>
      <c r="D80" s="518" t="e">
        <f ca="1">IF(C80&lt;=Ontwerp!P$274,Ontwerp!U$273+(C80*Ontwerp!V$274/Ontwerp!R$274),IF(C80&lt;=Ontwerp!P$275,Ontwerp!Z$266+Ontwerp!C$38-Ontwerp!Z$266*COS(ASIN((Ontwerp!C$45-C80)/Ontwerp!Z$266)),IF(C80&lt;=Ontwerp!P$276,Ontwerp!U$276,IF(C80&lt;=Ontwerp!P$277,Ontwerp!Z$269+Ontwerp!C$38-Ontwerp!Z$269*COS(ASIN((C80-Ontwerp!C$45-Ontwerp!C$46)/Ontwerp!Z$269)),IF(C80&lt;=Ontwerp!P$278,Ontwerp!U$277+((C80-Ontwerp!P$277)*Ontwerp!V$278/Ontwerp!R$278),"Formule bijwerken voor  T6")))))</f>
        <v>#N/A</v>
      </c>
      <c r="E80" s="519" t="e">
        <f t="shared" ca="1" si="1"/>
        <v>#N/A</v>
      </c>
      <c r="F80" s="515"/>
      <c r="G80" s="516"/>
    </row>
    <row r="81" spans="1:7" ht="21" customHeight="1" x14ac:dyDescent="0.35">
      <c r="A81" s="517" t="e">
        <f ca="1">IF(A80="","",IF(B80&lt;(Ontwerp!M$9),A80+1,""))</f>
        <v>#N/A</v>
      </c>
      <c r="B81" s="517" t="e">
        <f ca="1">IF(A81="","",IF(-Ontwerp!T$32+Ontwerp!T$33+A81*Ontwerp!T$32&lt;Ontwerp!M$9,-Ontwerp!T$32+Ontwerp!T$33+A81*Ontwerp!T$32,Ontwerp!M$9))</f>
        <v>#N/A</v>
      </c>
      <c r="C81" s="518" t="e">
        <f ca="1">IF(B81&lt;Ontwerp!C$41,B81*COS(RADIANS(Ontwerp!D$7)),IF(B81&lt;(Ontwerp!C$41+Ontwerp!C$44),Ontwerp!C$40+Ontwerp!C$43+Ontwerp!D$8*SIN(RADIANS(-Ontwerp!D$7+360*(B81-Ontwerp!C$41)/(2*PI()*Ontwerp!D$8))),IF(B81&lt;(Ontwerp!C$41+Ontwerp!C$44+Ontwerp!C$46),B81-(Ontwerp!C$41+Ontwerp!C$44)+Ontwerp!C$40+Ontwerp!C$43,IF(B81&lt;(Ontwerp!C$41+Ontwerp!C$44+Ontwerp!C$46+Ontwerp!C$50),Ontwerp!C$40+Ontwerp!C$43+Ontwerp!C$46+Ontwerp!D$12*SIN(RADIANS(360*(B81-(Ontwerp!C$41+Ontwerp!C$44+Ontwerp!C$46))/(2*PI()*Ontwerp!D$12))),IF(B81&lt;=(Ontwerp!C$41+Ontwerp!C$44+Ontwerp!C$46+Ontwerp!C$50+Ontwerp!C$53),Ontwerp!C$40+Ontwerp!C$43+Ontwerp!C$46+Ontwerp!C$49+(B81-(Ontwerp!C$41+Ontwerp!C$44+Ontwerp!C$46+Ontwerp!C$49))*COS(RADIANS(Ontwerp!D$13)),"CHECK FORMULE")))))</f>
        <v>#N/A</v>
      </c>
      <c r="D81" s="518" t="e">
        <f ca="1">IF(C81&lt;=Ontwerp!P$274,Ontwerp!U$273+(C81*Ontwerp!V$274/Ontwerp!R$274),IF(C81&lt;=Ontwerp!P$275,Ontwerp!Z$266+Ontwerp!C$38-Ontwerp!Z$266*COS(ASIN((Ontwerp!C$45-C81)/Ontwerp!Z$266)),IF(C81&lt;=Ontwerp!P$276,Ontwerp!U$276,IF(C81&lt;=Ontwerp!P$277,Ontwerp!Z$269+Ontwerp!C$38-Ontwerp!Z$269*COS(ASIN((C81-Ontwerp!C$45-Ontwerp!C$46)/Ontwerp!Z$269)),IF(C81&lt;=Ontwerp!P$278,Ontwerp!U$277+((C81-Ontwerp!P$277)*Ontwerp!V$278/Ontwerp!R$278),"Formule bijwerken voor  T6")))))</f>
        <v>#N/A</v>
      </c>
      <c r="E81" s="519" t="e">
        <f t="shared" ca="1" si="1"/>
        <v>#N/A</v>
      </c>
      <c r="F81" s="515"/>
      <c r="G81" s="516"/>
    </row>
    <row r="82" spans="1:7" ht="21" customHeight="1" x14ac:dyDescent="0.35">
      <c r="A82" s="517" t="e">
        <f ca="1">IF(A81="","",IF(B81&lt;(Ontwerp!M$9),A81+1,""))</f>
        <v>#N/A</v>
      </c>
      <c r="B82" s="517" t="e">
        <f ca="1">IF(A82="","",IF(-Ontwerp!T$32+Ontwerp!T$33+A82*Ontwerp!T$32&lt;Ontwerp!M$9,-Ontwerp!T$32+Ontwerp!T$33+A82*Ontwerp!T$32,Ontwerp!M$9))</f>
        <v>#N/A</v>
      </c>
      <c r="C82" s="518" t="e">
        <f ca="1">IF(B82&lt;Ontwerp!C$41,B82*COS(RADIANS(Ontwerp!D$7)),IF(B82&lt;(Ontwerp!C$41+Ontwerp!C$44),Ontwerp!C$40+Ontwerp!C$43+Ontwerp!D$8*SIN(RADIANS(-Ontwerp!D$7+360*(B82-Ontwerp!C$41)/(2*PI()*Ontwerp!D$8))),IF(B82&lt;(Ontwerp!C$41+Ontwerp!C$44+Ontwerp!C$46),B82-(Ontwerp!C$41+Ontwerp!C$44)+Ontwerp!C$40+Ontwerp!C$43,IF(B82&lt;(Ontwerp!C$41+Ontwerp!C$44+Ontwerp!C$46+Ontwerp!C$50),Ontwerp!C$40+Ontwerp!C$43+Ontwerp!C$46+Ontwerp!D$12*SIN(RADIANS(360*(B82-(Ontwerp!C$41+Ontwerp!C$44+Ontwerp!C$46))/(2*PI()*Ontwerp!D$12))),IF(B82&lt;=(Ontwerp!C$41+Ontwerp!C$44+Ontwerp!C$46+Ontwerp!C$50+Ontwerp!C$53),Ontwerp!C$40+Ontwerp!C$43+Ontwerp!C$46+Ontwerp!C$49+(B82-(Ontwerp!C$41+Ontwerp!C$44+Ontwerp!C$46+Ontwerp!C$49))*COS(RADIANS(Ontwerp!D$13)),"CHECK FORMULE")))))</f>
        <v>#N/A</v>
      </c>
      <c r="D82" s="518" t="e">
        <f ca="1">IF(C82&lt;=Ontwerp!P$274,Ontwerp!U$273+(C82*Ontwerp!V$274/Ontwerp!R$274),IF(C82&lt;=Ontwerp!P$275,Ontwerp!Z$266+Ontwerp!C$38-Ontwerp!Z$266*COS(ASIN((Ontwerp!C$45-C82)/Ontwerp!Z$266)),IF(C82&lt;=Ontwerp!P$276,Ontwerp!U$276,IF(C82&lt;=Ontwerp!P$277,Ontwerp!Z$269+Ontwerp!C$38-Ontwerp!Z$269*COS(ASIN((C82-Ontwerp!C$45-Ontwerp!C$46)/Ontwerp!Z$269)),IF(C82&lt;=Ontwerp!P$278,Ontwerp!U$277+((C82-Ontwerp!P$277)*Ontwerp!V$278/Ontwerp!R$278),"Formule bijwerken voor  T6")))))</f>
        <v>#N/A</v>
      </c>
      <c r="E82" s="519" t="e">
        <f t="shared" ca="1" si="1"/>
        <v>#N/A</v>
      </c>
      <c r="F82" s="515"/>
      <c r="G82" s="516"/>
    </row>
    <row r="83" spans="1:7" ht="21" customHeight="1" x14ac:dyDescent="0.35">
      <c r="A83" s="517" t="e">
        <f ca="1">IF(A82="","",IF(B82&lt;(Ontwerp!M$9),A82+1,""))</f>
        <v>#N/A</v>
      </c>
      <c r="B83" s="517" t="e">
        <f ca="1">IF(A83="","",IF(-Ontwerp!T$32+Ontwerp!T$33+A83*Ontwerp!T$32&lt;Ontwerp!M$9,-Ontwerp!T$32+Ontwerp!T$33+A83*Ontwerp!T$32,Ontwerp!M$9))</f>
        <v>#N/A</v>
      </c>
      <c r="C83" s="518" t="e">
        <f ca="1">IF(B83&lt;Ontwerp!C$41,B83*COS(RADIANS(Ontwerp!D$7)),IF(B83&lt;(Ontwerp!C$41+Ontwerp!C$44),Ontwerp!C$40+Ontwerp!C$43+Ontwerp!D$8*SIN(RADIANS(-Ontwerp!D$7+360*(B83-Ontwerp!C$41)/(2*PI()*Ontwerp!D$8))),IF(B83&lt;(Ontwerp!C$41+Ontwerp!C$44+Ontwerp!C$46),B83-(Ontwerp!C$41+Ontwerp!C$44)+Ontwerp!C$40+Ontwerp!C$43,IF(B83&lt;(Ontwerp!C$41+Ontwerp!C$44+Ontwerp!C$46+Ontwerp!C$50),Ontwerp!C$40+Ontwerp!C$43+Ontwerp!C$46+Ontwerp!D$12*SIN(RADIANS(360*(B83-(Ontwerp!C$41+Ontwerp!C$44+Ontwerp!C$46))/(2*PI()*Ontwerp!D$12))),IF(B83&lt;=(Ontwerp!C$41+Ontwerp!C$44+Ontwerp!C$46+Ontwerp!C$50+Ontwerp!C$53),Ontwerp!C$40+Ontwerp!C$43+Ontwerp!C$46+Ontwerp!C$49+(B83-(Ontwerp!C$41+Ontwerp!C$44+Ontwerp!C$46+Ontwerp!C$49))*COS(RADIANS(Ontwerp!D$13)),"CHECK FORMULE")))))</f>
        <v>#N/A</v>
      </c>
      <c r="D83" s="518" t="e">
        <f ca="1">IF(C83&lt;=Ontwerp!P$274,Ontwerp!U$273+(C83*Ontwerp!V$274/Ontwerp!R$274),IF(C83&lt;=Ontwerp!P$275,Ontwerp!Z$266+Ontwerp!C$38-Ontwerp!Z$266*COS(ASIN((Ontwerp!C$45-C83)/Ontwerp!Z$266)),IF(C83&lt;=Ontwerp!P$276,Ontwerp!U$276,IF(C83&lt;=Ontwerp!P$277,Ontwerp!Z$269+Ontwerp!C$38-Ontwerp!Z$269*COS(ASIN((C83-Ontwerp!C$45-Ontwerp!C$46)/Ontwerp!Z$269)),IF(C83&lt;=Ontwerp!P$278,Ontwerp!U$277+((C83-Ontwerp!P$277)*Ontwerp!V$278/Ontwerp!R$278),"Formule bijwerken voor  T6")))))</f>
        <v>#N/A</v>
      </c>
      <c r="E83" s="519" t="e">
        <f t="shared" ca="1" si="1"/>
        <v>#N/A</v>
      </c>
      <c r="F83" s="515"/>
      <c r="G83" s="516"/>
    </row>
    <row r="84" spans="1:7" ht="21" customHeight="1" x14ac:dyDescent="0.35">
      <c r="A84" s="517" t="e">
        <f ca="1">IF(A83="","",IF(B83&lt;(Ontwerp!M$9),A83+1,""))</f>
        <v>#N/A</v>
      </c>
      <c r="B84" s="517" t="e">
        <f ca="1">IF(A84="","",IF(-Ontwerp!T$32+Ontwerp!T$33+A84*Ontwerp!T$32&lt;Ontwerp!M$9,-Ontwerp!T$32+Ontwerp!T$33+A84*Ontwerp!T$32,Ontwerp!M$9))</f>
        <v>#N/A</v>
      </c>
      <c r="C84" s="518" t="e">
        <f ca="1">IF(B84&lt;Ontwerp!C$41,B84*COS(RADIANS(Ontwerp!D$7)),IF(B84&lt;(Ontwerp!C$41+Ontwerp!C$44),Ontwerp!C$40+Ontwerp!C$43+Ontwerp!D$8*SIN(RADIANS(-Ontwerp!D$7+360*(B84-Ontwerp!C$41)/(2*PI()*Ontwerp!D$8))),IF(B84&lt;(Ontwerp!C$41+Ontwerp!C$44+Ontwerp!C$46),B84-(Ontwerp!C$41+Ontwerp!C$44)+Ontwerp!C$40+Ontwerp!C$43,IF(B84&lt;(Ontwerp!C$41+Ontwerp!C$44+Ontwerp!C$46+Ontwerp!C$50),Ontwerp!C$40+Ontwerp!C$43+Ontwerp!C$46+Ontwerp!D$12*SIN(RADIANS(360*(B84-(Ontwerp!C$41+Ontwerp!C$44+Ontwerp!C$46))/(2*PI()*Ontwerp!D$12))),IF(B84&lt;=(Ontwerp!C$41+Ontwerp!C$44+Ontwerp!C$46+Ontwerp!C$50+Ontwerp!C$53),Ontwerp!C$40+Ontwerp!C$43+Ontwerp!C$46+Ontwerp!C$49+(B84-(Ontwerp!C$41+Ontwerp!C$44+Ontwerp!C$46+Ontwerp!C$49))*COS(RADIANS(Ontwerp!D$13)),"CHECK FORMULE")))))</f>
        <v>#N/A</v>
      </c>
      <c r="D84" s="518" t="e">
        <f ca="1">IF(C84&lt;=Ontwerp!P$274,Ontwerp!U$273+(C84*Ontwerp!V$274/Ontwerp!R$274),IF(C84&lt;=Ontwerp!P$275,Ontwerp!Z$266+Ontwerp!C$38-Ontwerp!Z$266*COS(ASIN((Ontwerp!C$45-C84)/Ontwerp!Z$266)),IF(C84&lt;=Ontwerp!P$276,Ontwerp!U$276,IF(C84&lt;=Ontwerp!P$277,Ontwerp!Z$269+Ontwerp!C$38-Ontwerp!Z$269*COS(ASIN((C84-Ontwerp!C$45-Ontwerp!C$46)/Ontwerp!Z$269)),IF(C84&lt;=Ontwerp!P$278,Ontwerp!U$277+((C84-Ontwerp!P$277)*Ontwerp!V$278/Ontwerp!R$278),"Formule bijwerken voor  T6")))))</f>
        <v>#N/A</v>
      </c>
      <c r="E84" s="519" t="e">
        <f t="shared" ca="1" si="1"/>
        <v>#N/A</v>
      </c>
      <c r="F84" s="515"/>
      <c r="G84" s="516"/>
    </row>
    <row r="85" spans="1:7" ht="21" customHeight="1" x14ac:dyDescent="0.35">
      <c r="A85" s="517" t="e">
        <f ca="1">IF(A84="","",IF(B84&lt;(Ontwerp!M$9),A84+1,""))</f>
        <v>#N/A</v>
      </c>
      <c r="B85" s="517" t="e">
        <f ca="1">IF(A85="","",IF(-Ontwerp!T$32+Ontwerp!T$33+A85*Ontwerp!T$32&lt;Ontwerp!M$9,-Ontwerp!T$32+Ontwerp!T$33+A85*Ontwerp!T$32,Ontwerp!M$9))</f>
        <v>#N/A</v>
      </c>
      <c r="C85" s="518" t="e">
        <f ca="1">IF(B85&lt;Ontwerp!C$41,B85*COS(RADIANS(Ontwerp!D$7)),IF(B85&lt;(Ontwerp!C$41+Ontwerp!C$44),Ontwerp!C$40+Ontwerp!C$43+Ontwerp!D$8*SIN(RADIANS(-Ontwerp!D$7+360*(B85-Ontwerp!C$41)/(2*PI()*Ontwerp!D$8))),IF(B85&lt;(Ontwerp!C$41+Ontwerp!C$44+Ontwerp!C$46),B85-(Ontwerp!C$41+Ontwerp!C$44)+Ontwerp!C$40+Ontwerp!C$43,IF(B85&lt;(Ontwerp!C$41+Ontwerp!C$44+Ontwerp!C$46+Ontwerp!C$50),Ontwerp!C$40+Ontwerp!C$43+Ontwerp!C$46+Ontwerp!D$12*SIN(RADIANS(360*(B85-(Ontwerp!C$41+Ontwerp!C$44+Ontwerp!C$46))/(2*PI()*Ontwerp!D$12))),IF(B85&lt;=(Ontwerp!C$41+Ontwerp!C$44+Ontwerp!C$46+Ontwerp!C$50+Ontwerp!C$53),Ontwerp!C$40+Ontwerp!C$43+Ontwerp!C$46+Ontwerp!C$49+(B85-(Ontwerp!C$41+Ontwerp!C$44+Ontwerp!C$46+Ontwerp!C$49))*COS(RADIANS(Ontwerp!D$13)),"CHECK FORMULE")))))</f>
        <v>#N/A</v>
      </c>
      <c r="D85" s="518" t="e">
        <f ca="1">IF(C85&lt;=Ontwerp!P$274,Ontwerp!U$273+(C85*Ontwerp!V$274/Ontwerp!R$274),IF(C85&lt;=Ontwerp!P$275,Ontwerp!Z$266+Ontwerp!C$38-Ontwerp!Z$266*COS(ASIN((Ontwerp!C$45-C85)/Ontwerp!Z$266)),IF(C85&lt;=Ontwerp!P$276,Ontwerp!U$276,IF(C85&lt;=Ontwerp!P$277,Ontwerp!Z$269+Ontwerp!C$38-Ontwerp!Z$269*COS(ASIN((C85-Ontwerp!C$45-Ontwerp!C$46)/Ontwerp!Z$269)),IF(C85&lt;=Ontwerp!P$278,Ontwerp!U$277+((C85-Ontwerp!P$277)*Ontwerp!V$278/Ontwerp!R$278),"Formule bijwerken voor  T6")))))</f>
        <v>#N/A</v>
      </c>
      <c r="E85" s="519" t="e">
        <f t="shared" ca="1" si="1"/>
        <v>#N/A</v>
      </c>
      <c r="F85" s="515"/>
      <c r="G85" s="516"/>
    </row>
    <row r="86" spans="1:7" ht="21" customHeight="1" x14ac:dyDescent="0.35">
      <c r="A86" s="517" t="e">
        <f ca="1">IF(A85="","",IF(B85&lt;(Ontwerp!M$9),A85+1,""))</f>
        <v>#N/A</v>
      </c>
      <c r="B86" s="517" t="e">
        <f ca="1">IF(A86="","",IF(-Ontwerp!T$32+Ontwerp!T$33+A86*Ontwerp!T$32&lt;Ontwerp!M$9,-Ontwerp!T$32+Ontwerp!T$33+A86*Ontwerp!T$32,Ontwerp!M$9))</f>
        <v>#N/A</v>
      </c>
      <c r="C86" s="518" t="e">
        <f ca="1">IF(B86&lt;Ontwerp!C$41,B86*COS(RADIANS(Ontwerp!D$7)),IF(B86&lt;(Ontwerp!C$41+Ontwerp!C$44),Ontwerp!C$40+Ontwerp!C$43+Ontwerp!D$8*SIN(RADIANS(-Ontwerp!D$7+360*(B86-Ontwerp!C$41)/(2*PI()*Ontwerp!D$8))),IF(B86&lt;(Ontwerp!C$41+Ontwerp!C$44+Ontwerp!C$46),B86-(Ontwerp!C$41+Ontwerp!C$44)+Ontwerp!C$40+Ontwerp!C$43,IF(B86&lt;(Ontwerp!C$41+Ontwerp!C$44+Ontwerp!C$46+Ontwerp!C$50),Ontwerp!C$40+Ontwerp!C$43+Ontwerp!C$46+Ontwerp!D$12*SIN(RADIANS(360*(B86-(Ontwerp!C$41+Ontwerp!C$44+Ontwerp!C$46))/(2*PI()*Ontwerp!D$12))),IF(B86&lt;=(Ontwerp!C$41+Ontwerp!C$44+Ontwerp!C$46+Ontwerp!C$50+Ontwerp!C$53),Ontwerp!C$40+Ontwerp!C$43+Ontwerp!C$46+Ontwerp!C$49+(B86-(Ontwerp!C$41+Ontwerp!C$44+Ontwerp!C$46+Ontwerp!C$49))*COS(RADIANS(Ontwerp!D$13)),"CHECK FORMULE")))))</f>
        <v>#N/A</v>
      </c>
      <c r="D86" s="518" t="e">
        <f ca="1">IF(C86&lt;=Ontwerp!P$274,Ontwerp!U$273+(C86*Ontwerp!V$274/Ontwerp!R$274),IF(C86&lt;=Ontwerp!P$275,Ontwerp!Z$266+Ontwerp!C$38-Ontwerp!Z$266*COS(ASIN((Ontwerp!C$45-C86)/Ontwerp!Z$266)),IF(C86&lt;=Ontwerp!P$276,Ontwerp!U$276,IF(C86&lt;=Ontwerp!P$277,Ontwerp!Z$269+Ontwerp!C$38-Ontwerp!Z$269*COS(ASIN((C86-Ontwerp!C$45-Ontwerp!C$46)/Ontwerp!Z$269)),IF(C86&lt;=Ontwerp!P$278,Ontwerp!U$277+((C86-Ontwerp!P$277)*Ontwerp!V$278/Ontwerp!R$278),"Formule bijwerken voor  T6")))))</f>
        <v>#N/A</v>
      </c>
      <c r="E86" s="519" t="e">
        <f t="shared" ca="1" si="1"/>
        <v>#N/A</v>
      </c>
      <c r="F86" s="515"/>
      <c r="G86" s="516"/>
    </row>
    <row r="87" spans="1:7" ht="21" customHeight="1" x14ac:dyDescent="0.35">
      <c r="A87" s="517" t="e">
        <f ca="1">IF(A86="","",IF(B86&lt;(Ontwerp!M$9),A86+1,""))</f>
        <v>#N/A</v>
      </c>
      <c r="B87" s="517" t="e">
        <f ca="1">IF(A87="","",IF(-Ontwerp!T$32+Ontwerp!T$33+A87*Ontwerp!T$32&lt;Ontwerp!M$9,-Ontwerp!T$32+Ontwerp!T$33+A87*Ontwerp!T$32,Ontwerp!M$9))</f>
        <v>#N/A</v>
      </c>
      <c r="C87" s="518" t="e">
        <f ca="1">IF(B87&lt;Ontwerp!C$41,B87*COS(RADIANS(Ontwerp!D$7)),IF(B87&lt;(Ontwerp!C$41+Ontwerp!C$44),Ontwerp!C$40+Ontwerp!C$43+Ontwerp!D$8*SIN(RADIANS(-Ontwerp!D$7+360*(B87-Ontwerp!C$41)/(2*PI()*Ontwerp!D$8))),IF(B87&lt;(Ontwerp!C$41+Ontwerp!C$44+Ontwerp!C$46),B87-(Ontwerp!C$41+Ontwerp!C$44)+Ontwerp!C$40+Ontwerp!C$43,IF(B87&lt;(Ontwerp!C$41+Ontwerp!C$44+Ontwerp!C$46+Ontwerp!C$50),Ontwerp!C$40+Ontwerp!C$43+Ontwerp!C$46+Ontwerp!D$12*SIN(RADIANS(360*(B87-(Ontwerp!C$41+Ontwerp!C$44+Ontwerp!C$46))/(2*PI()*Ontwerp!D$12))),IF(B87&lt;=(Ontwerp!C$41+Ontwerp!C$44+Ontwerp!C$46+Ontwerp!C$50+Ontwerp!C$53),Ontwerp!C$40+Ontwerp!C$43+Ontwerp!C$46+Ontwerp!C$49+(B87-(Ontwerp!C$41+Ontwerp!C$44+Ontwerp!C$46+Ontwerp!C$49))*COS(RADIANS(Ontwerp!D$13)),"CHECK FORMULE")))))</f>
        <v>#N/A</v>
      </c>
      <c r="D87" s="518" t="e">
        <f ca="1">IF(C87&lt;=Ontwerp!P$274,Ontwerp!U$273+(C87*Ontwerp!V$274/Ontwerp!R$274),IF(C87&lt;=Ontwerp!P$275,Ontwerp!Z$266+Ontwerp!C$38-Ontwerp!Z$266*COS(ASIN((Ontwerp!C$45-C87)/Ontwerp!Z$266)),IF(C87&lt;=Ontwerp!P$276,Ontwerp!U$276,IF(C87&lt;=Ontwerp!P$277,Ontwerp!Z$269+Ontwerp!C$38-Ontwerp!Z$269*COS(ASIN((C87-Ontwerp!C$45-Ontwerp!C$46)/Ontwerp!Z$269)),IF(C87&lt;=Ontwerp!P$278,Ontwerp!U$277+((C87-Ontwerp!P$277)*Ontwerp!V$278/Ontwerp!R$278),"Formule bijwerken voor  T6")))))</f>
        <v>#N/A</v>
      </c>
      <c r="E87" s="519" t="e">
        <f t="shared" ca="1" si="1"/>
        <v>#N/A</v>
      </c>
      <c r="F87" s="515"/>
      <c r="G87" s="516"/>
    </row>
    <row r="88" spans="1:7" ht="21" customHeight="1" x14ac:dyDescent="0.35">
      <c r="A88" s="517" t="e">
        <f ca="1">IF(A87="","",IF(B87&lt;(Ontwerp!M$9),A87+1,""))</f>
        <v>#N/A</v>
      </c>
      <c r="B88" s="517" t="e">
        <f ca="1">IF(A88="","",IF(-Ontwerp!T$32+Ontwerp!T$33+A88*Ontwerp!T$32&lt;Ontwerp!M$9,-Ontwerp!T$32+Ontwerp!T$33+A88*Ontwerp!T$32,Ontwerp!M$9))</f>
        <v>#N/A</v>
      </c>
      <c r="C88" s="518" t="e">
        <f ca="1">IF(B88&lt;Ontwerp!C$41,B88*COS(RADIANS(Ontwerp!D$7)),IF(B88&lt;(Ontwerp!C$41+Ontwerp!C$44),Ontwerp!C$40+Ontwerp!C$43+Ontwerp!D$8*SIN(RADIANS(-Ontwerp!D$7+360*(B88-Ontwerp!C$41)/(2*PI()*Ontwerp!D$8))),IF(B88&lt;(Ontwerp!C$41+Ontwerp!C$44+Ontwerp!C$46),B88-(Ontwerp!C$41+Ontwerp!C$44)+Ontwerp!C$40+Ontwerp!C$43,IF(B88&lt;(Ontwerp!C$41+Ontwerp!C$44+Ontwerp!C$46+Ontwerp!C$50),Ontwerp!C$40+Ontwerp!C$43+Ontwerp!C$46+Ontwerp!D$12*SIN(RADIANS(360*(B88-(Ontwerp!C$41+Ontwerp!C$44+Ontwerp!C$46))/(2*PI()*Ontwerp!D$12))),IF(B88&lt;=(Ontwerp!C$41+Ontwerp!C$44+Ontwerp!C$46+Ontwerp!C$50+Ontwerp!C$53),Ontwerp!C$40+Ontwerp!C$43+Ontwerp!C$46+Ontwerp!C$49+(B88-(Ontwerp!C$41+Ontwerp!C$44+Ontwerp!C$46+Ontwerp!C$49))*COS(RADIANS(Ontwerp!D$13)),"CHECK FORMULE")))))</f>
        <v>#N/A</v>
      </c>
      <c r="D88" s="518" t="e">
        <f ca="1">IF(C88&lt;=Ontwerp!P$274,Ontwerp!U$273+(C88*Ontwerp!V$274/Ontwerp!R$274),IF(C88&lt;=Ontwerp!P$275,Ontwerp!Z$266+Ontwerp!C$38-Ontwerp!Z$266*COS(ASIN((Ontwerp!C$45-C88)/Ontwerp!Z$266)),IF(C88&lt;=Ontwerp!P$276,Ontwerp!U$276,IF(C88&lt;=Ontwerp!P$277,Ontwerp!Z$269+Ontwerp!C$38-Ontwerp!Z$269*COS(ASIN((C88-Ontwerp!C$45-Ontwerp!C$46)/Ontwerp!Z$269)),IF(C88&lt;=Ontwerp!P$278,Ontwerp!U$277+((C88-Ontwerp!P$277)*Ontwerp!V$278/Ontwerp!R$278),"Formule bijwerken voor  T6")))))</f>
        <v>#N/A</v>
      </c>
      <c r="E88" s="519" t="e">
        <f t="shared" ca="1" si="1"/>
        <v>#N/A</v>
      </c>
      <c r="F88" s="515"/>
      <c r="G88" s="516"/>
    </row>
    <row r="89" spans="1:7" ht="21" customHeight="1" x14ac:dyDescent="0.35">
      <c r="A89" s="517" t="e">
        <f ca="1">IF(A88="","",IF(B88&lt;(Ontwerp!M$9),A88+1,""))</f>
        <v>#N/A</v>
      </c>
      <c r="B89" s="517" t="e">
        <f ca="1">IF(A89="","",IF(-Ontwerp!T$32+Ontwerp!T$33+A89*Ontwerp!T$32&lt;Ontwerp!M$9,-Ontwerp!T$32+Ontwerp!T$33+A89*Ontwerp!T$32,Ontwerp!M$9))</f>
        <v>#N/A</v>
      </c>
      <c r="C89" s="518" t="e">
        <f ca="1">IF(B89&lt;Ontwerp!C$41,B89*COS(RADIANS(Ontwerp!D$7)),IF(B89&lt;(Ontwerp!C$41+Ontwerp!C$44),Ontwerp!C$40+Ontwerp!C$43+Ontwerp!D$8*SIN(RADIANS(-Ontwerp!D$7+360*(B89-Ontwerp!C$41)/(2*PI()*Ontwerp!D$8))),IF(B89&lt;(Ontwerp!C$41+Ontwerp!C$44+Ontwerp!C$46),B89-(Ontwerp!C$41+Ontwerp!C$44)+Ontwerp!C$40+Ontwerp!C$43,IF(B89&lt;(Ontwerp!C$41+Ontwerp!C$44+Ontwerp!C$46+Ontwerp!C$50),Ontwerp!C$40+Ontwerp!C$43+Ontwerp!C$46+Ontwerp!D$12*SIN(RADIANS(360*(B89-(Ontwerp!C$41+Ontwerp!C$44+Ontwerp!C$46))/(2*PI()*Ontwerp!D$12))),IF(B89&lt;=(Ontwerp!C$41+Ontwerp!C$44+Ontwerp!C$46+Ontwerp!C$50+Ontwerp!C$53),Ontwerp!C$40+Ontwerp!C$43+Ontwerp!C$46+Ontwerp!C$49+(B89-(Ontwerp!C$41+Ontwerp!C$44+Ontwerp!C$46+Ontwerp!C$49))*COS(RADIANS(Ontwerp!D$13)),"CHECK FORMULE")))))</f>
        <v>#N/A</v>
      </c>
      <c r="D89" s="518" t="e">
        <f ca="1">IF(C89&lt;=Ontwerp!P$274,Ontwerp!U$273+(C89*Ontwerp!V$274/Ontwerp!R$274),IF(C89&lt;=Ontwerp!P$275,Ontwerp!Z$266+Ontwerp!C$38-Ontwerp!Z$266*COS(ASIN((Ontwerp!C$45-C89)/Ontwerp!Z$266)),IF(C89&lt;=Ontwerp!P$276,Ontwerp!U$276,IF(C89&lt;=Ontwerp!P$277,Ontwerp!Z$269+Ontwerp!C$38-Ontwerp!Z$269*COS(ASIN((C89-Ontwerp!C$45-Ontwerp!C$46)/Ontwerp!Z$269)),IF(C89&lt;=Ontwerp!P$278,Ontwerp!U$277+((C89-Ontwerp!P$277)*Ontwerp!V$278/Ontwerp!R$278),"Formule bijwerken voor  T6")))))</f>
        <v>#N/A</v>
      </c>
      <c r="E89" s="519" t="e">
        <f t="shared" ca="1" si="1"/>
        <v>#N/A</v>
      </c>
      <c r="F89" s="515"/>
      <c r="G89" s="516"/>
    </row>
    <row r="90" spans="1:7" ht="21" customHeight="1" x14ac:dyDescent="0.35">
      <c r="A90" s="517" t="e">
        <f ca="1">IF(A89="","",IF(B89&lt;(Ontwerp!M$9),A89+1,""))</f>
        <v>#N/A</v>
      </c>
      <c r="B90" s="517" t="e">
        <f ca="1">IF(A90="","",IF(-Ontwerp!T$32+Ontwerp!T$33+A90*Ontwerp!T$32&lt;Ontwerp!M$9,-Ontwerp!T$32+Ontwerp!T$33+A90*Ontwerp!T$32,Ontwerp!M$9))</f>
        <v>#N/A</v>
      </c>
      <c r="C90" s="518" t="e">
        <f ca="1">IF(B90&lt;Ontwerp!C$41,B90*COS(RADIANS(Ontwerp!D$7)),IF(B90&lt;(Ontwerp!C$41+Ontwerp!C$44),Ontwerp!C$40+Ontwerp!C$43+Ontwerp!D$8*SIN(RADIANS(-Ontwerp!D$7+360*(B90-Ontwerp!C$41)/(2*PI()*Ontwerp!D$8))),IF(B90&lt;(Ontwerp!C$41+Ontwerp!C$44+Ontwerp!C$46),B90-(Ontwerp!C$41+Ontwerp!C$44)+Ontwerp!C$40+Ontwerp!C$43,IF(B90&lt;(Ontwerp!C$41+Ontwerp!C$44+Ontwerp!C$46+Ontwerp!C$50),Ontwerp!C$40+Ontwerp!C$43+Ontwerp!C$46+Ontwerp!D$12*SIN(RADIANS(360*(B90-(Ontwerp!C$41+Ontwerp!C$44+Ontwerp!C$46))/(2*PI()*Ontwerp!D$12))),IF(B90&lt;=(Ontwerp!C$41+Ontwerp!C$44+Ontwerp!C$46+Ontwerp!C$50+Ontwerp!C$53),Ontwerp!C$40+Ontwerp!C$43+Ontwerp!C$46+Ontwerp!C$49+(B90-(Ontwerp!C$41+Ontwerp!C$44+Ontwerp!C$46+Ontwerp!C$49))*COS(RADIANS(Ontwerp!D$13)),"CHECK FORMULE")))))</f>
        <v>#N/A</v>
      </c>
      <c r="D90" s="518" t="e">
        <f ca="1">IF(C90&lt;=Ontwerp!P$274,Ontwerp!U$273+(C90*Ontwerp!V$274/Ontwerp!R$274),IF(C90&lt;=Ontwerp!P$275,Ontwerp!Z$266+Ontwerp!C$38-Ontwerp!Z$266*COS(ASIN((Ontwerp!C$45-C90)/Ontwerp!Z$266)),IF(C90&lt;=Ontwerp!P$276,Ontwerp!U$276,IF(C90&lt;=Ontwerp!P$277,Ontwerp!Z$269+Ontwerp!C$38-Ontwerp!Z$269*COS(ASIN((C90-Ontwerp!C$45-Ontwerp!C$46)/Ontwerp!Z$269)),IF(C90&lt;=Ontwerp!P$278,Ontwerp!U$277+((C90-Ontwerp!P$277)*Ontwerp!V$278/Ontwerp!R$278),"Formule bijwerken voor  T6")))))</f>
        <v>#N/A</v>
      </c>
      <c r="E90" s="519" t="e">
        <f t="shared" ca="1" si="1"/>
        <v>#N/A</v>
      </c>
      <c r="F90" s="515"/>
      <c r="G90" s="516"/>
    </row>
    <row r="91" spans="1:7" ht="21" customHeight="1" x14ac:dyDescent="0.35">
      <c r="A91" s="517" t="e">
        <f ca="1">IF(A90="","",IF(B90&lt;(Ontwerp!M$9),A90+1,""))</f>
        <v>#N/A</v>
      </c>
      <c r="B91" s="517" t="e">
        <f ca="1">IF(A91="","",IF(-Ontwerp!T$32+Ontwerp!T$33+A91*Ontwerp!T$32&lt;Ontwerp!M$9,-Ontwerp!T$32+Ontwerp!T$33+A91*Ontwerp!T$32,Ontwerp!M$9))</f>
        <v>#N/A</v>
      </c>
      <c r="C91" s="518" t="e">
        <f ca="1">IF(B91&lt;Ontwerp!C$41,B91*COS(RADIANS(Ontwerp!D$7)),IF(B91&lt;(Ontwerp!C$41+Ontwerp!C$44),Ontwerp!C$40+Ontwerp!C$43+Ontwerp!D$8*SIN(RADIANS(-Ontwerp!D$7+360*(B91-Ontwerp!C$41)/(2*PI()*Ontwerp!D$8))),IF(B91&lt;(Ontwerp!C$41+Ontwerp!C$44+Ontwerp!C$46),B91-(Ontwerp!C$41+Ontwerp!C$44)+Ontwerp!C$40+Ontwerp!C$43,IF(B91&lt;(Ontwerp!C$41+Ontwerp!C$44+Ontwerp!C$46+Ontwerp!C$50),Ontwerp!C$40+Ontwerp!C$43+Ontwerp!C$46+Ontwerp!D$12*SIN(RADIANS(360*(B91-(Ontwerp!C$41+Ontwerp!C$44+Ontwerp!C$46))/(2*PI()*Ontwerp!D$12))),IF(B91&lt;=(Ontwerp!C$41+Ontwerp!C$44+Ontwerp!C$46+Ontwerp!C$50+Ontwerp!C$53),Ontwerp!C$40+Ontwerp!C$43+Ontwerp!C$46+Ontwerp!C$49+(B91-(Ontwerp!C$41+Ontwerp!C$44+Ontwerp!C$46+Ontwerp!C$49))*COS(RADIANS(Ontwerp!D$13)),"CHECK FORMULE")))))</f>
        <v>#N/A</v>
      </c>
      <c r="D91" s="518" t="e">
        <f ca="1">IF(C91&lt;=Ontwerp!P$274,Ontwerp!U$273+(C91*Ontwerp!V$274/Ontwerp!R$274),IF(C91&lt;=Ontwerp!P$275,Ontwerp!Z$266+Ontwerp!C$38-Ontwerp!Z$266*COS(ASIN((Ontwerp!C$45-C91)/Ontwerp!Z$266)),IF(C91&lt;=Ontwerp!P$276,Ontwerp!U$276,IF(C91&lt;=Ontwerp!P$277,Ontwerp!Z$269+Ontwerp!C$38-Ontwerp!Z$269*COS(ASIN((C91-Ontwerp!C$45-Ontwerp!C$46)/Ontwerp!Z$269)),IF(C91&lt;=Ontwerp!P$278,Ontwerp!U$277+((C91-Ontwerp!P$277)*Ontwerp!V$278/Ontwerp!R$278),"Formule bijwerken voor  T6")))))</f>
        <v>#N/A</v>
      </c>
      <c r="E91" s="519" t="e">
        <f t="shared" ca="1" si="1"/>
        <v>#N/A</v>
      </c>
      <c r="F91" s="515"/>
      <c r="G91" s="516"/>
    </row>
    <row r="92" spans="1:7" ht="21" customHeight="1" x14ac:dyDescent="0.35">
      <c r="A92" s="517" t="e">
        <f ca="1">IF(A91="","",IF(B91&lt;(Ontwerp!M$9),A91+1,""))</f>
        <v>#N/A</v>
      </c>
      <c r="B92" s="517" t="e">
        <f ca="1">IF(A92="","",IF(-Ontwerp!T$32+Ontwerp!T$33+A92*Ontwerp!T$32&lt;Ontwerp!M$9,-Ontwerp!T$32+Ontwerp!T$33+A92*Ontwerp!T$32,Ontwerp!M$9))</f>
        <v>#N/A</v>
      </c>
      <c r="C92" s="518" t="e">
        <f ca="1">IF(B92&lt;Ontwerp!C$41,B92*COS(RADIANS(Ontwerp!D$7)),IF(B92&lt;(Ontwerp!C$41+Ontwerp!C$44),Ontwerp!C$40+Ontwerp!C$43+Ontwerp!D$8*SIN(RADIANS(-Ontwerp!D$7+360*(B92-Ontwerp!C$41)/(2*PI()*Ontwerp!D$8))),IF(B92&lt;(Ontwerp!C$41+Ontwerp!C$44+Ontwerp!C$46),B92-(Ontwerp!C$41+Ontwerp!C$44)+Ontwerp!C$40+Ontwerp!C$43,IF(B92&lt;(Ontwerp!C$41+Ontwerp!C$44+Ontwerp!C$46+Ontwerp!C$50),Ontwerp!C$40+Ontwerp!C$43+Ontwerp!C$46+Ontwerp!D$12*SIN(RADIANS(360*(B92-(Ontwerp!C$41+Ontwerp!C$44+Ontwerp!C$46))/(2*PI()*Ontwerp!D$12))),IF(B92&lt;=(Ontwerp!C$41+Ontwerp!C$44+Ontwerp!C$46+Ontwerp!C$50+Ontwerp!C$53),Ontwerp!C$40+Ontwerp!C$43+Ontwerp!C$46+Ontwerp!C$49+(B92-(Ontwerp!C$41+Ontwerp!C$44+Ontwerp!C$46+Ontwerp!C$49))*COS(RADIANS(Ontwerp!D$13)),"CHECK FORMULE")))))</f>
        <v>#N/A</v>
      </c>
      <c r="D92" s="518" t="e">
        <f ca="1">IF(C92&lt;=Ontwerp!P$274,Ontwerp!U$273+(C92*Ontwerp!V$274/Ontwerp!R$274),IF(C92&lt;=Ontwerp!P$275,Ontwerp!Z$266+Ontwerp!C$38-Ontwerp!Z$266*COS(ASIN((Ontwerp!C$45-C92)/Ontwerp!Z$266)),IF(C92&lt;=Ontwerp!P$276,Ontwerp!U$276,IF(C92&lt;=Ontwerp!P$277,Ontwerp!Z$269+Ontwerp!C$38-Ontwerp!Z$269*COS(ASIN((C92-Ontwerp!C$45-Ontwerp!C$46)/Ontwerp!Z$269)),IF(C92&lt;=Ontwerp!P$278,Ontwerp!U$277+((C92-Ontwerp!P$277)*Ontwerp!V$278/Ontwerp!R$278),"Formule bijwerken voor  T6")))))</f>
        <v>#N/A</v>
      </c>
      <c r="E92" s="519" t="e">
        <f t="shared" ca="1" si="1"/>
        <v>#N/A</v>
      </c>
      <c r="F92" s="515"/>
      <c r="G92" s="516"/>
    </row>
    <row r="93" spans="1:7" ht="21" customHeight="1" x14ac:dyDescent="0.35">
      <c r="A93" s="517" t="e">
        <f ca="1">IF(A92="","",IF(B92&lt;(Ontwerp!M$9),A92+1,""))</f>
        <v>#N/A</v>
      </c>
      <c r="B93" s="517" t="e">
        <f ca="1">IF(A93="","",IF(-Ontwerp!T$32+Ontwerp!T$33+A93*Ontwerp!T$32&lt;Ontwerp!M$9,-Ontwerp!T$32+Ontwerp!T$33+A93*Ontwerp!T$32,Ontwerp!M$9))</f>
        <v>#N/A</v>
      </c>
      <c r="C93" s="518" t="e">
        <f ca="1">IF(B93&lt;Ontwerp!C$41,B93*COS(RADIANS(Ontwerp!D$7)),IF(B93&lt;(Ontwerp!C$41+Ontwerp!C$44),Ontwerp!C$40+Ontwerp!C$43+Ontwerp!D$8*SIN(RADIANS(-Ontwerp!D$7+360*(B93-Ontwerp!C$41)/(2*PI()*Ontwerp!D$8))),IF(B93&lt;(Ontwerp!C$41+Ontwerp!C$44+Ontwerp!C$46),B93-(Ontwerp!C$41+Ontwerp!C$44)+Ontwerp!C$40+Ontwerp!C$43,IF(B93&lt;(Ontwerp!C$41+Ontwerp!C$44+Ontwerp!C$46+Ontwerp!C$50),Ontwerp!C$40+Ontwerp!C$43+Ontwerp!C$46+Ontwerp!D$12*SIN(RADIANS(360*(B93-(Ontwerp!C$41+Ontwerp!C$44+Ontwerp!C$46))/(2*PI()*Ontwerp!D$12))),IF(B93&lt;=(Ontwerp!C$41+Ontwerp!C$44+Ontwerp!C$46+Ontwerp!C$50+Ontwerp!C$53),Ontwerp!C$40+Ontwerp!C$43+Ontwerp!C$46+Ontwerp!C$49+(B93-(Ontwerp!C$41+Ontwerp!C$44+Ontwerp!C$46+Ontwerp!C$49))*COS(RADIANS(Ontwerp!D$13)),"CHECK FORMULE")))))</f>
        <v>#N/A</v>
      </c>
      <c r="D93" s="518" t="e">
        <f ca="1">IF(C93&lt;=Ontwerp!P$274,Ontwerp!U$273+(C93*Ontwerp!V$274/Ontwerp!R$274),IF(C93&lt;=Ontwerp!P$275,Ontwerp!Z$266+Ontwerp!C$38-Ontwerp!Z$266*COS(ASIN((Ontwerp!C$45-C93)/Ontwerp!Z$266)),IF(C93&lt;=Ontwerp!P$276,Ontwerp!U$276,IF(C93&lt;=Ontwerp!P$277,Ontwerp!Z$269+Ontwerp!C$38-Ontwerp!Z$269*COS(ASIN((C93-Ontwerp!C$45-Ontwerp!C$46)/Ontwerp!Z$269)),IF(C93&lt;=Ontwerp!P$278,Ontwerp!U$277+((C93-Ontwerp!P$277)*Ontwerp!V$278/Ontwerp!R$278),"Formule bijwerken voor  T6")))))</f>
        <v>#N/A</v>
      </c>
      <c r="E93" s="519" t="e">
        <f t="shared" ca="1" si="1"/>
        <v>#N/A</v>
      </c>
      <c r="F93" s="515"/>
      <c r="G93" s="516"/>
    </row>
    <row r="94" spans="1:7" ht="21" customHeight="1" x14ac:dyDescent="0.35">
      <c r="A94" s="517" t="e">
        <f ca="1">IF(A93="","",IF(B93&lt;(Ontwerp!M$9),A93+1,""))</f>
        <v>#N/A</v>
      </c>
      <c r="B94" s="517" t="e">
        <f ca="1">IF(A94="","",IF(-Ontwerp!T$32+Ontwerp!T$33+A94*Ontwerp!T$32&lt;Ontwerp!M$9,-Ontwerp!T$32+Ontwerp!T$33+A94*Ontwerp!T$32,Ontwerp!M$9))</f>
        <v>#N/A</v>
      </c>
      <c r="C94" s="518" t="e">
        <f ca="1">IF(B94&lt;Ontwerp!C$41,B94*COS(RADIANS(Ontwerp!D$7)),IF(B94&lt;(Ontwerp!C$41+Ontwerp!C$44),Ontwerp!C$40+Ontwerp!C$43+Ontwerp!D$8*SIN(RADIANS(-Ontwerp!D$7+360*(B94-Ontwerp!C$41)/(2*PI()*Ontwerp!D$8))),IF(B94&lt;(Ontwerp!C$41+Ontwerp!C$44+Ontwerp!C$46),B94-(Ontwerp!C$41+Ontwerp!C$44)+Ontwerp!C$40+Ontwerp!C$43,IF(B94&lt;(Ontwerp!C$41+Ontwerp!C$44+Ontwerp!C$46+Ontwerp!C$50),Ontwerp!C$40+Ontwerp!C$43+Ontwerp!C$46+Ontwerp!D$12*SIN(RADIANS(360*(B94-(Ontwerp!C$41+Ontwerp!C$44+Ontwerp!C$46))/(2*PI()*Ontwerp!D$12))),IF(B94&lt;=(Ontwerp!C$41+Ontwerp!C$44+Ontwerp!C$46+Ontwerp!C$50+Ontwerp!C$53),Ontwerp!C$40+Ontwerp!C$43+Ontwerp!C$46+Ontwerp!C$49+(B94-(Ontwerp!C$41+Ontwerp!C$44+Ontwerp!C$46+Ontwerp!C$49))*COS(RADIANS(Ontwerp!D$13)),"CHECK FORMULE")))))</f>
        <v>#N/A</v>
      </c>
      <c r="D94" s="518" t="e">
        <f ca="1">IF(C94&lt;=Ontwerp!P$274,Ontwerp!U$273+(C94*Ontwerp!V$274/Ontwerp!R$274),IF(C94&lt;=Ontwerp!P$275,Ontwerp!Z$266+Ontwerp!C$38-Ontwerp!Z$266*COS(ASIN((Ontwerp!C$45-C94)/Ontwerp!Z$266)),IF(C94&lt;=Ontwerp!P$276,Ontwerp!U$276,IF(C94&lt;=Ontwerp!P$277,Ontwerp!Z$269+Ontwerp!C$38-Ontwerp!Z$269*COS(ASIN((C94-Ontwerp!C$45-Ontwerp!C$46)/Ontwerp!Z$269)),IF(C94&lt;=Ontwerp!P$278,Ontwerp!U$277+((C94-Ontwerp!P$277)*Ontwerp!V$278/Ontwerp!R$278),"Formule bijwerken voor  T6")))))</f>
        <v>#N/A</v>
      </c>
      <c r="E94" s="519" t="e">
        <f t="shared" ca="1" si="1"/>
        <v>#N/A</v>
      </c>
      <c r="F94" s="515"/>
      <c r="G94" s="516"/>
    </row>
    <row r="95" spans="1:7" ht="21" customHeight="1" x14ac:dyDescent="0.35">
      <c r="A95" s="517" t="e">
        <f ca="1">IF(A94="","",IF(B94&lt;(Ontwerp!M$9),A94+1,""))</f>
        <v>#N/A</v>
      </c>
      <c r="B95" s="517" t="e">
        <f ca="1">IF(A95="","",IF(-Ontwerp!T$32+Ontwerp!T$33+A95*Ontwerp!T$32&lt;Ontwerp!M$9,-Ontwerp!T$32+Ontwerp!T$33+A95*Ontwerp!T$32,Ontwerp!M$9))</f>
        <v>#N/A</v>
      </c>
      <c r="C95" s="518" t="e">
        <f ca="1">IF(B95&lt;Ontwerp!C$41,B95*COS(RADIANS(Ontwerp!D$7)),IF(B95&lt;(Ontwerp!C$41+Ontwerp!C$44),Ontwerp!C$40+Ontwerp!C$43+Ontwerp!D$8*SIN(RADIANS(-Ontwerp!D$7+360*(B95-Ontwerp!C$41)/(2*PI()*Ontwerp!D$8))),IF(B95&lt;(Ontwerp!C$41+Ontwerp!C$44+Ontwerp!C$46),B95-(Ontwerp!C$41+Ontwerp!C$44)+Ontwerp!C$40+Ontwerp!C$43,IF(B95&lt;(Ontwerp!C$41+Ontwerp!C$44+Ontwerp!C$46+Ontwerp!C$50),Ontwerp!C$40+Ontwerp!C$43+Ontwerp!C$46+Ontwerp!D$12*SIN(RADIANS(360*(B95-(Ontwerp!C$41+Ontwerp!C$44+Ontwerp!C$46))/(2*PI()*Ontwerp!D$12))),IF(B95&lt;=(Ontwerp!C$41+Ontwerp!C$44+Ontwerp!C$46+Ontwerp!C$50+Ontwerp!C$53),Ontwerp!C$40+Ontwerp!C$43+Ontwerp!C$46+Ontwerp!C$49+(B95-(Ontwerp!C$41+Ontwerp!C$44+Ontwerp!C$46+Ontwerp!C$49))*COS(RADIANS(Ontwerp!D$13)),"CHECK FORMULE")))))</f>
        <v>#N/A</v>
      </c>
      <c r="D95" s="518" t="e">
        <f ca="1">IF(C95&lt;=Ontwerp!P$274,Ontwerp!U$273+(C95*Ontwerp!V$274/Ontwerp!R$274),IF(C95&lt;=Ontwerp!P$275,Ontwerp!Z$266+Ontwerp!C$38-Ontwerp!Z$266*COS(ASIN((Ontwerp!C$45-C95)/Ontwerp!Z$266)),IF(C95&lt;=Ontwerp!P$276,Ontwerp!U$276,IF(C95&lt;=Ontwerp!P$277,Ontwerp!Z$269+Ontwerp!C$38-Ontwerp!Z$269*COS(ASIN((C95-Ontwerp!C$45-Ontwerp!C$46)/Ontwerp!Z$269)),IF(C95&lt;=Ontwerp!P$278,Ontwerp!U$277+((C95-Ontwerp!P$277)*Ontwerp!V$278/Ontwerp!R$278),"Formule bijwerken voor  T6")))))</f>
        <v>#N/A</v>
      </c>
      <c r="E95" s="519" t="e">
        <f t="shared" ca="1" si="1"/>
        <v>#N/A</v>
      </c>
      <c r="F95" s="515"/>
      <c r="G95" s="516"/>
    </row>
    <row r="96" spans="1:7" ht="21" customHeight="1" x14ac:dyDescent="0.35">
      <c r="A96" s="517" t="e">
        <f ca="1">IF(A95="","",IF(B95&lt;(Ontwerp!M$9),A95+1,""))</f>
        <v>#N/A</v>
      </c>
      <c r="B96" s="517" t="e">
        <f ca="1">IF(A96="","",IF(-Ontwerp!T$32+Ontwerp!T$33+A96*Ontwerp!T$32&lt;Ontwerp!M$9,-Ontwerp!T$32+Ontwerp!T$33+A96*Ontwerp!T$32,Ontwerp!M$9))</f>
        <v>#N/A</v>
      </c>
      <c r="C96" s="518" t="e">
        <f ca="1">IF(B96&lt;Ontwerp!C$41,B96*COS(RADIANS(Ontwerp!D$7)),IF(B96&lt;(Ontwerp!C$41+Ontwerp!C$44),Ontwerp!C$40+Ontwerp!C$43+Ontwerp!D$8*SIN(RADIANS(-Ontwerp!D$7+360*(B96-Ontwerp!C$41)/(2*PI()*Ontwerp!D$8))),IF(B96&lt;(Ontwerp!C$41+Ontwerp!C$44+Ontwerp!C$46),B96-(Ontwerp!C$41+Ontwerp!C$44)+Ontwerp!C$40+Ontwerp!C$43,IF(B96&lt;(Ontwerp!C$41+Ontwerp!C$44+Ontwerp!C$46+Ontwerp!C$50),Ontwerp!C$40+Ontwerp!C$43+Ontwerp!C$46+Ontwerp!D$12*SIN(RADIANS(360*(B96-(Ontwerp!C$41+Ontwerp!C$44+Ontwerp!C$46))/(2*PI()*Ontwerp!D$12))),IF(B96&lt;=(Ontwerp!C$41+Ontwerp!C$44+Ontwerp!C$46+Ontwerp!C$50+Ontwerp!C$53),Ontwerp!C$40+Ontwerp!C$43+Ontwerp!C$46+Ontwerp!C$49+(B96-(Ontwerp!C$41+Ontwerp!C$44+Ontwerp!C$46+Ontwerp!C$49))*COS(RADIANS(Ontwerp!D$13)),"CHECK FORMULE")))))</f>
        <v>#N/A</v>
      </c>
      <c r="D96" s="518" t="e">
        <f ca="1">IF(C96&lt;=Ontwerp!P$274,Ontwerp!U$273+(C96*Ontwerp!V$274/Ontwerp!R$274),IF(C96&lt;=Ontwerp!P$275,Ontwerp!Z$266+Ontwerp!C$38-Ontwerp!Z$266*COS(ASIN((Ontwerp!C$45-C96)/Ontwerp!Z$266)),IF(C96&lt;=Ontwerp!P$276,Ontwerp!U$276,IF(C96&lt;=Ontwerp!P$277,Ontwerp!Z$269+Ontwerp!C$38-Ontwerp!Z$269*COS(ASIN((C96-Ontwerp!C$45-Ontwerp!C$46)/Ontwerp!Z$269)),IF(C96&lt;=Ontwerp!P$278,Ontwerp!U$277+((C96-Ontwerp!P$277)*Ontwerp!V$278/Ontwerp!R$278),"Formule bijwerken voor  T6")))))</f>
        <v>#N/A</v>
      </c>
      <c r="E96" s="519" t="e">
        <f t="shared" ca="1" si="1"/>
        <v>#N/A</v>
      </c>
      <c r="F96" s="515"/>
      <c r="G96" s="516"/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"/>
  <dimension ref="A1:S9"/>
  <sheetViews>
    <sheetView workbookViewId="0">
      <selection activeCell="B25" sqref="B25"/>
    </sheetView>
  </sheetViews>
  <sheetFormatPr defaultRowHeight="12.75" x14ac:dyDescent="0.2"/>
  <cols>
    <col min="1" max="1" width="49.28515625" customWidth="1"/>
    <col min="2" max="2" width="73" bestFit="1" customWidth="1"/>
  </cols>
  <sheetData>
    <row r="1" spans="1:19" s="8" customFormat="1" ht="20.25" customHeight="1" x14ac:dyDescent="0.3">
      <c r="A1" s="7" t="s">
        <v>1087</v>
      </c>
      <c r="B1" s="7" t="s">
        <v>1090</v>
      </c>
      <c r="C1" s="7"/>
      <c r="D1" s="7"/>
      <c r="E1" s="7"/>
      <c r="F1" s="7"/>
      <c r="G1" s="7"/>
      <c r="H1" s="7" t="s">
        <v>1097</v>
      </c>
      <c r="I1" s="7"/>
      <c r="J1" s="7"/>
      <c r="S1" s="7" t="s">
        <v>1098</v>
      </c>
    </row>
    <row r="2" spans="1:19" s="1" customFormat="1" x14ac:dyDescent="0.2">
      <c r="A2" s="778" t="s">
        <v>1088</v>
      </c>
      <c r="B2" s="779" t="s">
        <v>1254</v>
      </c>
      <c r="H2" s="1" t="s">
        <v>1099</v>
      </c>
      <c r="S2" s="1" t="s">
        <v>1100</v>
      </c>
    </row>
    <row r="3" spans="1:19" x14ac:dyDescent="0.2">
      <c r="A3" s="778" t="s">
        <v>1086</v>
      </c>
      <c r="B3" s="779" t="s">
        <v>1238</v>
      </c>
      <c r="H3" t="s">
        <v>1101</v>
      </c>
      <c r="S3" t="s">
        <v>1102</v>
      </c>
    </row>
    <row r="4" spans="1:19" x14ac:dyDescent="0.2">
      <c r="A4" s="778" t="s">
        <v>1085</v>
      </c>
      <c r="B4" s="779" t="s">
        <v>1111</v>
      </c>
      <c r="H4" t="s">
        <v>1103</v>
      </c>
      <c r="S4" s="1" t="s">
        <v>1111</v>
      </c>
    </row>
    <row r="5" spans="1:19" x14ac:dyDescent="0.2">
      <c r="A5" s="778" t="s">
        <v>1089</v>
      </c>
      <c r="B5" s="780" t="s">
        <v>1183</v>
      </c>
      <c r="F5" s="777" t="s">
        <v>1096</v>
      </c>
      <c r="H5" t="s">
        <v>1104</v>
      </c>
      <c r="S5" t="s">
        <v>1105</v>
      </c>
    </row>
    <row r="6" spans="1:19" x14ac:dyDescent="0.2">
      <c r="A6" s="776" t="s">
        <v>1091</v>
      </c>
      <c r="B6" s="782" t="s">
        <v>1096</v>
      </c>
      <c r="F6" s="781" t="s">
        <v>1095</v>
      </c>
      <c r="H6" t="s">
        <v>1106</v>
      </c>
      <c r="S6" t="s">
        <v>1096</v>
      </c>
    </row>
    <row r="7" spans="1:19" x14ac:dyDescent="0.2">
      <c r="A7" s="776" t="s">
        <v>1092</v>
      </c>
      <c r="B7" s="782" t="s">
        <v>1108</v>
      </c>
      <c r="F7" s="781" t="s">
        <v>1094</v>
      </c>
      <c r="H7" t="s">
        <v>1107</v>
      </c>
      <c r="S7" t="s">
        <v>1108</v>
      </c>
    </row>
    <row r="8" spans="1:19" x14ac:dyDescent="0.2">
      <c r="A8" s="776" t="s">
        <v>1093</v>
      </c>
      <c r="B8" s="782" t="s">
        <v>1110</v>
      </c>
      <c r="H8" t="s">
        <v>1109</v>
      </c>
      <c r="S8" t="s">
        <v>1110</v>
      </c>
    </row>
    <row r="9" spans="1:19" x14ac:dyDescent="0.2">
      <c r="A9" s="776" t="s">
        <v>1240</v>
      </c>
      <c r="B9" t="s">
        <v>1239</v>
      </c>
    </row>
  </sheetData>
  <hyperlinks>
    <hyperlink ref="F6" r:id="rId1" xr:uid="{A7258E3E-2113-4933-A131-CCAEDA022CB3}"/>
    <hyperlink ref="F7" r:id="rId2" xr:uid="{8FC36120-3DC8-4BA2-B2C9-55EB3B64718E}"/>
  </hyperlinks>
  <pageMargins left="0.75" right="0.75" top="1" bottom="1" header="0.5" footer="0.5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etfilenames">
                <anchor moveWithCells="1" sizeWithCells="1">
                  <from>
                    <xdr:col>2</xdr:col>
                    <xdr:colOff>19050</xdr:colOff>
                    <xdr:row>1</xdr:row>
                    <xdr:rowOff>9525</xdr:rowOff>
                  </from>
                  <to>
                    <xdr:col>3</xdr:col>
                    <xdr:colOff>581025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UpdateLinks">
                <anchor moveWithCells="1" sizeWithCells="1">
                  <from>
                    <xdr:col>2</xdr:col>
                    <xdr:colOff>19050</xdr:colOff>
                    <xdr:row>5</xdr:row>
                    <xdr:rowOff>9525</xdr:rowOff>
                  </from>
                  <to>
                    <xdr:col>3</xdr:col>
                    <xdr:colOff>581025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18729-02A3-40EE-BCB6-A87D7F4BEEEF}">
  <sheetPr codeName="Blad11"/>
  <dimension ref="A1:A10"/>
  <sheetViews>
    <sheetView workbookViewId="0">
      <selection activeCell="G56" sqref="G56"/>
    </sheetView>
  </sheetViews>
  <sheetFormatPr defaultRowHeight="12.75" x14ac:dyDescent="0.2"/>
  <sheetData>
    <row r="1" spans="1:1" x14ac:dyDescent="0.2">
      <c r="A1" t="s">
        <v>1241</v>
      </c>
    </row>
    <row r="2" spans="1:1" x14ac:dyDescent="0.2">
      <c r="A2" t="s">
        <v>1242</v>
      </c>
    </row>
    <row r="3" spans="1:1" x14ac:dyDescent="0.2">
      <c r="A3" t="s">
        <v>1243</v>
      </c>
    </row>
    <row r="4" spans="1:1" x14ac:dyDescent="0.2">
      <c r="A4" t="s">
        <v>1244</v>
      </c>
    </row>
    <row r="5" spans="1:1" x14ac:dyDescent="0.2">
      <c r="A5" t="s">
        <v>1245</v>
      </c>
    </row>
    <row r="6" spans="1:1" x14ac:dyDescent="0.2">
      <c r="A6" t="s">
        <v>1246</v>
      </c>
    </row>
    <row r="7" spans="1:1" x14ac:dyDescent="0.2">
      <c r="A7" t="s">
        <v>1247</v>
      </c>
    </row>
    <row r="8" spans="1:1" x14ac:dyDescent="0.2">
      <c r="A8" t="s">
        <v>1248</v>
      </c>
    </row>
    <row r="9" spans="1:1" x14ac:dyDescent="0.2">
      <c r="A9" t="s">
        <v>1249</v>
      </c>
    </row>
    <row r="10" spans="1:1" x14ac:dyDescent="0.2">
      <c r="A10" t="s">
        <v>1250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75925-E043-467B-8E16-121ADDEC1BA9}">
  <sheetPr codeName="Blad7"/>
  <dimension ref="A1:A17"/>
  <sheetViews>
    <sheetView zoomScaleNormal="100" workbookViewId="0">
      <selection activeCell="A22" sqref="A22"/>
    </sheetView>
  </sheetViews>
  <sheetFormatPr defaultRowHeight="12.75" x14ac:dyDescent="0.2"/>
  <sheetData>
    <row r="1" spans="1:1" x14ac:dyDescent="0.2">
      <c r="A1" s="9" t="s">
        <v>1204</v>
      </c>
    </row>
    <row r="2" spans="1:1" x14ac:dyDescent="0.2">
      <c r="A2" s="1" t="s">
        <v>1294</v>
      </c>
    </row>
    <row r="3" spans="1:1" x14ac:dyDescent="0.2">
      <c r="A3" s="1" t="s">
        <v>1295</v>
      </c>
    </row>
    <row r="4" spans="1:1" x14ac:dyDescent="0.2">
      <c r="A4" s="1" t="s">
        <v>1296</v>
      </c>
    </row>
    <row r="5" spans="1:1" x14ac:dyDescent="0.2">
      <c r="A5" s="1" t="s">
        <v>1297</v>
      </c>
    </row>
    <row r="6" spans="1:1" x14ac:dyDescent="0.2">
      <c r="A6" s="1" t="s">
        <v>1298</v>
      </c>
    </row>
    <row r="12" spans="1:1" x14ac:dyDescent="0.2">
      <c r="A12" s="9" t="s">
        <v>1205</v>
      </c>
    </row>
    <row r="13" spans="1:1" x14ac:dyDescent="0.2">
      <c r="A13" s="1" t="s">
        <v>1206</v>
      </c>
    </row>
    <row r="14" spans="1:1" x14ac:dyDescent="0.2">
      <c r="A14" s="1" t="s">
        <v>1207</v>
      </c>
    </row>
    <row r="15" spans="1:1" x14ac:dyDescent="0.2">
      <c r="A15" s="1" t="s">
        <v>1208</v>
      </c>
    </row>
    <row r="16" spans="1:1" x14ac:dyDescent="0.2">
      <c r="A16" s="1" t="s">
        <v>1210</v>
      </c>
    </row>
    <row r="17" spans="1:1" x14ac:dyDescent="0.2">
      <c r="A17" s="1" t="s">
        <v>1302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7</vt:i4>
      </vt:variant>
    </vt:vector>
  </HeadingPairs>
  <TitlesOfParts>
    <vt:vector size="25" baseType="lpstr">
      <vt:lpstr>INPUT</vt:lpstr>
      <vt:lpstr>Ontwerp</vt:lpstr>
      <vt:lpstr>CSV</vt:lpstr>
      <vt:lpstr>Script</vt:lpstr>
      <vt:lpstr>XYdata</vt:lpstr>
      <vt:lpstr>K&amp;L</vt:lpstr>
      <vt:lpstr>TOOLS</vt:lpstr>
      <vt:lpstr>Script_BGT_All</vt:lpstr>
      <vt:lpstr>Script_BGT</vt:lpstr>
      <vt:lpstr>Scpt_KLICtrial</vt:lpstr>
      <vt:lpstr>Scpt_DKKtrial</vt:lpstr>
      <vt:lpstr>Script_BGTold</vt:lpstr>
      <vt:lpstr>Variabelen</vt:lpstr>
      <vt:lpstr>tbvPQ</vt:lpstr>
      <vt:lpstr>Ron</vt:lpstr>
      <vt:lpstr>Parameters</vt:lpstr>
      <vt:lpstr>AutoCad</vt:lpstr>
      <vt:lpstr>Notes</vt:lpstr>
      <vt:lpstr>TOOLS!_MailAutoSig</vt:lpstr>
      <vt:lpstr>Ron!Afdrukbereik</vt:lpstr>
      <vt:lpstr>Hoek</vt:lpstr>
      <vt:lpstr>HoekIn</vt:lpstr>
      <vt:lpstr>HoekUit</vt:lpstr>
      <vt:lpstr>Rin</vt:lpstr>
      <vt:lpstr>Ruit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Martien</dc:creator>
  <cp:lastModifiedBy>Sopa Choychod</cp:lastModifiedBy>
  <cp:lastPrinted>2022-04-25T15:37:08Z</cp:lastPrinted>
  <dcterms:created xsi:type="dcterms:W3CDTF">2001-02-25T18:35:11Z</dcterms:created>
  <dcterms:modified xsi:type="dcterms:W3CDTF">2026-02-27T11:33:28Z</dcterms:modified>
</cp:coreProperties>
</file>